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defaultThemeVersion="166925"/>
  <mc:AlternateContent xmlns:mc="http://schemas.openxmlformats.org/markup-compatibility/2006">
    <mc:Choice Requires="x15">
      <x15ac:absPath xmlns:x15ac="http://schemas.microsoft.com/office/spreadsheetml/2010/11/ac" url="https://qmulprod-my.sharepoint.com/personal/eex760_qmul_ac_uk/Documents/1MyProject/0LSTM_keyword_predict/3.Antenna/antenna_new/"/>
    </mc:Choice>
  </mc:AlternateContent>
  <xr:revisionPtr revIDLastSave="10" documentId="8_{C56C5E7A-147D-F74D-8BD5-95D47FFE4294}" xr6:coauthVersionLast="47" xr6:coauthVersionMax="47" xr10:uidLastSave="{286BEDA5-B565-2344-8034-D3D13F47146A}"/>
  <bookViews>
    <workbookView xWindow="12440" yWindow="1580" windowWidth="27640" windowHeight="16940" xr2:uid="{6D17F70F-9110-F74A-8CA2-FA25724DB85B}"/>
  </bookViews>
  <sheets>
    <sheet name="1989" sheetId="1" r:id="rId1"/>
  </sheets>
  <externalReferences>
    <externalReference r:id="rId2"/>
  </externalReferences>
  <definedNames>
    <definedName name="s0">[1]antenna_all!#REF!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N3" i="1" l="1"/>
  <c r="AN4" i="1"/>
  <c r="AN5" i="1"/>
  <c r="AN6" i="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5" i="1"/>
  <c r="AN56" i="1"/>
  <c r="AN57" i="1"/>
  <c r="AN58" i="1"/>
  <c r="AN59" i="1"/>
  <c r="AN60" i="1"/>
  <c r="AN61" i="1"/>
  <c r="AN62" i="1"/>
  <c r="AN63" i="1"/>
  <c r="AN64" i="1"/>
  <c r="AN65" i="1"/>
  <c r="AN66" i="1"/>
  <c r="AN67" i="1"/>
  <c r="AN68" i="1"/>
  <c r="AN69" i="1"/>
  <c r="AN70" i="1"/>
  <c r="AN71" i="1"/>
  <c r="AN72" i="1"/>
  <c r="AN73" i="1"/>
  <c r="AN74" i="1"/>
  <c r="AN75" i="1"/>
  <c r="AN76" i="1"/>
  <c r="AN77" i="1"/>
  <c r="AN78" i="1"/>
  <c r="AN79" i="1"/>
  <c r="AN80" i="1"/>
  <c r="AN81" i="1"/>
  <c r="AN82" i="1"/>
  <c r="AN83" i="1"/>
  <c r="AN84" i="1"/>
  <c r="AN85" i="1"/>
  <c r="AN86" i="1"/>
  <c r="AN87" i="1"/>
  <c r="AN88" i="1"/>
  <c r="AN89" i="1"/>
  <c r="AN90" i="1"/>
  <c r="AN91" i="1"/>
  <c r="AN92" i="1"/>
  <c r="AN93" i="1"/>
  <c r="AN94" i="1"/>
  <c r="AN95" i="1"/>
  <c r="AN96" i="1"/>
  <c r="AN97" i="1"/>
  <c r="AN98" i="1"/>
  <c r="AN99" i="1"/>
  <c r="AN100" i="1"/>
  <c r="AN101" i="1"/>
  <c r="AN102" i="1"/>
  <c r="AN103" i="1"/>
  <c r="AN104" i="1"/>
  <c r="AN105" i="1"/>
  <c r="AN106" i="1"/>
  <c r="AN107" i="1"/>
  <c r="AN108" i="1"/>
  <c r="AN109" i="1"/>
  <c r="AN110" i="1"/>
  <c r="AN111" i="1"/>
  <c r="AN112" i="1"/>
  <c r="AN113" i="1"/>
  <c r="AN114" i="1"/>
  <c r="AN115" i="1"/>
  <c r="AN116" i="1"/>
  <c r="AN117" i="1"/>
  <c r="AN118" i="1"/>
  <c r="AN119" i="1"/>
  <c r="AN120" i="1"/>
  <c r="AN121" i="1"/>
  <c r="AN122" i="1"/>
  <c r="AN123" i="1"/>
  <c r="AN124" i="1"/>
  <c r="AN125" i="1"/>
  <c r="AN126" i="1"/>
  <c r="AN127" i="1"/>
  <c r="AN128" i="1"/>
  <c r="AN129" i="1"/>
  <c r="AN130" i="1"/>
  <c r="AN131" i="1"/>
  <c r="AN132" i="1"/>
  <c r="AN133" i="1"/>
  <c r="AN134" i="1"/>
  <c r="AN135" i="1"/>
  <c r="AN136" i="1"/>
  <c r="AN137" i="1"/>
  <c r="AN138" i="1"/>
  <c r="AN139" i="1"/>
  <c r="AN140" i="1"/>
  <c r="AN141" i="1"/>
  <c r="AN142" i="1"/>
  <c r="AN143" i="1"/>
  <c r="AN144" i="1"/>
  <c r="AN145" i="1"/>
  <c r="AN146" i="1"/>
  <c r="AN147" i="1"/>
  <c r="AN148" i="1"/>
  <c r="AN149" i="1"/>
  <c r="AN150" i="1"/>
  <c r="AN151" i="1"/>
  <c r="AN152" i="1"/>
  <c r="AN153" i="1"/>
  <c r="AN154" i="1"/>
  <c r="AN155" i="1"/>
  <c r="AN156" i="1"/>
  <c r="AN157" i="1"/>
  <c r="AN158" i="1"/>
  <c r="AN159" i="1"/>
  <c r="AN160" i="1"/>
  <c r="AN161" i="1"/>
  <c r="AN162" i="1"/>
  <c r="AN163" i="1"/>
  <c r="AN164" i="1"/>
  <c r="AN165" i="1"/>
  <c r="AN166" i="1"/>
  <c r="AN167" i="1"/>
  <c r="AN168" i="1"/>
  <c r="AN169" i="1"/>
  <c r="AN170" i="1"/>
  <c r="AN171" i="1"/>
  <c r="AN172" i="1"/>
  <c r="AN173" i="1"/>
  <c r="AN174" i="1"/>
  <c r="AN175" i="1"/>
  <c r="AN176" i="1"/>
  <c r="AN177" i="1"/>
  <c r="AN178" i="1"/>
  <c r="AN179" i="1"/>
  <c r="AN180" i="1"/>
  <c r="AN181" i="1"/>
  <c r="AN182" i="1"/>
  <c r="AN183" i="1"/>
  <c r="AN184" i="1"/>
  <c r="AN185" i="1"/>
  <c r="AN186" i="1"/>
  <c r="AN187" i="1"/>
  <c r="AN188" i="1"/>
  <c r="AN189" i="1"/>
  <c r="AN190" i="1"/>
  <c r="AN191" i="1"/>
  <c r="AN192" i="1"/>
  <c r="AN193" i="1"/>
  <c r="AN194" i="1"/>
  <c r="AN195" i="1"/>
  <c r="AN196" i="1"/>
  <c r="AN197" i="1"/>
  <c r="AN198" i="1"/>
  <c r="AN199" i="1"/>
  <c r="AN200" i="1"/>
  <c r="AN201" i="1"/>
  <c r="AN202" i="1"/>
  <c r="AN203" i="1"/>
  <c r="AN204" i="1"/>
  <c r="AN205" i="1"/>
  <c r="AN206" i="1"/>
  <c r="AN207" i="1"/>
  <c r="AN208" i="1"/>
  <c r="AN209" i="1"/>
  <c r="AN210" i="1"/>
  <c r="AN211" i="1"/>
  <c r="AN212" i="1"/>
  <c r="AN213" i="1"/>
  <c r="AN214" i="1"/>
  <c r="AN215" i="1"/>
  <c r="AN216" i="1"/>
  <c r="AN217" i="1"/>
  <c r="AN218" i="1"/>
  <c r="AN219" i="1"/>
  <c r="AN220" i="1"/>
  <c r="AN221" i="1"/>
  <c r="AN222" i="1"/>
  <c r="AN223" i="1"/>
  <c r="AN224" i="1"/>
  <c r="AN225" i="1"/>
  <c r="AN226" i="1"/>
  <c r="AN227" i="1"/>
  <c r="AN228" i="1"/>
  <c r="AN229" i="1"/>
  <c r="AN230" i="1"/>
  <c r="AN231" i="1"/>
  <c r="AN232" i="1"/>
  <c r="AN233" i="1"/>
  <c r="AN234" i="1"/>
  <c r="AN235" i="1"/>
  <c r="AN236" i="1"/>
  <c r="AN237" i="1"/>
  <c r="AN238" i="1"/>
  <c r="AN239" i="1"/>
  <c r="AN240" i="1"/>
  <c r="AN241" i="1"/>
  <c r="AN242" i="1"/>
  <c r="AN243" i="1"/>
  <c r="AN244" i="1"/>
  <c r="AN245" i="1"/>
  <c r="AN246" i="1"/>
  <c r="AN247" i="1"/>
  <c r="AN248" i="1"/>
  <c r="AN249" i="1"/>
  <c r="AN250" i="1"/>
  <c r="AN251" i="1"/>
  <c r="AN252" i="1"/>
  <c r="AN253" i="1"/>
  <c r="AN254" i="1"/>
  <c r="AN255" i="1"/>
  <c r="AN256" i="1"/>
  <c r="AN257" i="1"/>
  <c r="AN258" i="1"/>
  <c r="AN259" i="1"/>
  <c r="AN260" i="1"/>
  <c r="AN261" i="1"/>
  <c r="AN262" i="1"/>
  <c r="AN263" i="1"/>
  <c r="AN264" i="1"/>
  <c r="AN265" i="1"/>
  <c r="AN266" i="1"/>
  <c r="AN267" i="1"/>
  <c r="AN268" i="1"/>
  <c r="AN269" i="1"/>
  <c r="AN270" i="1"/>
  <c r="AN271" i="1"/>
  <c r="AN272" i="1"/>
  <c r="AN273" i="1"/>
  <c r="AN274" i="1"/>
  <c r="AN275" i="1"/>
  <c r="AN276" i="1"/>
  <c r="AN277" i="1"/>
  <c r="AN278" i="1"/>
  <c r="AN279" i="1"/>
  <c r="AN280" i="1"/>
  <c r="AN281" i="1"/>
  <c r="AN282" i="1"/>
  <c r="AN283" i="1"/>
  <c r="AN284" i="1"/>
  <c r="AN285" i="1"/>
  <c r="AN286" i="1"/>
  <c r="AN287" i="1"/>
  <c r="AN288" i="1"/>
  <c r="AN289" i="1"/>
  <c r="AN290" i="1"/>
  <c r="AN291" i="1"/>
  <c r="AN292" i="1"/>
  <c r="AN293" i="1"/>
  <c r="AN294" i="1"/>
  <c r="AN295" i="1"/>
  <c r="AN296" i="1"/>
  <c r="AN297" i="1"/>
  <c r="AN298" i="1"/>
  <c r="AN299" i="1"/>
  <c r="AN300" i="1"/>
  <c r="AN301" i="1"/>
  <c r="AN302" i="1"/>
  <c r="AN303" i="1"/>
  <c r="AN304" i="1"/>
  <c r="AN305" i="1"/>
  <c r="AN306" i="1"/>
  <c r="AN307" i="1"/>
  <c r="AN308" i="1"/>
  <c r="AN309" i="1"/>
  <c r="AN310" i="1"/>
  <c r="AN311" i="1"/>
  <c r="AN312" i="1"/>
  <c r="AN313" i="1"/>
  <c r="AN314" i="1"/>
  <c r="AN315" i="1"/>
  <c r="AN316" i="1"/>
  <c r="AN317" i="1"/>
  <c r="AN318" i="1"/>
  <c r="AN319" i="1"/>
  <c r="AN320" i="1"/>
  <c r="AN321" i="1"/>
  <c r="AN322" i="1"/>
  <c r="AN323" i="1"/>
  <c r="AN324" i="1"/>
  <c r="AN325" i="1"/>
  <c r="AN326" i="1"/>
  <c r="AN327" i="1"/>
  <c r="AN328" i="1"/>
  <c r="AN329" i="1"/>
  <c r="AN330" i="1"/>
  <c r="AN331" i="1"/>
  <c r="AN332" i="1"/>
  <c r="AN333" i="1"/>
  <c r="AN334" i="1"/>
  <c r="AN335" i="1"/>
  <c r="AN336" i="1"/>
  <c r="AN337" i="1"/>
  <c r="AN338" i="1"/>
  <c r="AN339" i="1"/>
  <c r="AN340" i="1"/>
  <c r="AU340" i="1" s="1"/>
  <c r="AN341" i="1"/>
  <c r="AN342" i="1"/>
  <c r="AN343" i="1"/>
  <c r="AN344" i="1"/>
  <c r="AN345" i="1"/>
  <c r="AN346" i="1"/>
  <c r="AN347" i="1"/>
  <c r="AN348" i="1"/>
  <c r="AN349" i="1"/>
  <c r="AN350" i="1"/>
  <c r="AN351" i="1"/>
  <c r="AN352" i="1"/>
  <c r="AN353" i="1"/>
  <c r="AN354" i="1"/>
  <c r="AN355" i="1"/>
  <c r="AN356" i="1"/>
  <c r="AN357" i="1"/>
  <c r="AN358" i="1"/>
  <c r="AN359" i="1"/>
  <c r="AN360" i="1"/>
  <c r="AN361" i="1"/>
  <c r="AU361" i="1" s="1"/>
  <c r="AN362" i="1"/>
  <c r="AN363" i="1"/>
  <c r="AN364" i="1"/>
  <c r="AN365" i="1"/>
  <c r="AN366" i="1"/>
  <c r="AN367" i="1"/>
  <c r="AN368" i="1"/>
  <c r="AN369" i="1"/>
  <c r="AN370" i="1"/>
  <c r="AN371" i="1"/>
  <c r="AN372" i="1"/>
  <c r="AN373" i="1"/>
  <c r="AN374" i="1"/>
  <c r="AN375" i="1"/>
  <c r="AN376" i="1"/>
  <c r="AN377" i="1"/>
  <c r="AN378" i="1"/>
  <c r="AN379" i="1"/>
  <c r="AN380" i="1"/>
  <c r="AN381" i="1"/>
  <c r="AN382" i="1"/>
  <c r="AN383" i="1"/>
  <c r="AN384" i="1"/>
  <c r="AN385" i="1"/>
  <c r="AN386" i="1"/>
  <c r="AN387" i="1"/>
  <c r="AN388" i="1"/>
  <c r="AN389" i="1"/>
  <c r="AN390" i="1"/>
  <c r="AN391" i="1"/>
  <c r="AN392" i="1"/>
  <c r="AN393" i="1"/>
  <c r="AN394" i="1"/>
  <c r="AN395" i="1"/>
  <c r="AN396" i="1"/>
  <c r="AN397" i="1"/>
  <c r="AN398" i="1"/>
  <c r="AN399" i="1"/>
  <c r="AN400" i="1"/>
  <c r="AN401" i="1"/>
  <c r="AN402" i="1"/>
  <c r="AN403" i="1"/>
  <c r="AN404" i="1"/>
  <c r="AN405" i="1"/>
  <c r="AN406" i="1"/>
  <c r="AN407" i="1"/>
  <c r="AN408" i="1"/>
  <c r="AN409" i="1"/>
  <c r="AN410" i="1"/>
  <c r="AN411" i="1"/>
  <c r="AN412" i="1"/>
  <c r="AN413" i="1"/>
  <c r="AN414" i="1"/>
  <c r="AN415" i="1"/>
  <c r="AN416" i="1"/>
  <c r="AN417" i="1"/>
  <c r="AN418" i="1"/>
  <c r="AN419" i="1"/>
  <c r="AN420" i="1"/>
  <c r="AN421" i="1"/>
  <c r="AN422" i="1"/>
  <c r="AN423" i="1"/>
  <c r="AN424" i="1"/>
  <c r="AN425" i="1"/>
  <c r="AN426" i="1"/>
  <c r="AN427" i="1"/>
  <c r="AN428" i="1"/>
  <c r="AN429" i="1"/>
  <c r="AN430" i="1"/>
  <c r="AN431" i="1"/>
  <c r="AN432" i="1"/>
  <c r="AN433" i="1"/>
  <c r="AN434" i="1"/>
  <c r="AN435" i="1"/>
  <c r="AN436" i="1"/>
  <c r="AN437" i="1"/>
  <c r="AN438" i="1"/>
  <c r="AN439" i="1"/>
  <c r="AN440" i="1"/>
  <c r="AN441" i="1"/>
  <c r="AW441" i="1" s="1"/>
  <c r="AN442" i="1"/>
  <c r="AN443" i="1"/>
  <c r="AN444" i="1"/>
  <c r="AN445" i="1"/>
  <c r="AN446" i="1"/>
  <c r="AN447" i="1"/>
  <c r="AN448" i="1"/>
  <c r="AN449" i="1"/>
  <c r="AN450" i="1"/>
  <c r="AN451" i="1"/>
  <c r="AN452" i="1"/>
  <c r="AN453" i="1"/>
  <c r="AN454" i="1"/>
  <c r="AN455" i="1"/>
  <c r="AN456" i="1"/>
  <c r="AN457" i="1"/>
  <c r="AN458" i="1"/>
  <c r="AN459" i="1"/>
  <c r="AN460" i="1"/>
  <c r="AU460" i="1" s="1"/>
  <c r="AN461" i="1"/>
  <c r="AN462" i="1"/>
  <c r="AN463" i="1"/>
  <c r="AN464" i="1"/>
  <c r="AN465" i="1"/>
  <c r="AN466" i="1"/>
  <c r="AN467" i="1"/>
  <c r="AN468" i="1"/>
  <c r="AN469" i="1"/>
  <c r="AN470" i="1"/>
  <c r="AN471" i="1"/>
  <c r="AN472" i="1"/>
  <c r="AN473" i="1"/>
  <c r="AN474" i="1"/>
  <c r="AN475" i="1"/>
  <c r="AN476" i="1"/>
  <c r="AN477" i="1"/>
  <c r="AN478" i="1"/>
  <c r="AN479" i="1"/>
  <c r="AN480" i="1"/>
  <c r="AN481" i="1"/>
  <c r="AN482" i="1"/>
  <c r="AN483" i="1"/>
  <c r="AN484" i="1"/>
  <c r="AN485" i="1"/>
  <c r="AN486" i="1"/>
  <c r="AN487" i="1"/>
  <c r="AN488" i="1"/>
  <c r="AN489" i="1"/>
  <c r="AN490" i="1"/>
  <c r="AN491" i="1"/>
  <c r="AN492" i="1"/>
  <c r="AN493" i="1"/>
  <c r="AN494" i="1"/>
  <c r="AN495" i="1"/>
  <c r="AN496" i="1"/>
  <c r="AN497" i="1"/>
  <c r="AN498" i="1"/>
  <c r="AN499" i="1"/>
  <c r="AN500" i="1"/>
  <c r="AN501" i="1"/>
  <c r="AN502" i="1"/>
  <c r="AN503" i="1"/>
  <c r="AN504" i="1"/>
  <c r="AN505" i="1"/>
  <c r="AN506" i="1"/>
  <c r="AN507" i="1"/>
  <c r="AN508" i="1"/>
  <c r="AN509" i="1"/>
  <c r="AN510" i="1"/>
  <c r="AN511" i="1"/>
  <c r="AN512" i="1"/>
  <c r="AN513" i="1"/>
  <c r="AN514" i="1"/>
  <c r="AN515" i="1"/>
  <c r="AN516" i="1"/>
  <c r="AN517" i="1"/>
  <c r="AN518" i="1"/>
  <c r="AN519" i="1"/>
  <c r="AN520" i="1"/>
  <c r="AU520" i="1" s="1"/>
  <c r="AN521" i="1"/>
  <c r="AN522" i="1"/>
  <c r="AN523" i="1"/>
  <c r="AN524" i="1"/>
  <c r="AN525" i="1"/>
  <c r="AN526" i="1"/>
  <c r="AN527" i="1"/>
  <c r="AN528" i="1"/>
  <c r="AN529" i="1"/>
  <c r="AN530" i="1"/>
  <c r="AN531" i="1"/>
  <c r="AN532" i="1"/>
  <c r="AN533" i="1"/>
  <c r="AN534" i="1"/>
  <c r="AN535" i="1"/>
  <c r="AN536" i="1"/>
  <c r="AN537" i="1"/>
  <c r="AN538" i="1"/>
  <c r="AN539" i="1"/>
  <c r="AN540" i="1"/>
  <c r="AN541" i="1"/>
  <c r="AN542" i="1"/>
  <c r="AN543" i="1"/>
  <c r="AN544" i="1"/>
  <c r="AN545" i="1"/>
  <c r="AN546" i="1"/>
  <c r="AN547" i="1"/>
  <c r="AN548" i="1"/>
  <c r="AN549" i="1"/>
  <c r="AN550" i="1"/>
  <c r="AN551" i="1"/>
  <c r="AN552" i="1"/>
  <c r="AN553" i="1"/>
  <c r="AN554" i="1"/>
  <c r="AN555" i="1"/>
  <c r="AN556" i="1"/>
  <c r="AN557" i="1"/>
  <c r="AN558" i="1"/>
  <c r="AN559" i="1"/>
  <c r="AN560" i="1"/>
  <c r="AN561" i="1"/>
  <c r="AN562" i="1"/>
  <c r="AN563" i="1"/>
  <c r="AN564" i="1"/>
  <c r="AN565" i="1"/>
  <c r="AN566" i="1"/>
  <c r="AN567" i="1"/>
  <c r="AN568" i="1"/>
  <c r="AN569" i="1"/>
  <c r="AN570" i="1"/>
  <c r="AN571" i="1"/>
  <c r="AN572" i="1"/>
  <c r="AN573" i="1"/>
  <c r="AN574" i="1"/>
  <c r="AN575" i="1"/>
  <c r="AN576" i="1"/>
  <c r="AN577" i="1"/>
  <c r="AN578" i="1"/>
  <c r="AN579" i="1"/>
  <c r="AN580" i="1"/>
  <c r="AN581" i="1"/>
  <c r="AN582" i="1"/>
  <c r="AN583" i="1"/>
  <c r="AN584" i="1"/>
  <c r="AN585" i="1"/>
  <c r="AN586" i="1"/>
  <c r="AN587" i="1"/>
  <c r="AN588" i="1"/>
  <c r="AN589" i="1"/>
  <c r="AN590" i="1"/>
  <c r="AN591" i="1"/>
  <c r="AN592" i="1"/>
  <c r="AN593" i="1"/>
  <c r="AN594" i="1"/>
  <c r="AN595" i="1"/>
  <c r="AN596" i="1"/>
  <c r="AN597" i="1"/>
  <c r="AN598" i="1"/>
  <c r="AN599" i="1"/>
  <c r="AN600" i="1"/>
  <c r="AN601" i="1"/>
  <c r="AN602" i="1"/>
  <c r="AN603" i="1"/>
  <c r="AN604" i="1"/>
  <c r="AN605" i="1"/>
  <c r="AN606" i="1"/>
  <c r="AN607" i="1"/>
  <c r="AN608" i="1"/>
  <c r="AN609" i="1"/>
  <c r="AN610" i="1"/>
  <c r="AN611" i="1"/>
  <c r="AN612" i="1"/>
  <c r="AN613" i="1"/>
  <c r="AN614" i="1"/>
  <c r="AN615" i="1"/>
  <c r="AN616" i="1"/>
  <c r="AN617" i="1"/>
  <c r="AN618" i="1"/>
  <c r="AN619" i="1"/>
  <c r="AN620" i="1"/>
  <c r="AN621" i="1"/>
  <c r="AN622" i="1"/>
  <c r="AN623" i="1"/>
  <c r="AN624" i="1"/>
  <c r="AN625" i="1"/>
  <c r="AN626" i="1"/>
  <c r="AN627" i="1"/>
  <c r="AN628" i="1"/>
  <c r="AN629" i="1"/>
  <c r="AN630" i="1"/>
  <c r="AN631" i="1"/>
  <c r="AN632" i="1"/>
  <c r="AN633" i="1"/>
  <c r="AN634" i="1"/>
  <c r="AN635" i="1"/>
  <c r="AN636" i="1"/>
  <c r="AN637" i="1"/>
  <c r="AN638" i="1"/>
  <c r="AN639" i="1"/>
  <c r="AN640" i="1"/>
  <c r="AV640" i="1" s="1"/>
  <c r="AN641" i="1"/>
  <c r="AU641" i="1" s="1"/>
  <c r="AN642" i="1"/>
  <c r="AN643" i="1"/>
  <c r="AN644" i="1"/>
  <c r="AN645" i="1"/>
  <c r="AN646" i="1"/>
  <c r="AN647" i="1"/>
  <c r="AN648" i="1"/>
  <c r="AN649" i="1"/>
  <c r="AN650" i="1"/>
  <c r="AN651" i="1"/>
  <c r="AN652" i="1"/>
  <c r="AN653" i="1"/>
  <c r="AN654" i="1"/>
  <c r="AN655" i="1"/>
  <c r="AN656" i="1"/>
  <c r="AN657" i="1"/>
  <c r="AN658" i="1"/>
  <c r="AN659" i="1"/>
  <c r="AN660" i="1"/>
  <c r="AN661" i="1"/>
  <c r="AV661" i="1" s="1"/>
  <c r="AN662" i="1"/>
  <c r="AN663" i="1"/>
  <c r="AN664" i="1"/>
  <c r="AN665" i="1"/>
  <c r="AN666" i="1"/>
  <c r="AN667" i="1"/>
  <c r="AN668" i="1"/>
  <c r="AN669" i="1"/>
  <c r="AN670" i="1"/>
  <c r="AN671" i="1"/>
  <c r="AN672" i="1"/>
  <c r="AN673" i="1"/>
  <c r="AN674" i="1"/>
  <c r="AN675" i="1"/>
  <c r="AN676" i="1"/>
  <c r="AN677" i="1"/>
  <c r="AN678" i="1"/>
  <c r="AN679" i="1"/>
  <c r="AN680" i="1"/>
  <c r="AN681" i="1"/>
  <c r="AN682" i="1"/>
  <c r="AN683" i="1"/>
  <c r="AN684" i="1"/>
  <c r="AN685" i="1"/>
  <c r="AN686" i="1"/>
  <c r="AN687" i="1"/>
  <c r="AN688" i="1"/>
  <c r="AN689" i="1"/>
  <c r="AN690" i="1"/>
  <c r="AN691" i="1"/>
  <c r="AN692" i="1"/>
  <c r="AN693" i="1"/>
  <c r="AN694" i="1"/>
  <c r="AN695" i="1"/>
  <c r="AN696" i="1"/>
  <c r="AN697" i="1"/>
  <c r="AN698" i="1"/>
  <c r="AN699" i="1"/>
  <c r="AN700" i="1"/>
  <c r="AN701" i="1"/>
  <c r="AN702" i="1"/>
  <c r="AN703" i="1"/>
  <c r="AN704" i="1"/>
  <c r="AN705" i="1"/>
  <c r="AN706" i="1"/>
  <c r="AN707" i="1"/>
  <c r="AN708" i="1"/>
  <c r="AN709" i="1"/>
  <c r="AN710" i="1"/>
  <c r="AN711" i="1"/>
  <c r="AN712" i="1"/>
  <c r="AN713" i="1"/>
  <c r="AN714" i="1"/>
  <c r="AN715" i="1"/>
  <c r="AN716" i="1"/>
  <c r="AN717" i="1"/>
  <c r="AN718" i="1"/>
  <c r="AN719" i="1"/>
  <c r="AN720" i="1"/>
  <c r="AN721" i="1"/>
  <c r="AN722" i="1"/>
  <c r="AN723" i="1"/>
  <c r="AN724" i="1"/>
  <c r="AN725" i="1"/>
  <c r="AN726" i="1"/>
  <c r="AN727" i="1"/>
  <c r="AN728" i="1"/>
  <c r="AN729" i="1"/>
  <c r="AN730" i="1"/>
  <c r="AN731" i="1"/>
  <c r="AN732" i="1"/>
  <c r="AN733" i="1"/>
  <c r="AN734" i="1"/>
  <c r="AN735" i="1"/>
  <c r="AN736" i="1"/>
  <c r="AN737" i="1"/>
  <c r="AN738" i="1"/>
  <c r="AN739" i="1"/>
  <c r="AN740" i="1"/>
  <c r="AN741" i="1"/>
  <c r="AV741" i="1" s="1"/>
  <c r="AN742" i="1"/>
  <c r="AN743" i="1"/>
  <c r="AN744" i="1"/>
  <c r="AN745" i="1"/>
  <c r="AN746" i="1"/>
  <c r="AN747" i="1"/>
  <c r="AN748" i="1"/>
  <c r="AN749" i="1"/>
  <c r="AN750" i="1"/>
  <c r="AN751" i="1"/>
  <c r="AN752" i="1"/>
  <c r="AN753" i="1"/>
  <c r="AN754" i="1"/>
  <c r="AN755" i="1"/>
  <c r="AN756" i="1"/>
  <c r="AN757" i="1"/>
  <c r="AN758" i="1"/>
  <c r="AN759" i="1"/>
  <c r="AN760" i="1"/>
  <c r="AN761" i="1"/>
  <c r="AN762" i="1"/>
  <c r="AN763" i="1"/>
  <c r="AN764" i="1"/>
  <c r="AN765" i="1"/>
  <c r="AN766" i="1"/>
  <c r="AN767" i="1"/>
  <c r="AN768" i="1"/>
  <c r="AN769" i="1"/>
  <c r="AN770" i="1"/>
  <c r="AN771" i="1"/>
  <c r="AN772" i="1"/>
  <c r="AN773" i="1"/>
  <c r="AN774" i="1"/>
  <c r="AN775" i="1"/>
  <c r="AN776" i="1"/>
  <c r="AN777" i="1"/>
  <c r="AN778" i="1"/>
  <c r="AN779" i="1"/>
  <c r="AN780" i="1"/>
  <c r="AN781" i="1"/>
  <c r="AN782" i="1"/>
  <c r="AN783" i="1"/>
  <c r="AN784" i="1"/>
  <c r="AN785" i="1"/>
  <c r="AN786" i="1"/>
  <c r="AN787" i="1"/>
  <c r="AN788" i="1"/>
  <c r="AN789" i="1"/>
  <c r="AN790" i="1"/>
  <c r="AN791" i="1"/>
  <c r="AN792" i="1"/>
  <c r="AN793" i="1"/>
  <c r="AN794" i="1"/>
  <c r="AN795" i="1"/>
  <c r="AN796" i="1"/>
  <c r="AN797" i="1"/>
  <c r="AN798" i="1"/>
  <c r="AN799" i="1"/>
  <c r="AN800" i="1"/>
  <c r="AN801" i="1"/>
  <c r="AN802" i="1"/>
  <c r="AN803" i="1"/>
  <c r="AN804" i="1"/>
  <c r="AN805" i="1"/>
  <c r="AN806" i="1"/>
  <c r="AN807" i="1"/>
  <c r="AN808" i="1"/>
  <c r="AN809" i="1"/>
  <c r="AN810" i="1"/>
  <c r="AN811" i="1"/>
  <c r="AN812" i="1"/>
  <c r="AN813" i="1"/>
  <c r="AN814" i="1"/>
  <c r="AN815" i="1"/>
  <c r="AN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2" i="1"/>
  <c r="S2" i="1"/>
  <c r="U2" i="1"/>
  <c r="AM2" i="1"/>
  <c r="AV2" i="1"/>
  <c r="S3" i="1"/>
  <c r="U3" i="1"/>
  <c r="AM3" i="1"/>
  <c r="S4" i="1"/>
  <c r="U4" i="1"/>
  <c r="AM4" i="1"/>
  <c r="S5" i="1"/>
  <c r="U5" i="1"/>
  <c r="AM5" i="1"/>
  <c r="S6" i="1"/>
  <c r="U6" i="1"/>
  <c r="AM6" i="1" s="1"/>
  <c r="S7" i="1"/>
  <c r="U7" i="1"/>
  <c r="AM7" i="1" s="1"/>
  <c r="AV7" i="1"/>
  <c r="S8" i="1"/>
  <c r="U8" i="1"/>
  <c r="AM8" i="1"/>
  <c r="S9" i="1"/>
  <c r="U9" i="1"/>
  <c r="AM9" i="1" s="1"/>
  <c r="S10" i="1"/>
  <c r="U10" i="1"/>
  <c r="AM10" i="1" s="1"/>
  <c r="S11" i="1"/>
  <c r="U11" i="1"/>
  <c r="AM11" i="1" s="1"/>
  <c r="S12" i="1"/>
  <c r="U12" i="1"/>
  <c r="AM12" i="1"/>
  <c r="AV12" i="1"/>
  <c r="S13" i="1"/>
  <c r="U13" i="1"/>
  <c r="AM13" i="1" s="1"/>
  <c r="S14" i="1"/>
  <c r="U14" i="1"/>
  <c r="AM14" i="1"/>
  <c r="S15" i="1"/>
  <c r="U15" i="1"/>
  <c r="AM15" i="1" s="1"/>
  <c r="S16" i="1"/>
  <c r="U16" i="1"/>
  <c r="AM16" i="1"/>
  <c r="S17" i="1"/>
  <c r="U17" i="1"/>
  <c r="AM17" i="1" s="1"/>
  <c r="S18" i="1"/>
  <c r="U18" i="1"/>
  <c r="AM18" i="1"/>
  <c r="S19" i="1"/>
  <c r="U19" i="1"/>
  <c r="AM19" i="1"/>
  <c r="AU19" i="1" s="1"/>
  <c r="S20" i="1"/>
  <c r="U20" i="1"/>
  <c r="AM20" i="1" s="1"/>
  <c r="S21" i="1"/>
  <c r="U21" i="1"/>
  <c r="AM21" i="1"/>
  <c r="S22" i="1"/>
  <c r="U22" i="1"/>
  <c r="AM22" i="1"/>
  <c r="S23" i="1"/>
  <c r="U23" i="1"/>
  <c r="AM23" i="1" s="1"/>
  <c r="S24" i="1"/>
  <c r="U24" i="1"/>
  <c r="AM24" i="1"/>
  <c r="S25" i="1"/>
  <c r="U25" i="1"/>
  <c r="AM25" i="1"/>
  <c r="S26" i="1"/>
  <c r="U26" i="1"/>
  <c r="AM26" i="1" s="1"/>
  <c r="S27" i="1"/>
  <c r="U27" i="1"/>
  <c r="AM27" i="1"/>
  <c r="AV27" i="1"/>
  <c r="S28" i="1"/>
  <c r="U28" i="1"/>
  <c r="AM28" i="1" s="1"/>
  <c r="S29" i="1"/>
  <c r="U29" i="1"/>
  <c r="AM29" i="1" s="1"/>
  <c r="S30" i="1"/>
  <c r="U30" i="1"/>
  <c r="AM30" i="1"/>
  <c r="S31" i="1"/>
  <c r="U31" i="1"/>
  <c r="AM31" i="1"/>
  <c r="S32" i="1"/>
  <c r="U32" i="1"/>
  <c r="AM32" i="1" s="1"/>
  <c r="S33" i="1"/>
  <c r="U33" i="1"/>
  <c r="AM33" i="1"/>
  <c r="S34" i="1"/>
  <c r="U34" i="1"/>
  <c r="AM34" i="1" s="1"/>
  <c r="S35" i="1"/>
  <c r="U35" i="1"/>
  <c r="AM35" i="1"/>
  <c r="S36" i="1"/>
  <c r="U36" i="1"/>
  <c r="AM36" i="1" s="1"/>
  <c r="S37" i="1"/>
  <c r="U37" i="1"/>
  <c r="AM37" i="1"/>
  <c r="AV37" i="1"/>
  <c r="S38" i="1"/>
  <c r="U38" i="1"/>
  <c r="AM38" i="1" s="1"/>
  <c r="AV38" i="1" s="1"/>
  <c r="S39" i="1"/>
  <c r="U39" i="1"/>
  <c r="AM39" i="1" s="1"/>
  <c r="AV39" i="1" s="1"/>
  <c r="S40" i="1"/>
  <c r="U40" i="1"/>
  <c r="AM40" i="1" s="1"/>
  <c r="S41" i="1"/>
  <c r="U41" i="1"/>
  <c r="AM41" i="1" s="1"/>
  <c r="S42" i="1"/>
  <c r="U42" i="1"/>
  <c r="AM42" i="1"/>
  <c r="S43" i="1"/>
  <c r="U43" i="1"/>
  <c r="AM43" i="1" s="1"/>
  <c r="S44" i="1"/>
  <c r="U44" i="1"/>
  <c r="AM44" i="1"/>
  <c r="AU44" i="1"/>
  <c r="S45" i="1"/>
  <c r="U45" i="1"/>
  <c r="AM45" i="1"/>
  <c r="S46" i="1"/>
  <c r="U46" i="1"/>
  <c r="AM46" i="1" s="1"/>
  <c r="S47" i="1"/>
  <c r="U47" i="1"/>
  <c r="AM47" i="1"/>
  <c r="AV47" i="1"/>
  <c r="S48" i="1"/>
  <c r="U48" i="1"/>
  <c r="AM48" i="1" s="1"/>
  <c r="AV48" i="1" s="1"/>
  <c r="S49" i="1"/>
  <c r="U49" i="1"/>
  <c r="AM49" i="1" s="1"/>
  <c r="AV49" i="1" s="1"/>
  <c r="S50" i="1"/>
  <c r="U50" i="1"/>
  <c r="AM50" i="1" s="1"/>
  <c r="S51" i="1"/>
  <c r="U51" i="1"/>
  <c r="AM51" i="1"/>
  <c r="S52" i="1"/>
  <c r="U52" i="1"/>
  <c r="AM52" i="1" s="1"/>
  <c r="AV52" i="1" s="1"/>
  <c r="S53" i="1"/>
  <c r="U53" i="1"/>
  <c r="AM53" i="1" s="1"/>
  <c r="S54" i="1"/>
  <c r="U54" i="1"/>
  <c r="AV54" i="1"/>
  <c r="AM54" i="1"/>
  <c r="AU54" i="1"/>
  <c r="S55" i="1"/>
  <c r="U55" i="1"/>
  <c r="AM55" i="1"/>
  <c r="S56" i="1"/>
  <c r="U56" i="1"/>
  <c r="AM56" i="1" s="1"/>
  <c r="S57" i="1"/>
  <c r="U57" i="1"/>
  <c r="AM57" i="1" s="1"/>
  <c r="S58" i="1"/>
  <c r="U58" i="1"/>
  <c r="AM58" i="1" s="1"/>
  <c r="AV58" i="1" s="1"/>
  <c r="S59" i="1"/>
  <c r="U59" i="1"/>
  <c r="AM59" i="1" s="1"/>
  <c r="S60" i="1"/>
  <c r="U60" i="1"/>
  <c r="AM60" i="1" s="1"/>
  <c r="S61" i="1"/>
  <c r="U61" i="1"/>
  <c r="AM61" i="1" s="1"/>
  <c r="S62" i="1"/>
  <c r="U62" i="1"/>
  <c r="AM62" i="1"/>
  <c r="S63" i="1"/>
  <c r="U63" i="1"/>
  <c r="AM63" i="1" s="1"/>
  <c r="S64" i="1"/>
  <c r="U64" i="1"/>
  <c r="AM64" i="1"/>
  <c r="S65" i="1"/>
  <c r="U65" i="1"/>
  <c r="AM65" i="1" s="1"/>
  <c r="S66" i="1"/>
  <c r="U66" i="1"/>
  <c r="AM66" i="1"/>
  <c r="S67" i="1"/>
  <c r="U67" i="1"/>
  <c r="AM67" i="1"/>
  <c r="S68" i="1"/>
  <c r="U68" i="1"/>
  <c r="AM68" i="1"/>
  <c r="S69" i="1"/>
  <c r="U69" i="1"/>
  <c r="AM69" i="1"/>
  <c r="AU69" i="1"/>
  <c r="S70" i="1"/>
  <c r="U70" i="1"/>
  <c r="AM70" i="1" s="1"/>
  <c r="S71" i="1"/>
  <c r="U71" i="1"/>
  <c r="AM71" i="1"/>
  <c r="S72" i="1"/>
  <c r="U72" i="1"/>
  <c r="AM72" i="1" s="1"/>
  <c r="AV72" i="1" s="1"/>
  <c r="S73" i="1"/>
  <c r="U73" i="1"/>
  <c r="AM73" i="1" s="1"/>
  <c r="AV73" i="1" s="1"/>
  <c r="S74" i="1"/>
  <c r="U74" i="1"/>
  <c r="AM74" i="1"/>
  <c r="AU74" i="1" s="1"/>
  <c r="S75" i="1"/>
  <c r="U75" i="1"/>
  <c r="AM75" i="1" s="1"/>
  <c r="S76" i="1"/>
  <c r="U76" i="1"/>
  <c r="AM76" i="1" s="1"/>
  <c r="S77" i="1"/>
  <c r="U77" i="1"/>
  <c r="AV77" i="1"/>
  <c r="AM77" i="1"/>
  <c r="S78" i="1"/>
  <c r="U78" i="1"/>
  <c r="AM78" i="1"/>
  <c r="S79" i="1"/>
  <c r="U79" i="1"/>
  <c r="AM79" i="1" s="1"/>
  <c r="S80" i="1"/>
  <c r="U80" i="1"/>
  <c r="AM80" i="1"/>
  <c r="S81" i="1"/>
  <c r="U81" i="1"/>
  <c r="AM81" i="1" s="1"/>
  <c r="S82" i="1"/>
  <c r="U82" i="1"/>
  <c r="AM82" i="1" s="1"/>
  <c r="S83" i="1"/>
  <c r="U83" i="1"/>
  <c r="AM83" i="1"/>
  <c r="S84" i="1"/>
  <c r="U84" i="1"/>
  <c r="AM84" i="1" s="1"/>
  <c r="S85" i="1"/>
  <c r="U85" i="1"/>
  <c r="AU85" i="1"/>
  <c r="AM85" i="1"/>
  <c r="S86" i="1"/>
  <c r="U86" i="1"/>
  <c r="AM86" i="1" s="1"/>
  <c r="S87" i="1"/>
  <c r="U87" i="1"/>
  <c r="AM87" i="1" s="1"/>
  <c r="AV87" i="1" s="1"/>
  <c r="S88" i="1"/>
  <c r="U88" i="1"/>
  <c r="AM88" i="1" s="1"/>
  <c r="S89" i="1"/>
  <c r="U89" i="1"/>
  <c r="AM89" i="1"/>
  <c r="AU89" i="1" s="1"/>
  <c r="S90" i="1"/>
  <c r="U90" i="1"/>
  <c r="AM90" i="1" s="1"/>
  <c r="S91" i="1"/>
  <c r="U91" i="1"/>
  <c r="AM91" i="1"/>
  <c r="S92" i="1"/>
  <c r="U92" i="1"/>
  <c r="AM92" i="1" s="1"/>
  <c r="S93" i="1"/>
  <c r="U93" i="1"/>
  <c r="AM93" i="1" s="1"/>
  <c r="S94" i="1"/>
  <c r="U94" i="1"/>
  <c r="AM94" i="1"/>
  <c r="AU94" i="1" s="1"/>
  <c r="S95" i="1"/>
  <c r="U95" i="1"/>
  <c r="AM95" i="1"/>
  <c r="S96" i="1"/>
  <c r="U96" i="1"/>
  <c r="AM96" i="1" s="1"/>
  <c r="S97" i="1"/>
  <c r="U97" i="1"/>
  <c r="AM97" i="1" s="1"/>
  <c r="AV97" i="1" s="1"/>
  <c r="S98" i="1"/>
  <c r="U98" i="1"/>
  <c r="AM98" i="1"/>
  <c r="AV98" i="1" s="1"/>
  <c r="S99" i="1"/>
  <c r="U99" i="1"/>
  <c r="AM99" i="1" s="1"/>
  <c r="AU99" i="1" s="1"/>
  <c r="S100" i="1"/>
  <c r="U100" i="1"/>
  <c r="AM100" i="1" s="1"/>
  <c r="S101" i="1"/>
  <c r="U101" i="1"/>
  <c r="AM101" i="1"/>
  <c r="S102" i="1"/>
  <c r="U102" i="1"/>
  <c r="AM102" i="1"/>
  <c r="S103" i="1"/>
  <c r="U103" i="1"/>
  <c r="AM103" i="1"/>
  <c r="S104" i="1"/>
  <c r="U104" i="1"/>
  <c r="AM104" i="1"/>
  <c r="AU104" i="1" s="1"/>
  <c r="S105" i="1"/>
  <c r="U105" i="1"/>
  <c r="AM105" i="1" s="1"/>
  <c r="S106" i="1"/>
  <c r="U106" i="1"/>
  <c r="AM106" i="1"/>
  <c r="S107" i="1"/>
  <c r="U107" i="1"/>
  <c r="AM107" i="1" s="1"/>
  <c r="AV107" i="1"/>
  <c r="S108" i="1"/>
  <c r="U108" i="1"/>
  <c r="AM108" i="1"/>
  <c r="S109" i="1"/>
  <c r="U109" i="1"/>
  <c r="AM109" i="1" s="1"/>
  <c r="S110" i="1"/>
  <c r="U110" i="1"/>
  <c r="AM110" i="1"/>
  <c r="S111" i="1"/>
  <c r="U111" i="1"/>
  <c r="AM111" i="1" s="1"/>
  <c r="S112" i="1"/>
  <c r="U112" i="1"/>
  <c r="AV112" i="1"/>
  <c r="AM112" i="1"/>
  <c r="S113" i="1"/>
  <c r="U113" i="1"/>
  <c r="AM113" i="1" s="1"/>
  <c r="AV113" i="1" s="1"/>
  <c r="S114" i="1"/>
  <c r="U114" i="1"/>
  <c r="AM114" i="1" s="1"/>
  <c r="AU114" i="1" s="1"/>
  <c r="S115" i="1"/>
  <c r="U115" i="1"/>
  <c r="AM115" i="1" s="1"/>
  <c r="S116" i="1"/>
  <c r="U116" i="1"/>
  <c r="AM116" i="1"/>
  <c r="S117" i="1"/>
  <c r="U117" i="1"/>
  <c r="AM117" i="1"/>
  <c r="S118" i="1"/>
  <c r="U118" i="1"/>
  <c r="AM118" i="1"/>
  <c r="S119" i="1"/>
  <c r="U119" i="1"/>
  <c r="AM119" i="1" s="1"/>
  <c r="S120" i="1"/>
  <c r="U120" i="1"/>
  <c r="AM120" i="1"/>
  <c r="S121" i="1"/>
  <c r="U121" i="1"/>
  <c r="AM121" i="1" s="1"/>
  <c r="S122" i="1"/>
  <c r="U122" i="1"/>
  <c r="AM122" i="1"/>
  <c r="S123" i="1"/>
  <c r="U123" i="1"/>
  <c r="AM123" i="1" s="1"/>
  <c r="AV123" i="1" s="1"/>
  <c r="S124" i="1"/>
  <c r="U124" i="1"/>
  <c r="AM124" i="1" s="1"/>
  <c r="S125" i="1"/>
  <c r="U125" i="1"/>
  <c r="AM125" i="1"/>
  <c r="S126" i="1"/>
  <c r="U126" i="1"/>
  <c r="AM126" i="1" s="1"/>
  <c r="S127" i="1"/>
  <c r="U127" i="1"/>
  <c r="AM127" i="1"/>
  <c r="S128" i="1"/>
  <c r="U128" i="1"/>
  <c r="AM128" i="1" s="1"/>
  <c r="S129" i="1"/>
  <c r="U129" i="1"/>
  <c r="AV129" i="1"/>
  <c r="AM129" i="1"/>
  <c r="AU129" i="1" s="1"/>
  <c r="S130" i="1"/>
  <c r="U130" i="1"/>
  <c r="AM130" i="1" s="1"/>
  <c r="S131" i="1"/>
  <c r="U131" i="1"/>
  <c r="AM131" i="1"/>
  <c r="S132" i="1"/>
  <c r="U132" i="1"/>
  <c r="AM132" i="1" s="1"/>
  <c r="S133" i="1"/>
  <c r="U133" i="1"/>
  <c r="AM133" i="1" s="1"/>
  <c r="AV133" i="1" s="1"/>
  <c r="S134" i="1"/>
  <c r="U134" i="1"/>
  <c r="AM134" i="1" s="1"/>
  <c r="S135" i="1"/>
  <c r="U135" i="1"/>
  <c r="AM135" i="1" s="1"/>
  <c r="S136" i="1"/>
  <c r="U136" i="1"/>
  <c r="AM136" i="1" s="1"/>
  <c r="S137" i="1"/>
  <c r="U137" i="1"/>
  <c r="AM137" i="1" s="1"/>
  <c r="S138" i="1"/>
  <c r="U138" i="1"/>
  <c r="AM138" i="1" s="1"/>
  <c r="S139" i="1"/>
  <c r="U139" i="1"/>
  <c r="AM139" i="1" s="1"/>
  <c r="AU139" i="1" s="1"/>
  <c r="S140" i="1"/>
  <c r="U140" i="1"/>
  <c r="AM140" i="1" s="1"/>
  <c r="S141" i="1"/>
  <c r="U141" i="1"/>
  <c r="AM141" i="1" s="1"/>
  <c r="S142" i="1"/>
  <c r="U142" i="1"/>
  <c r="AM142" i="1" s="1"/>
  <c r="S143" i="1"/>
  <c r="U143" i="1"/>
  <c r="AM143" i="1"/>
  <c r="S144" i="1"/>
  <c r="U144" i="1"/>
  <c r="AM144" i="1"/>
  <c r="AU144" i="1" s="1"/>
  <c r="S145" i="1"/>
  <c r="U145" i="1"/>
  <c r="AM145" i="1" s="1"/>
  <c r="S146" i="1"/>
  <c r="U146" i="1"/>
  <c r="AM146" i="1" s="1"/>
  <c r="S147" i="1"/>
  <c r="U147" i="1"/>
  <c r="AM147" i="1"/>
  <c r="AV147" i="1"/>
  <c r="S148" i="1"/>
  <c r="U148" i="1"/>
  <c r="AM148" i="1" s="1"/>
  <c r="AV148" i="1" s="1"/>
  <c r="S149" i="1"/>
  <c r="U149" i="1"/>
  <c r="AM149" i="1"/>
  <c r="AU149" i="1" s="1"/>
  <c r="AV149" i="1"/>
  <c r="S150" i="1"/>
  <c r="U150" i="1"/>
  <c r="AM150" i="1" s="1"/>
  <c r="S151" i="1"/>
  <c r="U151" i="1"/>
  <c r="AM151" i="1" s="1"/>
  <c r="S152" i="1"/>
  <c r="U152" i="1"/>
  <c r="AM152" i="1" s="1"/>
  <c r="S153" i="1"/>
  <c r="U153" i="1"/>
  <c r="AM153" i="1" s="1"/>
  <c r="S154" i="1"/>
  <c r="U154" i="1"/>
  <c r="AM154" i="1" s="1"/>
  <c r="S155" i="1"/>
  <c r="U155" i="1"/>
  <c r="AM155" i="1"/>
  <c r="S156" i="1"/>
  <c r="U156" i="1"/>
  <c r="AM156" i="1"/>
  <c r="S157" i="1"/>
  <c r="U157" i="1"/>
  <c r="AM157" i="1"/>
  <c r="S158" i="1"/>
  <c r="U158" i="1"/>
  <c r="AM158" i="1"/>
  <c r="S159" i="1"/>
  <c r="U159" i="1"/>
  <c r="AM159" i="1" s="1"/>
  <c r="S160" i="1"/>
  <c r="U160" i="1"/>
  <c r="AM160" i="1" s="1"/>
  <c r="S161" i="1"/>
  <c r="U161" i="1"/>
  <c r="AM161" i="1" s="1"/>
  <c r="S162" i="1"/>
  <c r="U162" i="1"/>
  <c r="AM162" i="1"/>
  <c r="S163" i="1"/>
  <c r="U163" i="1"/>
  <c r="AM163" i="1"/>
  <c r="S164" i="1"/>
  <c r="U164" i="1"/>
  <c r="AM164" i="1" s="1"/>
  <c r="AV164" i="1"/>
  <c r="S165" i="1"/>
  <c r="U165" i="1"/>
  <c r="AM165" i="1"/>
  <c r="AV165" i="1" s="1"/>
  <c r="S166" i="1"/>
  <c r="U166" i="1"/>
  <c r="AM166" i="1"/>
  <c r="S167" i="1"/>
  <c r="U167" i="1"/>
  <c r="AM167" i="1"/>
  <c r="S168" i="1"/>
  <c r="U168" i="1"/>
  <c r="AM168" i="1" s="1"/>
  <c r="AV168" i="1" s="1"/>
  <c r="S169" i="1"/>
  <c r="U169" i="1"/>
  <c r="AM169" i="1" s="1"/>
  <c r="AV169" i="1" s="1"/>
  <c r="S170" i="1"/>
  <c r="U170" i="1"/>
  <c r="AV170" i="1"/>
  <c r="AM170" i="1"/>
  <c r="S171" i="1"/>
  <c r="U171" i="1"/>
  <c r="AM171" i="1" s="1"/>
  <c r="S172" i="1"/>
  <c r="U172" i="1"/>
  <c r="AM172" i="1" s="1"/>
  <c r="S173" i="1"/>
  <c r="U173" i="1"/>
  <c r="AM173" i="1" s="1"/>
  <c r="AV173" i="1"/>
  <c r="S174" i="1"/>
  <c r="U174" i="1"/>
  <c r="AM174" i="1" s="1"/>
  <c r="AV174" i="1" s="1"/>
  <c r="S175" i="1"/>
  <c r="U175" i="1"/>
  <c r="AM175" i="1" s="1"/>
  <c r="S176" i="1"/>
  <c r="U176" i="1"/>
  <c r="AM176" i="1"/>
  <c r="S177" i="1"/>
  <c r="U177" i="1"/>
  <c r="AV177" i="1"/>
  <c r="AM177" i="1"/>
  <c r="S178" i="1"/>
  <c r="U178" i="1"/>
  <c r="AM178" i="1"/>
  <c r="S179" i="1"/>
  <c r="U179" i="1"/>
  <c r="AM179" i="1"/>
  <c r="S180" i="1"/>
  <c r="U180" i="1"/>
  <c r="AM180" i="1"/>
  <c r="S181" i="1"/>
  <c r="U181" i="1"/>
  <c r="AM181" i="1"/>
  <c r="S182" i="1"/>
  <c r="U182" i="1"/>
  <c r="AM182" i="1" s="1"/>
  <c r="S183" i="1"/>
  <c r="U183" i="1"/>
  <c r="AM183" i="1"/>
  <c r="S184" i="1"/>
  <c r="U184" i="1"/>
  <c r="AM184" i="1" s="1"/>
  <c r="AV184" i="1"/>
  <c r="S185" i="1"/>
  <c r="U185" i="1"/>
  <c r="AM185" i="1"/>
  <c r="S186" i="1"/>
  <c r="U186" i="1"/>
  <c r="AM186" i="1" s="1"/>
  <c r="S187" i="1"/>
  <c r="U187" i="1"/>
  <c r="AM187" i="1"/>
  <c r="S188" i="1"/>
  <c r="U188" i="1"/>
  <c r="AM188" i="1" s="1"/>
  <c r="S189" i="1"/>
  <c r="U189" i="1"/>
  <c r="AM189" i="1"/>
  <c r="S190" i="1"/>
  <c r="U190" i="1"/>
  <c r="AM190" i="1" s="1"/>
  <c r="S191" i="1"/>
  <c r="U191" i="1"/>
  <c r="AM191" i="1"/>
  <c r="S192" i="1"/>
  <c r="U192" i="1"/>
  <c r="AM192" i="1" s="1"/>
  <c r="AV192" i="1"/>
  <c r="S193" i="1"/>
  <c r="U193" i="1"/>
  <c r="AM193" i="1"/>
  <c r="S194" i="1"/>
  <c r="U194" i="1"/>
  <c r="AM194" i="1" s="1"/>
  <c r="S195" i="1"/>
  <c r="U195" i="1"/>
  <c r="AM195" i="1" s="1"/>
  <c r="S196" i="1"/>
  <c r="U196" i="1"/>
  <c r="AM196" i="1"/>
  <c r="S197" i="1"/>
  <c r="U197" i="1"/>
  <c r="AM197" i="1" s="1"/>
  <c r="S198" i="1"/>
  <c r="U198" i="1"/>
  <c r="AV198" i="1"/>
  <c r="AM198" i="1"/>
  <c r="S199" i="1"/>
  <c r="U199" i="1"/>
  <c r="AM199" i="1"/>
  <c r="S200" i="1"/>
  <c r="U200" i="1"/>
  <c r="AM200" i="1"/>
  <c r="S201" i="1"/>
  <c r="U201" i="1"/>
  <c r="AM201" i="1" s="1"/>
  <c r="S202" i="1"/>
  <c r="U202" i="1"/>
  <c r="AM202" i="1"/>
  <c r="S203" i="1"/>
  <c r="U203" i="1"/>
  <c r="AM203" i="1" s="1"/>
  <c r="S204" i="1"/>
  <c r="U204" i="1"/>
  <c r="AM204" i="1" s="1"/>
  <c r="S205" i="1"/>
  <c r="U205" i="1"/>
  <c r="AM205" i="1"/>
  <c r="AV205" i="1"/>
  <c r="S206" i="1"/>
  <c r="U206" i="1"/>
  <c r="AM206" i="1"/>
  <c r="S207" i="1"/>
  <c r="U207" i="1"/>
  <c r="AM207" i="1" s="1"/>
  <c r="S208" i="1"/>
  <c r="U208" i="1"/>
  <c r="AM208" i="1"/>
  <c r="AV208" i="1" s="1"/>
  <c r="S209" i="1"/>
  <c r="U209" i="1"/>
  <c r="AM209" i="1" s="1"/>
  <c r="AV209" i="1" s="1"/>
  <c r="S210" i="1"/>
  <c r="U210" i="1"/>
  <c r="AM210" i="1"/>
  <c r="AV210" i="1" s="1"/>
  <c r="S211" i="1"/>
  <c r="U211" i="1"/>
  <c r="AM211" i="1"/>
  <c r="S212" i="1"/>
  <c r="U212" i="1"/>
  <c r="AM212" i="1"/>
  <c r="S213" i="1"/>
  <c r="U213" i="1"/>
  <c r="AM213" i="1"/>
  <c r="AV213" i="1" s="1"/>
  <c r="S214" i="1"/>
  <c r="U214" i="1"/>
  <c r="AM214" i="1" s="1"/>
  <c r="AV214" i="1" s="1"/>
  <c r="S215" i="1"/>
  <c r="U215" i="1"/>
  <c r="AW215" i="1"/>
  <c r="AM215" i="1"/>
  <c r="S216" i="1"/>
  <c r="U216" i="1"/>
  <c r="AM216" i="1"/>
  <c r="S217" i="1"/>
  <c r="U217" i="1"/>
  <c r="AM217" i="1"/>
  <c r="S218" i="1"/>
  <c r="U218" i="1"/>
  <c r="AM218" i="1" s="1"/>
  <c r="S219" i="1"/>
  <c r="U219" i="1"/>
  <c r="AM219" i="1" s="1"/>
  <c r="S220" i="1"/>
  <c r="U220" i="1"/>
  <c r="AM220" i="1"/>
  <c r="S221" i="1"/>
  <c r="U221" i="1"/>
  <c r="AM221" i="1" s="1"/>
  <c r="S222" i="1"/>
  <c r="U222" i="1"/>
  <c r="AM222" i="1"/>
  <c r="S223" i="1"/>
  <c r="U223" i="1"/>
  <c r="AM223" i="1"/>
  <c r="S224" i="1"/>
  <c r="U224" i="1"/>
  <c r="AM224" i="1" s="1"/>
  <c r="S225" i="1"/>
  <c r="U225" i="1"/>
  <c r="AM225" i="1" s="1"/>
  <c r="S226" i="1"/>
  <c r="U226" i="1"/>
  <c r="AM226" i="1" s="1"/>
  <c r="S227" i="1"/>
  <c r="U227" i="1"/>
  <c r="AM227" i="1" s="1"/>
  <c r="S228" i="1"/>
  <c r="U228" i="1"/>
  <c r="AM228" i="1" s="1"/>
  <c r="S229" i="1"/>
  <c r="U229" i="1"/>
  <c r="AM229" i="1"/>
  <c r="AV229" i="1"/>
  <c r="S230" i="1"/>
  <c r="U230" i="1"/>
  <c r="AM230" i="1"/>
  <c r="S231" i="1"/>
  <c r="U231" i="1"/>
  <c r="AM231" i="1" s="1"/>
  <c r="S232" i="1"/>
  <c r="U232" i="1"/>
  <c r="AM232" i="1" s="1"/>
  <c r="S233" i="1"/>
  <c r="U233" i="1"/>
  <c r="AM233" i="1"/>
  <c r="S234" i="1"/>
  <c r="U234" i="1"/>
  <c r="AM234" i="1" s="1"/>
  <c r="AV234" i="1" s="1"/>
  <c r="S235" i="1"/>
  <c r="U235" i="1"/>
  <c r="AM235" i="1"/>
  <c r="S236" i="1"/>
  <c r="U236" i="1"/>
  <c r="AM236" i="1" s="1"/>
  <c r="S237" i="1"/>
  <c r="U237" i="1"/>
  <c r="AM237" i="1" s="1"/>
  <c r="S238" i="1"/>
  <c r="U238" i="1"/>
  <c r="AM238" i="1" s="1"/>
  <c r="S239" i="1"/>
  <c r="U239" i="1"/>
  <c r="AM239" i="1" s="1"/>
  <c r="S240" i="1"/>
  <c r="U240" i="1"/>
  <c r="AM240" i="1"/>
  <c r="S241" i="1"/>
  <c r="U241" i="1"/>
  <c r="AM241" i="1"/>
  <c r="S242" i="1"/>
  <c r="U242" i="1"/>
  <c r="AM242" i="1"/>
  <c r="S243" i="1"/>
  <c r="U243" i="1"/>
  <c r="AM243" i="1" s="1"/>
  <c r="S244" i="1"/>
  <c r="U244" i="1"/>
  <c r="AM244" i="1" s="1"/>
  <c r="AV244" i="1" s="1"/>
  <c r="S245" i="1"/>
  <c r="U245" i="1"/>
  <c r="AM245" i="1"/>
  <c r="AU245" i="1" s="1"/>
  <c r="S246" i="1"/>
  <c r="U246" i="1"/>
  <c r="AM246" i="1" s="1"/>
  <c r="S247" i="1"/>
  <c r="U247" i="1"/>
  <c r="AM247" i="1" s="1"/>
  <c r="S248" i="1"/>
  <c r="U248" i="1"/>
  <c r="AM248" i="1"/>
  <c r="S249" i="1"/>
  <c r="U249" i="1"/>
  <c r="AM249" i="1" s="1"/>
  <c r="S250" i="1"/>
  <c r="U250" i="1"/>
  <c r="AM250" i="1"/>
  <c r="S251" i="1"/>
  <c r="U251" i="1"/>
  <c r="AM251" i="1" s="1"/>
  <c r="S252" i="1"/>
  <c r="U252" i="1"/>
  <c r="AM252" i="1" s="1"/>
  <c r="S253" i="1"/>
  <c r="U253" i="1"/>
  <c r="AV253" i="1"/>
  <c r="AM253" i="1"/>
  <c r="S254" i="1"/>
  <c r="U254" i="1"/>
  <c r="AM254" i="1"/>
  <c r="AU254" i="1"/>
  <c r="S255" i="1"/>
  <c r="U255" i="1"/>
  <c r="AM255" i="1" s="1"/>
  <c r="S256" i="1"/>
  <c r="U256" i="1"/>
  <c r="AM256" i="1"/>
  <c r="S257" i="1"/>
  <c r="U257" i="1"/>
  <c r="AM257" i="1" s="1"/>
  <c r="AV257" i="1"/>
  <c r="S258" i="1"/>
  <c r="U258" i="1"/>
  <c r="AM258" i="1" s="1"/>
  <c r="S259" i="1"/>
  <c r="U259" i="1"/>
  <c r="AM259" i="1" s="1"/>
  <c r="AW259" i="1" s="1"/>
  <c r="S260" i="1"/>
  <c r="U260" i="1"/>
  <c r="AM260" i="1" s="1"/>
  <c r="S261" i="1"/>
  <c r="U261" i="1"/>
  <c r="AM261" i="1" s="1"/>
  <c r="S262" i="1"/>
  <c r="U262" i="1"/>
  <c r="AM262" i="1" s="1"/>
  <c r="S263" i="1"/>
  <c r="U263" i="1"/>
  <c r="AM263" i="1" s="1"/>
  <c r="S264" i="1"/>
  <c r="U264" i="1"/>
  <c r="AM264" i="1" s="1"/>
  <c r="S265" i="1"/>
  <c r="U265" i="1"/>
  <c r="AM265" i="1" s="1"/>
  <c r="S266" i="1"/>
  <c r="U266" i="1"/>
  <c r="AM266" i="1"/>
  <c r="S267" i="1"/>
  <c r="U267" i="1"/>
  <c r="AM267" i="1" s="1"/>
  <c r="S268" i="1"/>
  <c r="U268" i="1"/>
  <c r="AM268" i="1" s="1"/>
  <c r="S269" i="1"/>
  <c r="U269" i="1"/>
  <c r="AM269" i="1"/>
  <c r="S270" i="1"/>
  <c r="U270" i="1"/>
  <c r="AM270" i="1" s="1"/>
  <c r="S271" i="1"/>
  <c r="U271" i="1"/>
  <c r="AM271" i="1" s="1"/>
  <c r="S272" i="1"/>
  <c r="U272" i="1"/>
  <c r="AM272" i="1"/>
  <c r="S273" i="1"/>
  <c r="U273" i="1"/>
  <c r="AM273" i="1" s="1"/>
  <c r="S274" i="1"/>
  <c r="U274" i="1"/>
  <c r="AM274" i="1" s="1"/>
  <c r="S275" i="1"/>
  <c r="U275" i="1"/>
  <c r="AU275" i="1"/>
  <c r="AM275" i="1"/>
  <c r="S276" i="1"/>
  <c r="U276" i="1"/>
  <c r="AM276" i="1" s="1"/>
  <c r="AW276" i="1" s="1"/>
  <c r="S277" i="1"/>
  <c r="U277" i="1"/>
  <c r="AM277" i="1" s="1"/>
  <c r="S278" i="1"/>
  <c r="U278" i="1"/>
  <c r="AM278" i="1" s="1"/>
  <c r="S279" i="1"/>
  <c r="U279" i="1"/>
  <c r="AM279" i="1" s="1"/>
  <c r="S280" i="1"/>
  <c r="U280" i="1"/>
  <c r="AM280" i="1" s="1"/>
  <c r="AU280" i="1" s="1"/>
  <c r="S281" i="1"/>
  <c r="U281" i="1"/>
  <c r="AM281" i="1" s="1"/>
  <c r="S282" i="1"/>
  <c r="U282" i="1"/>
  <c r="AM282" i="1" s="1"/>
  <c r="S283" i="1"/>
  <c r="U283" i="1"/>
  <c r="AM283" i="1"/>
  <c r="S284" i="1"/>
  <c r="U284" i="1"/>
  <c r="AM284" i="1" s="1"/>
  <c r="S285" i="1"/>
  <c r="U285" i="1"/>
  <c r="AM285" i="1" s="1"/>
  <c r="AV285" i="1" s="1"/>
  <c r="S286" i="1"/>
  <c r="U286" i="1"/>
  <c r="AM286" i="1" s="1"/>
  <c r="S287" i="1"/>
  <c r="U287" i="1"/>
  <c r="AM287" i="1" s="1"/>
  <c r="S288" i="1"/>
  <c r="U288" i="1"/>
  <c r="AM288" i="1"/>
  <c r="AU288" i="1" s="1"/>
  <c r="S289" i="1"/>
  <c r="U289" i="1"/>
  <c r="AM289" i="1" s="1"/>
  <c r="S290" i="1"/>
  <c r="U290" i="1"/>
  <c r="AM290" i="1" s="1"/>
  <c r="S291" i="1"/>
  <c r="U291" i="1"/>
  <c r="AM291" i="1" s="1"/>
  <c r="S292" i="1"/>
  <c r="U292" i="1"/>
  <c r="AM292" i="1" s="1"/>
  <c r="S293" i="1"/>
  <c r="U293" i="1"/>
  <c r="AM293" i="1" s="1"/>
  <c r="AU293" i="1" s="1"/>
  <c r="S294" i="1"/>
  <c r="U294" i="1"/>
  <c r="AM294" i="1" s="1"/>
  <c r="S295" i="1"/>
  <c r="U295" i="1"/>
  <c r="AM295" i="1" s="1"/>
  <c r="S296" i="1"/>
  <c r="U296" i="1"/>
  <c r="AM296" i="1" s="1"/>
  <c r="S297" i="1"/>
  <c r="U297" i="1"/>
  <c r="AM297" i="1" s="1"/>
  <c r="S298" i="1"/>
  <c r="U298" i="1"/>
  <c r="AM298" i="1"/>
  <c r="AU298" i="1" s="1"/>
  <c r="S299" i="1"/>
  <c r="U299" i="1"/>
  <c r="AM299" i="1" s="1"/>
  <c r="S300" i="1"/>
  <c r="U300" i="1"/>
  <c r="AM300" i="1" s="1"/>
  <c r="S301" i="1"/>
  <c r="U301" i="1"/>
  <c r="AM301" i="1" s="1"/>
  <c r="S302" i="1"/>
  <c r="U302" i="1"/>
  <c r="AM302" i="1" s="1"/>
  <c r="S303" i="1"/>
  <c r="U303" i="1"/>
  <c r="AM303" i="1"/>
  <c r="AU303" i="1" s="1"/>
  <c r="S304" i="1"/>
  <c r="U304" i="1"/>
  <c r="AM304" i="1" s="1"/>
  <c r="S305" i="1"/>
  <c r="U305" i="1"/>
  <c r="AM305" i="1" s="1"/>
  <c r="S306" i="1"/>
  <c r="U306" i="1"/>
  <c r="AM306" i="1" s="1"/>
  <c r="S307" i="1"/>
  <c r="U307" i="1"/>
  <c r="AM307" i="1" s="1"/>
  <c r="S308" i="1"/>
  <c r="U308" i="1"/>
  <c r="AM308" i="1"/>
  <c r="AU308" i="1" s="1"/>
  <c r="S309" i="1"/>
  <c r="U309" i="1"/>
  <c r="AM309" i="1" s="1"/>
  <c r="S310" i="1"/>
  <c r="U310" i="1"/>
  <c r="AM310" i="1" s="1"/>
  <c r="AU310" i="1"/>
  <c r="S311" i="1"/>
  <c r="U311" i="1"/>
  <c r="AM311" i="1" s="1"/>
  <c r="S312" i="1"/>
  <c r="U312" i="1"/>
  <c r="AM312" i="1" s="1"/>
  <c r="S313" i="1"/>
  <c r="U313" i="1"/>
  <c r="AM313" i="1" s="1"/>
  <c r="AW313" i="1"/>
  <c r="S314" i="1"/>
  <c r="U314" i="1"/>
  <c r="AM314" i="1" s="1"/>
  <c r="S315" i="1"/>
  <c r="U315" i="1"/>
  <c r="AM315" i="1" s="1"/>
  <c r="AV315" i="1" s="1"/>
  <c r="S316" i="1"/>
  <c r="U316" i="1"/>
  <c r="AM316" i="1" s="1"/>
  <c r="S317" i="1"/>
  <c r="U317" i="1"/>
  <c r="AM317" i="1" s="1"/>
  <c r="S318" i="1"/>
  <c r="U318" i="1"/>
  <c r="AM318" i="1" s="1"/>
  <c r="AU318" i="1" s="1"/>
  <c r="S319" i="1"/>
  <c r="U319" i="1"/>
  <c r="AM319" i="1" s="1"/>
  <c r="S320" i="1"/>
  <c r="U320" i="1"/>
  <c r="AM320" i="1" s="1"/>
  <c r="S321" i="1"/>
  <c r="U321" i="1"/>
  <c r="AM321" i="1" s="1"/>
  <c r="S322" i="1"/>
  <c r="U322" i="1"/>
  <c r="AM322" i="1" s="1"/>
  <c r="S323" i="1"/>
  <c r="U323" i="1"/>
  <c r="AM323" i="1" s="1"/>
  <c r="S324" i="1"/>
  <c r="U324" i="1"/>
  <c r="AM324" i="1" s="1"/>
  <c r="S325" i="1"/>
  <c r="U325" i="1"/>
  <c r="AM325" i="1" s="1"/>
  <c r="S326" i="1"/>
  <c r="U326" i="1"/>
  <c r="AM326" i="1" s="1"/>
  <c r="S327" i="1"/>
  <c r="U327" i="1"/>
  <c r="AM327" i="1" s="1"/>
  <c r="S328" i="1"/>
  <c r="U328" i="1"/>
  <c r="AM328" i="1" s="1"/>
  <c r="S329" i="1"/>
  <c r="U329" i="1"/>
  <c r="AM329" i="1" s="1"/>
  <c r="S330" i="1"/>
  <c r="U330" i="1"/>
  <c r="AM330" i="1" s="1"/>
  <c r="AV330" i="1" s="1"/>
  <c r="S331" i="1"/>
  <c r="U331" i="1"/>
  <c r="AM331" i="1" s="1"/>
  <c r="S332" i="1"/>
  <c r="U332" i="1"/>
  <c r="AM332" i="1" s="1"/>
  <c r="S333" i="1"/>
  <c r="U333" i="1"/>
  <c r="AM333" i="1" s="1"/>
  <c r="S334" i="1"/>
  <c r="U334" i="1"/>
  <c r="AV334" i="1"/>
  <c r="AM334" i="1"/>
  <c r="AU334" i="1"/>
  <c r="AW334" i="1"/>
  <c r="S335" i="1"/>
  <c r="U335" i="1"/>
  <c r="AM335" i="1" s="1"/>
  <c r="S336" i="1"/>
  <c r="U336" i="1"/>
  <c r="AM336" i="1" s="1"/>
  <c r="AU336" i="1"/>
  <c r="S337" i="1"/>
  <c r="U337" i="1"/>
  <c r="AM337" i="1" s="1"/>
  <c r="S338" i="1"/>
  <c r="U338" i="1"/>
  <c r="AM338" i="1"/>
  <c r="AU338" i="1" s="1"/>
  <c r="S339" i="1"/>
  <c r="U339" i="1"/>
  <c r="AM339" i="1" s="1"/>
  <c r="AU339" i="1"/>
  <c r="S340" i="1"/>
  <c r="U340" i="1"/>
  <c r="AM340" i="1" s="1"/>
  <c r="S341" i="1"/>
  <c r="U341" i="1"/>
  <c r="AM341" i="1" s="1"/>
  <c r="S342" i="1"/>
  <c r="U342" i="1"/>
  <c r="AM342" i="1" s="1"/>
  <c r="S343" i="1"/>
  <c r="U343" i="1"/>
  <c r="AM343" i="1" s="1"/>
  <c r="S344" i="1"/>
  <c r="U344" i="1"/>
  <c r="AM344" i="1" s="1"/>
  <c r="S345" i="1"/>
  <c r="U345" i="1"/>
  <c r="AM345" i="1" s="1"/>
  <c r="S346" i="1"/>
  <c r="U346" i="1"/>
  <c r="AM346" i="1" s="1"/>
  <c r="S347" i="1"/>
  <c r="U347" i="1"/>
  <c r="AM347" i="1" s="1"/>
  <c r="S348" i="1"/>
  <c r="U348" i="1"/>
  <c r="AM348" i="1" s="1"/>
  <c r="AU348" i="1" s="1"/>
  <c r="S349" i="1"/>
  <c r="U349" i="1"/>
  <c r="AM349" i="1"/>
  <c r="AW349" i="1" s="1"/>
  <c r="S350" i="1"/>
  <c r="U350" i="1"/>
  <c r="AM350" i="1" s="1"/>
  <c r="S351" i="1"/>
  <c r="U351" i="1"/>
  <c r="AM351" i="1" s="1"/>
  <c r="S352" i="1"/>
  <c r="U352" i="1"/>
  <c r="AM352" i="1" s="1"/>
  <c r="S353" i="1"/>
  <c r="U353" i="1"/>
  <c r="AM353" i="1" s="1"/>
  <c r="AU353" i="1" s="1"/>
  <c r="S354" i="1"/>
  <c r="U354" i="1"/>
  <c r="AM354" i="1" s="1"/>
  <c r="AU354" i="1"/>
  <c r="AV354" i="1"/>
  <c r="S355" i="1"/>
  <c r="U355" i="1"/>
  <c r="AM355" i="1" s="1"/>
  <c r="AU355" i="1"/>
  <c r="S356" i="1"/>
  <c r="U356" i="1"/>
  <c r="AM356" i="1" s="1"/>
  <c r="S357" i="1"/>
  <c r="U357" i="1"/>
  <c r="AM357" i="1" s="1"/>
  <c r="AW357" i="1"/>
  <c r="S358" i="1"/>
  <c r="U358" i="1"/>
  <c r="AM358" i="1"/>
  <c r="S359" i="1"/>
  <c r="U359" i="1"/>
  <c r="AM359" i="1"/>
  <c r="S360" i="1"/>
  <c r="U360" i="1"/>
  <c r="AM360" i="1" s="1"/>
  <c r="S361" i="1"/>
  <c r="U361" i="1"/>
  <c r="AM361" i="1" s="1"/>
  <c r="S362" i="1"/>
  <c r="U362" i="1"/>
  <c r="AM362" i="1" s="1"/>
  <c r="S363" i="1"/>
  <c r="U363" i="1"/>
  <c r="AM363" i="1" s="1"/>
  <c r="AU363" i="1"/>
  <c r="S364" i="1"/>
  <c r="U364" i="1"/>
  <c r="AM364" i="1"/>
  <c r="AU364" i="1"/>
  <c r="AW364" i="1"/>
  <c r="S365" i="1"/>
  <c r="U365" i="1"/>
  <c r="AM365" i="1" s="1"/>
  <c r="S366" i="1"/>
  <c r="U366" i="1"/>
  <c r="AM366" i="1" s="1"/>
  <c r="AU366" i="1"/>
  <c r="S367" i="1"/>
  <c r="U367" i="1"/>
  <c r="AM367" i="1" s="1"/>
  <c r="S368" i="1"/>
  <c r="U368" i="1"/>
  <c r="AM368" i="1"/>
  <c r="AU368" i="1" s="1"/>
  <c r="S369" i="1"/>
  <c r="U369" i="1"/>
  <c r="AM369" i="1"/>
  <c r="AU369" i="1"/>
  <c r="S370" i="1"/>
  <c r="U370" i="1"/>
  <c r="AM370" i="1" s="1"/>
  <c r="S371" i="1"/>
  <c r="U371" i="1"/>
  <c r="AM371" i="1" s="1"/>
  <c r="S372" i="1"/>
  <c r="U372" i="1"/>
  <c r="AM372" i="1" s="1"/>
  <c r="AW372" i="1"/>
  <c r="S373" i="1"/>
  <c r="U373" i="1"/>
  <c r="AM373" i="1" s="1"/>
  <c r="S374" i="1"/>
  <c r="U374" i="1"/>
  <c r="AM374" i="1" s="1"/>
  <c r="S375" i="1"/>
  <c r="U375" i="1"/>
  <c r="AM375" i="1" s="1"/>
  <c r="S376" i="1"/>
  <c r="U376" i="1"/>
  <c r="AM376" i="1" s="1"/>
  <c r="S377" i="1"/>
  <c r="U377" i="1"/>
  <c r="AM377" i="1" s="1"/>
  <c r="S378" i="1"/>
  <c r="U378" i="1"/>
  <c r="AM378" i="1"/>
  <c r="AU378" i="1" s="1"/>
  <c r="S379" i="1"/>
  <c r="U379" i="1"/>
  <c r="AM379" i="1" s="1"/>
  <c r="S380" i="1"/>
  <c r="U380" i="1"/>
  <c r="AM380" i="1" s="1"/>
  <c r="S381" i="1"/>
  <c r="U381" i="1"/>
  <c r="AM381" i="1" s="1"/>
  <c r="S382" i="1"/>
  <c r="U382" i="1"/>
  <c r="AM382" i="1" s="1"/>
  <c r="S383" i="1"/>
  <c r="U383" i="1"/>
  <c r="AM383" i="1" s="1"/>
  <c r="AU383" i="1" s="1"/>
  <c r="S384" i="1"/>
  <c r="U384" i="1"/>
  <c r="AM384" i="1" s="1"/>
  <c r="S385" i="1"/>
  <c r="U385" i="1"/>
  <c r="AM385" i="1" s="1"/>
  <c r="S386" i="1"/>
  <c r="U386" i="1"/>
  <c r="AM386" i="1" s="1"/>
  <c r="S387" i="1"/>
  <c r="U387" i="1"/>
  <c r="AM387" i="1" s="1"/>
  <c r="S388" i="1"/>
  <c r="U388" i="1"/>
  <c r="AM388" i="1"/>
  <c r="S389" i="1"/>
  <c r="U389" i="1"/>
  <c r="AM389" i="1" s="1"/>
  <c r="S390" i="1"/>
  <c r="U390" i="1"/>
  <c r="AM390" i="1" s="1"/>
  <c r="AV390" i="1"/>
  <c r="S391" i="1"/>
  <c r="U391" i="1"/>
  <c r="AM391" i="1" s="1"/>
  <c r="S392" i="1"/>
  <c r="U392" i="1"/>
  <c r="AM392" i="1" s="1"/>
  <c r="AV392" i="1"/>
  <c r="S393" i="1"/>
  <c r="U393" i="1"/>
  <c r="AM393" i="1" s="1"/>
  <c r="S394" i="1"/>
  <c r="U394" i="1"/>
  <c r="AM394" i="1"/>
  <c r="S395" i="1"/>
  <c r="U395" i="1"/>
  <c r="AM395" i="1" s="1"/>
  <c r="AV395" i="1"/>
  <c r="S396" i="1"/>
  <c r="U396" i="1"/>
  <c r="AM396" i="1" s="1"/>
  <c r="S397" i="1"/>
  <c r="U397" i="1"/>
  <c r="AM397" i="1" s="1"/>
  <c r="S398" i="1"/>
  <c r="U398" i="1"/>
  <c r="AM398" i="1" s="1"/>
  <c r="S399" i="1"/>
  <c r="U399" i="1"/>
  <c r="AM399" i="1" s="1"/>
  <c r="AU399" i="1" s="1"/>
  <c r="S400" i="1"/>
  <c r="U400" i="1"/>
  <c r="AM400" i="1" s="1"/>
  <c r="S401" i="1"/>
  <c r="U401" i="1"/>
  <c r="AM401" i="1" s="1"/>
  <c r="S402" i="1"/>
  <c r="U402" i="1"/>
  <c r="AM402" i="1" s="1"/>
  <c r="S403" i="1"/>
  <c r="U403" i="1"/>
  <c r="AM403" i="1" s="1"/>
  <c r="S404" i="1"/>
  <c r="U404" i="1"/>
  <c r="AM404" i="1" s="1"/>
  <c r="S405" i="1"/>
  <c r="U405" i="1"/>
  <c r="AM405" i="1" s="1"/>
  <c r="S406" i="1"/>
  <c r="U406" i="1"/>
  <c r="AM406" i="1" s="1"/>
  <c r="S407" i="1"/>
  <c r="U407" i="1"/>
  <c r="AM407" i="1" s="1"/>
  <c r="S408" i="1"/>
  <c r="U408" i="1"/>
  <c r="AM408" i="1" s="1"/>
  <c r="S409" i="1"/>
  <c r="U409" i="1"/>
  <c r="AM409" i="1" s="1"/>
  <c r="AU409" i="1" s="1"/>
  <c r="S410" i="1"/>
  <c r="U410" i="1"/>
  <c r="AM410" i="1" s="1"/>
  <c r="AV410" i="1" s="1"/>
  <c r="S411" i="1"/>
  <c r="U411" i="1"/>
  <c r="AM411" i="1" s="1"/>
  <c r="S412" i="1"/>
  <c r="U412" i="1"/>
  <c r="AM412" i="1" s="1"/>
  <c r="S413" i="1"/>
  <c r="U413" i="1"/>
  <c r="AM413" i="1" s="1"/>
  <c r="S414" i="1"/>
  <c r="U414" i="1"/>
  <c r="AM414" i="1" s="1"/>
  <c r="S415" i="1"/>
  <c r="U415" i="1"/>
  <c r="AM415" i="1" s="1"/>
  <c r="S416" i="1"/>
  <c r="U416" i="1"/>
  <c r="AM416" i="1" s="1"/>
  <c r="S417" i="1"/>
  <c r="U417" i="1"/>
  <c r="AM417" i="1" s="1"/>
  <c r="S418" i="1"/>
  <c r="U418" i="1"/>
  <c r="AM418" i="1" s="1"/>
  <c r="S419" i="1"/>
  <c r="U419" i="1"/>
  <c r="AM419" i="1" s="1"/>
  <c r="S420" i="1"/>
  <c r="U420" i="1"/>
  <c r="AM420" i="1" s="1"/>
  <c r="S421" i="1"/>
  <c r="U421" i="1"/>
  <c r="AM421" i="1" s="1"/>
  <c r="S422" i="1"/>
  <c r="U422" i="1"/>
  <c r="AM422" i="1"/>
  <c r="S423" i="1"/>
  <c r="U423" i="1"/>
  <c r="AM423" i="1" s="1"/>
  <c r="S424" i="1"/>
  <c r="U424" i="1"/>
  <c r="AM424" i="1" s="1"/>
  <c r="S425" i="1"/>
  <c r="U425" i="1"/>
  <c r="AM425" i="1" s="1"/>
  <c r="AU425" i="1"/>
  <c r="S426" i="1"/>
  <c r="U426" i="1"/>
  <c r="AM426" i="1" s="1"/>
  <c r="S427" i="1"/>
  <c r="U427" i="1"/>
  <c r="AM427" i="1"/>
  <c r="AU427" i="1" s="1"/>
  <c r="S428" i="1"/>
  <c r="U428" i="1"/>
  <c r="AM428" i="1" s="1"/>
  <c r="S429" i="1"/>
  <c r="U429" i="1"/>
  <c r="AM429" i="1" s="1"/>
  <c r="S430" i="1"/>
  <c r="U430" i="1"/>
  <c r="AM430" i="1" s="1"/>
  <c r="S431" i="1"/>
  <c r="U431" i="1"/>
  <c r="AM431" i="1" s="1"/>
  <c r="S432" i="1"/>
  <c r="U432" i="1"/>
  <c r="AM432" i="1" s="1"/>
  <c r="S433" i="1"/>
  <c r="U433" i="1"/>
  <c r="AM433" i="1" s="1"/>
  <c r="S434" i="1"/>
  <c r="U434" i="1"/>
  <c r="AM434" i="1"/>
  <c r="S435" i="1"/>
  <c r="U435" i="1"/>
  <c r="AM435" i="1" s="1"/>
  <c r="S436" i="1"/>
  <c r="U436" i="1"/>
  <c r="AM436" i="1" s="1"/>
  <c r="AW436" i="1"/>
  <c r="S437" i="1"/>
  <c r="U437" i="1"/>
  <c r="AM437" i="1" s="1"/>
  <c r="S438" i="1"/>
  <c r="U438" i="1"/>
  <c r="AM438" i="1"/>
  <c r="AV438" i="1"/>
  <c r="S439" i="1"/>
  <c r="U439" i="1"/>
  <c r="AM439" i="1" s="1"/>
  <c r="S440" i="1"/>
  <c r="U440" i="1"/>
  <c r="AM440" i="1" s="1"/>
  <c r="S441" i="1"/>
  <c r="U441" i="1"/>
  <c r="AM441" i="1"/>
  <c r="S442" i="1"/>
  <c r="U442" i="1"/>
  <c r="AM442" i="1" s="1"/>
  <c r="S443" i="1"/>
  <c r="U443" i="1"/>
  <c r="AM443" i="1" s="1"/>
  <c r="S444" i="1"/>
  <c r="U444" i="1"/>
  <c r="AM444" i="1" s="1"/>
  <c r="S445" i="1"/>
  <c r="U445" i="1"/>
  <c r="AM445" i="1" s="1"/>
  <c r="S446" i="1"/>
  <c r="U446" i="1"/>
  <c r="AM446" i="1" s="1"/>
  <c r="AW446" i="1" s="1"/>
  <c r="S447" i="1"/>
  <c r="U447" i="1"/>
  <c r="AM447" i="1" s="1"/>
  <c r="S448" i="1"/>
  <c r="U448" i="1"/>
  <c r="AM448" i="1" s="1"/>
  <c r="AV448" i="1" s="1"/>
  <c r="S449" i="1"/>
  <c r="U449" i="1"/>
  <c r="AM449" i="1"/>
  <c r="S450" i="1"/>
  <c r="U450" i="1"/>
  <c r="AM450" i="1" s="1"/>
  <c r="AU450" i="1"/>
  <c r="S451" i="1"/>
  <c r="U451" i="1"/>
  <c r="AM451" i="1" s="1"/>
  <c r="S452" i="1"/>
  <c r="U452" i="1"/>
  <c r="AM452" i="1" s="1"/>
  <c r="S453" i="1"/>
  <c r="U453" i="1"/>
  <c r="AM453" i="1" s="1"/>
  <c r="AV453" i="1"/>
  <c r="S454" i="1"/>
  <c r="U454" i="1"/>
  <c r="AM454" i="1"/>
  <c r="S455" i="1"/>
  <c r="U455" i="1"/>
  <c r="AM455" i="1" s="1"/>
  <c r="S456" i="1"/>
  <c r="U456" i="1"/>
  <c r="AM456" i="1" s="1"/>
  <c r="S457" i="1"/>
  <c r="U457" i="1"/>
  <c r="AM457" i="1" s="1"/>
  <c r="S458" i="1"/>
  <c r="U458" i="1"/>
  <c r="AM458" i="1" s="1"/>
  <c r="S459" i="1"/>
  <c r="U459" i="1"/>
  <c r="AM459" i="1"/>
  <c r="S460" i="1"/>
  <c r="U460" i="1"/>
  <c r="AM460" i="1" s="1"/>
  <c r="S461" i="1"/>
  <c r="U461" i="1"/>
  <c r="AM461" i="1"/>
  <c r="S462" i="1"/>
  <c r="U462" i="1"/>
  <c r="AM462" i="1" s="1"/>
  <c r="S463" i="1"/>
  <c r="U463" i="1"/>
  <c r="AM463" i="1" s="1"/>
  <c r="AV463" i="1" s="1"/>
  <c r="S464" i="1"/>
  <c r="U464" i="1"/>
  <c r="AM464" i="1" s="1"/>
  <c r="S465" i="1"/>
  <c r="U465" i="1"/>
  <c r="AM465" i="1" s="1"/>
  <c r="S466" i="1"/>
  <c r="U466" i="1"/>
  <c r="AM466" i="1" s="1"/>
  <c r="S467" i="1"/>
  <c r="U467" i="1"/>
  <c r="AM467" i="1" s="1"/>
  <c r="S468" i="1"/>
  <c r="U468" i="1"/>
  <c r="AM468" i="1" s="1"/>
  <c r="S469" i="1"/>
  <c r="U469" i="1"/>
  <c r="AM469" i="1" s="1"/>
  <c r="S470" i="1"/>
  <c r="U470" i="1"/>
  <c r="AM470" i="1" s="1"/>
  <c r="S471" i="1"/>
  <c r="U471" i="1"/>
  <c r="AM471" i="1"/>
  <c r="S472" i="1"/>
  <c r="U472" i="1"/>
  <c r="AM472" i="1" s="1"/>
  <c r="AW472" i="1"/>
  <c r="S473" i="1"/>
  <c r="U473" i="1"/>
  <c r="AM473" i="1" s="1"/>
  <c r="AV473" i="1" s="1"/>
  <c r="S474" i="1"/>
  <c r="U474" i="1"/>
  <c r="AM474" i="1" s="1"/>
  <c r="S475" i="1"/>
  <c r="U475" i="1"/>
  <c r="AM475" i="1" s="1"/>
  <c r="S476" i="1"/>
  <c r="U476" i="1"/>
  <c r="AM476" i="1" s="1"/>
  <c r="S477" i="1"/>
  <c r="U477" i="1"/>
  <c r="AM477" i="1" s="1"/>
  <c r="S478" i="1"/>
  <c r="U478" i="1"/>
  <c r="AM478" i="1" s="1"/>
  <c r="AV478" i="1" s="1"/>
  <c r="S479" i="1"/>
  <c r="U479" i="1"/>
  <c r="AM479" i="1"/>
  <c r="S480" i="1"/>
  <c r="U480" i="1"/>
  <c r="AM480" i="1" s="1"/>
  <c r="S481" i="1"/>
  <c r="U481" i="1"/>
  <c r="AM481" i="1"/>
  <c r="S482" i="1"/>
  <c r="U482" i="1"/>
  <c r="AM482" i="1" s="1"/>
  <c r="S483" i="1"/>
  <c r="U483" i="1"/>
  <c r="AM483" i="1" s="1"/>
  <c r="S484" i="1"/>
  <c r="U484" i="1"/>
  <c r="AM484" i="1" s="1"/>
  <c r="S485" i="1"/>
  <c r="U485" i="1"/>
  <c r="AM485" i="1" s="1"/>
  <c r="AU485" i="1"/>
  <c r="S486" i="1"/>
  <c r="U486" i="1"/>
  <c r="AM486" i="1" s="1"/>
  <c r="S487" i="1"/>
  <c r="U487" i="1"/>
  <c r="AM487" i="1" s="1"/>
  <c r="S488" i="1"/>
  <c r="U488" i="1"/>
  <c r="AM488" i="1" s="1"/>
  <c r="S489" i="1"/>
  <c r="U489" i="1"/>
  <c r="AM489" i="1" s="1"/>
  <c r="S490" i="1"/>
  <c r="U490" i="1"/>
  <c r="AM490" i="1" s="1"/>
  <c r="S491" i="1"/>
  <c r="U491" i="1"/>
  <c r="AM491" i="1" s="1"/>
  <c r="S492" i="1"/>
  <c r="U492" i="1"/>
  <c r="AM492" i="1" s="1"/>
  <c r="AW492" i="1"/>
  <c r="S493" i="1"/>
  <c r="U493" i="1"/>
  <c r="AM493" i="1" s="1"/>
  <c r="S494" i="1"/>
  <c r="U494" i="1"/>
  <c r="AM494" i="1"/>
  <c r="S495" i="1"/>
  <c r="U495" i="1"/>
  <c r="AM495" i="1" s="1"/>
  <c r="S496" i="1"/>
  <c r="U496" i="1"/>
  <c r="AM496" i="1"/>
  <c r="S497" i="1"/>
  <c r="U497" i="1"/>
  <c r="AM497" i="1" s="1"/>
  <c r="S498" i="1"/>
  <c r="U498" i="1"/>
  <c r="AM498" i="1" s="1"/>
  <c r="AV498" i="1" s="1"/>
  <c r="S499" i="1"/>
  <c r="U499" i="1"/>
  <c r="AM499" i="1" s="1"/>
  <c r="S500" i="1"/>
  <c r="U500" i="1"/>
  <c r="AM500" i="1" s="1"/>
  <c r="S501" i="1"/>
  <c r="U501" i="1"/>
  <c r="AM501" i="1"/>
  <c r="S502" i="1"/>
  <c r="U502" i="1"/>
  <c r="AM502" i="1" s="1"/>
  <c r="S503" i="1"/>
  <c r="U503" i="1"/>
  <c r="AM503" i="1"/>
  <c r="S504" i="1"/>
  <c r="U504" i="1"/>
  <c r="AM504" i="1" s="1"/>
  <c r="S505" i="1"/>
  <c r="U505" i="1"/>
  <c r="AM505" i="1" s="1"/>
  <c r="S506" i="1"/>
  <c r="U506" i="1"/>
  <c r="AM506" i="1"/>
  <c r="S507" i="1"/>
  <c r="U507" i="1"/>
  <c r="AM507" i="1" s="1"/>
  <c r="S508" i="1"/>
  <c r="U508" i="1"/>
  <c r="AM508" i="1" s="1"/>
  <c r="S509" i="1"/>
  <c r="U509" i="1"/>
  <c r="AM509" i="1"/>
  <c r="S510" i="1"/>
  <c r="U510" i="1"/>
  <c r="AM510" i="1" s="1"/>
  <c r="AU510" i="1"/>
  <c r="S511" i="1"/>
  <c r="U511" i="1"/>
  <c r="AM511" i="1"/>
  <c r="S512" i="1"/>
  <c r="U512" i="1"/>
  <c r="AM512" i="1" s="1"/>
  <c r="S513" i="1"/>
  <c r="U513" i="1"/>
  <c r="AM513" i="1" s="1"/>
  <c r="S514" i="1"/>
  <c r="U514" i="1"/>
  <c r="AM514" i="1" s="1"/>
  <c r="S515" i="1"/>
  <c r="U515" i="1"/>
  <c r="AM515" i="1" s="1"/>
  <c r="S516" i="1"/>
  <c r="U516" i="1"/>
  <c r="AM516" i="1" s="1"/>
  <c r="S517" i="1"/>
  <c r="U517" i="1"/>
  <c r="AM517" i="1" s="1"/>
  <c r="S518" i="1"/>
  <c r="U518" i="1"/>
  <c r="AM518" i="1" s="1"/>
  <c r="AV518" i="1"/>
  <c r="S519" i="1"/>
  <c r="U519" i="1"/>
  <c r="AM519" i="1" s="1"/>
  <c r="S520" i="1"/>
  <c r="U520" i="1"/>
  <c r="AM520" i="1" s="1"/>
  <c r="S521" i="1"/>
  <c r="U521" i="1"/>
  <c r="AM521" i="1" s="1"/>
  <c r="S522" i="1"/>
  <c r="U522" i="1"/>
  <c r="AM522" i="1" s="1"/>
  <c r="S523" i="1"/>
  <c r="U523" i="1"/>
  <c r="AM523" i="1"/>
  <c r="AV523" i="1" s="1"/>
  <c r="S524" i="1"/>
  <c r="U524" i="1"/>
  <c r="AM524" i="1"/>
  <c r="S525" i="1"/>
  <c r="U525" i="1"/>
  <c r="AM525" i="1" s="1"/>
  <c r="S526" i="1"/>
  <c r="U526" i="1"/>
  <c r="AM526" i="1" s="1"/>
  <c r="S527" i="1"/>
  <c r="U527" i="1"/>
  <c r="AM527" i="1" s="1"/>
  <c r="S528" i="1"/>
  <c r="U528" i="1"/>
  <c r="AM528" i="1" s="1"/>
  <c r="AV528" i="1" s="1"/>
  <c r="S529" i="1"/>
  <c r="U529" i="1"/>
  <c r="AM529" i="1"/>
  <c r="S530" i="1"/>
  <c r="U530" i="1"/>
  <c r="AM530" i="1" s="1"/>
  <c r="AU530" i="1"/>
  <c r="S531" i="1"/>
  <c r="U531" i="1"/>
  <c r="AM531" i="1" s="1"/>
  <c r="S532" i="1"/>
  <c r="U532" i="1"/>
  <c r="AM532" i="1" s="1"/>
  <c r="AV532" i="1" s="1"/>
  <c r="S533" i="1"/>
  <c r="U533" i="1"/>
  <c r="AM533" i="1" s="1"/>
  <c r="S534" i="1"/>
  <c r="U534" i="1"/>
  <c r="AM534" i="1" s="1"/>
  <c r="S535" i="1"/>
  <c r="U535" i="1"/>
  <c r="AM535" i="1" s="1"/>
  <c r="S536" i="1"/>
  <c r="U536" i="1"/>
  <c r="AM536" i="1" s="1"/>
  <c r="AU536" i="1"/>
  <c r="S537" i="1"/>
  <c r="U537" i="1"/>
  <c r="AM537" i="1" s="1"/>
  <c r="S538" i="1"/>
  <c r="U538" i="1"/>
  <c r="AM538" i="1" s="1"/>
  <c r="S539" i="1"/>
  <c r="U539" i="1"/>
  <c r="AM539" i="1" s="1"/>
  <c r="S540" i="1"/>
  <c r="U540" i="1"/>
  <c r="AM540" i="1" s="1"/>
  <c r="S541" i="1"/>
  <c r="U541" i="1"/>
  <c r="AM541" i="1" s="1"/>
  <c r="S542" i="1"/>
  <c r="U542" i="1"/>
  <c r="AM542" i="1" s="1"/>
  <c r="S543" i="1"/>
  <c r="U543" i="1"/>
  <c r="AM543" i="1" s="1"/>
  <c r="S544" i="1"/>
  <c r="U544" i="1"/>
  <c r="AM544" i="1" s="1"/>
  <c r="AV544" i="1"/>
  <c r="S545" i="1"/>
  <c r="U545" i="1"/>
  <c r="AM545" i="1" s="1"/>
  <c r="S546" i="1"/>
  <c r="U546" i="1"/>
  <c r="AM546" i="1" s="1"/>
  <c r="S547" i="1"/>
  <c r="U547" i="1"/>
  <c r="AM547" i="1" s="1"/>
  <c r="S548" i="1"/>
  <c r="U548" i="1"/>
  <c r="AM548" i="1" s="1"/>
  <c r="S549" i="1"/>
  <c r="U549" i="1"/>
  <c r="AM549" i="1" s="1"/>
  <c r="S550" i="1"/>
  <c r="U550" i="1"/>
  <c r="AM550" i="1" s="1"/>
  <c r="S551" i="1"/>
  <c r="U551" i="1"/>
  <c r="AM551" i="1" s="1"/>
  <c r="S552" i="1"/>
  <c r="U552" i="1"/>
  <c r="AM552" i="1" s="1"/>
  <c r="S553" i="1"/>
  <c r="U553" i="1"/>
  <c r="AM553" i="1"/>
  <c r="AV553" i="1" s="1"/>
  <c r="S554" i="1"/>
  <c r="U554" i="1"/>
  <c r="AM554" i="1"/>
  <c r="S555" i="1"/>
  <c r="U555" i="1"/>
  <c r="AM555" i="1" s="1"/>
  <c r="S556" i="1"/>
  <c r="U556" i="1"/>
  <c r="AM556" i="1"/>
  <c r="S557" i="1"/>
  <c r="U557" i="1"/>
  <c r="AM557" i="1" s="1"/>
  <c r="AV557" i="1"/>
  <c r="S558" i="1"/>
  <c r="U558" i="1"/>
  <c r="AM558" i="1"/>
  <c r="S559" i="1"/>
  <c r="U559" i="1"/>
  <c r="AM559" i="1" s="1"/>
  <c r="AV559" i="1" s="1"/>
  <c r="S560" i="1"/>
  <c r="U560" i="1"/>
  <c r="AM560" i="1" s="1"/>
  <c r="S561" i="1"/>
  <c r="U561" i="1"/>
  <c r="AM561" i="1" s="1"/>
  <c r="S562" i="1"/>
  <c r="U562" i="1"/>
  <c r="AM562" i="1" s="1"/>
  <c r="S563" i="1"/>
  <c r="U563" i="1"/>
  <c r="AM563" i="1" s="1"/>
  <c r="S564" i="1"/>
  <c r="U564" i="1"/>
  <c r="AM564" i="1" s="1"/>
  <c r="S565" i="1"/>
  <c r="U565" i="1"/>
  <c r="AM565" i="1" s="1"/>
  <c r="S566" i="1"/>
  <c r="U566" i="1"/>
  <c r="AM566" i="1" s="1"/>
  <c r="S567" i="1"/>
  <c r="U567" i="1"/>
  <c r="AM567" i="1" s="1"/>
  <c r="AW567" i="1"/>
  <c r="S568" i="1"/>
  <c r="U568" i="1"/>
  <c r="AM568" i="1" s="1"/>
  <c r="AV568" i="1" s="1"/>
  <c r="S569" i="1"/>
  <c r="U569" i="1"/>
  <c r="AM569" i="1" s="1"/>
  <c r="AW569" i="1" s="1"/>
  <c r="S570" i="1"/>
  <c r="U570" i="1"/>
  <c r="AM570" i="1" s="1"/>
  <c r="S571" i="1"/>
  <c r="U571" i="1"/>
  <c r="AM571" i="1" s="1"/>
  <c r="S572" i="1"/>
  <c r="U572" i="1"/>
  <c r="AM572" i="1" s="1"/>
  <c r="AW572" i="1"/>
  <c r="S573" i="1"/>
  <c r="U573" i="1"/>
  <c r="AM573" i="1" s="1"/>
  <c r="AV573" i="1" s="1"/>
  <c r="S574" i="1"/>
  <c r="U574" i="1"/>
  <c r="AM574" i="1" s="1"/>
  <c r="AW574" i="1" s="1"/>
  <c r="S575" i="1"/>
  <c r="U575" i="1"/>
  <c r="AM575" i="1" s="1"/>
  <c r="S576" i="1"/>
  <c r="U576" i="1"/>
  <c r="AM576" i="1" s="1"/>
  <c r="S577" i="1"/>
  <c r="U577" i="1"/>
  <c r="AM577" i="1" s="1"/>
  <c r="S578" i="1"/>
  <c r="U578" i="1"/>
  <c r="AM578" i="1" s="1"/>
  <c r="AV578" i="1" s="1"/>
  <c r="S579" i="1"/>
  <c r="U579" i="1"/>
  <c r="AM579" i="1"/>
  <c r="S580" i="1"/>
  <c r="U580" i="1"/>
  <c r="AM580" i="1" s="1"/>
  <c r="S581" i="1"/>
  <c r="U581" i="1"/>
  <c r="AM581" i="1"/>
  <c r="S582" i="1"/>
  <c r="U582" i="1"/>
  <c r="AM582" i="1" s="1"/>
  <c r="S583" i="1"/>
  <c r="U583" i="1"/>
  <c r="AM583" i="1" s="1"/>
  <c r="AV583" i="1" s="1"/>
  <c r="S584" i="1"/>
  <c r="U584" i="1"/>
  <c r="AM584" i="1"/>
  <c r="AV584" i="1" s="1"/>
  <c r="S585" i="1"/>
  <c r="U585" i="1"/>
  <c r="AM585" i="1" s="1"/>
  <c r="S586" i="1"/>
  <c r="U586" i="1"/>
  <c r="AM586" i="1"/>
  <c r="S587" i="1"/>
  <c r="U587" i="1"/>
  <c r="AM587" i="1" s="1"/>
  <c r="AV587" i="1"/>
  <c r="S588" i="1"/>
  <c r="U588" i="1"/>
  <c r="AM588" i="1" s="1"/>
  <c r="AV588" i="1" s="1"/>
  <c r="S589" i="1"/>
  <c r="U589" i="1"/>
  <c r="AM589" i="1" s="1"/>
  <c r="AU589" i="1" s="1"/>
  <c r="S590" i="1"/>
  <c r="U590" i="1"/>
  <c r="AM590" i="1" s="1"/>
  <c r="S591" i="1"/>
  <c r="U591" i="1"/>
  <c r="AM591" i="1"/>
  <c r="S592" i="1"/>
  <c r="U592" i="1"/>
  <c r="AM592" i="1" s="1"/>
  <c r="S593" i="1"/>
  <c r="U593" i="1"/>
  <c r="AM593" i="1"/>
  <c r="AV593" i="1" s="1"/>
  <c r="S594" i="1"/>
  <c r="U594" i="1"/>
  <c r="AM594" i="1" s="1"/>
  <c r="S595" i="1"/>
  <c r="U595" i="1"/>
  <c r="AM595" i="1" s="1"/>
  <c r="S596" i="1"/>
  <c r="U596" i="1"/>
  <c r="AM596" i="1"/>
  <c r="S597" i="1"/>
  <c r="U597" i="1"/>
  <c r="AM597" i="1" s="1"/>
  <c r="S598" i="1"/>
  <c r="U598" i="1"/>
  <c r="AM598" i="1" s="1"/>
  <c r="AV598" i="1" s="1"/>
  <c r="S599" i="1"/>
  <c r="U599" i="1"/>
  <c r="AM599" i="1" s="1"/>
  <c r="S600" i="1"/>
  <c r="U600" i="1"/>
  <c r="AM600" i="1" s="1"/>
  <c r="S601" i="1"/>
  <c r="U601" i="1"/>
  <c r="AM601" i="1" s="1"/>
  <c r="S602" i="1"/>
  <c r="U602" i="1"/>
  <c r="AM602" i="1" s="1"/>
  <c r="S603" i="1"/>
  <c r="U603" i="1"/>
  <c r="AV603" i="1"/>
  <c r="AM603" i="1"/>
  <c r="S604" i="1"/>
  <c r="U604" i="1"/>
  <c r="AM604" i="1" s="1"/>
  <c r="S605" i="1"/>
  <c r="U605" i="1"/>
  <c r="AM605" i="1" s="1"/>
  <c r="S606" i="1"/>
  <c r="U606" i="1"/>
  <c r="AM606" i="1"/>
  <c r="AV606" i="1"/>
  <c r="AW606" i="1"/>
  <c r="S607" i="1"/>
  <c r="U607" i="1"/>
  <c r="AM607" i="1" s="1"/>
  <c r="S608" i="1"/>
  <c r="U608" i="1"/>
  <c r="AM608" i="1" s="1"/>
  <c r="AV608" i="1" s="1"/>
  <c r="S609" i="1"/>
  <c r="U609" i="1"/>
  <c r="AM609" i="1"/>
  <c r="AU609" i="1" s="1"/>
  <c r="S610" i="1"/>
  <c r="U610" i="1"/>
  <c r="AM610" i="1" s="1"/>
  <c r="S611" i="1"/>
  <c r="U611" i="1"/>
  <c r="AM611" i="1"/>
  <c r="S612" i="1"/>
  <c r="U612" i="1"/>
  <c r="AM612" i="1"/>
  <c r="S613" i="1"/>
  <c r="U613" i="1"/>
  <c r="AM613" i="1"/>
  <c r="AV613" i="1"/>
  <c r="S614" i="1"/>
  <c r="U614" i="1"/>
  <c r="AM614" i="1" s="1"/>
  <c r="S615" i="1"/>
  <c r="U615" i="1"/>
  <c r="AM615" i="1" s="1"/>
  <c r="S616" i="1"/>
  <c r="U616" i="1"/>
  <c r="AM616" i="1" s="1"/>
  <c r="AV616" i="1" s="1"/>
  <c r="S617" i="1"/>
  <c r="U617" i="1"/>
  <c r="AM617" i="1" s="1"/>
  <c r="AV617" i="1" s="1"/>
  <c r="S618" i="1"/>
  <c r="U618" i="1"/>
  <c r="AM618" i="1"/>
  <c r="AV618" i="1" s="1"/>
  <c r="S619" i="1"/>
  <c r="U619" i="1"/>
  <c r="AM619" i="1" s="1"/>
  <c r="S620" i="1"/>
  <c r="U620" i="1"/>
  <c r="AM620" i="1" s="1"/>
  <c r="S621" i="1"/>
  <c r="U621" i="1"/>
  <c r="AM621" i="1" s="1"/>
  <c r="S622" i="1"/>
  <c r="U622" i="1"/>
  <c r="AM622" i="1" s="1"/>
  <c r="S623" i="1"/>
  <c r="U623" i="1"/>
  <c r="AM623" i="1" s="1"/>
  <c r="AV623" i="1" s="1"/>
  <c r="S624" i="1"/>
  <c r="U624" i="1"/>
  <c r="AM624" i="1"/>
  <c r="S625" i="1"/>
  <c r="U625" i="1"/>
  <c r="AM625" i="1" s="1"/>
  <c r="S626" i="1"/>
  <c r="U626" i="1"/>
  <c r="AM626" i="1" s="1"/>
  <c r="S627" i="1"/>
  <c r="U627" i="1"/>
  <c r="AM627" i="1" s="1"/>
  <c r="S628" i="1"/>
  <c r="U628" i="1"/>
  <c r="AM628" i="1"/>
  <c r="S629" i="1"/>
  <c r="U629" i="1"/>
  <c r="AM629" i="1" s="1"/>
  <c r="AU629" i="1" s="1"/>
  <c r="S630" i="1"/>
  <c r="U630" i="1"/>
  <c r="AM630" i="1" s="1"/>
  <c r="S631" i="1"/>
  <c r="U631" i="1"/>
  <c r="AM631" i="1" s="1"/>
  <c r="S632" i="1"/>
  <c r="U632" i="1"/>
  <c r="AM632" i="1" s="1"/>
  <c r="S633" i="1"/>
  <c r="U633" i="1"/>
  <c r="AM633" i="1" s="1"/>
  <c r="S634" i="1"/>
  <c r="U634" i="1"/>
  <c r="AM634" i="1" s="1"/>
  <c r="AU634" i="1" s="1"/>
  <c r="S635" i="1"/>
  <c r="U635" i="1"/>
  <c r="AM635" i="1" s="1"/>
  <c r="AV635" i="1"/>
  <c r="S636" i="1"/>
  <c r="U636" i="1"/>
  <c r="AM636" i="1" s="1"/>
  <c r="AU636" i="1" s="1"/>
  <c r="AV636" i="1"/>
  <c r="S637" i="1"/>
  <c r="U637" i="1"/>
  <c r="AM637" i="1" s="1"/>
  <c r="S638" i="1"/>
  <c r="U638" i="1"/>
  <c r="AM638" i="1" s="1"/>
  <c r="AU638" i="1" s="1"/>
  <c r="S639" i="1"/>
  <c r="U639" i="1"/>
  <c r="AM639" i="1" s="1"/>
  <c r="S640" i="1"/>
  <c r="U640" i="1"/>
  <c r="AM640" i="1"/>
  <c r="S641" i="1"/>
  <c r="U641" i="1"/>
  <c r="AM641" i="1" s="1"/>
  <c r="S642" i="1"/>
  <c r="U642" i="1"/>
  <c r="AM642" i="1" s="1"/>
  <c r="S643" i="1"/>
  <c r="U643" i="1"/>
  <c r="AM643" i="1"/>
  <c r="S644" i="1"/>
  <c r="U644" i="1"/>
  <c r="AM644" i="1" s="1"/>
  <c r="AU644" i="1" s="1"/>
  <c r="S645" i="1"/>
  <c r="U645" i="1"/>
  <c r="AM645" i="1" s="1"/>
  <c r="S646" i="1"/>
  <c r="U646" i="1"/>
  <c r="AM646" i="1" s="1"/>
  <c r="AU646" i="1" s="1"/>
  <c r="S647" i="1"/>
  <c r="U647" i="1"/>
  <c r="AM647" i="1" s="1"/>
  <c r="S648" i="1"/>
  <c r="U648" i="1"/>
  <c r="AM648" i="1" s="1"/>
  <c r="S649" i="1"/>
  <c r="U649" i="1"/>
  <c r="AM649" i="1" s="1"/>
  <c r="S650" i="1"/>
  <c r="U650" i="1"/>
  <c r="AM650" i="1" s="1"/>
  <c r="S651" i="1"/>
  <c r="U651" i="1"/>
  <c r="AM651" i="1" s="1"/>
  <c r="S652" i="1"/>
  <c r="U652" i="1"/>
  <c r="AM652" i="1" s="1"/>
  <c r="AU652" i="1" s="1"/>
  <c r="S653" i="1"/>
  <c r="U653" i="1"/>
  <c r="AM653" i="1" s="1"/>
  <c r="S654" i="1"/>
  <c r="U654" i="1"/>
  <c r="AM654" i="1" s="1"/>
  <c r="S655" i="1"/>
  <c r="U655" i="1"/>
  <c r="AM655" i="1" s="1"/>
  <c r="S656" i="1"/>
  <c r="U656" i="1"/>
  <c r="AM656" i="1"/>
  <c r="S657" i="1"/>
  <c r="U657" i="1"/>
  <c r="AM657" i="1" s="1"/>
  <c r="AU657" i="1" s="1"/>
  <c r="S658" i="1"/>
  <c r="U658" i="1"/>
  <c r="AM658" i="1" s="1"/>
  <c r="S659" i="1"/>
  <c r="U659" i="1"/>
  <c r="AM659" i="1"/>
  <c r="AU659" i="1"/>
  <c r="S660" i="1"/>
  <c r="U660" i="1"/>
  <c r="AM660" i="1"/>
  <c r="S661" i="1"/>
  <c r="U661" i="1"/>
  <c r="AM661" i="1" s="1"/>
  <c r="S662" i="1"/>
  <c r="U662" i="1"/>
  <c r="AM662" i="1" s="1"/>
  <c r="S663" i="1"/>
  <c r="U663" i="1"/>
  <c r="AM663" i="1" s="1"/>
  <c r="S664" i="1"/>
  <c r="U664" i="1"/>
  <c r="AM664" i="1" s="1"/>
  <c r="S665" i="1"/>
  <c r="U665" i="1"/>
  <c r="AM665" i="1" s="1"/>
  <c r="S666" i="1"/>
  <c r="U666" i="1"/>
  <c r="AM666" i="1" s="1"/>
  <c r="S667" i="1"/>
  <c r="U667" i="1"/>
  <c r="AM667" i="1" s="1"/>
  <c r="S668" i="1"/>
  <c r="U668" i="1"/>
  <c r="AM668" i="1" s="1"/>
  <c r="S669" i="1"/>
  <c r="U669" i="1"/>
  <c r="AM669" i="1" s="1"/>
  <c r="S670" i="1"/>
  <c r="U670" i="1"/>
  <c r="AM670" i="1" s="1"/>
  <c r="S671" i="1"/>
  <c r="U671" i="1"/>
  <c r="AM671" i="1" s="1"/>
  <c r="S672" i="1"/>
  <c r="U672" i="1"/>
  <c r="AM672" i="1" s="1"/>
  <c r="S673" i="1"/>
  <c r="U673" i="1"/>
  <c r="AM673" i="1"/>
  <c r="S674" i="1"/>
  <c r="U674" i="1"/>
  <c r="AM674" i="1" s="1"/>
  <c r="S675" i="1"/>
  <c r="U675" i="1"/>
  <c r="AM675" i="1" s="1"/>
  <c r="S676" i="1"/>
  <c r="U676" i="1"/>
  <c r="AM676" i="1" s="1"/>
  <c r="S677" i="1"/>
  <c r="U677" i="1"/>
  <c r="AM677" i="1" s="1"/>
  <c r="S678" i="1"/>
  <c r="U678" i="1"/>
  <c r="AM678" i="1" s="1"/>
  <c r="S679" i="1"/>
  <c r="U679" i="1"/>
  <c r="AM679" i="1" s="1"/>
  <c r="S680" i="1"/>
  <c r="U680" i="1"/>
  <c r="AM680" i="1"/>
  <c r="S681" i="1"/>
  <c r="U681" i="1"/>
  <c r="AM681" i="1" s="1"/>
  <c r="S682" i="1"/>
  <c r="U682" i="1"/>
  <c r="AM682" i="1" s="1"/>
  <c r="S683" i="1"/>
  <c r="U683" i="1"/>
  <c r="AM683" i="1"/>
  <c r="S684" i="1"/>
  <c r="U684" i="1"/>
  <c r="AM684" i="1" s="1"/>
  <c r="S685" i="1"/>
  <c r="U685" i="1"/>
  <c r="AM685" i="1"/>
  <c r="S686" i="1"/>
  <c r="U686" i="1"/>
  <c r="AM686" i="1" s="1"/>
  <c r="S687" i="1"/>
  <c r="U687" i="1"/>
  <c r="AM687" i="1" s="1"/>
  <c r="S688" i="1"/>
  <c r="U688" i="1"/>
  <c r="AM688" i="1"/>
  <c r="S689" i="1"/>
  <c r="U689" i="1"/>
  <c r="AM689" i="1" s="1"/>
  <c r="S690" i="1"/>
  <c r="U690" i="1"/>
  <c r="AM690" i="1" s="1"/>
  <c r="S691" i="1"/>
  <c r="U691" i="1"/>
  <c r="AM691" i="1" s="1"/>
  <c r="S692" i="1"/>
  <c r="U692" i="1"/>
  <c r="AM692" i="1" s="1"/>
  <c r="S693" i="1"/>
  <c r="U693" i="1"/>
  <c r="AM693" i="1"/>
  <c r="S694" i="1"/>
  <c r="U694" i="1"/>
  <c r="AM694" i="1" s="1"/>
  <c r="S695" i="1"/>
  <c r="U695" i="1"/>
  <c r="AM695" i="1"/>
  <c r="S696" i="1"/>
  <c r="U696" i="1"/>
  <c r="AM696" i="1" s="1"/>
  <c r="S697" i="1"/>
  <c r="U697" i="1"/>
  <c r="AM697" i="1" s="1"/>
  <c r="S698" i="1"/>
  <c r="U698" i="1"/>
  <c r="AM698" i="1"/>
  <c r="S699" i="1"/>
  <c r="U699" i="1"/>
  <c r="AM699" i="1" s="1"/>
  <c r="S700" i="1"/>
  <c r="U700" i="1"/>
  <c r="AM700" i="1"/>
  <c r="S701" i="1"/>
  <c r="U701" i="1"/>
  <c r="AM701" i="1" s="1"/>
  <c r="S702" i="1"/>
  <c r="U702" i="1"/>
  <c r="AM702" i="1" s="1"/>
  <c r="S703" i="1"/>
  <c r="U703" i="1"/>
  <c r="AM703" i="1"/>
  <c r="S704" i="1"/>
  <c r="U704" i="1"/>
  <c r="AM704" i="1" s="1"/>
  <c r="S705" i="1"/>
  <c r="U705" i="1"/>
  <c r="AM705" i="1" s="1"/>
  <c r="S706" i="1"/>
  <c r="U706" i="1"/>
  <c r="AM706" i="1" s="1"/>
  <c r="AV706" i="1"/>
  <c r="S707" i="1"/>
  <c r="U707" i="1"/>
  <c r="AM707" i="1" s="1"/>
  <c r="S708" i="1"/>
  <c r="U708" i="1"/>
  <c r="AM708" i="1"/>
  <c r="S709" i="1"/>
  <c r="U709" i="1"/>
  <c r="AM709" i="1" s="1"/>
  <c r="S710" i="1"/>
  <c r="U710" i="1"/>
  <c r="AM710" i="1"/>
  <c r="S711" i="1"/>
  <c r="U711" i="1"/>
  <c r="AM711" i="1" s="1"/>
  <c r="S712" i="1"/>
  <c r="U712" i="1"/>
  <c r="AM712" i="1" s="1"/>
  <c r="S713" i="1"/>
  <c r="U713" i="1"/>
  <c r="AM713" i="1"/>
  <c r="S714" i="1"/>
  <c r="U714" i="1"/>
  <c r="AM714" i="1" s="1"/>
  <c r="S715" i="1"/>
  <c r="U715" i="1"/>
  <c r="AM715" i="1"/>
  <c r="AV715" i="1" s="1"/>
  <c r="S716" i="1"/>
  <c r="U716" i="1"/>
  <c r="AM716" i="1" s="1"/>
  <c r="S717" i="1"/>
  <c r="U717" i="1"/>
  <c r="AM717" i="1" s="1"/>
  <c r="S718" i="1"/>
  <c r="U718" i="1"/>
  <c r="AM718" i="1" s="1"/>
  <c r="AU718" i="1"/>
  <c r="S719" i="1"/>
  <c r="U719" i="1"/>
  <c r="AM719" i="1" s="1"/>
  <c r="S720" i="1"/>
  <c r="U720" i="1"/>
  <c r="AM720" i="1"/>
  <c r="S721" i="1"/>
  <c r="U721" i="1"/>
  <c r="AM721" i="1" s="1"/>
  <c r="S722" i="1"/>
  <c r="U722" i="1"/>
  <c r="AM722" i="1" s="1"/>
  <c r="S723" i="1"/>
  <c r="U723" i="1"/>
  <c r="AM723" i="1" s="1"/>
  <c r="AU723" i="1"/>
  <c r="S724" i="1"/>
  <c r="U724" i="1"/>
  <c r="AM724" i="1" s="1"/>
  <c r="S725" i="1"/>
  <c r="U725" i="1"/>
  <c r="AM725" i="1"/>
  <c r="S726" i="1"/>
  <c r="U726" i="1"/>
  <c r="AM726" i="1" s="1"/>
  <c r="AU726" i="1" s="1"/>
  <c r="S727" i="1"/>
  <c r="U727" i="1"/>
  <c r="AM727" i="1" s="1"/>
  <c r="S728" i="1"/>
  <c r="U728" i="1"/>
  <c r="AM728" i="1" s="1"/>
  <c r="S729" i="1"/>
  <c r="U729" i="1"/>
  <c r="AM729" i="1" s="1"/>
  <c r="S730" i="1"/>
  <c r="U730" i="1"/>
  <c r="AM730" i="1" s="1"/>
  <c r="AV730" i="1" s="1"/>
  <c r="S731" i="1"/>
  <c r="U731" i="1"/>
  <c r="AM731" i="1" s="1"/>
  <c r="S732" i="1"/>
  <c r="U732" i="1"/>
  <c r="AM732" i="1" s="1"/>
  <c r="S733" i="1"/>
  <c r="U733" i="1"/>
  <c r="AM733" i="1" s="1"/>
  <c r="S734" i="1"/>
  <c r="U734" i="1"/>
  <c r="AM734" i="1" s="1"/>
  <c r="S735" i="1"/>
  <c r="U735" i="1"/>
  <c r="AM735" i="1" s="1"/>
  <c r="AV735" i="1" s="1"/>
  <c r="S736" i="1"/>
  <c r="U736" i="1"/>
  <c r="AM736" i="1" s="1"/>
  <c r="S737" i="1"/>
  <c r="U737" i="1"/>
  <c r="AM737" i="1" s="1"/>
  <c r="S738" i="1"/>
  <c r="U738" i="1"/>
  <c r="AM738" i="1" s="1"/>
  <c r="S739" i="1"/>
  <c r="U739" i="1"/>
  <c r="AM739" i="1" s="1"/>
  <c r="S740" i="1"/>
  <c r="U740" i="1"/>
  <c r="AM740" i="1"/>
  <c r="S741" i="1"/>
  <c r="U741" i="1"/>
  <c r="AM741" i="1" s="1"/>
  <c r="S742" i="1"/>
  <c r="U742" i="1"/>
  <c r="AM742" i="1" s="1"/>
  <c r="S743" i="1"/>
  <c r="U743" i="1"/>
  <c r="AM743" i="1" s="1"/>
  <c r="AU743" i="1"/>
  <c r="S744" i="1"/>
  <c r="U744" i="1"/>
  <c r="AM744" i="1" s="1"/>
  <c r="S745" i="1"/>
  <c r="U745" i="1"/>
  <c r="AM745" i="1"/>
  <c r="AV745" i="1" s="1"/>
  <c r="S746" i="1"/>
  <c r="U746" i="1"/>
  <c r="AM746" i="1" s="1"/>
  <c r="S747" i="1"/>
  <c r="U747" i="1"/>
  <c r="AM747" i="1" s="1"/>
  <c r="S748" i="1"/>
  <c r="U748" i="1"/>
  <c r="AM748" i="1" s="1"/>
  <c r="S749" i="1"/>
  <c r="U749" i="1"/>
  <c r="AM749" i="1" s="1"/>
  <c r="S750" i="1"/>
  <c r="U750" i="1"/>
  <c r="AM750" i="1"/>
  <c r="S751" i="1"/>
  <c r="U751" i="1"/>
  <c r="AM751" i="1" s="1"/>
  <c r="S752" i="1"/>
  <c r="U752" i="1"/>
  <c r="AM752" i="1"/>
  <c r="S753" i="1"/>
  <c r="U753" i="1"/>
  <c r="AM753" i="1" s="1"/>
  <c r="AU753" i="1"/>
  <c r="S754" i="1"/>
  <c r="U754" i="1"/>
  <c r="AM754" i="1" s="1"/>
  <c r="S755" i="1"/>
  <c r="U755" i="1"/>
  <c r="AM755" i="1"/>
  <c r="AV755" i="1" s="1"/>
  <c r="S756" i="1"/>
  <c r="U756" i="1"/>
  <c r="AM756" i="1" s="1"/>
  <c r="S757" i="1"/>
  <c r="U757" i="1"/>
  <c r="AM757" i="1" s="1"/>
  <c r="S758" i="1"/>
  <c r="U758" i="1"/>
  <c r="AM758" i="1" s="1"/>
  <c r="AU758" i="1"/>
  <c r="S759" i="1"/>
  <c r="U759" i="1"/>
  <c r="AM759" i="1" s="1"/>
  <c r="S760" i="1"/>
  <c r="U760" i="1"/>
  <c r="AM760" i="1"/>
  <c r="S761" i="1"/>
  <c r="U761" i="1"/>
  <c r="AM761" i="1" s="1"/>
  <c r="S762" i="1"/>
  <c r="U762" i="1"/>
  <c r="AM762" i="1" s="1"/>
  <c r="S763" i="1"/>
  <c r="U763" i="1"/>
  <c r="AM763" i="1" s="1"/>
  <c r="S764" i="1"/>
  <c r="U764" i="1"/>
  <c r="AM764" i="1" s="1"/>
  <c r="S765" i="1"/>
  <c r="U765" i="1"/>
  <c r="AM765" i="1" s="1"/>
  <c r="S766" i="1"/>
  <c r="U766" i="1"/>
  <c r="AM766" i="1" s="1"/>
  <c r="S767" i="1"/>
  <c r="U767" i="1"/>
  <c r="AM767" i="1" s="1"/>
  <c r="S768" i="1"/>
  <c r="U768" i="1"/>
  <c r="AM768" i="1" s="1"/>
  <c r="S769" i="1"/>
  <c r="U769" i="1"/>
  <c r="AM769" i="1" s="1"/>
  <c r="S770" i="1"/>
  <c r="U770" i="1"/>
  <c r="AV770" i="1"/>
  <c r="AM770" i="1"/>
  <c r="S771" i="1"/>
  <c r="U771" i="1"/>
  <c r="AM771" i="1" s="1"/>
  <c r="S772" i="1"/>
  <c r="U772" i="1"/>
  <c r="AM772" i="1" s="1"/>
  <c r="S773" i="1"/>
  <c r="U773" i="1"/>
  <c r="AM773" i="1" s="1"/>
  <c r="S774" i="1"/>
  <c r="U774" i="1"/>
  <c r="AM774" i="1" s="1"/>
  <c r="S775" i="1"/>
  <c r="U775" i="1"/>
  <c r="AM775" i="1" s="1"/>
  <c r="AV775" i="1" s="1"/>
  <c r="S776" i="1"/>
  <c r="U776" i="1"/>
  <c r="AM776" i="1" s="1"/>
  <c r="AV776" i="1"/>
  <c r="S777" i="1"/>
  <c r="U777" i="1"/>
  <c r="AM777" i="1"/>
  <c r="S778" i="1"/>
  <c r="U778" i="1"/>
  <c r="AM778" i="1" s="1"/>
  <c r="AU778" i="1"/>
  <c r="S779" i="1"/>
  <c r="U779" i="1"/>
  <c r="AM779" i="1" s="1"/>
  <c r="S780" i="1"/>
  <c r="U780" i="1"/>
  <c r="AM780" i="1"/>
  <c r="S781" i="1"/>
  <c r="U781" i="1"/>
  <c r="AM781" i="1" s="1"/>
  <c r="S782" i="1"/>
  <c r="U782" i="1"/>
  <c r="AM782" i="1" s="1"/>
  <c r="S783" i="1"/>
  <c r="U783" i="1"/>
  <c r="AM783" i="1" s="1"/>
  <c r="S784" i="1"/>
  <c r="U784" i="1"/>
  <c r="AM784" i="1" s="1"/>
  <c r="S785" i="1"/>
  <c r="U785" i="1"/>
  <c r="AM785" i="1"/>
  <c r="S786" i="1"/>
  <c r="U786" i="1"/>
  <c r="AM786" i="1" s="1"/>
  <c r="S787" i="1"/>
  <c r="U787" i="1"/>
  <c r="AM787" i="1" s="1"/>
  <c r="S788" i="1"/>
  <c r="U788" i="1"/>
  <c r="AM788" i="1" s="1"/>
  <c r="S789" i="1"/>
  <c r="U789" i="1"/>
  <c r="AM789" i="1" s="1"/>
  <c r="S790" i="1"/>
  <c r="U790" i="1"/>
  <c r="AM790" i="1" s="1"/>
  <c r="AV790" i="1"/>
  <c r="S791" i="1"/>
  <c r="U791" i="1"/>
  <c r="AM791" i="1" s="1"/>
  <c r="S792" i="1"/>
  <c r="U792" i="1"/>
  <c r="AM792" i="1" s="1"/>
  <c r="S793" i="1"/>
  <c r="U793" i="1"/>
  <c r="AM793" i="1" s="1"/>
  <c r="S794" i="1"/>
  <c r="U794" i="1"/>
  <c r="AM794" i="1" s="1"/>
  <c r="S795" i="1"/>
  <c r="U795" i="1"/>
  <c r="AM795" i="1" s="1"/>
  <c r="S796" i="1"/>
  <c r="U796" i="1"/>
  <c r="AM796" i="1" s="1"/>
  <c r="S797" i="1"/>
  <c r="U797" i="1"/>
  <c r="AM797" i="1" s="1"/>
  <c r="S798" i="1"/>
  <c r="U798" i="1"/>
  <c r="AM798" i="1" s="1"/>
  <c r="S799" i="1"/>
  <c r="U799" i="1"/>
  <c r="AM799" i="1" s="1"/>
  <c r="S800" i="1"/>
  <c r="U800" i="1"/>
  <c r="AM800" i="1" s="1"/>
  <c r="S801" i="1"/>
  <c r="U801" i="1"/>
  <c r="AM801" i="1" s="1"/>
  <c r="S802" i="1"/>
  <c r="U802" i="1"/>
  <c r="AM802" i="1" s="1"/>
  <c r="S803" i="1"/>
  <c r="U803" i="1"/>
  <c r="AM803" i="1" s="1"/>
  <c r="S804" i="1"/>
  <c r="U804" i="1"/>
  <c r="AM804" i="1" s="1"/>
  <c r="S805" i="1"/>
  <c r="U805" i="1"/>
  <c r="AM805" i="1" s="1"/>
  <c r="AV805" i="1"/>
  <c r="S806" i="1"/>
  <c r="U806" i="1"/>
  <c r="AM806" i="1" s="1"/>
  <c r="S807" i="1"/>
  <c r="U807" i="1"/>
  <c r="AM807" i="1" s="1"/>
  <c r="S808" i="1"/>
  <c r="U808" i="1"/>
  <c r="AM808" i="1" s="1"/>
  <c r="S809" i="1"/>
  <c r="U809" i="1"/>
  <c r="AM809" i="1" s="1"/>
  <c r="S810" i="1"/>
  <c r="U810" i="1"/>
  <c r="AM810" i="1" s="1"/>
  <c r="S811" i="1"/>
  <c r="U811" i="1"/>
  <c r="AM811" i="1" s="1"/>
  <c r="S812" i="1"/>
  <c r="U812" i="1"/>
  <c r="AM812" i="1" s="1"/>
  <c r="S813" i="1"/>
  <c r="U813" i="1"/>
  <c r="AM813" i="1" s="1"/>
  <c r="S814" i="1"/>
  <c r="U814" i="1"/>
  <c r="AM814" i="1" s="1"/>
  <c r="S815" i="1"/>
  <c r="U815" i="1"/>
  <c r="AM815" i="1"/>
  <c r="AV740" i="1" l="1"/>
  <c r="AW522" i="1"/>
  <c r="AW482" i="1"/>
  <c r="AV382" i="1"/>
  <c r="AV142" i="1"/>
  <c r="AV122" i="1"/>
  <c r="AV102" i="1"/>
  <c r="AV82" i="1"/>
  <c r="AV22" i="1"/>
  <c r="AV800" i="1"/>
  <c r="AV720" i="1"/>
  <c r="AU801" i="1"/>
  <c r="AV780" i="1"/>
  <c r="AV320" i="1"/>
  <c r="AU761" i="1"/>
  <c r="AV621" i="1"/>
  <c r="AV731" i="1"/>
  <c r="AV691" i="1"/>
  <c r="AU531" i="1"/>
  <c r="AU602" i="1"/>
  <c r="AV62" i="1"/>
  <c r="AU771" i="1"/>
  <c r="AV162" i="1"/>
  <c r="AV202" i="1"/>
  <c r="AU751" i="1"/>
  <c r="AV339" i="1"/>
  <c r="AW339" i="1"/>
  <c r="AV597" i="1"/>
  <c r="AV657" i="1"/>
  <c r="AV99" i="1"/>
  <c r="AU64" i="1"/>
  <c r="AV64" i="1"/>
  <c r="AV633" i="1"/>
  <c r="AW633" i="1"/>
  <c r="AU428" i="1"/>
  <c r="AV428" i="1"/>
  <c r="AV349" i="1"/>
  <c r="AV220" i="1"/>
  <c r="AU649" i="1"/>
  <c r="AV649" i="1"/>
  <c r="AW649" i="1"/>
  <c r="AV785" i="1"/>
  <c r="AV611" i="1"/>
  <c r="AW611" i="1"/>
  <c r="AV74" i="1"/>
  <c r="AU358" i="1"/>
  <c r="AV648" i="1"/>
  <c r="AW648" i="1"/>
  <c r="AV765" i="1"/>
  <c r="AV564" i="1"/>
  <c r="AU424" i="1"/>
  <c r="AV405" i="1"/>
  <c r="AV387" i="1"/>
  <c r="AU264" i="1"/>
  <c r="AV108" i="1"/>
  <c r="AU711" i="1"/>
  <c r="AV705" i="1"/>
  <c r="AV612" i="1"/>
  <c r="AV305" i="1"/>
  <c r="AW248" i="1"/>
  <c r="AV204" i="1"/>
  <c r="AV94" i="1"/>
  <c r="AW657" i="1"/>
  <c r="AU541" i="1"/>
  <c r="AU269" i="1"/>
  <c r="AV199" i="1"/>
  <c r="AV134" i="1"/>
  <c r="AV118" i="1"/>
  <c r="AV83" i="1"/>
  <c r="AV716" i="1"/>
  <c r="AV710" i="1"/>
  <c r="AV686" i="1"/>
  <c r="AU423" i="1"/>
  <c r="AU404" i="1"/>
  <c r="AV179" i="1"/>
  <c r="AV69" i="1"/>
  <c r="AU558" i="1"/>
  <c r="AU373" i="1"/>
  <c r="AU323" i="1"/>
  <c r="AV203" i="1"/>
  <c r="AV194" i="1"/>
  <c r="AV150" i="1"/>
  <c r="AW811" i="1"/>
  <c r="AU563" i="1"/>
  <c r="AU392" i="1"/>
  <c r="AW367" i="1"/>
  <c r="AW362" i="1"/>
  <c r="AU346" i="1"/>
  <c r="AU291" i="1"/>
  <c r="AV188" i="1"/>
  <c r="AV128" i="1"/>
  <c r="AV88" i="1"/>
  <c r="AU422" i="1"/>
  <c r="AW322" i="1"/>
  <c r="AU316" i="1"/>
  <c r="AV155" i="1"/>
  <c r="AU102" i="1"/>
  <c r="AU606" i="1"/>
  <c r="AV572" i="1"/>
  <c r="AV138" i="1"/>
  <c r="AU106" i="1"/>
  <c r="AV63" i="1"/>
  <c r="AV44" i="1"/>
  <c r="AW636" i="1"/>
  <c r="AU587" i="1"/>
  <c r="AU572" i="1"/>
  <c r="AU443" i="1"/>
  <c r="AU371" i="1"/>
  <c r="AU328" i="1"/>
  <c r="AV795" i="1"/>
  <c r="AU488" i="1"/>
  <c r="AU267" i="1"/>
  <c r="AV159" i="1"/>
  <c r="AU81" i="1"/>
  <c r="AV33" i="1"/>
  <c r="AU696" i="1"/>
  <c r="AV625" i="1"/>
  <c r="AU471" i="1"/>
  <c r="AW437" i="1"/>
  <c r="AV431" i="1"/>
  <c r="AU365" i="1"/>
  <c r="AW261" i="1"/>
  <c r="AV163" i="1"/>
  <c r="AV19" i="1"/>
  <c r="AU763" i="1"/>
  <c r="AU215" i="1"/>
  <c r="AU701" i="1"/>
  <c r="AU671" i="1"/>
  <c r="AU333" i="1"/>
  <c r="AU235" i="1"/>
  <c r="AV224" i="1"/>
  <c r="AV172" i="1"/>
  <c r="AV153" i="1"/>
  <c r="AU110" i="1"/>
  <c r="AU756" i="1"/>
  <c r="AV425" i="1"/>
  <c r="AU413" i="1"/>
  <c r="AU343" i="1"/>
  <c r="AV219" i="1"/>
  <c r="AW507" i="1"/>
  <c r="AU419" i="1"/>
  <c r="AU375" i="1"/>
  <c r="AV300" i="1"/>
  <c r="AV249" i="1"/>
  <c r="AV157" i="1"/>
  <c r="AU564" i="1"/>
  <c r="AW424" i="1"/>
  <c r="AV369" i="1"/>
  <c r="AU783" i="1"/>
  <c r="AU612" i="1"/>
  <c r="AV549" i="1"/>
  <c r="AV424" i="1"/>
  <c r="AU270" i="1"/>
  <c r="AV239" i="1"/>
  <c r="AU29" i="1"/>
  <c r="AV29" i="1"/>
  <c r="AW586" i="1"/>
  <c r="AV656" i="1"/>
  <c r="AW656" i="1"/>
  <c r="AU643" i="1"/>
  <c r="AV643" i="1"/>
  <c r="AW643" i="1"/>
  <c r="AU79" i="1"/>
  <c r="AV79" i="1"/>
  <c r="AU4" i="1"/>
  <c r="AV4" i="1"/>
  <c r="AU508" i="1"/>
  <c r="AV508" i="1"/>
  <c r="AU735" i="1"/>
  <c r="AU621" i="1"/>
  <c r="AU412" i="1"/>
  <c r="AV412" i="1"/>
  <c r="AU781" i="1"/>
  <c r="AV630" i="1"/>
  <c r="AU551" i="1"/>
  <c r="AU533" i="1"/>
  <c r="AV533" i="1"/>
  <c r="AU506" i="1"/>
  <c r="AU501" i="1"/>
  <c r="AU486" i="1"/>
  <c r="AU433" i="1"/>
  <c r="AV433" i="1"/>
  <c r="AU398" i="1"/>
  <c r="AU154" i="1"/>
  <c r="AV154" i="1"/>
  <c r="AU705" i="1"/>
  <c r="AU780" i="1"/>
  <c r="AU673" i="1"/>
  <c r="AW635" i="1"/>
  <c r="AU611" i="1"/>
  <c r="AU597" i="1"/>
  <c r="AU579" i="1"/>
  <c r="AV579" i="1"/>
  <c r="AW579" i="1"/>
  <c r="AU511" i="1"/>
  <c r="AU496" i="1"/>
  <c r="AU491" i="1"/>
  <c r="AW433" i="1"/>
  <c r="AU21" i="1"/>
  <c r="AU632" i="1"/>
  <c r="AU741" i="1"/>
  <c r="AU359" i="1"/>
  <c r="AV359" i="1"/>
  <c r="AW359" i="1"/>
  <c r="AU770" i="1"/>
  <c r="AW616" i="1"/>
  <c r="AU775" i="1"/>
  <c r="AU691" i="1"/>
  <c r="AU796" i="1"/>
  <c r="AU785" i="1"/>
  <c r="AV751" i="1"/>
  <c r="AV726" i="1"/>
  <c r="AV696" i="1"/>
  <c r="AU661" i="1"/>
  <c r="AU648" i="1"/>
  <c r="AV629" i="1"/>
  <c r="AU619" i="1"/>
  <c r="AV574" i="1"/>
  <c r="AV443" i="1"/>
  <c r="AW368" i="1"/>
  <c r="AW363" i="1"/>
  <c r="AW264" i="1"/>
  <c r="AU121" i="1"/>
  <c r="AU92" i="1"/>
  <c r="AV92" i="1"/>
  <c r="AU693" i="1"/>
  <c r="AU513" i="1"/>
  <c r="AV513" i="1"/>
  <c r="AV634" i="1"/>
  <c r="AU516" i="1"/>
  <c r="AU505" i="1"/>
  <c r="AV427" i="1"/>
  <c r="AU330" i="1"/>
  <c r="AV264" i="1"/>
  <c r="AU190" i="1"/>
  <c r="AV190" i="1"/>
  <c r="AW190" i="1"/>
  <c r="AU25" i="1"/>
  <c r="AU42" i="1"/>
  <c r="AV42" i="1"/>
  <c r="AV144" i="1"/>
  <c r="AU17" i="1"/>
  <c r="AV17" i="1"/>
  <c r="AU538" i="1"/>
  <c r="AV538" i="1"/>
  <c r="AU521" i="1"/>
  <c r="AU403" i="1"/>
  <c r="AU681" i="1"/>
  <c r="AU594" i="1"/>
  <c r="AU394" i="1"/>
  <c r="AV394" i="1"/>
  <c r="AW394" i="1"/>
  <c r="AU631" i="1"/>
  <c r="AU786" i="1"/>
  <c r="AU746" i="1"/>
  <c r="AU556" i="1"/>
  <c r="AU678" i="1"/>
  <c r="AU773" i="1"/>
  <c r="AV756" i="1"/>
  <c r="AV750" i="1"/>
  <c r="AV725" i="1"/>
  <c r="AU713" i="1"/>
  <c r="AV701" i="1"/>
  <c r="AU666" i="1"/>
  <c r="AV660" i="1"/>
  <c r="AW564" i="1"/>
  <c r="AV554" i="1"/>
  <c r="AU228" i="1"/>
  <c r="AV195" i="1"/>
  <c r="AW195" i="1"/>
  <c r="AV104" i="1"/>
  <c r="AU96" i="1"/>
  <c r="AV57" i="1"/>
  <c r="AU34" i="1"/>
  <c r="AV34" i="1"/>
  <c r="AU721" i="1"/>
  <c r="AU790" i="1"/>
  <c r="AU596" i="1"/>
  <c r="AW596" i="1"/>
  <c r="AU100" i="1"/>
  <c r="AU24" i="1"/>
  <c r="AV24" i="1"/>
  <c r="AU493" i="1"/>
  <c r="AW354" i="1"/>
  <c r="AU795" i="1"/>
  <c r="AU731" i="1"/>
  <c r="AU683" i="1"/>
  <c r="AU656" i="1"/>
  <c r="AU578" i="1"/>
  <c r="AW537" i="1"/>
  <c r="AV537" i="1"/>
  <c r="AU463" i="1"/>
  <c r="AV458" i="1"/>
  <c r="AU408" i="1"/>
  <c r="AU67" i="1"/>
  <c r="AV67" i="1"/>
  <c r="AU810" i="1"/>
  <c r="AU815" i="1"/>
  <c r="AU791" i="1"/>
  <c r="AU543" i="1"/>
  <c r="AV543" i="1"/>
  <c r="AW378" i="1"/>
  <c r="AV252" i="1"/>
  <c r="AW252" i="1"/>
  <c r="AV217" i="1"/>
  <c r="AU109" i="1"/>
  <c r="AV109" i="1"/>
  <c r="AU14" i="1"/>
  <c r="AV14" i="1"/>
  <c r="AU9" i="1"/>
  <c r="AV9" i="1"/>
  <c r="AU451" i="1"/>
  <c r="AW451" i="1"/>
  <c r="AU349" i="1"/>
  <c r="AU46" i="1"/>
  <c r="AW417" i="1"/>
  <c r="AU417" i="1"/>
  <c r="AV417" i="1"/>
  <c r="AW640" i="1"/>
  <c r="AU703" i="1"/>
  <c r="AU59" i="1"/>
  <c r="AV59" i="1"/>
  <c r="AU573" i="1"/>
  <c r="AV558" i="1"/>
  <c r="AU468" i="1"/>
  <c r="AV468" i="1"/>
  <c r="AU430" i="1"/>
  <c r="AW430" i="1"/>
  <c r="AU503" i="1"/>
  <c r="AV503" i="1"/>
  <c r="AU776" i="1"/>
  <c r="AW429" i="1"/>
  <c r="AU429" i="1"/>
  <c r="AV429" i="1"/>
  <c r="AU765" i="1"/>
  <c r="AV272" i="1"/>
  <c r="AU50" i="1"/>
  <c r="AU313" i="1"/>
  <c r="AV132" i="1"/>
  <c r="AV810" i="1"/>
  <c r="AV563" i="1"/>
  <c r="AV609" i="1"/>
  <c r="AU568" i="1"/>
  <c r="AV488" i="1"/>
  <c r="AU407" i="1"/>
  <c r="AV407" i="1"/>
  <c r="AU124" i="1"/>
  <c r="AV124" i="1"/>
  <c r="AU119" i="1"/>
  <c r="AV119" i="1"/>
  <c r="AU71" i="1"/>
  <c r="AU760" i="1"/>
  <c r="AU134" i="1"/>
  <c r="AU84" i="1"/>
  <c r="AV84" i="1"/>
  <c r="AU716" i="1"/>
  <c r="AU686" i="1"/>
  <c r="AU800" i="1"/>
  <c r="AU706" i="1"/>
  <c r="AU805" i="1"/>
  <c r="AU766" i="1"/>
  <c r="AV760" i="1"/>
  <c r="AU688" i="1"/>
  <c r="AV815" i="1"/>
  <c r="AU736" i="1"/>
  <c r="AU548" i="1"/>
  <c r="AV548" i="1"/>
  <c r="AV542" i="1"/>
  <c r="AV493" i="1"/>
  <c r="AV483" i="1"/>
  <c r="AU478" i="1"/>
  <c r="AV242" i="1"/>
  <c r="AW242" i="1"/>
  <c r="AU75" i="1"/>
  <c r="AV32" i="1"/>
  <c r="AU583" i="1"/>
  <c r="AV547" i="1"/>
  <c r="AW532" i="1"/>
  <c r="AV527" i="1"/>
  <c r="AW512" i="1"/>
  <c r="AU498" i="1"/>
  <c r="AU446" i="1"/>
  <c r="AW383" i="1"/>
  <c r="AW318" i="1"/>
  <c r="AV237" i="1"/>
  <c r="AW233" i="1"/>
  <c r="AU205" i="1"/>
  <c r="AV197" i="1"/>
  <c r="AV193" i="1"/>
  <c r="AV185" i="1"/>
  <c r="AU225" i="1"/>
  <c r="AV145" i="1"/>
  <c r="AU441" i="1"/>
  <c r="AW288" i="1"/>
  <c r="AW228" i="1"/>
  <c r="AU112" i="1"/>
  <c r="AU87" i="1"/>
  <c r="AU62" i="1"/>
  <c r="AU49" i="1"/>
  <c r="AU37" i="1"/>
  <c r="AU12" i="1"/>
  <c r="AU483" i="1"/>
  <c r="AW323" i="1"/>
  <c r="AW272" i="1"/>
  <c r="AU253" i="1"/>
  <c r="AW245" i="1"/>
  <c r="AV228" i="1"/>
  <c r="AV103" i="1"/>
  <c r="AV78" i="1"/>
  <c r="AV53" i="1"/>
  <c r="AU436" i="1"/>
  <c r="AW358" i="1"/>
  <c r="AW220" i="1"/>
  <c r="AV212" i="1"/>
  <c r="AU200" i="1"/>
  <c r="AV180" i="1"/>
  <c r="AV160" i="1"/>
  <c r="AU473" i="1"/>
  <c r="AU440" i="1"/>
  <c r="AU397" i="1"/>
  <c r="AU382" i="1"/>
  <c r="AU370" i="1"/>
  <c r="AW343" i="1"/>
  <c r="AW293" i="1"/>
  <c r="AV232" i="1"/>
  <c r="AW328" i="1"/>
  <c r="AU111" i="1"/>
  <c r="AU107" i="1"/>
  <c r="AU90" i="1"/>
  <c r="AU86" i="1"/>
  <c r="AU82" i="1"/>
  <c r="AU65" i="1"/>
  <c r="AU61" i="1"/>
  <c r="AU57" i="1"/>
  <c r="AU40" i="1"/>
  <c r="AU36" i="1"/>
  <c r="AU32" i="1"/>
  <c r="AU15" i="1"/>
  <c r="AU11" i="1"/>
  <c r="AU7" i="1"/>
  <c r="AU402" i="1"/>
  <c r="AU387" i="1"/>
  <c r="AW338" i="1"/>
  <c r="AV310" i="1"/>
  <c r="AU272" i="1"/>
  <c r="AW267" i="1"/>
  <c r="AU257" i="1"/>
  <c r="AW235" i="1"/>
  <c r="AV215" i="1"/>
  <c r="AU458" i="1"/>
  <c r="AW422" i="1"/>
  <c r="AW369" i="1"/>
  <c r="AW348" i="1"/>
  <c r="AW298" i="1"/>
  <c r="AU248" i="1"/>
  <c r="AU159" i="1"/>
  <c r="AW467" i="1"/>
  <c r="AU453" i="1"/>
  <c r="AW352" i="1"/>
  <c r="AW333" i="1"/>
  <c r="AW327" i="1"/>
  <c r="AU321" i="1"/>
  <c r="AU315" i="1"/>
  <c r="AU262" i="1"/>
  <c r="AV183" i="1"/>
  <c r="AV175" i="1"/>
  <c r="AV139" i="1"/>
  <c r="AV114" i="1"/>
  <c r="AV89" i="1"/>
  <c r="AU77" i="1"/>
  <c r="AU60" i="1"/>
  <c r="AU56" i="1"/>
  <c r="AU52" i="1"/>
  <c r="AU39" i="1"/>
  <c r="AU35" i="1"/>
  <c r="AU31" i="1"/>
  <c r="AU27" i="1"/>
  <c r="AU2" i="1"/>
  <c r="AU481" i="1"/>
  <c r="AU448" i="1"/>
  <c r="AV430" i="1"/>
  <c r="AV364" i="1"/>
  <c r="AU341" i="1"/>
  <c r="AW303" i="1"/>
  <c r="AW297" i="1"/>
  <c r="AW285" i="1"/>
  <c r="AW281" i="1"/>
  <c r="AW271" i="1"/>
  <c r="AW266" i="1"/>
  <c r="AW256" i="1"/>
  <c r="AU252" i="1"/>
  <c r="AU195" i="1"/>
  <c r="AV187" i="1"/>
  <c r="AV143" i="1"/>
  <c r="AU131" i="1"/>
  <c r="AV127" i="1"/>
  <c r="AV93" i="1"/>
  <c r="AV68" i="1"/>
  <c r="AV43" i="1"/>
  <c r="AU476" i="1"/>
  <c r="AV400" i="1"/>
  <c r="AV385" i="1"/>
  <c r="AV628" i="1"/>
  <c r="AU588" i="1"/>
  <c r="AU466" i="1"/>
  <c r="AW308" i="1"/>
  <c r="AU230" i="1"/>
  <c r="AU210" i="1"/>
  <c r="AV158" i="1"/>
  <c r="AU105" i="1"/>
  <c r="AU101" i="1"/>
  <c r="AU97" i="1"/>
  <c r="AU80" i="1"/>
  <c r="AU76" i="1"/>
  <c r="AU72" i="1"/>
  <c r="AU55" i="1"/>
  <c r="AU51" i="1"/>
  <c r="AU47" i="1"/>
  <c r="AU30" i="1"/>
  <c r="AU26" i="1"/>
  <c r="AU22" i="1"/>
  <c r="AU5" i="1"/>
  <c r="AU613" i="1"/>
  <c r="AW609" i="1"/>
  <c r="AU553" i="1"/>
  <c r="AU523" i="1"/>
  <c r="AU461" i="1"/>
  <c r="AU438" i="1"/>
  <c r="AV420" i="1"/>
  <c r="AU285" i="1"/>
  <c r="AW280" i="1"/>
  <c r="AV247" i="1"/>
  <c r="AV222" i="1"/>
  <c r="AU126" i="1"/>
  <c r="AU676" i="1"/>
  <c r="AU642" i="1"/>
  <c r="AU637" i="1"/>
  <c r="AU601" i="1"/>
  <c r="AW562" i="1"/>
  <c r="AU528" i="1"/>
  <c r="AU518" i="1"/>
  <c r="AU456" i="1"/>
  <c r="AU414" i="1"/>
  <c r="AV325" i="1"/>
  <c r="AW205" i="1"/>
  <c r="AU113" i="1"/>
  <c r="AU88" i="1"/>
  <c r="AU63" i="1"/>
  <c r="AU38" i="1"/>
  <c r="AU13" i="1"/>
  <c r="AU799" i="1"/>
  <c r="AV799" i="1"/>
  <c r="AW799" i="1"/>
  <c r="AU793" i="1"/>
  <c r="AU782" i="1"/>
  <c r="AV782" i="1"/>
  <c r="AW782" i="1"/>
  <c r="AU748" i="1"/>
  <c r="AU742" i="1"/>
  <c r="AV742" i="1"/>
  <c r="AW742" i="1"/>
  <c r="AU717" i="1"/>
  <c r="AV717" i="1"/>
  <c r="AW717" i="1"/>
  <c r="AU664" i="1"/>
  <c r="AV664" i="1"/>
  <c r="AW664" i="1"/>
  <c r="AU627" i="1"/>
  <c r="AW627" i="1"/>
  <c r="AU754" i="1"/>
  <c r="AV754" i="1"/>
  <c r="AW754" i="1"/>
  <c r="AU699" i="1"/>
  <c r="AV699" i="1"/>
  <c r="AW699" i="1"/>
  <c r="AV681" i="1"/>
  <c r="AU675" i="1"/>
  <c r="AV675" i="1"/>
  <c r="AW675" i="1"/>
  <c r="AU654" i="1"/>
  <c r="AV627" i="1"/>
  <c r="AU622" i="1"/>
  <c r="AU617" i="1"/>
  <c r="AU804" i="1"/>
  <c r="AV804" i="1"/>
  <c r="AW804" i="1"/>
  <c r="AU798" i="1"/>
  <c r="AU787" i="1"/>
  <c r="AV787" i="1"/>
  <c r="AW787" i="1"/>
  <c r="AV781" i="1"/>
  <c r="AU729" i="1"/>
  <c r="AV729" i="1"/>
  <c r="AW729" i="1"/>
  <c r="AU687" i="1"/>
  <c r="AV687" i="1"/>
  <c r="AW687" i="1"/>
  <c r="AU658" i="1"/>
  <c r="AV654" i="1"/>
  <c r="AW654" i="1"/>
  <c r="AV645" i="1"/>
  <c r="AV641" i="1"/>
  <c r="AW641" i="1"/>
  <c r="AV632" i="1"/>
  <c r="AU710" i="1"/>
  <c r="AU669" i="1"/>
  <c r="AV669" i="1"/>
  <c r="AW669" i="1"/>
  <c r="AU663" i="1"/>
  <c r="AU809" i="1"/>
  <c r="AV809" i="1"/>
  <c r="AW809" i="1"/>
  <c r="AU803" i="1"/>
  <c r="AU792" i="1"/>
  <c r="AV792" i="1"/>
  <c r="AW792" i="1"/>
  <c r="AV786" i="1"/>
  <c r="AU747" i="1"/>
  <c r="AV747" i="1"/>
  <c r="AW747" i="1"/>
  <c r="AU728" i="1"/>
  <c r="AU722" i="1"/>
  <c r="AV722" i="1"/>
  <c r="AW722" i="1"/>
  <c r="AU704" i="1"/>
  <c r="AV704" i="1"/>
  <c r="AW704" i="1"/>
  <c r="AU698" i="1"/>
  <c r="AU680" i="1"/>
  <c r="AV680" i="1"/>
  <c r="AW680" i="1"/>
  <c r="AU626" i="1"/>
  <c r="AU604" i="1"/>
  <c r="AU759" i="1"/>
  <c r="AV759" i="1"/>
  <c r="AW759" i="1"/>
  <c r="AU692" i="1"/>
  <c r="AV692" i="1"/>
  <c r="AW692" i="1"/>
  <c r="AU653" i="1"/>
  <c r="AU599" i="1"/>
  <c r="AU814" i="1"/>
  <c r="AV814" i="1"/>
  <c r="AW814" i="1"/>
  <c r="AU808" i="1"/>
  <c r="AU797" i="1"/>
  <c r="AV797" i="1"/>
  <c r="AW797" i="1"/>
  <c r="AV791" i="1"/>
  <c r="AU752" i="1"/>
  <c r="AV752" i="1"/>
  <c r="AW752" i="1"/>
  <c r="AV746" i="1"/>
  <c r="AU740" i="1"/>
  <c r="AU734" i="1"/>
  <c r="AV734" i="1"/>
  <c r="AW734" i="1"/>
  <c r="AV721" i="1"/>
  <c r="AU715" i="1"/>
  <c r="AU674" i="1"/>
  <c r="AV674" i="1"/>
  <c r="AW674" i="1"/>
  <c r="AU668" i="1"/>
  <c r="AV599" i="1"/>
  <c r="AW599" i="1"/>
  <c r="AU764" i="1"/>
  <c r="AV764" i="1"/>
  <c r="AW764" i="1"/>
  <c r="AU709" i="1"/>
  <c r="AV709" i="1"/>
  <c r="AW709" i="1"/>
  <c r="AU685" i="1"/>
  <c r="AV685" i="1"/>
  <c r="AW685" i="1"/>
  <c r="AU662" i="1"/>
  <c r="AV662" i="1"/>
  <c r="AW662" i="1"/>
  <c r="AU582" i="1"/>
  <c r="AV582" i="1"/>
  <c r="AU813" i="1"/>
  <c r="AU802" i="1"/>
  <c r="AV802" i="1"/>
  <c r="AW802" i="1"/>
  <c r="AV796" i="1"/>
  <c r="AU733" i="1"/>
  <c r="AU727" i="1"/>
  <c r="AV727" i="1"/>
  <c r="AW727" i="1"/>
  <c r="AU697" i="1"/>
  <c r="AV697" i="1"/>
  <c r="AW697" i="1"/>
  <c r="AU769" i="1"/>
  <c r="AV769" i="1"/>
  <c r="AW769" i="1"/>
  <c r="AU679" i="1"/>
  <c r="AV679" i="1"/>
  <c r="AW679" i="1"/>
  <c r="AU807" i="1"/>
  <c r="AV807" i="1"/>
  <c r="AW807" i="1"/>
  <c r="AV801" i="1"/>
  <c r="AU745" i="1"/>
  <c r="AU739" i="1"/>
  <c r="AV739" i="1"/>
  <c r="AW739" i="1"/>
  <c r="AU720" i="1"/>
  <c r="AU714" i="1"/>
  <c r="AV714" i="1"/>
  <c r="AW714" i="1"/>
  <c r="AU708" i="1"/>
  <c r="AU690" i="1"/>
  <c r="AV690" i="1"/>
  <c r="AW690" i="1"/>
  <c r="AU667" i="1"/>
  <c r="AV667" i="1"/>
  <c r="AW667" i="1"/>
  <c r="AU639" i="1"/>
  <c r="AU624" i="1"/>
  <c r="AW624" i="1"/>
  <c r="AU774" i="1"/>
  <c r="AV774" i="1"/>
  <c r="AW774" i="1"/>
  <c r="AU768" i="1"/>
  <c r="AU757" i="1"/>
  <c r="AV757" i="1"/>
  <c r="AW757" i="1"/>
  <c r="AU702" i="1"/>
  <c r="AV702" i="1"/>
  <c r="AW702" i="1"/>
  <c r="AV624" i="1"/>
  <c r="AV619" i="1"/>
  <c r="AU812" i="1"/>
  <c r="AV812" i="1"/>
  <c r="AW812" i="1"/>
  <c r="AW806" i="1"/>
  <c r="AU779" i="1"/>
  <c r="AV779" i="1"/>
  <c r="AW779" i="1"/>
  <c r="AU738" i="1"/>
  <c r="AU732" i="1"/>
  <c r="AV732" i="1"/>
  <c r="AW732" i="1"/>
  <c r="AU684" i="1"/>
  <c r="AV684" i="1"/>
  <c r="AW684" i="1"/>
  <c r="AV666" i="1"/>
  <c r="AU806" i="1"/>
  <c r="AV806" i="1"/>
  <c r="AU762" i="1"/>
  <c r="AV762" i="1"/>
  <c r="AW762" i="1"/>
  <c r="AU695" i="1"/>
  <c r="AV695" i="1"/>
  <c r="AW695" i="1"/>
  <c r="AU672" i="1"/>
  <c r="AV672" i="1"/>
  <c r="AW672" i="1"/>
  <c r="AU784" i="1"/>
  <c r="AV784" i="1"/>
  <c r="AW784" i="1"/>
  <c r="AU750" i="1"/>
  <c r="AU744" i="1"/>
  <c r="AV744" i="1"/>
  <c r="AW744" i="1"/>
  <c r="AU725" i="1"/>
  <c r="AU719" i="1"/>
  <c r="AV719" i="1"/>
  <c r="AW719" i="1"/>
  <c r="AU707" i="1"/>
  <c r="AV707" i="1"/>
  <c r="AW707" i="1"/>
  <c r="AU651" i="1"/>
  <c r="AV651" i="1"/>
  <c r="AW651" i="1"/>
  <c r="AU647" i="1"/>
  <c r="AU614" i="1"/>
  <c r="AV614" i="1"/>
  <c r="AW614" i="1"/>
  <c r="AV602" i="1"/>
  <c r="AU811" i="1"/>
  <c r="AV811" i="1"/>
  <c r="AU767" i="1"/>
  <c r="AV767" i="1"/>
  <c r="AW767" i="1"/>
  <c r="AV761" i="1"/>
  <c r="AU689" i="1"/>
  <c r="AV689" i="1"/>
  <c r="AW689" i="1"/>
  <c r="AV671" i="1"/>
  <c r="AU665" i="1"/>
  <c r="AV665" i="1"/>
  <c r="AW665" i="1"/>
  <c r="AU789" i="1"/>
  <c r="AV789" i="1"/>
  <c r="AW789" i="1"/>
  <c r="AU737" i="1"/>
  <c r="AV737" i="1"/>
  <c r="AW737" i="1"/>
  <c r="AU700" i="1"/>
  <c r="AV700" i="1"/>
  <c r="AW700" i="1"/>
  <c r="AU677" i="1"/>
  <c r="AV677" i="1"/>
  <c r="AW677" i="1"/>
  <c r="AU777" i="1"/>
  <c r="AV777" i="1"/>
  <c r="AW777" i="1"/>
  <c r="AU772" i="1"/>
  <c r="AV772" i="1"/>
  <c r="AW772" i="1"/>
  <c r="AV766" i="1"/>
  <c r="AU755" i="1"/>
  <c r="AU712" i="1"/>
  <c r="AV712" i="1"/>
  <c r="AW712" i="1"/>
  <c r="AU794" i="1"/>
  <c r="AV794" i="1"/>
  <c r="AW794" i="1"/>
  <c r="AU788" i="1"/>
  <c r="AU749" i="1"/>
  <c r="AV749" i="1"/>
  <c r="AW749" i="1"/>
  <c r="AV736" i="1"/>
  <c r="AU730" i="1"/>
  <c r="AU724" i="1"/>
  <c r="AV724" i="1"/>
  <c r="AW724" i="1"/>
  <c r="AU694" i="1"/>
  <c r="AV694" i="1"/>
  <c r="AW694" i="1"/>
  <c r="AV676" i="1"/>
  <c r="AU670" i="1"/>
  <c r="AV670" i="1"/>
  <c r="AW670" i="1"/>
  <c r="AV642" i="1"/>
  <c r="AV771" i="1"/>
  <c r="AV711" i="1"/>
  <c r="AU682" i="1"/>
  <c r="AV682" i="1"/>
  <c r="AW682" i="1"/>
  <c r="AV655" i="1"/>
  <c r="AW655" i="1"/>
  <c r="AU592" i="1"/>
  <c r="AV592" i="1"/>
  <c r="AW647" i="1"/>
  <c r="AW639" i="1"/>
  <c r="AW607" i="1"/>
  <c r="AU584" i="1"/>
  <c r="AW552" i="1"/>
  <c r="AU552" i="1"/>
  <c r="AU479" i="1"/>
  <c r="AV479" i="1"/>
  <c r="AW479" i="1"/>
  <c r="AU465" i="1"/>
  <c r="AW815" i="1"/>
  <c r="AW810" i="1"/>
  <c r="AW805" i="1"/>
  <c r="AW800" i="1"/>
  <c r="AW795" i="1"/>
  <c r="AW790" i="1"/>
  <c r="AW785" i="1"/>
  <c r="AW780" i="1"/>
  <c r="AW775" i="1"/>
  <c r="AW770" i="1"/>
  <c r="AW765" i="1"/>
  <c r="AW760" i="1"/>
  <c r="AW755" i="1"/>
  <c r="AW750" i="1"/>
  <c r="AW745" i="1"/>
  <c r="AW740" i="1"/>
  <c r="AW735" i="1"/>
  <c r="AW730" i="1"/>
  <c r="AW725" i="1"/>
  <c r="AW720" i="1"/>
  <c r="AW715" i="1"/>
  <c r="AW710" i="1"/>
  <c r="AW705" i="1"/>
  <c r="AW660" i="1"/>
  <c r="AU650" i="1"/>
  <c r="AV647" i="1"/>
  <c r="AV639" i="1"/>
  <c r="AW631" i="1"/>
  <c r="AV622" i="1"/>
  <c r="AU616" i="1"/>
  <c r="AW577" i="1"/>
  <c r="AU474" i="1"/>
  <c r="AV474" i="1"/>
  <c r="AW474" i="1"/>
  <c r="AW652" i="1"/>
  <c r="AW644" i="1"/>
  <c r="AV631" i="1"/>
  <c r="AU591" i="1"/>
  <c r="AU580" i="1"/>
  <c r="AV580" i="1"/>
  <c r="AW580" i="1"/>
  <c r="AU560" i="1"/>
  <c r="AV560" i="1"/>
  <c r="AW560" i="1"/>
  <c r="AW527" i="1"/>
  <c r="AW517" i="1"/>
  <c r="AU469" i="1"/>
  <c r="AV469" i="1"/>
  <c r="AW469" i="1"/>
  <c r="AU455" i="1"/>
  <c r="AU655" i="1"/>
  <c r="AV652" i="1"/>
  <c r="AV644" i="1"/>
  <c r="AU600" i="1"/>
  <c r="AV600" i="1"/>
  <c r="AW600" i="1"/>
  <c r="AW547" i="1"/>
  <c r="AU547" i="1"/>
  <c r="AU464" i="1"/>
  <c r="AV464" i="1"/>
  <c r="AW464" i="1"/>
  <c r="AW432" i="1"/>
  <c r="AU628" i="1"/>
  <c r="AW628" i="1"/>
  <c r="AU625" i="1"/>
  <c r="AW625" i="1"/>
  <c r="AW597" i="1"/>
  <c r="AW542" i="1"/>
  <c r="AU542" i="1"/>
  <c r="AU459" i="1"/>
  <c r="AV459" i="1"/>
  <c r="AW459" i="1"/>
  <c r="AU418" i="1"/>
  <c r="AU660" i="1"/>
  <c r="AW622" i="1"/>
  <c r="AU603" i="1"/>
  <c r="AU590" i="1"/>
  <c r="AV590" i="1"/>
  <c r="AW590" i="1"/>
  <c r="AU555" i="1"/>
  <c r="AV555" i="1"/>
  <c r="AW555" i="1"/>
  <c r="AU526" i="1"/>
  <c r="AW502" i="1"/>
  <c r="AU454" i="1"/>
  <c r="AV454" i="1"/>
  <c r="AW454" i="1"/>
  <c r="AW587" i="1"/>
  <c r="AU576" i="1"/>
  <c r="AV576" i="1"/>
  <c r="AW576" i="1"/>
  <c r="AU559" i="1"/>
  <c r="AW559" i="1"/>
  <c r="AU546" i="1"/>
  <c r="AW497" i="1"/>
  <c r="AU445" i="1"/>
  <c r="AU615" i="1"/>
  <c r="AV615" i="1"/>
  <c r="AW615" i="1"/>
  <c r="AU449" i="1"/>
  <c r="AV449" i="1"/>
  <c r="AW449" i="1"/>
  <c r="AW659" i="1"/>
  <c r="AW646" i="1"/>
  <c r="AW638" i="1"/>
  <c r="AW621" i="1"/>
  <c r="AW612" i="1"/>
  <c r="AV596" i="1"/>
  <c r="AU593" i="1"/>
  <c r="AW589" i="1"/>
  <c r="AU550" i="1"/>
  <c r="AV550" i="1"/>
  <c r="AW550" i="1"/>
  <c r="AU525" i="1"/>
  <c r="AW487" i="1"/>
  <c r="AV659" i="1"/>
  <c r="AV646" i="1"/>
  <c r="AV638" i="1"/>
  <c r="AU618" i="1"/>
  <c r="AV589" i="1"/>
  <c r="AU575" i="1"/>
  <c r="AV575" i="1"/>
  <c r="AW575" i="1"/>
  <c r="AV567" i="1"/>
  <c r="AU554" i="1"/>
  <c r="AW554" i="1"/>
  <c r="AU545" i="1"/>
  <c r="AV545" i="1"/>
  <c r="AW545" i="1"/>
  <c r="AU444" i="1"/>
  <c r="AV444" i="1"/>
  <c r="AW444" i="1"/>
  <c r="AU633" i="1"/>
  <c r="AU630" i="1"/>
  <c r="AW630" i="1"/>
  <c r="AU567" i="1"/>
  <c r="AU540" i="1"/>
  <c r="AV540" i="1"/>
  <c r="AW540" i="1"/>
  <c r="AU535" i="1"/>
  <c r="AU515" i="1"/>
  <c r="AW477" i="1"/>
  <c r="AU435" i="1"/>
  <c r="AU605" i="1"/>
  <c r="AV605" i="1"/>
  <c r="AW605" i="1"/>
  <c r="AU571" i="1"/>
  <c r="AV571" i="1"/>
  <c r="AW571" i="1"/>
  <c r="AU524" i="1"/>
  <c r="AV524" i="1"/>
  <c r="AW524" i="1"/>
  <c r="AU439" i="1"/>
  <c r="AV439" i="1"/>
  <c r="AW439" i="1"/>
  <c r="AW602" i="1"/>
  <c r="AU586" i="1"/>
  <c r="AV586" i="1"/>
  <c r="AU549" i="1"/>
  <c r="AW549" i="1"/>
  <c r="AU529" i="1"/>
  <c r="AV529" i="1"/>
  <c r="AW529" i="1"/>
  <c r="AU519" i="1"/>
  <c r="AV519" i="1"/>
  <c r="AW519" i="1"/>
  <c r="AW801" i="1"/>
  <c r="AW796" i="1"/>
  <c r="AW791" i="1"/>
  <c r="AW786" i="1"/>
  <c r="AW781" i="1"/>
  <c r="AW776" i="1"/>
  <c r="AW771" i="1"/>
  <c r="AW766" i="1"/>
  <c r="AW761" i="1"/>
  <c r="AW756" i="1"/>
  <c r="AW751" i="1"/>
  <c r="AW746" i="1"/>
  <c r="AW741" i="1"/>
  <c r="AW736" i="1"/>
  <c r="AW731" i="1"/>
  <c r="AW726" i="1"/>
  <c r="AW721" i="1"/>
  <c r="AW716" i="1"/>
  <c r="AW711" i="1"/>
  <c r="AW706" i="1"/>
  <c r="AW701" i="1"/>
  <c r="AW696" i="1"/>
  <c r="AW691" i="1"/>
  <c r="AW686" i="1"/>
  <c r="AW681" i="1"/>
  <c r="AW676" i="1"/>
  <c r="AW671" i="1"/>
  <c r="AW666" i="1"/>
  <c r="AW661" i="1"/>
  <c r="AW632" i="1"/>
  <c r="AW629" i="1"/>
  <c r="AU608" i="1"/>
  <c r="AU574" i="1"/>
  <c r="AU544" i="1"/>
  <c r="AW544" i="1"/>
  <c r="AU539" i="1"/>
  <c r="AV539" i="1"/>
  <c r="AW539" i="1"/>
  <c r="AU534" i="1"/>
  <c r="AV534" i="1"/>
  <c r="AW534" i="1"/>
  <c r="AU514" i="1"/>
  <c r="AV514" i="1"/>
  <c r="AW514" i="1"/>
  <c r="AU500" i="1"/>
  <c r="AW462" i="1"/>
  <c r="AU434" i="1"/>
  <c r="AV434" i="1"/>
  <c r="AW434" i="1"/>
  <c r="AW653" i="1"/>
  <c r="AW604" i="1"/>
  <c r="AU595" i="1"/>
  <c r="AV595" i="1"/>
  <c r="AW595" i="1"/>
  <c r="AW582" i="1"/>
  <c r="AU570" i="1"/>
  <c r="AV570" i="1"/>
  <c r="AW570" i="1"/>
  <c r="AV562" i="1"/>
  <c r="AU509" i="1"/>
  <c r="AV509" i="1"/>
  <c r="AW509" i="1"/>
  <c r="AU495" i="1"/>
  <c r="AW457" i="1"/>
  <c r="AV653" i="1"/>
  <c r="AU635" i="1"/>
  <c r="AW626" i="1"/>
  <c r="AU620" i="1"/>
  <c r="AV620" i="1"/>
  <c r="AW620" i="1"/>
  <c r="AV604" i="1"/>
  <c r="AW601" i="1"/>
  <c r="AW592" i="1"/>
  <c r="AU585" i="1"/>
  <c r="AV585" i="1"/>
  <c r="AW585" i="1"/>
  <c r="AU562" i="1"/>
  <c r="AU504" i="1"/>
  <c r="AV504" i="1"/>
  <c r="AW504" i="1"/>
  <c r="AU490" i="1"/>
  <c r="AW452" i="1"/>
  <c r="AV415" i="1"/>
  <c r="AW658" i="1"/>
  <c r="AW645" i="1"/>
  <c r="AW637" i="1"/>
  <c r="AV626" i="1"/>
  <c r="AW617" i="1"/>
  <c r="AV607" i="1"/>
  <c r="AV601" i="1"/>
  <c r="AU566" i="1"/>
  <c r="AV566" i="1"/>
  <c r="AW566" i="1"/>
  <c r="AU499" i="1"/>
  <c r="AV499" i="1"/>
  <c r="AW499" i="1"/>
  <c r="AW813" i="1"/>
  <c r="AW808" i="1"/>
  <c r="AW803" i="1"/>
  <c r="AW798" i="1"/>
  <c r="AW793" i="1"/>
  <c r="AW788" i="1"/>
  <c r="AW783" i="1"/>
  <c r="AW778" i="1"/>
  <c r="AW773" i="1"/>
  <c r="AW768" i="1"/>
  <c r="AW763" i="1"/>
  <c r="AW758" i="1"/>
  <c r="AW753" i="1"/>
  <c r="AW748" i="1"/>
  <c r="AW743" i="1"/>
  <c r="AW738" i="1"/>
  <c r="AW733" i="1"/>
  <c r="AW728" i="1"/>
  <c r="AW723" i="1"/>
  <c r="AW718" i="1"/>
  <c r="AW713" i="1"/>
  <c r="AW708" i="1"/>
  <c r="AW703" i="1"/>
  <c r="AW698" i="1"/>
  <c r="AW693" i="1"/>
  <c r="AW688" i="1"/>
  <c r="AW683" i="1"/>
  <c r="AW678" i="1"/>
  <c r="AW673" i="1"/>
  <c r="AW668" i="1"/>
  <c r="AW663" i="1"/>
  <c r="AV658" i="1"/>
  <c r="AU640" i="1"/>
  <c r="AV637" i="1"/>
  <c r="AU607" i="1"/>
  <c r="AU598" i="1"/>
  <c r="AW594" i="1"/>
  <c r="AV569" i="1"/>
  <c r="AW557" i="1"/>
  <c r="AU557" i="1"/>
  <c r="AU494" i="1"/>
  <c r="AV494" i="1"/>
  <c r="AW494" i="1"/>
  <c r="AU480" i="1"/>
  <c r="AW447" i="1"/>
  <c r="AW420" i="1"/>
  <c r="AV813" i="1"/>
  <c r="AV808" i="1"/>
  <c r="AV803" i="1"/>
  <c r="AV798" i="1"/>
  <c r="AV793" i="1"/>
  <c r="AV788" i="1"/>
  <c r="AV783" i="1"/>
  <c r="AV778" i="1"/>
  <c r="AV773" i="1"/>
  <c r="AV768" i="1"/>
  <c r="AV763" i="1"/>
  <c r="AV758" i="1"/>
  <c r="AV753" i="1"/>
  <c r="AV748" i="1"/>
  <c r="AV743" i="1"/>
  <c r="AV738" i="1"/>
  <c r="AV733" i="1"/>
  <c r="AV728" i="1"/>
  <c r="AV723" i="1"/>
  <c r="AV718" i="1"/>
  <c r="AV713" i="1"/>
  <c r="AV708" i="1"/>
  <c r="AV703" i="1"/>
  <c r="AV698" i="1"/>
  <c r="AV693" i="1"/>
  <c r="AV688" i="1"/>
  <c r="AV683" i="1"/>
  <c r="AV678" i="1"/>
  <c r="AV673" i="1"/>
  <c r="AV668" i="1"/>
  <c r="AV663" i="1"/>
  <c r="AW650" i="1"/>
  <c r="AW642" i="1"/>
  <c r="AW634" i="1"/>
  <c r="AU623" i="1"/>
  <c r="AW619" i="1"/>
  <c r="AV594" i="1"/>
  <c r="AW591" i="1"/>
  <c r="AW584" i="1"/>
  <c r="AV577" i="1"/>
  <c r="AU569" i="1"/>
  <c r="AU489" i="1"/>
  <c r="AV489" i="1"/>
  <c r="AW489" i="1"/>
  <c r="AU475" i="1"/>
  <c r="AV650" i="1"/>
  <c r="AU645" i="1"/>
  <c r="AU610" i="1"/>
  <c r="AV610" i="1"/>
  <c r="AW610" i="1"/>
  <c r="AV591" i="1"/>
  <c r="AU581" i="1"/>
  <c r="AV581" i="1"/>
  <c r="AW581" i="1"/>
  <c r="AU577" i="1"/>
  <c r="AU565" i="1"/>
  <c r="AV565" i="1"/>
  <c r="AW565" i="1"/>
  <c r="AU561" i="1"/>
  <c r="AV552" i="1"/>
  <c r="AU484" i="1"/>
  <c r="AV484" i="1"/>
  <c r="AW484" i="1"/>
  <c r="AU470" i="1"/>
  <c r="AW442" i="1"/>
  <c r="AV522" i="1"/>
  <c r="AV517" i="1"/>
  <c r="AV512" i="1"/>
  <c r="AV507" i="1"/>
  <c r="AV502" i="1"/>
  <c r="AV497" i="1"/>
  <c r="AV492" i="1"/>
  <c r="AV487" i="1"/>
  <c r="AV482" i="1"/>
  <c r="AV477" i="1"/>
  <c r="AV472" i="1"/>
  <c r="AV467" i="1"/>
  <c r="AV462" i="1"/>
  <c r="AV457" i="1"/>
  <c r="AV452" i="1"/>
  <c r="AV447" i="1"/>
  <c r="AV442" i="1"/>
  <c r="AV437" i="1"/>
  <c r="AV432" i="1"/>
  <c r="AU406" i="1"/>
  <c r="AW397" i="1"/>
  <c r="AU345" i="1"/>
  <c r="AW307" i="1"/>
  <c r="AU301" i="1"/>
  <c r="AU295" i="1"/>
  <c r="AU537" i="1"/>
  <c r="AU532" i="1"/>
  <c r="AU527" i="1"/>
  <c r="AU522" i="1"/>
  <c r="AU517" i="1"/>
  <c r="AU512" i="1"/>
  <c r="AU507" i="1"/>
  <c r="AU502" i="1"/>
  <c r="AU497" i="1"/>
  <c r="AU492" i="1"/>
  <c r="AU487" i="1"/>
  <c r="AU482" i="1"/>
  <c r="AU477" i="1"/>
  <c r="AU472" i="1"/>
  <c r="AU467" i="1"/>
  <c r="AU462" i="1"/>
  <c r="AU457" i="1"/>
  <c r="AU452" i="1"/>
  <c r="AU447" i="1"/>
  <c r="AU442" i="1"/>
  <c r="AU437" i="1"/>
  <c r="AU432" i="1"/>
  <c r="AV418" i="1"/>
  <c r="AW393" i="1"/>
  <c r="AV393" i="1"/>
  <c r="AW388" i="1"/>
  <c r="AV388" i="1"/>
  <c r="AU307" i="1"/>
  <c r="AV307" i="1"/>
  <c r="AV295" i="1"/>
  <c r="AW295" i="1"/>
  <c r="AU289" i="1"/>
  <c r="AV289" i="1"/>
  <c r="AW289" i="1"/>
  <c r="AU284" i="1"/>
  <c r="AV284" i="1"/>
  <c r="AW284" i="1"/>
  <c r="AU279" i="1"/>
  <c r="AV279" i="1"/>
  <c r="AW279" i="1"/>
  <c r="AV250" i="1"/>
  <c r="AW250" i="1"/>
  <c r="AW425" i="1"/>
  <c r="AV422" i="1"/>
  <c r="AU410" i="1"/>
  <c r="AW410" i="1"/>
  <c r="AU401" i="1"/>
  <c r="AU372" i="1"/>
  <c r="AV372" i="1"/>
  <c r="AU324" i="1"/>
  <c r="AV324" i="1"/>
  <c r="AW324" i="1"/>
  <c r="AU250" i="1"/>
  <c r="AU233" i="1"/>
  <c r="AV233" i="1"/>
  <c r="AU396" i="1"/>
  <c r="AW377" i="1"/>
  <c r="AW312" i="1"/>
  <c r="AU306" i="1"/>
  <c r="AU300" i="1"/>
  <c r="AU273" i="1"/>
  <c r="AV414" i="1"/>
  <c r="AW414" i="1"/>
  <c r="AU377" i="1"/>
  <c r="AV377" i="1"/>
  <c r="AU344" i="1"/>
  <c r="AV344" i="1"/>
  <c r="AW344" i="1"/>
  <c r="AU312" i="1"/>
  <c r="AV312" i="1"/>
  <c r="AU294" i="1"/>
  <c r="AV294" i="1"/>
  <c r="AW294" i="1"/>
  <c r="AV273" i="1"/>
  <c r="AW273" i="1"/>
  <c r="AW418" i="1"/>
  <c r="AU405" i="1"/>
  <c r="AW405" i="1"/>
  <c r="AW392" i="1"/>
  <c r="AW387" i="1"/>
  <c r="AW382" i="1"/>
  <c r="AU367" i="1"/>
  <c r="AV367" i="1"/>
  <c r="AU329" i="1"/>
  <c r="AV329" i="1"/>
  <c r="AW329" i="1"/>
  <c r="AU278" i="1"/>
  <c r="AU268" i="1"/>
  <c r="AV268" i="1"/>
  <c r="AW268" i="1"/>
  <c r="AU400" i="1"/>
  <c r="AW400" i="1"/>
  <c r="AU376" i="1"/>
  <c r="AW317" i="1"/>
  <c r="AU311" i="1"/>
  <c r="AU305" i="1"/>
  <c r="AU283" i="1"/>
  <c r="AW258" i="1"/>
  <c r="AW561" i="1"/>
  <c r="AW556" i="1"/>
  <c r="AW551" i="1"/>
  <c r="AW546" i="1"/>
  <c r="AW541" i="1"/>
  <c r="AW536" i="1"/>
  <c r="AW531" i="1"/>
  <c r="AW526" i="1"/>
  <c r="AW521" i="1"/>
  <c r="AW516" i="1"/>
  <c r="AW511" i="1"/>
  <c r="AW506" i="1"/>
  <c r="AW501" i="1"/>
  <c r="AW496" i="1"/>
  <c r="AW491" i="1"/>
  <c r="AW486" i="1"/>
  <c r="AW481" i="1"/>
  <c r="AW476" i="1"/>
  <c r="AW471" i="1"/>
  <c r="AW466" i="1"/>
  <c r="AW461" i="1"/>
  <c r="AW456" i="1"/>
  <c r="AV409" i="1"/>
  <c r="AW409" i="1"/>
  <c r="AU395" i="1"/>
  <c r="AW395" i="1"/>
  <c r="AU317" i="1"/>
  <c r="AV317" i="1"/>
  <c r="AU299" i="1"/>
  <c r="AV299" i="1"/>
  <c r="AW299" i="1"/>
  <c r="AU263" i="1"/>
  <c r="AV263" i="1"/>
  <c r="AW263" i="1"/>
  <c r="AU258" i="1"/>
  <c r="AV258" i="1"/>
  <c r="AV561" i="1"/>
  <c r="AV556" i="1"/>
  <c r="AV551" i="1"/>
  <c r="AV546" i="1"/>
  <c r="AV541" i="1"/>
  <c r="AV536" i="1"/>
  <c r="AV531" i="1"/>
  <c r="AV526" i="1"/>
  <c r="AV521" i="1"/>
  <c r="AV516" i="1"/>
  <c r="AV511" i="1"/>
  <c r="AV506" i="1"/>
  <c r="AV501" i="1"/>
  <c r="AV496" i="1"/>
  <c r="AV491" i="1"/>
  <c r="AV486" i="1"/>
  <c r="AV481" i="1"/>
  <c r="AV476" i="1"/>
  <c r="AV471" i="1"/>
  <c r="AV466" i="1"/>
  <c r="AV461" i="1"/>
  <c r="AV456" i="1"/>
  <c r="AV451" i="1"/>
  <c r="AV446" i="1"/>
  <c r="AV441" i="1"/>
  <c r="AV436" i="1"/>
  <c r="AU421" i="1"/>
  <c r="AV421" i="1"/>
  <c r="AW421" i="1"/>
  <c r="AU391" i="1"/>
  <c r="AU386" i="1"/>
  <c r="AU381" i="1"/>
  <c r="AU362" i="1"/>
  <c r="AV362" i="1"/>
  <c r="AW287" i="1"/>
  <c r="AU277" i="1"/>
  <c r="AU431" i="1"/>
  <c r="AW431" i="1"/>
  <c r="AW428" i="1"/>
  <c r="AW413" i="1"/>
  <c r="AV413" i="1"/>
  <c r="AW353" i="1"/>
  <c r="AU287" i="1"/>
  <c r="AV287" i="1"/>
  <c r="AV282" i="1"/>
  <c r="AW282" i="1"/>
  <c r="AV277" i="1"/>
  <c r="AW277" i="1"/>
  <c r="AV240" i="1"/>
  <c r="AW240" i="1"/>
  <c r="AV404" i="1"/>
  <c r="AW404" i="1"/>
  <c r="AU322" i="1"/>
  <c r="AV322" i="1"/>
  <c r="AU304" i="1"/>
  <c r="AV304" i="1"/>
  <c r="AW304" i="1"/>
  <c r="AU282" i="1"/>
  <c r="AU240" i="1"/>
  <c r="AW623" i="1"/>
  <c r="AW618" i="1"/>
  <c r="AW613" i="1"/>
  <c r="AW608" i="1"/>
  <c r="AW603" i="1"/>
  <c r="AW598" i="1"/>
  <c r="AW593" i="1"/>
  <c r="AW588" i="1"/>
  <c r="AW583" i="1"/>
  <c r="AW578" i="1"/>
  <c r="AW573" i="1"/>
  <c r="AW568" i="1"/>
  <c r="AW563" i="1"/>
  <c r="AW558" i="1"/>
  <c r="AW553" i="1"/>
  <c r="AW548" i="1"/>
  <c r="AW543" i="1"/>
  <c r="AW538" i="1"/>
  <c r="AW533" i="1"/>
  <c r="AW528" i="1"/>
  <c r="AW523" i="1"/>
  <c r="AW518" i="1"/>
  <c r="AW513" i="1"/>
  <c r="AW508" i="1"/>
  <c r="AW503" i="1"/>
  <c r="AW498" i="1"/>
  <c r="AW493" i="1"/>
  <c r="AW488" i="1"/>
  <c r="AW483" i="1"/>
  <c r="AW478" i="1"/>
  <c r="AW473" i="1"/>
  <c r="AW468" i="1"/>
  <c r="AW463" i="1"/>
  <c r="AW458" i="1"/>
  <c r="AW453" i="1"/>
  <c r="AW448" i="1"/>
  <c r="AW443" i="1"/>
  <c r="AW438" i="1"/>
  <c r="AV399" i="1"/>
  <c r="AW399" i="1"/>
  <c r="AU380" i="1"/>
  <c r="AV380" i="1"/>
  <c r="AW380" i="1"/>
  <c r="AU357" i="1"/>
  <c r="AV357" i="1"/>
  <c r="AW342" i="1"/>
  <c r="AW292" i="1"/>
  <c r="AW286" i="1"/>
  <c r="AW408" i="1"/>
  <c r="AV408" i="1"/>
  <c r="AU390" i="1"/>
  <c r="AW390" i="1"/>
  <c r="AU385" i="1"/>
  <c r="AW385" i="1"/>
  <c r="AU342" i="1"/>
  <c r="AV342" i="1"/>
  <c r="AU292" i="1"/>
  <c r="AV292" i="1"/>
  <c r="AU223" i="1"/>
  <c r="AV223" i="1"/>
  <c r="AW223" i="1"/>
  <c r="AU416" i="1"/>
  <c r="AU374" i="1"/>
  <c r="AV374" i="1"/>
  <c r="AW374" i="1"/>
  <c r="AU360" i="1"/>
  <c r="AU356" i="1"/>
  <c r="AU352" i="1"/>
  <c r="AV352" i="1"/>
  <c r="AW337" i="1"/>
  <c r="AU327" i="1"/>
  <c r="AV327" i="1"/>
  <c r="AU309" i="1"/>
  <c r="AV309" i="1"/>
  <c r="AW309" i="1"/>
  <c r="AU420" i="1"/>
  <c r="AW412" i="1"/>
  <c r="AW347" i="1"/>
  <c r="AU337" i="1"/>
  <c r="AV337" i="1"/>
  <c r="AV243" i="1"/>
  <c r="AW243" i="1"/>
  <c r="AW535" i="1"/>
  <c r="AW530" i="1"/>
  <c r="AW525" i="1"/>
  <c r="AW520" i="1"/>
  <c r="AW515" i="1"/>
  <c r="AW510" i="1"/>
  <c r="AW505" i="1"/>
  <c r="AW500" i="1"/>
  <c r="AW495" i="1"/>
  <c r="AW490" i="1"/>
  <c r="AW485" i="1"/>
  <c r="AW480" i="1"/>
  <c r="AW475" i="1"/>
  <c r="AW470" i="1"/>
  <c r="AW465" i="1"/>
  <c r="AW460" i="1"/>
  <c r="AW455" i="1"/>
  <c r="AW450" i="1"/>
  <c r="AW445" i="1"/>
  <c r="AW440" i="1"/>
  <c r="AW435" i="1"/>
  <c r="AV423" i="1"/>
  <c r="AW403" i="1"/>
  <c r="AV403" i="1"/>
  <c r="AU379" i="1"/>
  <c r="AV379" i="1"/>
  <c r="AW379" i="1"/>
  <c r="AU351" i="1"/>
  <c r="AU347" i="1"/>
  <c r="AV347" i="1"/>
  <c r="AW332" i="1"/>
  <c r="AU326" i="1"/>
  <c r="AU320" i="1"/>
  <c r="AU297" i="1"/>
  <c r="AV297" i="1"/>
  <c r="AU243" i="1"/>
  <c r="AV218" i="1"/>
  <c r="AW218" i="1"/>
  <c r="AV535" i="1"/>
  <c r="AV530" i="1"/>
  <c r="AV525" i="1"/>
  <c r="AV520" i="1"/>
  <c r="AV515" i="1"/>
  <c r="AV510" i="1"/>
  <c r="AV505" i="1"/>
  <c r="AV500" i="1"/>
  <c r="AV495" i="1"/>
  <c r="AV490" i="1"/>
  <c r="AV485" i="1"/>
  <c r="AV480" i="1"/>
  <c r="AV475" i="1"/>
  <c r="AV470" i="1"/>
  <c r="AV465" i="1"/>
  <c r="AV460" i="1"/>
  <c r="AV455" i="1"/>
  <c r="AV450" i="1"/>
  <c r="AV445" i="1"/>
  <c r="AV440" i="1"/>
  <c r="AV435" i="1"/>
  <c r="AW427" i="1"/>
  <c r="AW415" i="1"/>
  <c r="AW398" i="1"/>
  <c r="AV398" i="1"/>
  <c r="AU389" i="1"/>
  <c r="AV389" i="1"/>
  <c r="AW389" i="1"/>
  <c r="AU384" i="1"/>
  <c r="AV384" i="1"/>
  <c r="AW384" i="1"/>
  <c r="AU332" i="1"/>
  <c r="AV332" i="1"/>
  <c r="AU314" i="1"/>
  <c r="AV314" i="1"/>
  <c r="AW314" i="1"/>
  <c r="AU218" i="1"/>
  <c r="AU411" i="1"/>
  <c r="AW407" i="1"/>
  <c r="AW302" i="1"/>
  <c r="AU296" i="1"/>
  <c r="AU290" i="1"/>
  <c r="AU265" i="1"/>
  <c r="AU255" i="1"/>
  <c r="AV255" i="1"/>
  <c r="AW255" i="1"/>
  <c r="AV402" i="1"/>
  <c r="AU393" i="1"/>
  <c r="AU388" i="1"/>
  <c r="AW373" i="1"/>
  <c r="AU350" i="1"/>
  <c r="AU331" i="1"/>
  <c r="AU325" i="1"/>
  <c r="AU302" i="1"/>
  <c r="AV302" i="1"/>
  <c r="AV290" i="1"/>
  <c r="AW290" i="1"/>
  <c r="AV265" i="1"/>
  <c r="AW265" i="1"/>
  <c r="AW238" i="1"/>
  <c r="AU426" i="1"/>
  <c r="AV426" i="1"/>
  <c r="AW426" i="1"/>
  <c r="AW423" i="1"/>
  <c r="AV419" i="1"/>
  <c r="AW419" i="1"/>
  <c r="AU415" i="1"/>
  <c r="AW402" i="1"/>
  <c r="AV397" i="1"/>
  <c r="AU335" i="1"/>
  <c r="AU319" i="1"/>
  <c r="AV319" i="1"/>
  <c r="AW319" i="1"/>
  <c r="AU274" i="1"/>
  <c r="AV274" i="1"/>
  <c r="AW274" i="1"/>
  <c r="AU260" i="1"/>
  <c r="AV260" i="1"/>
  <c r="AW260" i="1"/>
  <c r="AU238" i="1"/>
  <c r="AV238" i="1"/>
  <c r="AV383" i="1"/>
  <c r="AV378" i="1"/>
  <c r="AV373" i="1"/>
  <c r="AV368" i="1"/>
  <c r="AV363" i="1"/>
  <c r="AV358" i="1"/>
  <c r="AV353" i="1"/>
  <c r="AV348" i="1"/>
  <c r="AV343" i="1"/>
  <c r="AV338" i="1"/>
  <c r="AV333" i="1"/>
  <c r="AV328" i="1"/>
  <c r="AV323" i="1"/>
  <c r="AV318" i="1"/>
  <c r="AV313" i="1"/>
  <c r="AV308" i="1"/>
  <c r="AV303" i="1"/>
  <c r="AV298" i="1"/>
  <c r="AV293" i="1"/>
  <c r="AV288" i="1"/>
  <c r="AV280" i="1"/>
  <c r="AV267" i="1"/>
  <c r="AV259" i="1"/>
  <c r="AV248" i="1"/>
  <c r="AV245" i="1"/>
  <c r="AW210" i="1"/>
  <c r="AU189" i="1"/>
  <c r="AW189" i="1"/>
  <c r="AU182" i="1"/>
  <c r="AW182" i="1"/>
  <c r="AU141" i="1"/>
  <c r="AV141" i="1"/>
  <c r="AW141" i="1"/>
  <c r="AU259" i="1"/>
  <c r="AU207" i="1"/>
  <c r="AW207" i="1"/>
  <c r="AU196" i="1"/>
  <c r="AV196" i="1"/>
  <c r="AW196" i="1"/>
  <c r="AU178" i="1"/>
  <c r="AW178" i="1"/>
  <c r="AU174" i="1"/>
  <c r="AW174" i="1"/>
  <c r="AU167" i="1"/>
  <c r="AW167" i="1"/>
  <c r="AU125" i="1"/>
  <c r="AV125" i="1"/>
  <c r="AW125" i="1"/>
  <c r="AU117" i="1"/>
  <c r="AW117" i="1"/>
  <c r="AU251" i="1"/>
  <c r="AV251" i="1"/>
  <c r="AW251" i="1"/>
  <c r="AU239" i="1"/>
  <c r="AW239" i="1"/>
  <c r="AU227" i="1"/>
  <c r="AW227" i="1"/>
  <c r="AU163" i="1"/>
  <c r="AW163" i="1"/>
  <c r="AU152" i="1"/>
  <c r="AW152" i="1"/>
  <c r="AU137" i="1"/>
  <c r="AW137" i="1"/>
  <c r="AU133" i="1"/>
  <c r="AW375" i="1"/>
  <c r="AW370" i="1"/>
  <c r="AW365" i="1"/>
  <c r="AW360" i="1"/>
  <c r="AW355" i="1"/>
  <c r="AW350" i="1"/>
  <c r="AW345" i="1"/>
  <c r="AW340" i="1"/>
  <c r="AW335" i="1"/>
  <c r="AW330" i="1"/>
  <c r="AW325" i="1"/>
  <c r="AW320" i="1"/>
  <c r="AW315" i="1"/>
  <c r="AW310" i="1"/>
  <c r="AW305" i="1"/>
  <c r="AW300" i="1"/>
  <c r="AW269" i="1"/>
  <c r="AU236" i="1"/>
  <c r="AV236" i="1"/>
  <c r="AW236" i="1"/>
  <c r="AU203" i="1"/>
  <c r="AW203" i="1"/>
  <c r="AU185" i="1"/>
  <c r="AW185" i="1"/>
  <c r="AU148" i="1"/>
  <c r="AW148" i="1"/>
  <c r="AU108" i="1"/>
  <c r="AU83" i="1"/>
  <c r="AU58" i="1"/>
  <c r="AU33" i="1"/>
  <c r="AU8" i="1"/>
  <c r="AV375" i="1"/>
  <c r="AV370" i="1"/>
  <c r="AV365" i="1"/>
  <c r="AV360" i="1"/>
  <c r="AV355" i="1"/>
  <c r="AV350" i="1"/>
  <c r="AV345" i="1"/>
  <c r="AV340" i="1"/>
  <c r="AV335" i="1"/>
  <c r="AV269" i="1"/>
  <c r="AW253" i="1"/>
  <c r="AU220" i="1"/>
  <c r="AU217" i="1"/>
  <c r="AW217" i="1"/>
  <c r="AW213" i="1"/>
  <c r="AU199" i="1"/>
  <c r="AW199" i="1"/>
  <c r="AU181" i="1"/>
  <c r="AV181" i="1"/>
  <c r="AW181" i="1"/>
  <c r="AU170" i="1"/>
  <c r="AW170" i="1"/>
  <c r="AU242" i="1"/>
  <c r="AU206" i="1"/>
  <c r="AV206" i="1"/>
  <c r="AW206" i="1"/>
  <c r="AU192" i="1"/>
  <c r="AW192" i="1"/>
  <c r="AU166" i="1"/>
  <c r="AV166" i="1"/>
  <c r="AW166" i="1"/>
  <c r="AU155" i="1"/>
  <c r="AW155" i="1"/>
  <c r="AU140" i="1"/>
  <c r="AV140" i="1"/>
  <c r="AW140" i="1"/>
  <c r="AU120" i="1"/>
  <c r="AV120" i="1"/>
  <c r="AW120" i="1"/>
  <c r="AU116" i="1"/>
  <c r="AU95" i="1"/>
  <c r="AU91" i="1"/>
  <c r="AU70" i="1"/>
  <c r="AU66" i="1"/>
  <c r="AU45" i="1"/>
  <c r="AU41" i="1"/>
  <c r="AU20" i="1"/>
  <c r="AU16" i="1"/>
  <c r="AU256" i="1"/>
  <c r="AV256" i="1"/>
  <c r="AU229" i="1"/>
  <c r="AW229" i="1"/>
  <c r="AU226" i="1"/>
  <c r="AV226" i="1"/>
  <c r="AW226" i="1"/>
  <c r="AU151" i="1"/>
  <c r="AV151" i="1"/>
  <c r="AW151" i="1"/>
  <c r="AU136" i="1"/>
  <c r="AV136" i="1"/>
  <c r="AW136" i="1"/>
  <c r="AW247" i="1"/>
  <c r="AV235" i="1"/>
  <c r="AU213" i="1"/>
  <c r="AU188" i="1"/>
  <c r="AW188" i="1"/>
  <c r="AU184" i="1"/>
  <c r="AW184" i="1"/>
  <c r="AU177" i="1"/>
  <c r="AW177" i="1"/>
  <c r="AU128" i="1"/>
  <c r="AU103" i="1"/>
  <c r="AU78" i="1"/>
  <c r="AU53" i="1"/>
  <c r="AU28" i="1"/>
  <c r="AU3" i="1"/>
  <c r="AU261" i="1"/>
  <c r="AV261" i="1"/>
  <c r="AU244" i="1"/>
  <c r="AW244" i="1"/>
  <c r="AU219" i="1"/>
  <c r="AW219" i="1"/>
  <c r="AU216" i="1"/>
  <c r="AV216" i="1"/>
  <c r="AW216" i="1"/>
  <c r="AU209" i="1"/>
  <c r="AW209" i="1"/>
  <c r="AU173" i="1"/>
  <c r="AW173" i="1"/>
  <c r="AU169" i="1"/>
  <c r="AW169" i="1"/>
  <c r="AU162" i="1"/>
  <c r="AW162" i="1"/>
  <c r="AU132" i="1"/>
  <c r="AW132" i="1"/>
  <c r="AW225" i="1"/>
  <c r="AU202" i="1"/>
  <c r="AW202" i="1"/>
  <c r="AU191" i="1"/>
  <c r="AV191" i="1"/>
  <c r="AW191" i="1"/>
  <c r="AU158" i="1"/>
  <c r="AW158" i="1"/>
  <c r="AU147" i="1"/>
  <c r="AW147" i="1"/>
  <c r="AU115" i="1"/>
  <c r="AV115" i="1"/>
  <c r="AW115" i="1"/>
  <c r="AU266" i="1"/>
  <c r="AV266" i="1"/>
  <c r="AU241" i="1"/>
  <c r="AV241" i="1"/>
  <c r="AW241" i="1"/>
  <c r="AV225" i="1"/>
  <c r="AU180" i="1"/>
  <c r="AW180" i="1"/>
  <c r="AU143" i="1"/>
  <c r="AW143" i="1"/>
  <c r="AU247" i="1"/>
  <c r="AU232" i="1"/>
  <c r="AW232" i="1"/>
  <c r="AU198" i="1"/>
  <c r="AW198" i="1"/>
  <c r="AU176" i="1"/>
  <c r="AV176" i="1"/>
  <c r="AW176" i="1"/>
  <c r="AU165" i="1"/>
  <c r="AW165" i="1"/>
  <c r="AU135" i="1"/>
  <c r="AV135" i="1"/>
  <c r="AW135" i="1"/>
  <c r="AU123" i="1"/>
  <c r="AU98" i="1"/>
  <c r="AU73" i="1"/>
  <c r="AU48" i="1"/>
  <c r="AU23" i="1"/>
  <c r="AU271" i="1"/>
  <c r="AV271" i="1"/>
  <c r="AU194" i="1"/>
  <c r="AW194" i="1"/>
  <c r="AU161" i="1"/>
  <c r="AV161" i="1"/>
  <c r="AW161" i="1"/>
  <c r="AU150" i="1"/>
  <c r="AW150" i="1"/>
  <c r="AU222" i="1"/>
  <c r="AW222" i="1"/>
  <c r="AU212" i="1"/>
  <c r="AW212" i="1"/>
  <c r="AU201" i="1"/>
  <c r="AV201" i="1"/>
  <c r="AW201" i="1"/>
  <c r="AU187" i="1"/>
  <c r="AW187" i="1"/>
  <c r="AU146" i="1"/>
  <c r="AV146" i="1"/>
  <c r="AW146" i="1"/>
  <c r="AU127" i="1"/>
  <c r="AW127" i="1"/>
  <c r="AU10" i="1"/>
  <c r="AU6" i="1"/>
  <c r="AU276" i="1"/>
  <c r="AV276" i="1"/>
  <c r="AU249" i="1"/>
  <c r="AW249" i="1"/>
  <c r="AU183" i="1"/>
  <c r="AW183" i="1"/>
  <c r="AU179" i="1"/>
  <c r="AW179" i="1"/>
  <c r="AU172" i="1"/>
  <c r="AW172" i="1"/>
  <c r="AW416" i="1"/>
  <c r="AW411" i="1"/>
  <c r="AW406" i="1"/>
  <c r="AW401" i="1"/>
  <c r="AW396" i="1"/>
  <c r="AW391" i="1"/>
  <c r="AW386" i="1"/>
  <c r="AW381" i="1"/>
  <c r="AW376" i="1"/>
  <c r="AW371" i="1"/>
  <c r="AW366" i="1"/>
  <c r="AW361" i="1"/>
  <c r="AW356" i="1"/>
  <c r="AW351" i="1"/>
  <c r="AW346" i="1"/>
  <c r="AW341" i="1"/>
  <c r="AW336" i="1"/>
  <c r="AW331" i="1"/>
  <c r="AW326" i="1"/>
  <c r="AW321" i="1"/>
  <c r="AW316" i="1"/>
  <c r="AW311" i="1"/>
  <c r="AW306" i="1"/>
  <c r="AW301" i="1"/>
  <c r="AW296" i="1"/>
  <c r="AW291" i="1"/>
  <c r="AW278" i="1"/>
  <c r="AW270" i="1"/>
  <c r="AW257" i="1"/>
  <c r="AW237" i="1"/>
  <c r="AU234" i="1"/>
  <c r="AW234" i="1"/>
  <c r="AU231" i="1"/>
  <c r="AV231" i="1"/>
  <c r="AW231" i="1"/>
  <c r="AU208" i="1"/>
  <c r="AW208" i="1"/>
  <c r="AU168" i="1"/>
  <c r="AW168" i="1"/>
  <c r="AU164" i="1"/>
  <c r="AW164" i="1"/>
  <c r="AU157" i="1"/>
  <c r="AW157" i="1"/>
  <c r="AU118" i="1"/>
  <c r="AU93" i="1"/>
  <c r="AU68" i="1"/>
  <c r="AU43" i="1"/>
  <c r="AU18" i="1"/>
  <c r="AV416" i="1"/>
  <c r="AV411" i="1"/>
  <c r="AV406" i="1"/>
  <c r="AV401" i="1"/>
  <c r="AV396" i="1"/>
  <c r="AV391" i="1"/>
  <c r="AV386" i="1"/>
  <c r="AV381" i="1"/>
  <c r="AV376" i="1"/>
  <c r="AV371" i="1"/>
  <c r="AV366" i="1"/>
  <c r="AV361" i="1"/>
  <c r="AV356" i="1"/>
  <c r="AV351" i="1"/>
  <c r="AV346" i="1"/>
  <c r="AV341" i="1"/>
  <c r="AV336" i="1"/>
  <c r="AV331" i="1"/>
  <c r="AV326" i="1"/>
  <c r="AV321" i="1"/>
  <c r="AV316" i="1"/>
  <c r="AV311" i="1"/>
  <c r="AV306" i="1"/>
  <c r="AV301" i="1"/>
  <c r="AV296" i="1"/>
  <c r="AV291" i="1"/>
  <c r="AU281" i="1"/>
  <c r="AV281" i="1"/>
  <c r="AV278" i="1"/>
  <c r="AV270" i="1"/>
  <c r="AU246" i="1"/>
  <c r="AV246" i="1"/>
  <c r="AW246" i="1"/>
  <c r="AU204" i="1"/>
  <c r="AW204" i="1"/>
  <c r="AW200" i="1"/>
  <c r="AU153" i="1"/>
  <c r="AW153" i="1"/>
  <c r="AU142" i="1"/>
  <c r="AW142" i="1"/>
  <c r="AU138" i="1"/>
  <c r="AW283" i="1"/>
  <c r="AW275" i="1"/>
  <c r="AW262" i="1"/>
  <c r="AW254" i="1"/>
  <c r="AU224" i="1"/>
  <c r="AW224" i="1"/>
  <c r="AU221" i="1"/>
  <c r="AV221" i="1"/>
  <c r="AW221" i="1"/>
  <c r="AU211" i="1"/>
  <c r="AV211" i="1"/>
  <c r="AW211" i="1"/>
  <c r="AV200" i="1"/>
  <c r="AU197" i="1"/>
  <c r="AW197" i="1"/>
  <c r="AU186" i="1"/>
  <c r="AV186" i="1"/>
  <c r="AW186" i="1"/>
  <c r="AV182" i="1"/>
  <c r="AU175" i="1"/>
  <c r="AW175" i="1"/>
  <c r="AU130" i="1"/>
  <c r="AV130" i="1"/>
  <c r="AW130" i="1"/>
  <c r="AU122" i="1"/>
  <c r="AW122" i="1"/>
  <c r="AU286" i="1"/>
  <c r="AV286" i="1"/>
  <c r="AV283" i="1"/>
  <c r="AV275" i="1"/>
  <c r="AV262" i="1"/>
  <c r="AV254" i="1"/>
  <c r="AW230" i="1"/>
  <c r="AV207" i="1"/>
  <c r="AU171" i="1"/>
  <c r="AV171" i="1"/>
  <c r="AW171" i="1"/>
  <c r="AV167" i="1"/>
  <c r="AU160" i="1"/>
  <c r="AW160" i="1"/>
  <c r="AV117" i="1"/>
  <c r="AU237" i="1"/>
  <c r="AV230" i="1"/>
  <c r="AV227" i="1"/>
  <c r="AU214" i="1"/>
  <c r="AW214" i="1"/>
  <c r="AU193" i="1"/>
  <c r="AW193" i="1"/>
  <c r="AV189" i="1"/>
  <c r="AV178" i="1"/>
  <c r="AU156" i="1"/>
  <c r="AV156" i="1"/>
  <c r="AW156" i="1"/>
  <c r="AV152" i="1"/>
  <c r="AU145" i="1"/>
  <c r="AW145" i="1"/>
  <c r="AV137" i="1"/>
  <c r="AW138" i="1"/>
  <c r="AW133" i="1"/>
  <c r="AW128" i="1"/>
  <c r="AW123" i="1"/>
  <c r="AW118" i="1"/>
  <c r="AW113" i="1"/>
  <c r="AW108" i="1"/>
  <c r="AW103" i="1"/>
  <c r="AW98" i="1"/>
  <c r="AW93" i="1"/>
  <c r="AW88" i="1"/>
  <c r="AW83" i="1"/>
  <c r="AW78" i="1"/>
  <c r="AW73" i="1"/>
  <c r="AW68" i="1"/>
  <c r="AW63" i="1"/>
  <c r="AW58" i="1"/>
  <c r="AW53" i="1"/>
  <c r="AW48" i="1"/>
  <c r="AW43" i="1"/>
  <c r="AW38" i="1"/>
  <c r="AW33" i="1"/>
  <c r="AW28" i="1"/>
  <c r="AW23" i="1"/>
  <c r="AW18" i="1"/>
  <c r="AW13" i="1"/>
  <c r="AW8" i="1"/>
  <c r="AW3" i="1"/>
  <c r="AV28" i="1"/>
  <c r="AV23" i="1"/>
  <c r="AV18" i="1"/>
  <c r="AV13" i="1"/>
  <c r="AV8" i="1"/>
  <c r="AV3" i="1"/>
  <c r="AW110" i="1"/>
  <c r="AW105" i="1"/>
  <c r="AW100" i="1"/>
  <c r="AW95" i="1"/>
  <c r="AW90" i="1"/>
  <c r="AW85" i="1"/>
  <c r="AW80" i="1"/>
  <c r="AW75" i="1"/>
  <c r="AW70" i="1"/>
  <c r="AW65" i="1"/>
  <c r="AW60" i="1"/>
  <c r="AW55" i="1"/>
  <c r="AW50" i="1"/>
  <c r="AW45" i="1"/>
  <c r="AW40" i="1"/>
  <c r="AW35" i="1"/>
  <c r="AW30" i="1"/>
  <c r="AW25" i="1"/>
  <c r="AW20" i="1"/>
  <c r="AW15" i="1"/>
  <c r="AW10" i="1"/>
  <c r="AW5" i="1"/>
  <c r="AV110" i="1"/>
  <c r="AV105" i="1"/>
  <c r="AV100" i="1"/>
  <c r="AV95" i="1"/>
  <c r="AV90" i="1"/>
  <c r="AV85" i="1"/>
  <c r="AV80" i="1"/>
  <c r="AV75" i="1"/>
  <c r="AV70" i="1"/>
  <c r="AV65" i="1"/>
  <c r="AV60" i="1"/>
  <c r="AV55" i="1"/>
  <c r="AV50" i="1"/>
  <c r="AV45" i="1"/>
  <c r="AV40" i="1"/>
  <c r="AV35" i="1"/>
  <c r="AV30" i="1"/>
  <c r="AV25" i="1"/>
  <c r="AV20" i="1"/>
  <c r="AV15" i="1"/>
  <c r="AV10" i="1"/>
  <c r="AV5" i="1"/>
  <c r="AW112" i="1"/>
  <c r="AW107" i="1"/>
  <c r="AW102" i="1"/>
  <c r="AW97" i="1"/>
  <c r="AW92" i="1"/>
  <c r="AW87" i="1"/>
  <c r="AW82" i="1"/>
  <c r="AW77" i="1"/>
  <c r="AW72" i="1"/>
  <c r="AW67" i="1"/>
  <c r="AW62" i="1"/>
  <c r="AW57" i="1"/>
  <c r="AW52" i="1"/>
  <c r="AW47" i="1"/>
  <c r="AW42" i="1"/>
  <c r="AW37" i="1"/>
  <c r="AW32" i="1"/>
  <c r="AW27" i="1"/>
  <c r="AW22" i="1"/>
  <c r="AW17" i="1"/>
  <c r="AW12" i="1"/>
  <c r="AW7" i="1"/>
  <c r="AW2" i="1"/>
  <c r="AW159" i="1"/>
  <c r="AW154" i="1"/>
  <c r="AW149" i="1"/>
  <c r="AW144" i="1"/>
  <c r="AW139" i="1"/>
  <c r="AW134" i="1"/>
  <c r="AW129" i="1"/>
  <c r="AW124" i="1"/>
  <c r="AW119" i="1"/>
  <c r="AW114" i="1"/>
  <c r="AW109" i="1"/>
  <c r="AW104" i="1"/>
  <c r="AW99" i="1"/>
  <c r="AW94" i="1"/>
  <c r="AW89" i="1"/>
  <c r="AW84" i="1"/>
  <c r="AW79" i="1"/>
  <c r="AW74" i="1"/>
  <c r="AW69" i="1"/>
  <c r="AW64" i="1"/>
  <c r="AW59" i="1"/>
  <c r="AW54" i="1"/>
  <c r="AW49" i="1"/>
  <c r="AW44" i="1"/>
  <c r="AW39" i="1"/>
  <c r="AW34" i="1"/>
  <c r="AW29" i="1"/>
  <c r="AW24" i="1"/>
  <c r="AW19" i="1"/>
  <c r="AW14" i="1"/>
  <c r="AW9" i="1"/>
  <c r="AW4" i="1"/>
  <c r="AW131" i="1"/>
  <c r="AW126" i="1"/>
  <c r="AW121" i="1"/>
  <c r="AW116" i="1"/>
  <c r="AW111" i="1"/>
  <c r="AW106" i="1"/>
  <c r="AW101" i="1"/>
  <c r="AW96" i="1"/>
  <c r="AW91" i="1"/>
  <c r="AW86" i="1"/>
  <c r="AW81" i="1"/>
  <c r="AW76" i="1"/>
  <c r="AW71" i="1"/>
  <c r="AW66" i="1"/>
  <c r="AW61" i="1"/>
  <c r="AW56" i="1"/>
  <c r="AW51" i="1"/>
  <c r="AW46" i="1"/>
  <c r="AW41" i="1"/>
  <c r="AW36" i="1"/>
  <c r="AW31" i="1"/>
  <c r="AW26" i="1"/>
  <c r="AW21" i="1"/>
  <c r="AW16" i="1"/>
  <c r="AW11" i="1"/>
  <c r="AW6" i="1"/>
  <c r="AV131" i="1"/>
  <c r="AV126" i="1"/>
  <c r="AV121" i="1"/>
  <c r="AV116" i="1"/>
  <c r="AV111" i="1"/>
  <c r="AV106" i="1"/>
  <c r="AV101" i="1"/>
  <c r="AV96" i="1"/>
  <c r="AV91" i="1"/>
  <c r="AV86" i="1"/>
  <c r="AV81" i="1"/>
  <c r="AV76" i="1"/>
  <c r="AV71" i="1"/>
  <c r="AV66" i="1"/>
  <c r="AV61" i="1"/>
  <c r="AV56" i="1"/>
  <c r="AV51" i="1"/>
  <c r="AV46" i="1"/>
  <c r="AV41" i="1"/>
  <c r="AV36" i="1"/>
  <c r="AV31" i="1"/>
  <c r="AV26" i="1"/>
  <c r="AV21" i="1"/>
  <c r="AV16" i="1"/>
  <c r="AV11" i="1"/>
  <c r="AV6" i="1"/>
</calcChain>
</file>

<file path=xl/sharedStrings.xml><?xml version="1.0" encoding="utf-8"?>
<sst xmlns="http://schemas.openxmlformats.org/spreadsheetml/2006/main" count="15332" uniqueCount="9164">
  <si>
    <t>undefined</t>
  </si>
  <si>
    <t>['wiley blackwell', 'rights reserved', 'possible hypothesis', 'plant volatiles', 'pheromone components', 'olfactory receptors', 'male antenna', 'evolutionary specialization', 'biological significance', 'also sensitive', 'addition found']</t>
  </si>
  <si>
    <t>electroantennogram | electrophysiology | Male‚Äêfemale comparison | pheromone reception | plant volatile reception | single sensillum</t>
  </si>
  <si>
    <t>ABSTRACT. Pheromone and plant volatile perception was studied with electroantennogram and single sensillum techniques in male and female turnip moths, Agrotis segetum Schiff. Lepidoptera, Noctuidae. The female is insensitive to the pheromone components and her receptors are specialized for plant volatile reception. The specific pheromone receptors on the male antenna are also sensitive to plant volatiles. The male was in addition found to have specialized plant volatile receptors. The biological significance of the different response profiles in males and females, and a possible hypothesis for the evolutionary specialization of olfactory receptors are discussed. Copyright ¬© 1989, Wiley Blackwell. All rights reserved</t>
  </si>
  <si>
    <t>147-155</t>
  </si>
  <si>
    <t>Journal</t>
  </si>
  <si>
    <t>Physiological Entomology</t>
  </si>
  <si>
    <t>60029170;60029170;60029170</t>
  </si>
  <si>
    <t>7103226689;57190616192;7004376332</t>
  </si>
  <si>
    <t>HANSSON, BILL S.;PERS, JAN N.C.VAN DER;L√ñFQVIST, JAN</t>
  </si>
  <si>
    <t>Sweden</t>
  </si>
  <si>
    <t>Lund</t>
  </si>
  <si>
    <t>Lunds Universitet</t>
  </si>
  <si>
    <t>HANSSON B.S.</t>
  </si>
  <si>
    <t>Article</t>
  </si>
  <si>
    <t>ar</t>
  </si>
  <si>
    <t>Comparison of male and female olfactory cell response to pheromone compounds and plant volatiles in the turnip moth, Agrotis segetum</t>
  </si>
  <si>
    <t>10.1111/j.1365-3032.1989.tb00946.x</t>
  </si>
  <si>
    <t>2-s2.0-0000217602</t>
  </si>
  <si>
    <t>n</t>
  </si>
  <si>
    <t>209-222</t>
  </si>
  <si>
    <t>Psyche (New York)</t>
  </si>
  <si>
    <t>Robbins, Robert K.</t>
  </si>
  <si>
    <t>United States</t>
  </si>
  <si>
    <t>Washington, D.C.</t>
  </si>
  <si>
    <t>Smithsonian Institution</t>
  </si>
  <si>
    <t>Robbins R.</t>
  </si>
  <si>
    <t>Systematic Implications of Butterfly Leg Structures that Clean the Antennae</t>
  </si>
  <si>
    <t>10.1155/1989/43420</t>
  </si>
  <si>
    <t>2-s2.0-0000522988</t>
  </si>
  <si>
    <t>['√© tection', 'used vision', 'stationary larvae', 'searched sporadically', 'proboscis stretched', 'prey detection', 'predaceous pentatomid', 'posterior end', 'olfaction pour', 'oechalia schellembergii', 'major part', 'locate wandering', 'locate prey', 'les chenilles', 'larval frass', 'intensive search', 'greater impact', 'close range', 'anterior end', "'√™ tre"]</t>
  </si>
  <si>
    <t>behaviour | Oechalia schellembergii | prey perception | Searching | speed of the prey</t>
  </si>
  <si>
    <t>The predaceous pentatomid, Oechalia schellembergii (Gu√©rin‚ÄêMeneville) (Heteroptera: Pentatomidae) used vision and olfaction to locate Heliothis punctigera (Wallengren) (Lepidoptera: Noctuidae) larvae. Oechalia schellembergii took relatively less time to locate wandering than stationary larvae. Dead, but artificially moved larvae were more prone to attacks than stationary larvae. Predators showed positive response to larval frass, they antennated, probed and carried out an intensive search in its vicinity. Oechalia schellembergii responded to prey that was both concealed and stationary at a close range only. Impairing of antennae had a greater impact on predators searching ability than impairing of eyes and ocelli. Predators without vision failed to differentiate between the anterior and posterior end of the prey and while probing often missed the larva. In contrast, non‚Äêimpaired individuals selectively attacked the anterior end of prey. Predators with vision and olfaction blocked showed an unusual search pattern. They searched sporadically with proboscis stretched, and also used front tarsi to locate prey. Prey movement played a major part in prey detection. Slow moving larvae appeared to be perceived less readily by predators than fast moving larvae. Localisation des proies par Oechalia schellenbergii O. schellenbergii Guerin‚ÄêMeneville utilise la vision et l'olfaction pour d√©couvrir ses proies, les chenilles d'Heliothis punctigera Wallenberg. La vision est importante dans la d√©tection des proies en mouvement et l'olfaction aide √† la d√©couverte des chenilles immobiles. Les pr√©dateurs consacrent relativement moins de temps √† localiser les chenilles mobiles qu'immobiles. Des chenilles mortes mais artificiellement remu√©es sont per√ßues et ainsi sujettes √† plus d'attaques que si elles √©taient immobiles. Les pr√©dateurs r√©agissent aux excr√©ments des chenilles, ils les touchent avec leurs antennes, les sondent et s'engagent dans une prospection intense aux alentours. Ils ne r√©agissent qu'√† faible distance √† une proie cach√©e et immobile. Le vernissage des antennes semble avoir eu plus d'effet sur la prospection que le vernissage des yeux et des ocelles. Cependant, les punaises dont la vision √©tait compromise ne distinguaient pas les extr√©mit√©s ant√©rieure et post√©rieure de la chenille, qui √©tait souvent manqu√©e lors du sondage. Ce sondage des proies √©tait d'ailleurs toujours perturb√©; par contre, les individus intacts, attaquaient s√©lectivement l'extr√©mit√© ant√©rieure des chenilles. Le comportement de prospection des punaises, dont la vision et l'olfaction √©taient bloqu√©es, √©tait anormal. Elles cherchaient sporadiquement avec leurs rostres, tout en se d√©pla√ßant autour de leurs proies, localis√©es aussi par l'utilisation des tarses ant√©rieurs. Le mouvement de la proie a jou√© un r√¥le fondamental dans la d√©tection. Les chenilles lentes ont sembl√© plus susceptibles d'√™tre d√©couvertes et ainsi attaqu√©es que les rapides. 1989 The Netherlands Entomological Society</t>
  </si>
  <si>
    <t>225-231</t>
  </si>
  <si>
    <t>Entomologia Experimentalis et Applicata</t>
  </si>
  <si>
    <t>60009512;60014439;60014439</t>
  </si>
  <si>
    <t>16433415400;7403521415;7402353388</t>
  </si>
  <si>
    <t>Awan, M. S.;Wilson, L. T.;Hoffmann, M. P.</t>
  </si>
  <si>
    <t>United States;Australia</t>
  </si>
  <si>
    <t>Davis;Adelaide</t>
  </si>
  <si>
    <t>University of California, Davis;The University of Adelaide</t>
  </si>
  <si>
    <t>60014439;60009512</t>
  </si>
  <si>
    <t>Awan M.</t>
  </si>
  <si>
    <t>Prey location by Oechalia schellembergii</t>
  </si>
  <si>
    <t>10.1111/j.1570-7458.1989.tb01233.x</t>
  </si>
  <si>
    <t>2-s2.0-0000708865</t>
  </si>
  <si>
    <t>['triplet yield', 'triplet state', 'triplet annihilation', 'submicrosecond range', 'redox state', 'photochemical processes', 'partially reduced', 'nonreduced systems', 'lm method', 'lemna gibba', 'laser excitation', 'internal antenna', 'epr detection', 'diode detection', 'different modes', 'dd method', 'cycling times', 'core complex', 'also observed']</t>
  </si>
  <si>
    <t>Electron paramagnetic resonance (EPR) spectroscopy, employing light modulation (LM) in the submillisecond range together with laser excitation-diode detection (DD) in the submicrosecond range has been carried out on the core complex of photosystem I (CC I) purified from Lemna gibba. The photophysical and photochemical processes that occur in CC I have been investigated as a function of the acceptor's redox state and of temperature, with use of different modes of EPR detection. Photoexcitation of the system in which all the acceptors are in their normal redox state P700A0A1A2A3A4 gives rise to triplet spectra mainly typical of ChlaT(triplet state chlorophyll a) in the internal antenna. When some of the acceptors are reduced (P700A0A1[A2A3A 4]‚Ä¢-), the observed triplet species, by employing the LM method, are those of the reaction center P700 and Œ≤-carotene. The latter is sensitized by ChlaT of the internal antenna. With the DD method, the triplet state of Chla is also observed and is accompanied by a decrease of the triplet yield of the other species. These differences in triplet yield are discussed in terms of triplet-triplet annihilation (ChlaT + Œ≤-caroteneT) and the cycling times of the partially reduced and nonreduced systems with respect to the two EPR methods employed. ¬© 1989 American Chemical Society.</t>
  </si>
  <si>
    <t>2421-2426</t>
  </si>
  <si>
    <t>Journal of Physical Chemistry</t>
  </si>
  <si>
    <t>60007903;60007903;60007903;60027550</t>
  </si>
  <si>
    <t>7006641748;7004464888;7003757625;7004524029</t>
  </si>
  <si>
    <t>Regev, A.;Nechushtai, R.;Levanon, H.;Thornber, J. P.</t>
  </si>
  <si>
    <t>United States;Israel</t>
  </si>
  <si>
    <t>Los Angeles;Jerusalem</t>
  </si>
  <si>
    <t>University of California, Los Angeles;Hebrew University of Jerusalem</t>
  </si>
  <si>
    <t>60027550;60007903</t>
  </si>
  <si>
    <t>Regev A.</t>
  </si>
  <si>
    <t>Time-resolved electron paramagnetic resonance study of the higher plant photosystem I core complex</t>
  </si>
  <si>
    <t>10.1021/j100343a040</t>
  </si>
  <si>
    <t>2-s2.0-0000751405</t>
  </si>
  <si>
    <t>Centre National de la Recherche Scientifique</t>
  </si>
  <si>
    <t>UA 041187</t>
  </si>
  <si>
    <t>CNRS</t>
  </si>
  <si>
    <t>['using mutants', 'similar extent', 'several chlorophyll', 'roughly proportional', 'rights reserved', 'relative contribution', 'quadratic response', 'quadratic probes', 'protein complexes', 'probes upon', 'overall amount', 'mutant strains', 'membrane potential', 'major fraction', 'major chlorophyll', 'higher plants', 'harvesting complexes', 'electrochromic spectrum', 'either associated', 'chlorophyll antenna', 'chlorella sorokiniana', 'biomedical division', 'also conserved', 'also analyzed', '504 nm', '486 nm', '479 nm', '472 nm']</t>
  </si>
  <si>
    <t>(Chlorella) | ATP hydrolysis | Electrochromic absorbance change | Membrane potential | Spectroscopy</t>
  </si>
  <si>
    <t>Field-indicating absorption changes have been measured in mutant strains of Chlorella sorokiniana and Chlamydomonas reinhardtii lacking one or several chlorophyll-protein complexes. Using mutants which lack PS II centers and most of the chlorophyll antenna, we could characterize two types of probe, with linear or quadratic response to the membrane potential. The probes with linear response present an electrochromic spectrum with maxima at 514 and 486 nm and a minimum at 472 nm; those which respond quadratically present a spectrum with maxima at 464 and 504 nm and a minimum at 479 nm. By measuring the relative contribution of these probes upon a weak actinic flash, the offset of the membrane potential may be estimated under various experimental conditions. In anaerobiosis in the dark, a large permanent membrane potential arises from the hydrolysis of ATP, mainly of mitochondria! origin. We have also analyzed the electrochromic absorption changes in other mutant strains lacking either PS II only,or PS I and the major fraction of light-harvesting complexes. The quadratic probes are present to a similar extent in every strain investigated, which suggests that they are not associated with any of the major chlorophyll-protein complexes. These probes are also conserved in higher plants. In contrast, the linear electrochromic changes are roughly proportional to the overall amount of chlorophyll, either associated with the photocenter or with the antenna. ¬© 1989 Elsevier Science Publishers B.V. (Biomedical Division) All rights reserved.</t>
  </si>
  <si>
    <t>355-360</t>
  </si>
  <si>
    <t>BBA - Bioenergetics</t>
  </si>
  <si>
    <t>60014849;60014849</t>
  </si>
  <si>
    <t>7003761323;7004367510</t>
  </si>
  <si>
    <t>Joliot, Pierre;Joliot, Anne</t>
  </si>
  <si>
    <t>France</t>
  </si>
  <si>
    <t>Paris</t>
  </si>
  <si>
    <t>Institut de Biologie Physico-Chimique</t>
  </si>
  <si>
    <t>Joliot P.</t>
  </si>
  <si>
    <t>Characterization of linear and quadratic electrochromic probes in Chlorella sorokiniana and Chlamydomonas reinhardtii</t>
  </si>
  <si>
    <t>S0005-2728(89)80343-3</t>
  </si>
  <si>
    <t>10.1016/S0005-2728(89)80343-3</t>
  </si>
  <si>
    <t>2-s2.0-0000918806</t>
  </si>
  <si>
    <t>['‚ àº0', 'weak since', 'vibration coupling', 'transport within', 'rhys factor', 'reaction center', 'protein modes', 'phonon frequencies', 'phonon coupling', 'maximum franck', 'linear electron', 'intramolecular modes', 'indicate also', 'frequency lower', 'experimental mode', 'excitation transport', 'dependent data', 'condon factors', 'cluster model', 'calculations indicate', 'available temperature', 'antenna provides', 'accurate picture', '41 chlorophyll', '260 cm']</t>
  </si>
  <si>
    <t>Nonphotochemical hole burning is used to determine the frequencies and Franck-Condon factors for 41 chlorophyll a (Chla) and 15 Chlb intramolecular modes for PSI-200. The linear electron-vibration coupling for all modes is very weak with the maximum Franck-Condon factor observed being ‚àº0.04. No activity by modes with a frequency lower than 7sim;260 cm-1 is observed. The linear electron-phonon coupling for protein modes of mean frequency 22 cm-1 is stronger but can still be categorized as weak since the Huang-Rhys factor is 0.8. The experimental mode and phonon frequencies and Franck-Condon factors are used with multiphonon excitation transport theories to analyze the available temperature-dependent data on the kinetics of transport within the core antenna complex. The calculations indicate that it is the phonons (and not the intramolecular modes) that mediate excitation transport within the antenna and from the antenna to the reaction center. They indicate also that a subunit or cluster model for the antenna provides a more accurate picture than the regular array model for excitation transport. ¬© 1989 American Chemical Society.</t>
  </si>
  <si>
    <t>1620-1627</t>
  </si>
  <si>
    <t>60008023;60008023;60023908</t>
  </si>
  <si>
    <t>8784715500;7202142626;7006150149</t>
  </si>
  <si>
    <t>Gillie, J. K.;Small, G. J.;Golbeck, J. H.</t>
  </si>
  <si>
    <t>United States;United States</t>
  </si>
  <si>
    <t>Portland;Ames</t>
  </si>
  <si>
    <t>Portland State University;Ames Laboratory</t>
  </si>
  <si>
    <t>60023908;60008023</t>
  </si>
  <si>
    <t>Gillie J.</t>
  </si>
  <si>
    <t>Nonphotochemical hole burning of the native antenna complex of photosystem I (PSI-200)</t>
  </si>
  <si>
    <t>10.1021/j100341a085</t>
  </si>
  <si>
    <t>2-s2.0-0001099139</t>
  </si>
  <si>
    <t>['œ ∑', '¬© 1989', 'visible light', 'trinuclear complex', 'transfer transitions', 'state absorption', 'rights reserved', 'results demonstrate', 'probably responsible', 'photophysical behavior', 'photon excitation', 'mlct triplet', 'luminophore complexes', 'large light', 'isolated luminophore', 'involve oxidation', 'intramolecular processes', 'iii ).', 'harvesting efficiency', 'free cr', 'excited cr', 'emitting state', 'efficient population', 'doublet state', 'distinctive features', 'chromophore leads', 'bimetallic complexes', 'band corresponds', '63 -.', '63 -,', '1 ).']</t>
  </si>
  <si>
    <t>The binuclear [NC-Ru(bpy)2-NC-Cr(CN)5]2- and trinuclear [(CN)5Cr-CN-Ru(bpy)2-NC-Cr(CN)5]4- bimetallic complexes have been synthesized and their photophysical behavior has been studied. Visible light absorption by the Ru(bpy)22+ chromophore leads to phosphorescence from the Cr(CN)63- luminophore. The results demonstrate the occurrence of a fast (œÑ &lt; 10 ns), efficient (Œ∑ = 1) intramolecular exchange energy transfer process from the MLCT triplet of the Ru(II) fragment to the doublet state of the Cr(CN)63- fragment. Distinctive features of these chromophore-luminophore complexes with respect to the behavior of the isolated luminophore are as follows: (i) large light-harvesting efficiency (antenna effect); (ii) response to visible light (spectral sensitization); (iii) 100% efficient population of the emitting state; (iv) photostability. The excited-state absorption (ESA) spectrum of both bimetallic complexes exhibits a peculiar visible band not shown by free Cr(CN)63-. This band corresponds to intervalence-transfer transitions from Ru(II) to excited Cr(III). Contrary to the behavior of free Cr(CN)63-, the bimetallic complexes also undergo a distinct bimolecular doublet-doublet annihilation process (rate constants k of the order of 107-108M-1 s-1). The mechanism is thought to involve oxidation of Ru(II) and reduction of Cr(III). Intramolecular processes of the same type are probably responsible for the failure to observe doubly excited species upon two-photon excitation of the trinuclear complex. ¬© 1989, American Chemical Society. All rights reserved.</t>
  </si>
  <si>
    <t>5192-5198</t>
  </si>
  <si>
    <t>Journal of the American Chemical Society</t>
  </si>
  <si>
    <t>60021199;60021199;60021199</t>
  </si>
  <si>
    <t>7004810859;7003296573;7003684669</t>
  </si>
  <si>
    <t>Bignozzi, Carlo Alberto;Indelli, Maria Teresa;Scandola, Franco</t>
  </si>
  <si>
    <t>Italy</t>
  </si>
  <si>
    <t>Rome</t>
  </si>
  <si>
    <t>Consiglio Nazionale delle Ricerche</t>
  </si>
  <si>
    <t>Bignozzi C.A.</t>
  </si>
  <si>
    <t>Bis(2, 2'-bipyridine)ruthenium(II)-Hexacyanochromate(III) Chromophore-Luminophore Complexes. Intramolecular Energy Transfer, Excited-State Intervalence Transfer, and Doublet-Doublet Annihilation</t>
  </si>
  <si>
    <t>10.1021/ja00196a028</t>
  </si>
  <si>
    <t>2-s2.0-0001103221</t>
  </si>
  <si>
    <t>['¬© 1989', 'predictions based', 'phased four', 'phase difference', 'loop voltage', 'fast waves', 'electron density', 'effects depend', 'core electrons', 'conditions vph', 'absorption efficiency']</t>
  </si>
  <si>
    <t>It is observed that fast waves launched into an electron cyclotron heated plasma from a phased four-strip-line antenna array couple effectively with core electrons. This coupling produces enhanced electron cyclotron emission and a drop in the loop voltage. These effects depend on the phase difference between adjacent strip lines and on the electron density. An absorption efficiency of 20% is deduced under the conditions vph/ve0 and f0/fLH(0) 0.38. The experimental results agree well with predictions based on electron Landau damping of fast waves. ¬© 1989 The American Physical Society.</t>
  </si>
  <si>
    <t>1148-1151</t>
  </si>
  <si>
    <t>Physical Review Letters</t>
  </si>
  <si>
    <t>60012288;60012288;60012288;60012288;60012288;60012288;60012288;60012288;60012288;60012288;60012288;60012288;60012288;60012288;60012288;60012288;60012288;60012288;60012288;60012288;60012288;60012288;60012288;60012288</t>
  </si>
  <si>
    <t>55703205600;7007048412;7202656118;57209192153;24485903500;7202141734;7401566496;57211765894;7404021406;57082055000;57083334700;56972296400;55700216100;7003741997;35350459800;57214216089;6602130772;35393093200;7004017855;7201706434;36063470300;7202344866;7401705258;57205086798</t>
  </si>
  <si>
    <t>Yamamoto, T.;Uesugi, Y.;Kawashima, H.;Hoshino, K.;Aikawa, H.;Kasai, S.;Kawakami, T.;Kondoh, T.;Maeda, H.;Matsuda, T.;Matsumoto, H.;Miura, Y.;Mori, M.;Odajima, K.;Ogawa, H.;Ogawa, T.;Ohasa, K.;Ohtsuka, H.;Sengoku, S.;Shoji, T.;Suzuki, N.;Tamai, H.;Yamauchi, T.;Nakazawa, I.</t>
  </si>
  <si>
    <t>Japan</t>
  </si>
  <si>
    <t>Naka</t>
  </si>
  <si>
    <t>Naka Fusion Institute</t>
  </si>
  <si>
    <t>Yamamoto T.</t>
  </si>
  <si>
    <t>Observation of direct electron heating by the fast waves in the lower-hybrid range of frequencies in the JFT-2M tokamak</t>
  </si>
  <si>
    <t>10.1103/PhysRevLett.63.1148</t>
  </si>
  <si>
    <t>2-s2.0-0001137245</t>
  </si>
  <si>
    <t>['tokamak plasma', 'nonhomogeneous media', 'ieee trans', 'gaussian beams', 'gaussian beam', 'asymptotic theory', 'antennas propag', 'anisotropic media', '1973 )]']</t>
  </si>
  <si>
    <t>The asymptotic theory of Choudhary and Felsen [IEEE Trans. Antennas Propag. AP-21, 827 (1973)] on the propagation of scalar inhomogeneous waves in two-dimensional isotropic media is extended to the case of three-dimensional vector fields. The theory is applied to the propagation of Gaussian beams in nonhomogeneous media. The wave trajectory equations are then reformulated for anisotropic media and used for tracking a Gaussian beam in a tokamak plasma. ¬© 1989 American Institute of Physics.</t>
  </si>
  <si>
    <t>1855-1859</t>
  </si>
  <si>
    <t>Physics of Fluids B</t>
  </si>
  <si>
    <t>Mazzucato, E.</t>
  </si>
  <si>
    <t>Princeton</t>
  </si>
  <si>
    <t>Princeton Plasma Physics Laboratory</t>
  </si>
  <si>
    <t>Mazzucato E.</t>
  </si>
  <si>
    <t>Propagation of a Gaussian beam in a nonhomogeneous plasma</t>
  </si>
  <si>
    <t>10.1063/1.858917</t>
  </si>
  <si>
    <t>2-s2.0-0001153956</t>
  </si>
  <si>
    <t>['surface currents', 'surface current', 'square errors', 'routinely monitor', 'phase difference', 'method could', 'mean flows', 'full potential', 'directly proportional', 'apparatus consists', 'antennas forms']</t>
  </si>
  <si>
    <t>A method of remotely measuring near-surface ocean currents with a synthetic aperture radar (SAR) is described. The apparatus consists of a single SAR transmitter and two receiving antennas. The phase difference between SAR image scenes obtained from the antennas forms an interferogram that is directly proportional to the surface current. The first field test of this technique against conventional measurements gives estimates of mean currents accurate to order 20 percent, that is, root-mean-square errors of 5 to 10 centimeters per second in mean flows of 27 to 56 centimeters per second. If the full potential of the method could be realized with spacecraft, then it might be possible to routinely monitor the surface currents of the world's oceans.</t>
  </si>
  <si>
    <t>1282-1285</t>
  </si>
  <si>
    <t>Science</t>
  </si>
  <si>
    <t>60009037;60023018;60009037</t>
  </si>
  <si>
    <t>7403010679;7101910089;7005577978</t>
  </si>
  <si>
    <t>Goldstein, R. M.;Barnett, T. P.;Zebker, H. A.</t>
  </si>
  <si>
    <t>San Diego;Pasadena</t>
  </si>
  <si>
    <t>Scripps Institution of Oceanography;Jet Propulsion Laboratory</t>
  </si>
  <si>
    <t>60023018;60009037</t>
  </si>
  <si>
    <t>Goldstein R.</t>
  </si>
  <si>
    <t>Remote sensing of ocean currents</t>
  </si>
  <si>
    <t>10.1126/science.246.4935.1282</t>
  </si>
  <si>
    <t>2-s2.0-0001232078</t>
  </si>
  <si>
    <t>['¬© 1989', 'vitro mainly', 'rights reserved', 'olfactory hairs', 'male silk', 'hexadecadienyl acetate', 'enzymatically converted']</t>
  </si>
  <si>
    <t>Antennae | Metabolites | Moth | Olfactory Hairs | Pheromones</t>
  </si>
  <si>
    <t>The sex pheromone compound [6, 7-3H]-6, 11-hexadecadienyl acetate is enzymatically converted to its corresponding fatty alcohol, aldehyde and acid in living and homogenized olfactory hairs and in other parts of the antennae of the male silk-moth Antheraea polyphemus. The pheromone is metabolized in vitro mainly in the inner hydrophilic compartments, but scarcely in the outer hydrophobic cuticle of the olfactory hairs. ¬© 1989, Verlag der Zeitschrift. All rights reserved.</t>
  </si>
  <si>
    <t>920-926</t>
  </si>
  <si>
    <t>Zeitschrift fur Naturforschung - Section C Journal of Biosciences</t>
  </si>
  <si>
    <t>60005460;60005460;60005460;60012351</t>
  </si>
  <si>
    <t>6603277313;16442031800;26643587600;15850518100</t>
  </si>
  <si>
    <t>Kasang, Gerhard;Nicholls, Michael;Keil, Thomas;Kanaujia, Sudha</t>
  </si>
  <si>
    <t>India;Germany</t>
  </si>
  <si>
    <t>Pantnagar;Pocking</t>
  </si>
  <si>
    <t>Govind Ballabh Pant University of Agriculture and Technology;Max Planck Institute for Ornithology</t>
  </si>
  <si>
    <t>60012351;60005460</t>
  </si>
  <si>
    <t>Kasang G.</t>
  </si>
  <si>
    <t>Enzymatic Conversion of Sex Pheromones in Olfactory Hairs of the Male Silkworm Moth Antheraea polyphemus</t>
  </si>
  <si>
    <t>10.1515/znc-1989-11-1208</t>
  </si>
  <si>
    <t>2-s2.0-0001420788</t>
  </si>
  <si>
    <t>['stomach contents', 'staged encounter', 'soft tissue', 'sand grains', 'rich crystals', 'possible food', 'porphyrin isolated', 'nematocysts consistent', 'morphological adaptations', 'may account', 'large pieces', 'fully illustrated', 'francis group', 'feeding lysianassids', 'fe accumulation', 'face anteriorly', 'excreted ultimately', 'dead fish', 'darkly pigmented', 'chaetognath fragments', 'certain carrion', 'bringing callynophores', 'boecki fed', 'atolla parva', 'also found']</t>
  </si>
  <si>
    <t>The mouthparts of the mesopelagic stegocephalid amphipod Parandania boecki (Stebbing, 1888) are described in detail and fully illustrated. In a staged encounter with the medusa Atolla parva, P. boecki fed, gripping the edge of the medusa‚Äôs bell with its thoracopods and held its first antennae aloft, bringing callynophores to face anteriorly. The amphipod also seemed to accept a dead fish as possible food. A porphyrin isolated from the stomach contents of P. boecki was identical to protoporphyrin from Atolla parva. The stomach contents of the amphipod consisted mostly of large pieces of soft tissue (some darkly pigmented) from which nematocysts consistent with those found in A. parva were identified. In addition, crustacean and chaetognath fragments (but no sand grains) were also found. Fe-rich crystals in the ventral gut caeca of P. boecki are identical with others in Stegocephaloides christianiensis shown elsewhere by the authors to be made of ferritin. The concentration of Fe, Cu, Zn and Cd was assessed in P. boecki and a range of medusae. Atolla parva had a higher Fe concentration than the other medusae. If A. parva is the principal prey item of P. boecki, this may account for the amphipods‚Äô possessing crystals. We presume the crystals are excreted ultimately and thus that Fe accumulation is limited. The high Cd levels in P. boecki are similar to those in mesopelagic decapod Crustacea. The morphological adaptations of the mouthparts of P. boecki bear striking resemblance to those described as characteristic of certain carrion-feeding lysianassids. Copyright ¬© 1989 Taylor &amp; Francis Group, LLC.</t>
  </si>
  <si>
    <t>Ophelia</t>
  </si>
  <si>
    <t>60014176;60105356</t>
  </si>
  <si>
    <t>55900158000;7005872197</t>
  </si>
  <si>
    <t>Moore, P. G.;Rainbow, P. S.</t>
  </si>
  <si>
    <t>United Kingdom;United Kingdom</t>
  </si>
  <si>
    <t>London;Millport</t>
  </si>
  <si>
    <t>School of Biological and Chemical Sciences Queen Mary University of London;University Marine Biological Station</t>
  </si>
  <si>
    <t>60105356;60014176</t>
  </si>
  <si>
    <t>Moore P.G.</t>
  </si>
  <si>
    <t>Feeding biology of the mesopelagic gammaridean amphipod parandania boecki (Stebbing, 1888) (crustacea: Amphipoda: Stegocephalidae) from the atlantic ocean</t>
  </si>
  <si>
    <t>10.1080/00785326.1989.10430832</t>
  </si>
  <si>
    <t>2-s2.0-0001538205</t>
  </si>
  <si>
    <t>['¬© 1989', 'specified direction', 'significantly improved', 'represent fields', 'physically pathological', 'mps pulses', 'maxwells equations', 'limited beams', 'initial location', 'fields appear', 'edept solutions', 'conventional diffraction', 'aperture antennas']</t>
  </si>
  <si>
    <t>Novel electromagnetic directed-energy pulse train (EDEPT) solutions of Maxwells equations have been obtained. One particular solution, the modified-power-spectrum (MPS) pulse, will be described in detail. EDEPTs such as the MPS pulses, can be tailored to give localized energy transmission along a specified direction in space that is significantly improved over conventional diffraction-limited beams. Moreover, they represent fields that recover their initial amplitudes along the direction of propagation at extremely large distances from their initial location. These EDEPT solutions are not physically pathological and can be reconstructed from causal Greens functions. In fact, these fields appear to be launchable from finite-aperture antennas. ¬© 1989 The American Physical Society.</t>
  </si>
  <si>
    <t>2005-2033</t>
  </si>
  <si>
    <t>Physical Review A</t>
  </si>
  <si>
    <t>Ziolkowski, Richard W.</t>
  </si>
  <si>
    <t>Livermore</t>
  </si>
  <si>
    <t>Lawrence Livermore National Laboratory</t>
  </si>
  <si>
    <t>Ziolkowski R.W.</t>
  </si>
  <si>
    <t>Localized transmission of electromagnetic energy</t>
  </si>
  <si>
    <t>10.1103/PhysRevA.39.2005</t>
  </si>
  <si>
    <t>2-s2.0-0001632247</t>
  </si>
  <si>
    <t>['wavelength form', 'various times', 'time resolution', 'time constants', 'time constant', 'room temperature', 'qy region', 'pigment reversed', 'magnitude smaller', 'like pigment', 'heliobacterium chlorum', 'exponential decay', 'electron transfer', 'bchl c', 'approximately 2', 'absorbance changes', '800 ps', '665 nm', '300 ps', '300 k', '200 ps', '15 k']</t>
  </si>
  <si>
    <t>charge separation | energy transfer | flash spectroscopy | Heliobacterium chlorum | low temperature</t>
  </si>
  <si>
    <t>Absorbance changes induced by 25-ps laser flashes were measured in membranes of Heliobacterium chlorum at 15 K. Absorbance difference spectra, measured at various times after the flash showed negative bands in the Qy region at 812, 793 and 665 nm. The first of these bands was attributed to the formation of excited singlet states of a long-wavelength form of antenna bacteriochlorophyll g (BChl g 808). Absorbance changes of shorter wavelength absorbing antenna BChls g were at least an order of magnitude smaller, indicating rapid excitation energy transfer (i.e. within the time resolution of the apparatus) from these BChls to BChl g 808. Excited BChl g 808 showed a bi-exponential decay with time constants of 50 and 200 ps. The bands at 793 and 665 nm may be attributed to the primary charge separation and reflect the photooxidation of the primary electron donor P-798 and photoreduction of a primary electron acceptor absorbing near 670 nm, presumably a BChl c or Chl a-like pigment. The bleaching of this pigment reversed with a time constant of 300 ps at 15 K and of 800 ps at 300 K. This indicates that electron transfer from the primary to the secondary electron acceptor is approximately 2.5 times faster at 15 K than at room temperature. ¬© 1989 Kluwer Academic Publishers.</t>
  </si>
  <si>
    <t>61-68</t>
  </si>
  <si>
    <t>Photosynthesis Research</t>
  </si>
  <si>
    <t>60003878;60003878;60003878</t>
  </si>
  <si>
    <t>6701322535;7003777767;7004456032</t>
  </si>
  <si>
    <t>Van Kan, Paul J.M.;Aartsma, Thijs J.;Amesz, Jan</t>
  </si>
  <si>
    <t>Netherlands</t>
  </si>
  <si>
    <t>Leiden</t>
  </si>
  <si>
    <t>Sterrewacht Leiden</t>
  </si>
  <si>
    <t>Van Kan P.</t>
  </si>
  <si>
    <t>Primary photosynthetic processes in Heliobacterium chlorum at 15K</t>
  </si>
  <si>
    <t>10.1007/BF00114767</t>
  </si>
  <si>
    <t>2-s2.0-0001770094</t>
  </si>
  <si>
    <t>['wavelength shiftof', 'wavelength one', 'triplet excitations', 'second type', 'room temperature', 'rights reserved', 'rhodospirillum rubrum', 'rhodobacter sphaeroides', 'resolved b800', 'remote ones', 'reaction centres', 'practically independent', 'obtained picture', 'obtained data', 'mutual arrangement', 'model simulations', 'magnitude smaller', 'excitation transfer', 'essential role', 'different complexes', 'chromatium minutissimum', 'biomedical division', 'bacteria investigated', 'b850 molecules', '850 complexes', '77 k', '60 ps', '50 ps', '300 k', '1 ps']</t>
  </si>
  <si>
    <t>(Chr. minutissimum) | (Rb. sphaeroides) | Excitation annihilation | Excitation transfer | Fluorescence | Light harvesting antenna | Photosynthesis, bacterial | Picosecond fluorescence</t>
  </si>
  <si>
    <t>Picosecond spectrally resolved fluorescence kinetics measurements, together with model simulations of the obtained data, based on coupled rate equations, have been employed to determine the rates and the pathways of heterogeneous excitation transfer in Rhodobacter sphaeroides and Chromatium minutissimum. The presence of a directed excitation flow from the short-wavelength bacteriochlorophyll forms to the long-wavelength one and from the latter to reaction centres has been revealed. As a result, the overall excitation trapping time in the bacteria investigated has been found to be about 60 ps both at 77 K and at room temperature, i.e. the same as in Rhodospirillum rubrum, although the number of antenna bacteriochlorophyll molecules per reaction centre is several times larger. A comparison of the experimental and theoretical kinetic data shows that, besides obvious spectral heterogeneity of the bacteriochlorophyll antenna represented by well-resolved B800, B850 and B875 spectra forms, an intrinsic spectral inhomogeneiry of these forms is likely to play an essential role in the excitation transfer. The obtained picture of the mutual arrangement of different complexes in membranes is similar to the one suggested earlier, except that the presence of at least two typesof B800-850 complexes, the ones closely associated with B875 and the more remote ones,has been discovered. The excitation transfer to B875 has been shown to take about 10 and 50 ps for the first and the second type of B850 molecules, respectively. The intracomplex B800 ‚Üí B850 transfer time is an order of magnitude smaller, about 1 ps. These three time constants seem to be practically independent of the reaction centre state and the temperature in the 300 K-77 K interval. At high excitation intensities (more than 1 ¬∑ 1010 photons per pulse) a shortening of the long-wavelength fluorescence decay time and a short-wavelength shiftof the corresponding band maximum have been observed. Both effects are due to the annihilation of singlet and triplet excitations. ¬© 1989 Elsevier Science Publishers B.V. (Biomedical Division) All rights reserved.</t>
  </si>
  <si>
    <t>93-104</t>
  </si>
  <si>
    <t>60068852;;60068852;60068852</t>
  </si>
  <si>
    <t>7005109792;6701859381;7004251319;25950965400</t>
  </si>
  <si>
    <t>Freiberg, A.;Godik, V. I.;Pullerits, T.;Timpman, K.</t>
  </si>
  <si>
    <t>Estonia</t>
  </si>
  <si>
    <t>Tallinn</t>
  </si>
  <si>
    <t>Academia Scientiarum Estoniae</t>
  </si>
  <si>
    <t>Freiberg A.</t>
  </si>
  <si>
    <t>Picosecond dynamics of directed excitation transfer in spectrally heterogeneous light-harvesting antenna of purple bacteria</t>
  </si>
  <si>
    <t>S0005272889804074</t>
  </si>
  <si>
    <t>10.1016/S0005-2728(89)80407-4</t>
  </si>
  <si>
    <t>2-s2.0-0001831801</t>
  </si>
  <si>
    <t>['water fraction', 'volatiles belonging', 'various locations', 'thus suggesting', 'strongest stimuli', 'specifically responding', 'significant correlation', 'results showed', 'recording location', 'population density', 'olive pulp', 'olfactory sensilla', 'oily fraction', 'longue basiconique', 'long basiconica', 'flagellar surface', 'eag amplitude', 'distribution patterns', 'behavioural significance', '3 types', '2 stimuli']</t>
  </si>
  <si>
    <t>chemoreception | Dacus oleae | EAG | olfactory receptors | olive fly</t>
  </si>
  <si>
    <t>EAGs were recorded from various locations on the flagellar surface of the antennae of the olive fly Dacus oleae stimulated with compounds of behavioural significance to this species. This information was compared with data on the typology and distribution patterns of the olfactory sensilla. Results showed that: a) 3 types of olfactory sensilla are present on the antennae: long basiconica, short grooved basiconica and trichodea; b) 1‚Äêhexanol, ethanol and volatiles belonging to the oily fraction of the olive pulp are the strongest stimuli, while those of the water fraction are little or not effective; c) EAG amplitude values vary as a function of the recording location on the flagellar surface; d) a significant correlation was found, for 2 stimuli of the oily fraction, between EAG amplitude and population density of long sensilla basiconica, thus suggesting this type as specifically responding to these substances. Morphologie des antennes de Dacus oleae et localisation de leurs r√©cepteurs olfactifs par √©lectroantennogramme Des EAG ont √©t√© obtenus en diff√©rents points de la surface de flagelles d'antennes de la mouche de l'olive, stimul√©es par des substances ayant une signification pour le comportement de cette esp√®ce. Ces informations ont √©t√© compar√©es avec les donn√©es tir√©es de la typologie et de la distribution des sensilles olfactives. Les r√©sultats mettent en √©vidence: a) 3 types de sensilles: longue basiconique, basiconique √† petit sillon et trichodes; b) les stimuli les plus puissants de la pulpe sont l'1‚Äêhexanol, l'√©thanol et les substances volatiles solubles dans l'huile, tandis que les substances hydrosolubles sont peu ou pas actives; c) une ampleur de l'EAG variant en fonction du lieu d'enregistrement sur la surface du flagelle; d) une corr√©lation significative pour 2 stimuli liposolubles entre l'amplitude de l'EAG et la densit√© des longues sensilles basiconiques, ce qui sugg√®re une r√©action sp√©cifique de ce type de r√©cepteur √† ces substances. 1989 The Netherlands Entomological Society</t>
  </si>
  <si>
    <t>77-85</t>
  </si>
  <si>
    <t>60032259;60004591;60032259;60032259;60004591;60004591;60032259</t>
  </si>
  <si>
    <t>6701707224;7003980868;6603926346;7003316394;6701584655;7005206301;6505867297</t>
  </si>
  <si>
    <t>Crnjar, R.;Scalera, G.;Liscia, A.;Angioy, A. M.;Bigiani, A.;Pietra, P.;Barbarossa, I. Tomassini</t>
  </si>
  <si>
    <t>Italy;Italy</t>
  </si>
  <si>
    <t>Cagliari;Modena</t>
  </si>
  <si>
    <t>Universit√† degli Studi di Cagliari;Universit√† degli Studi di Modena e Reggio Emilia</t>
  </si>
  <si>
    <t>60032259;60004591</t>
  </si>
  <si>
    <t>Crnjar R.</t>
  </si>
  <si>
    <t>Morphology and EAG mapping of the antennal olfactory receptors in Dacus oleae</t>
  </si>
  <si>
    <t>10.1111/j.1570-7458.1989.tb01216.x</t>
  </si>
  <si>
    <t>2-s2.0-0002048604</t>
  </si>
  <si>
    <t>Nederlandse Organisatie voor Wetenschappelijk Onderzoek</t>
  </si>
  <si>
    <t>NWO</t>
  </si>
  <si>
    <t>['¬∑ 1011', 'wavelength dependence', 'van grondelle', 'two types', 'reaction center', 'rate increases', 'photosynthetic light', 'least partly', 'latter pigment', 'individual bchls', 'increased annihilation', 'harvesting systems', 'fluorescence originates', 'enhanced rate', 'energy transfer', 'domain size', 'berlin ).', 'bchl 896', 'bchl 880', 'bchl 8', 'average valueof', 'annihilation measurements', '75 bchls', '4 k', '300 k', '100 k', '., eds', '), pp']</t>
  </si>
  <si>
    <t>(R. rubrum) | Antenna complex | Energy transfer | Excitation annihilation | Low temperature</t>
  </si>
  <si>
    <t>Bymeans of fluorescence measurements singlet-singlet excitation annihilation in the antenna of Rhodospirillum rubrum chromatophores was studied at temperatures between 300 and 4 K. Two fluorescence bands had to be assumed to explain the data at 4 K. These bands (F911 and F918) are attributed to emission from the main antenna pigment BChl 880 and from a minor spectral component BChl 896, respectively. The latter pigment is supposed to be associated with the reaction center (Van Grondelle, R., Bergstrom, H., Sundstr√∂m, V., Van Dorssen, R.J., Vos, M. and Hunter, C.N. (1988) in Photosynthetic Light-Harvesting Systems (Scheer, H. and Schneider, S., eds.), pp. 519-530, Walter de Gruyter, Berlin). At 4 K 90% of the fluorescence originates from this pigment. Analysis of the data at 4 K indicated that BChl 8% is arranged in clusters of 21 ¬± 9 BChls. Since there are presumably only 5 or 6 BChls 896 per reaction center, this indicates that several reaction centers are clustered. Annihilation measurements on the isolated B880 antenna complex indicate that, at 4 K, the spectral heterogeneity still exists and that the presence of BChl 896 is therefore not caused by interactions between the reaction center and the antenna. The domain size of BChl 880 was estimated to be between 35 and 75 BChls in chromatophores at 4 K. A wavelength dependence of the annihilation, due to the presence of the two types of BChl, was observed between about100 and 4 K. Measurements of fluorescence polarization suggest that this wavelength dependence may be caused by a reduction of the rate of energy transfer from BChl 896 to BChl 880 upon cooling. An increased annihilation between 100 and 300 K can, at least partly, be ascribed to an enhanced rate of energy transfer between individual BChls. This rate increases from an average valueof (4 ¬± 1) ¬∑ 1011 s-1 at 100 K to (1.5 ¬± 0.5) 1012 s-1 at 300 K. ¬© 1989 Elsevier Science Publishers B.V. (Biomedical Division).</t>
  </si>
  <si>
    <t>63-69</t>
  </si>
  <si>
    <t>60003878;60003878;60008734;60003878</t>
  </si>
  <si>
    <t>57071565600;7003777767;35599806700;7004456032</t>
  </si>
  <si>
    <t>Deinum, G.;Aartsma, T. J.;van Grondelle, R.;Amesz, J.</t>
  </si>
  <si>
    <t>Netherlands;Netherlands</t>
  </si>
  <si>
    <t>Amsterdam;Leiden</t>
  </si>
  <si>
    <t>Vrije Universiteit Amsterdam;Sterrewacht Leiden</t>
  </si>
  <si>
    <t>60008734;60003878</t>
  </si>
  <si>
    <t>Deinum G.</t>
  </si>
  <si>
    <t>Singlet-singlet excitation annihilation measurements on the antenna of Rhodospirillum rubrum between 300 and 4 K</t>
  </si>
  <si>
    <t>S0005272889801896</t>
  </si>
  <si>
    <t>10.1016/S0005-2728(89)80189-6</t>
  </si>
  <si>
    <t>2-s2.0-0002156546</t>
  </si>
  <si>
    <t>['tritiated water', 'polar volatile', 'pheromone oxidation', 'pheromone compound', 'living antennae', 'high rates', 'enzymes responsible', 'enzymatically converted', 'drying inactivates', 'completely degraded', '5 min']</t>
  </si>
  <si>
    <t>antennae | Bombyx mori L | enzymes | Lepidoptera | metabolites | moths | pheromones</t>
  </si>
  <si>
    <t>In living antennae of the silkworm moth Bombyx mori L. the pheromone compound (E, Z)-10,12-hexadecadienol and hexadecanol are enzymatically converted to their corresponding fatty aldehydes, acids and long-chain fatty acid esters. The pheromone is completely degraded at high rates in the antennae of freshly hatched moths. The polar volatile [3H]metabolites exclusively consist of tritiated water. The half-life of the pheromone is about 2.5 min in males and 0.5 min in females. Drying inactivates the enzymes responsible for pheromone oxidation. ¬© 1989 Birkh√§user Verlag.</t>
  </si>
  <si>
    <t>81-87</t>
  </si>
  <si>
    <t>Experientia</t>
  </si>
  <si>
    <t>60005460;60005460;60005460</t>
  </si>
  <si>
    <t>6603277313;16442031800;16443694200</t>
  </si>
  <si>
    <t>Kasang, G.;Nicholls, M.;von Proff, L.</t>
  </si>
  <si>
    <t>Germany</t>
  </si>
  <si>
    <t>Pocking</t>
  </si>
  <si>
    <t>Max Planck Institute for Ornithology</t>
  </si>
  <si>
    <t>Sex pheromone conversion and degradation in antennae of the silkworm moth Bombyx mori L.</t>
  </si>
  <si>
    <t>10.1007/BF01990456</t>
  </si>
  <si>
    <t>2-s2.0-0002458814</t>
  </si>
  <si>
    <t>['wave components', 'two othercomponents', 'triplet states', 'time constant', 'second one', 'rights reserved', 'relative efficiency', 'reaction centers', 'reaction center', 'purple bacteria', 'possible explanations', 'pigments closeto', 'low temperature', 'heliobacterium chlorum', 'excitation energy', 'essentially equal', 'energy transfer', 'difference spectrum', 'biomedical division', 'back reaction', 'absorbance changes', '798 photooxidation', '793 nm', '5 k', '3 ms']</t>
  </si>
  <si>
    <t>(H. chlorum) | Electron transfer | Energy transfer | Low temperature | Reaction center | Triplet formation</t>
  </si>
  <si>
    <t>Photooxidation of the primary electron donor, P-798, and the transfer of excitation energy to the reaction center in membranes of Heliobacterium chlorum were studied at low temperature. The difference spectrum of P-798 photooxidation at 5 K is dominated by a bleaching at 793 nm. P-798+ was rereduced after a flash with a time constant of 2.3 ms, presumably by a back reaction with a reduced electron acceptor. Analysis of the kinetics at various wavelengths showed the contribution of two othercomponents to the absorbance changes at 5 K. The first one could be attributed to the photooxidation, within 10 Œºs, of bound cytochrome c-553 in about 3% of the reaction centers; the second one to the generation of the triplet states of P-798 and bacteriochlorophyll (BChl) g with (average) lifetimes of 350 ¬± 50 Œºs.Measurements of the relative efficiency of energy transfer from the antenna to the reaction center indicated that this transfer is still quite efficient at 5 K and essentially equal for the three BChl g species, BChl g 778, BChl g 793 and BChl g 808. The function of the latter pigment thus may be to focus the excitation energy on pigments closeto the reaction center, similar to what has been proposed for long-wave components in the antenna of purple bacteria. However, in H. chlorum this process would appear to imply 'uphill' transfer to P-798. Possible explanations to avoid this difficulty are discussed. ¬© 1989 Elsevier Science Publishers B.V. (Biomedical Division) All rights reserved.</t>
  </si>
  <si>
    <t>212-219</t>
  </si>
  <si>
    <t>55107152200;7801620289;7004456032</t>
  </si>
  <si>
    <t>Smit, H. W.J.;van Dorssen, R. J.;Amesz, J.</t>
  </si>
  <si>
    <t>Smit H.</t>
  </si>
  <si>
    <t>Charge separation and trapping efficiency in membranes of Heliobacterium chlorum at low temperature</t>
  </si>
  <si>
    <t>S0005-2728(89)80424-4</t>
  </si>
  <si>
    <t>10.1016/S0005-2728(89)80424-4</t>
  </si>
  <si>
    <t>2-s2.0-0003008798</t>
  </si>
  <si>
    <t>['unknown function', 'totally lack', 'third chlorophyll', 'spinach prepared', 'protein complex', 'polyclonal antibodies', 'pea cp29', 'octylglucoside method', 'monoclonal antibodies', 'latter core', 'cross reaction', 'contain cp47', 'chi b', 'barley cp29', 'associated complex', 'antenna chlorophyll', 'also enriched', 'acta 891']</t>
  </si>
  <si>
    <t>Chlorophyll ab antenna | CP29 | Photosystem II</t>
  </si>
  <si>
    <t>Photosystem II particles from spinach prepared by an octylglucoside method (Ghanotakis et al. (1987) Biochim. Biophys. Acta 891, 15-21) totally lack the antenna chlorophyll-protein complex LHC II, but do contain CP47, CP43 and a third chlorophyll-protein complex, as shown by non-denaturing SDS electrophoresis. This latter core-associated complex is shown to be CP29 on the basis of: (i) the apparent molecular weight of the holocomplex; (ii) the presence of Chi b as well as Chi a in excised gel slices of the complex; and (ii) the cross reaction of the apoproteins with polyclonal antibodies to barley CP29 and with monoclonal antibodies to the N-terminus of the apoprotein of pea CP29. The PS II particles are also enriched in a 23 kDa polypeptide of unknown function. ¬© 1989 Elsevier Science Publishers B.V. (Biomedical Division).</t>
  </si>
  <si>
    <t>180-184</t>
  </si>
  <si>
    <t>60010365;60010365</t>
  </si>
  <si>
    <t>6701434742;7401825069</t>
  </si>
  <si>
    <t>Camm, Edith L.;Green, Beverley R.</t>
  </si>
  <si>
    <t>Canada</t>
  </si>
  <si>
    <t>Vancouver</t>
  </si>
  <si>
    <t>The University of British Columbia</t>
  </si>
  <si>
    <t>Camm E.</t>
  </si>
  <si>
    <t>The chlorophyll ab complex, CP29, is associated with the Photosystem II reaction centre core</t>
  </si>
  <si>
    <t>S0005-2728(89)80370-6</t>
  </si>
  <si>
    <t>10.1016/S0005-2728(89)80370-6</t>
  </si>
  <si>
    <t>2-s2.0-0003181636</t>
  </si>
  <si>
    <t>Alfried Krupp von Bohlen und Halbach-Stiftung</t>
  </si>
  <si>
    <t>['reaction centers', 'quantum yield', 'quanta absorbed', 'ps ii', 'open state', 'observation time', 'nahve within', 'intact cells', 'heat production', 'ev results', 'acta 934', 'absorption maximum', '880 nm', '65 obtained', '590 nm', '532 nm', '4 œºs', '212 ).', '1 œºs', '1 ev', '-( 0']</t>
  </si>
  <si>
    <t>(R. rubrum) | Energy storage | Energy transfer | Optoacoustic spectroscopy | Photosynthesis | Photosynthetic bacterium</t>
  </si>
  <si>
    <t>Laser-induced optoacoustic spectroscopy (LIOAS) was used to measure the heat production in intact cells of Rhodospirillum rubrum SI within approx. 1 Œºs after 15 ns excitation at 590 or 532 nm. In cells with the reaction centers in the open state, P-880IQA (prior to the excitation) the photoproducts formed within 1.4 ¬± 0.1 Œºs, i.e., P+-880IQ-A, were foundto have a molar energy content ŒîEr = 0.62 ¬± 0.1 eV. From this value the midpoint redox potential Em (Q-A/QA) = -(0.17 ¬± 0.1) eV results. The relative energy storage ŒîEr/NAhve within the observation time, calculated for the excitation at the absorption maximum at 880 nm, is 0.44, i.e., considerably smaller than ŒîEr/NAhve = 0.65 obtained for PS II (see previous paper: Nitsch, C, Braslavsky, S.E. and Schatz, G.H. (1988) Biochim. Biophys. Acta 934, 201-212). In cellswith the reaction centers in one of the closed states P +-880IQA and P-880IQ-A, prior to the excitation, the quantum yield for the formation of triplets (lifetime &gt; 1.4 Œºs) was estimated to be Œ¶clT = 0.50 ¬± 0.15. The comparison of the heat production after excitation of either the carotenoids at 532 nm or the bacteriochlorophylls at 590 nm, reveals that 34 ¬± 20% of the quanta absorbed by the carotenoids are transferred to the bacteriochlorophyll in the antenna by single-singlet energy transfer. ¬© 1989 Elsevier Science Publishers B.V. (Biomedical Division).</t>
  </si>
  <si>
    <t>88-95</t>
  </si>
  <si>
    <t>;;</t>
  </si>
  <si>
    <t>24388755800;16460158600;7006817417</t>
  </si>
  <si>
    <t>Nitsch, Christian;Schatz, G√ºnther H.;Braslavsky, Silvia E.</t>
  </si>
  <si>
    <t>Nitsch C.</t>
  </si>
  <si>
    <t>Laser-induced optoacoustic calorimetry of primary processes in cells of Rhodospirillum rubrum</t>
  </si>
  <si>
    <t>S0005272889802051</t>
  </si>
  <si>
    <t>10.1016/S0005-2728(89)80205-1</t>
  </si>
  <si>
    <t>2-s2.0-0004764962</t>
  </si>
  <si>
    <t>['state equations', 'spacecraft consisting', 'parameter members', 'orientation relative', 'numerical calculations', 'mechanical engineers', 'main body', 'like antenna', 'given number', 'dynamic response', 'control design']</t>
  </si>
  <si>
    <t>This paper is concerned with the derivation of the state equations of motion for a spacecraft consisting of a main rigid platform and a given number of flexible appendages changing the orientation relative to the main body. The equations are derived by means of Lagrange ‚Äôs equations in terms of quasi-coordinates. Assuming that the appendages represent distributed-parameter members, the state equations of motion are hybrid. Moreover, they are nonlinear. Following spatial discretization and truncation, the hybrid equations reduce to a system of nonlinear discretized state equations, which are more practical for numerical calculations and control design. To illustrate the effect of nonlinearity on the dynamic response during reorientation, a numerical example involving spacecraft with a membrane-like antenna is presented. ¬© 1989 American Society of Mechanical Engineers.</t>
  </si>
  <si>
    <t>161-170</t>
  </si>
  <si>
    <t>Applied Mechanics Reviews</t>
  </si>
  <si>
    <t>60027090;60027090</t>
  </si>
  <si>
    <t>7004373066;7006129131</t>
  </si>
  <si>
    <t>Meirovitch, L.;Kwak, M. K.</t>
  </si>
  <si>
    <t>Blacksburg</t>
  </si>
  <si>
    <t>Virginia Polytechnic Institute and State University</t>
  </si>
  <si>
    <t>Meirovitch L.</t>
  </si>
  <si>
    <t>State equations for a spacecrai with maneuvering flexible appendages in terms of quasi-coordinates</t>
  </si>
  <si>
    <t>10.1115/1.3152387</t>
  </si>
  <si>
    <t>2-s2.0-0004793663</t>
  </si>
  <si>
    <t>['sinusoidal distributions', 'significantly different', 'repulsion effect', 'relative distributions', 'hopf technique', 'current within', 'current near', 'charge density', 'asymptotic solution', 'approximate theories']</t>
  </si>
  <si>
    <t>An asymptotic solution for the charge density and current near the end of a linear tubular antenna is obtained by means of the Wiener-Hopf technique. It is found that, due to the charge-repulsion effect, the distributions of charge per unit length and of current within a distance of the order of the radius from the end are significantly different from the sinusoidal distributions that are the solutions from approximate theories. Furthermore, the relative distributions are independent of the length of the antenna and of the frequency of operation. ¬© 1989 American Institute of Physics.</t>
  </si>
  <si>
    <t>2721-2729</t>
  </si>
  <si>
    <t>Journal of Mathematical Physics</t>
  </si>
  <si>
    <t>60009982;60009982</t>
  </si>
  <si>
    <t>36347602500;7404816148</t>
  </si>
  <si>
    <t>Shen, Hao Ming;Wu, Tai T.</t>
  </si>
  <si>
    <t>Cambridge</t>
  </si>
  <si>
    <t>Harvard University</t>
  </si>
  <si>
    <t>Shen H.M.</t>
  </si>
  <si>
    <t>The universal current distribution near the end of a tubular antenna</t>
  </si>
  <si>
    <t>10.1063/1.528505</t>
  </si>
  <si>
    <t>2-s2.0-0004868288</t>
  </si>
  <si>
    <t>['used primarily', 'upper atmosphere', 'partial system', 'paper describes', 'mu radar', 'ionospheric plasma', 'initial observations', 'incoherent scattering', 'expected accuracy', 'current capability', 'copyright 1989', 'atmospheric index', 'also designed']</t>
  </si>
  <si>
    <t>The MU (middle and upper atmosphere) radar of Japan is a 46.5‚ÄêMHz pulse‚Äêmodulated monostatic Doppler radar with an active phased array antenna which consists of 475 crossed yagis. This system has been used primarily, since its initial observations with a partial system in 1983, to observe back‚Äêscatter from irregularities in the atmospheric index of refraction in the mesosphere, stratosphere, and troposphere (MST radar). However, this system was also designed to be able to observe the incoherent scattering (IS) from ionospheric plasma as well. We report here the capability of this system for IS measurements. This paper describes the observational technique employed for MU radar IS measurements, examines the expected accuracy of the plasma parameter measurements, and presents sample results to demonstrate the current capability. Copyright 1989 by the American Geophysical Union.</t>
  </si>
  <si>
    <t>85-98</t>
  </si>
  <si>
    <t>1944799X</t>
  </si>
  <si>
    <t>Radio Science</t>
  </si>
  <si>
    <t>January-February 1989</t>
  </si>
  <si>
    <t>;;;;;;</t>
  </si>
  <si>
    <t>7403584142;56918213100;57203071710;55398698300;35433785500;35425453600;7402952086</t>
  </si>
  <si>
    <t>Sato, Toru;Ito, Atsuo;Oliver, William L.;Fukao, Shoichiro;Tsuda, Toshitaka;Kato, Susumu;Kimura, Iwane</t>
  </si>
  <si>
    <t>Sato T.</t>
  </si>
  <si>
    <t>Ionospheric incoherent scatter measurements with the middle and upper atmosphere radar: Techniques and capability</t>
  </si>
  <si>
    <t>10.1029/RS024i001p00085</t>
  </si>
  <si>
    <t>2-s2.0-0004873460</t>
  </si>
  <si>
    <t>['whereas translational', 'vibrational excitation', 'time evolutions', 'system ethanol', 'subsequent relaxation', 'spontaneous lifetime', 'spectroscopic probes', 'necessarily accompanied', 'monitor hydrogen', 'many systems', 'first time', 'energy relaxation', 'bond breaking', '50 ps', '3320 cm']</t>
  </si>
  <si>
    <t>Energy relaxation after vibrational excitation with picosecond IR pulses is necessarily accompanied by an overall temperature change. Whereas translational, rotational, and vibrational motions equilibrate faster than 50 ps for many systems, the hydrogen bonds may respond more slowly. We report on picosecond temperature jump experiments of the system ethanol:CCl4:CH2Br2 using infrared excitation (10-ps pump pulses) and subsequent relaxation of the antenna molecules CH2Br2. The time evolutions of the OH stretching band of ethanol (3320 cm-1) serve as spectroscopic probes to monitor hydrogen-bond breaking. The spontaneous lifetime of ethanol hydrogen bonds is determined for the first time by time-resolved spectroscopy yielding œÑ = 240 ¬± 50 ps. ¬© 1989 American Chemical Society.</t>
  </si>
  <si>
    <t>5963-5965</t>
  </si>
  <si>
    <t>60023208;60023208</t>
  </si>
  <si>
    <t>7003358918;57215908955</t>
  </si>
  <si>
    <t>Graener, H.;Ye, T. Q.</t>
  </si>
  <si>
    <t>Bayreuth</t>
  </si>
  <si>
    <t>Universit√§t Bayreuth</t>
  </si>
  <si>
    <t>Graener H.</t>
  </si>
  <si>
    <t>Ultrafast temperature jump studies of hydrogen bonds</t>
  </si>
  <si>
    <t>10.1021/j100353a004</t>
  </si>
  <si>
    <t>2-s2.0-0004974057</t>
  </si>
  <si>
    <t>Army Research Office</t>
  </si>
  <si>
    <t>ARO</t>
  </si>
  <si>
    <t>['two types', 'two elements', 'successfully combined', 'studied experimentally', 'power output', 'mutual coupling', 'microstrip antenna', 'many applications', 'locking gain', 'locking bandwidth', 'injection locking', 'free space', 'element arrays', 'dc bias', 'combining efficiency', 'calculated based', 'antenna elements', 'active transmitters', '90 percent']</t>
  </si>
  <si>
    <t>Two types of active antenna elements have been studied experimentally. One type uses a microstrip antenna with an active device mounted directly on the antenna. The other uses an active device coupled to a microstrip patch antenna through an aperture. Microstrip active antenna elements and two-element arrays have been demonstrated for both types of circuits. Injection locking of the antenna elements has been achieved through space and mutual coupling. The circuit Q factor was calculated based on the locking gain and the locking bandwidth. The power output from two elements has been successfully combined in free space with a combining efficiency of over 90 percent. For a single active antenna with a Gunn diode mounted directly on the patch, an electronic tuning range exceeding 9 percent has been achieved by varying the dc bias. The results should have many applications in low-cost active arrays, active transmitters, and spatial power combiners. ¬© 1989 IEEE</t>
  </si>
  <si>
    <t>1078-1084</t>
  </si>
  <si>
    <t>IEEE Transactions on Microwave Theory and Techniques</t>
  </si>
  <si>
    <t>60020547;60020547;60020547</t>
  </si>
  <si>
    <t>7404879378;7003548524;7404605109</t>
  </si>
  <si>
    <t>Chang, Kai;Hummer, Kenneth A.;Klein, James L.</t>
  </si>
  <si>
    <t>College Station</t>
  </si>
  <si>
    <t>Texas A&amp;M University</t>
  </si>
  <si>
    <t>Chang K.</t>
  </si>
  <si>
    <t>Experiments on Injection Locking of Active Antenna Elements for Active Phased Arrays and Spatial Power Combiners</t>
  </si>
  <si>
    <t>10.1109/22.24551</t>
  </si>
  <si>
    <t>2-s2.0-0004990926</t>
  </si>
  <si>
    <t>['theoretical value', 'sufficiently high', 'plasmas produced', 'instability threshold', 'icrf power', 'fusion 22', 'frequency heating', 'central cell', 'axisymmetric configuration', 'antenna location', '251 ].']</t>
  </si>
  <si>
    <t>The stability of plasmas produced by radio-frequency heating in the ion cyclotron frequency range (ICRF) has been studied in the central cell of the Tara tandem mirror [Nucl. Fusion 22, 549 (1982); Plasma Physics and Controlled Nuclear Fusion Research 1986, Proceedings of the 11th International Conference, Kyoto (IAEA, Vienna, 1987), Vol. II, p. 251]. Ion cyclotron wave excitation by a slot antenna provided stability against macroscopic plasma motions in an axisymmetric configuration. The maintenance of macroscopic stability depended on the ICRF power, gas fueling rate, ion cyclotron resonance location, and œâ/œâci at the antenna location. The ICRF ponderomotive force model is consistent with many of the observed stability features and predicts that the E+ component of the ion cyclotron wave was responsible for the stabilization. The Alfv√©n ion cyclotron microinstability was observed when the plasma Œ≤‚ä• and anisotropy were sufficiently high. Magnetic probe measurements of the unstable mode identified it as an ion cyclotron wave and the instability threshold was within a factor of 2 of the theoretical value. ¬© 1989 American Institute of Physics.</t>
  </si>
  <si>
    <t>851-861</t>
  </si>
  <si>
    <t>60022195;60022195;60022195;60022195;60022195;60022195;60022195;60022195;60022195;60022195;60022195;60022195;60022195</t>
  </si>
  <si>
    <t>6603994341;6602240440;36474557300;6701795620;23014954700;7003784525;7006899849;7202428989;6603883237;7004260738;22968392900;6603304334;57196340357</t>
  </si>
  <si>
    <t>Golovato, S. N.;Brau, K.;Casey, J.;Gerver, M. J.;Home, S.;Irby, J.;Kesner, J.;Lane, B.;Machuzak, J.;Myer, R.;Post, R. S.;Sevillano, E.;Wang, L.</t>
  </si>
  <si>
    <t>Massachusetts Institute of Technology</t>
  </si>
  <si>
    <t>Golovato S.</t>
  </si>
  <si>
    <t>Stability of plasmas sustained by ion cyclotron wave excitation in the central cell of the Tara tandem mirror</t>
  </si>
  <si>
    <t>10.1063/1.859010</t>
  </si>
  <si>
    <t>2-s2.0-0005147956</t>
  </si>
  <si>
    <t>['standing waves', 'plasma radiation', 'plasma heating', 'plasma absorption', 'pickup antennas', 'long wavelengths', 'immediate application', 'ignition devices', 'federal republic', 'energetic ions', 'difficulties inherent', 'cyclotron emission', 'correctly represented', 'controlled fusion', 'allow calculation', '37 .]']</t>
  </si>
  <si>
    <t>A full-wave ion cyclotron resonant heating (ICRH) code has been modified to allow calculation of cyclotron emission from energetic ions in tokamaks. The immediate application is to fusion alpha particles in near-ignition devices. This permits detailed evaluation of proposed alpha particle diagnostics [Proceedings of the Thirteenth European Conference on Controlled Fusion and Plasma Heating, Schliersee, Federal Republic of Germany, 1986, edited by G. Briffod and M. Kaufmann (European Physical Society, Petit-Lancy, Switzerland, 1986), Part 1, Vol. 2, p. 37.] This full-wave approach automatically takes into account wall reflections, standing waves, and plasma absorption and overcomes the difficulties inherent in attempting to apply conventional geometrical optics to long wavelengths. By calculating the coherent radiation field caused by an ensemble of localized current sources (and retaining the phase information), the directivity of pickup antennas is correctly represented. This method also promises to be useful for studying other kinds of plasma radiation, such as that produced by instabilities. ¬© 1989 American Institute of Physics.</t>
  </si>
  <si>
    <t>1174-1184</t>
  </si>
  <si>
    <t>60024266;60024266;60018020</t>
  </si>
  <si>
    <t>7006526034;7005521707;7004002507</t>
  </si>
  <si>
    <t>Batchelor, D. B.;Jaeger, E. F.;Colestock, P. L.</t>
  </si>
  <si>
    <t>Oak Ridge;Princeton</t>
  </si>
  <si>
    <t>Oak Ridge National Laboratory;Princeton Plasma Physics Laboratory</t>
  </si>
  <si>
    <t>60024266;60018020</t>
  </si>
  <si>
    <t>Batchelor D.</t>
  </si>
  <si>
    <t>Ion cyclotron emission from energetic fusion products in tokamak plasmas - A full-wave calculation</t>
  </si>
  <si>
    <t>10.1063/1.858994</t>
  </si>
  <si>
    <t>2-s2.0-0005956924</t>
  </si>
  <si>
    <t>Whitehall Foundation</t>
  </si>
  <si>
    <t>['¬© 1989', 'subfamily gomphocerinae', 'small numbers', 'pulvillar pads', 'plant specificity', 'mouthparts increase', 'monophagous grasshopper', 'gomphocerine grasshoppers', 'generally similar', 'fewer sensilla', 'bootettix argentatus', 'antennal sensilla', 'adult males', 'adult females', 'a3 groups', '35 %.', '2 sexes']</t>
  </si>
  <si>
    <t>Antenna | contact chemoreceptors | mouthparts | olfactory sensilla | sensillum numbers | tarsus</t>
  </si>
  <si>
    <t>Bootettix argentatus (Orthoptera : Acrididae) is a monophagous grasshopper in the subfamily Gomphocerinae. The numbers of chemoreceptors in most groups on the mouthparts increase with each molt and are generally similar in the 2 sexes. There are fewer sensilla in the A3 groups than in other gomphocerine grasshoppers, and the possibility that this is related to host-plant specificity is discussed. Only very small numbers of sensilla are present on the pulvillar pads of the tarsi and on the arolia. The number of sensilla on the antennae is proportional to the length of the flagellum and coeloconic sensilla comprise 30-35%. Most of the remainder are multiporous basiconic sensilla. Adult males have more antennal sensilla than adult females. ¬© 1989.</t>
  </si>
  <si>
    <t>111-118</t>
  </si>
  <si>
    <t>International Journal of Insect Morphology and Embryology</t>
  </si>
  <si>
    <t>60025038;60025038</t>
  </si>
  <si>
    <t>7403128130;57212524708</t>
  </si>
  <si>
    <t>Chapman, R. F.;Fraser, J.</t>
  </si>
  <si>
    <t>Berkeley</t>
  </si>
  <si>
    <t>University of California, Berkeley</t>
  </si>
  <si>
    <t>Chapman R.</t>
  </si>
  <si>
    <t>The chemosensory system of the monophagus grasshopper, Bootettix argentatus bruner (Orthoptera : Acrididae)</t>
  </si>
  <si>
    <t>0020-7322(89)90020-2</t>
  </si>
  <si>
    <t>10.1016/0020-7322(89)90020-2</t>
  </si>
  <si>
    <t>2-s2.0-0008234723</t>
  </si>
  <si>
    <t>['thoracic appendages', 'ozmana haemophila', 'oral appendages', 'new genus', 'new family', 'new copepod', 'mesogastropod snail', 'male seems', 'freshwater invertebrate', 'francis group', 'discussed based', 'body form']</t>
  </si>
  <si>
    <t>Amazonian snail | Cyclopoida | Hemocoel | Ozmanidae | Parasitic copepod</t>
  </si>
  <si>
    <t>A new genus and species, Ozmana haemophila, is described as representative of a new family of cyclopoid copepods parasitic in the hemocoel of a species of mesogastropod snail: Pomacea maculata Perry, collected from several localities near Manaus, Brazil. This is the first parasitic copepod ever recorded from a freshwater invertebrate. The body form, oral appendages, and thoracic appendages of this new copepod are highly modified making the recognition of its ordinal affinities difficult. However, the possession of a geniculate first antenna in the male seems to suggest that it is a member of Cyclopoida. The phylogeny of this new family is discussed based on a newly obtained cladogram. ¬© 1989 Taylor &amp; Francis Group, LLC.</t>
  </si>
  <si>
    <t>903-911</t>
  </si>
  <si>
    <t>Journal of Natural History</t>
  </si>
  <si>
    <t>July-August 1989</t>
  </si>
  <si>
    <t>60029378;60029159</t>
  </si>
  <si>
    <t>7402649874;7003744336</t>
  </si>
  <si>
    <t>Ho, Ju Shey;Thatcher, Vernon E.</t>
  </si>
  <si>
    <t>United States;Brazil</t>
  </si>
  <si>
    <t>Long Beach;Manaus</t>
  </si>
  <si>
    <t>California State University Long Beach;Instituto Nacional de Pesquisas Da Amazonia</t>
  </si>
  <si>
    <t>Ho J.</t>
  </si>
  <si>
    <t>A new family of cyclopoid copepods (Ozmanidae) parasitic in the hemocoel of a snail from the brazilian amazon</t>
  </si>
  <si>
    <t>10.1080/00222938900770471</t>
  </si>
  <si>
    <t>2-s2.0-0010470961</t>
  </si>
  <si>
    <t>Ministry of Education, Culture, Sports, Science and Technology</t>
  </si>
  <si>
    <t>Monbusho</t>
  </si>
  <si>
    <t>['wavelength antenna', 'upper limit', 'time needed', 'spectral changes', 'spectra taken', 'rise term', 'rhodobacter sphaeroides', 'relative intensity', 'relative intensities', 'reaction center', 'plate photomultiplier', 'photosynthetic bacterium', 'new type', 'indicating equilibration', 'gaussian deconvolution', 'fluorescence spectra', 'f925 ).', 'energy transfer', 'difference spectra', 'deconvoluted spectra', 'decay kinetics', 'b890 bacteriochlorophyll', 'antenna components', 'also detected', 'additional longer', 'absorption maximum', '898 nm', '890 nm', '6 ps', '35 ps', '20 ps']</t>
  </si>
  <si>
    <t>(Rb. sphaeroides) | Bacterial photosynthesis | Bacteriochlorophyll | Energy transfer | Fluorescence | Photosynthesis | Picosecond spectroscopy</t>
  </si>
  <si>
    <t>Excitation energy transfer in the photosynthetic bacterium, Rhodobacter sphaeroides, was analyzed using time-resolved fluorescence spectroscopy measured with a new type of microchannel-plate photomultiplier (S-l type photocathode). Difference spectra and Gaussian deconvolution of fluorescence spectra of the bacterium at -196¬∞C clearly revealed three fluorescence components (F875, F911, F925). These were attributed to B850, B875 and an additional longer-wavelength antenna component (B890), respectively. Emission from B800 was not detected, indicating a very fast energy transfer from B800 to B850 with a transfer time shorter than 6 ps. Similar measurements also suggested the same upper limit for the time of energy transfer from B850 to B875. The rise and decay kinetics of the fluorescence components indicate a sequential energy flow in the order of B800, B850, B875, B890 and finally the reaction center. The three fluorescence components (F859, F889, F909) were also detected in spectra taken at 22¬∞C and were attributed to B850, B875 and B890, respectively. Changes in the fluorescence spectra were observed only in the initial 100 ps afterthe excitation pulse. The time needed for apparent energy transfer between components was estimated from the rise term of kinetics; 20 ps for B850 to B875 and 35 ps for B875 to B890. A rise in the relative intensity of F909 in the time-resolved spectra suggested a 50 ps excitation equilibration time between B890 and the reaction center. In a later time range, no spectral changes were observed, indicating equilibration of excitation transfer among the antenna components. After equilibration, the main fluorescence component decayed with the lifetime of 255 ¬± 10 ps. Based on the deconvoluted spectra, the absorption maximum of the longer-wavelength antenna was estimated to be 890 nm at 22¬∞C and 898 nm at -196¬∞C. The relative intensities of the deconvoluted fluorescence bands were used to estimate the content of B890 bacteriochlorophyll to be 7 ¬± 1 per reaction center. ¬© 1989 Elsevier Science Publishers B.V. (Biomedical Division).</t>
  </si>
  <si>
    <t>72-79</t>
  </si>
  <si>
    <t>60005038;60028586;60033235;60033235</t>
  </si>
  <si>
    <t>35556033100;7006461138;7006772993;24586425300</t>
  </si>
  <si>
    <t>Shimada, Keizo;Mimuro, Mamoru;Tamai, Naoto;Yamazaki, Iwao</t>
  </si>
  <si>
    <t>Japan;Japan;Japan</t>
  </si>
  <si>
    <t>Okazaki;Okazaki;Hachioji</t>
  </si>
  <si>
    <t>National Institutes of Natural Sciences - Institute for Molecular Science;National Institutes of Natural Sciences - National Institute for Basic Biology;Tokyo Metropolitan University</t>
  </si>
  <si>
    <t>60033235;60028586;60005038</t>
  </si>
  <si>
    <t>Shimada K.</t>
  </si>
  <si>
    <t>Excitation energy transfer in Rhodobacter sphaeroides analyzed by the time-resolved fluorescence spectroscopy</t>
  </si>
  <si>
    <t>S0005272889802038</t>
  </si>
  <si>
    <t>10.1016/S0005-2728(89)80203-8</t>
  </si>
  <si>
    <t>2-s2.0-0011239378</t>
  </si>
  <si>
    <t>['¬© 1989', 'white light', 'stoichiometric fashion', 'shade plants', 'rights reserved', 'reactions indicate', 'reaction centers', 'ps ii', 'photosynthetic apparatus', 'molecular structure', 'low intensities', 'lhc1 ),', 'energy transfer', 'efficiency measurements', 'adaptational behavior']</t>
  </si>
  <si>
    <t>2,5 dichlorophenol-indophenol | 3-(3‚Ä≤,4‚Ä≤-dichlorophenyl)-1, 1 dimethyl-urea | adaptation to light intensity | carotenoids | Chl | chlorophyll | CP | DCMU | diphenylcarbazide | DPC | DPIP | high performance liquid chromatography | HPLC | LHC | LIDS | light harvesting complex | lithium dodecyl sulfate | methylviologen | Mutant WT-LHC  of Scenedesmus obliquus 1 | MV | PAGE | photosynthetic activities | photosynthetic apparatus | photosystem | pigment-protein complex | polyacrylamide gel electrophoresis | PS</t>
  </si>
  <si>
    <t>Cells of a mutant of Scenedesmus, lacking the light harvesting system of the photosynthetic apparatus (WT-LHC1), were adapted to high or low intensities of white light. Phenotypically they demonstrated the same adaptational behavior, expressed by the photosynthetic light intensity curves, as sun and shade plants. But changes in the molecular structure were different. Under low light intensity the number of PS I and PS II reaction centers with their core antennae increased in a stoichiometric fashion. Efficiency measurements of PS II and PS I reactions indicate that some of the reaction centers are not coupled to the electron transport chain in low light intensity adapted cells. A loss in quantum efficiency due to a disorder in energy transfer in PS II is discussed and thought to be connected with a dihydroxy/trihydroxy-cacarotene (lutein/loroxanthin) cycle. ¬© 1989, Gustav Fischer Verlag, Stuttgart. All rights reserved.</t>
  </si>
  <si>
    <t>144-149</t>
  </si>
  <si>
    <t>Journal of Plant Physiology</t>
  </si>
  <si>
    <t>60013402;60012556;60012556;60012556</t>
  </si>
  <si>
    <t>25941843200;6603415023;7004676254;7005126308</t>
  </si>
  <si>
    <t>Bishop, Norman I.;Humbeck, Klaus;R√∂mer, Susanne;Senger, Horst</t>
  </si>
  <si>
    <t>United States;Germany</t>
  </si>
  <si>
    <t>Corvallis;Marburg</t>
  </si>
  <si>
    <t>Oregon State University;Philipps-Universit√§t Marburg</t>
  </si>
  <si>
    <t>60013402;60012556</t>
  </si>
  <si>
    <t>Bishop N.</t>
  </si>
  <si>
    <t>The Mode of Adaptation of the Photosynthetic Apparatus of a Pigment Mutant of Scenedesmus without Light Harvesting Complex to Different Light Intensities</t>
  </si>
  <si>
    <t>S0176161789801671</t>
  </si>
  <si>
    <t>10.1016/S0176-1617(89)80167-1</t>
  </si>
  <si>
    <t>2-s2.0-0011443982</t>
  </si>
  <si>
    <t>['¬© 1989', 'truss structure', 'surface accuracy', 'inflatable elements', 'fundamental characteristics', 'also introduced']</t>
  </si>
  <si>
    <t>A concept of modularized inflatable space structure, which is composed of inflatable elements supported by a truss structure for high-precision reflector missions in relatively near future, is proposed to avoid some difficulties of conventional inflatable concept, such as the lack of inside hard points, and the precisely accurate manufacturing process. Some fundamental characteristics for surface accuracy of inflatable elements are studied, appropriate truss back-up structure is investigated, and the relevant prelimimary test results are described. Some aspects of the application of the concept to space VLBI antenna are also introduced. ¬© 1989.</t>
  </si>
  <si>
    <t>539-553</t>
  </si>
  <si>
    <t>Acta Astronautica</t>
  </si>
  <si>
    <t>June 1989/July 1989</t>
  </si>
  <si>
    <t>60026437;60026437;60026437;60026437;60031293;60000809</t>
  </si>
  <si>
    <t>57192143247;24375127600;56332360900;6602927126;7006538226;8591515900</t>
  </si>
  <si>
    <t>Kato, Sumio;Takeshita, Yasuhiro;Sakai, Yoshinori;Muragishi, Osamu;Shibayama, Yuzo;Natori, Michihiro</t>
  </si>
  <si>
    <t>Tokyo;Minato;Sagamihara</t>
  </si>
  <si>
    <t>NEC Corporation;Kawasaki Heavy Industries, Ltd;JAXA Institute of Space and Astronautical Science</t>
  </si>
  <si>
    <t>60031293;60026437;60000809</t>
  </si>
  <si>
    <t>Kato S.</t>
  </si>
  <si>
    <t>Concept of inflatable elements supported by truss structure for reflector application</t>
  </si>
  <si>
    <t>0094-5765(89)90122-7</t>
  </si>
  <si>
    <t>10.1016/0094-5765(89)90122-7</t>
  </si>
  <si>
    <t>2-s2.0-0011448980</t>
  </si>
  <si>
    <t>['wave evanescence', 'various geometries', 'spheres ),', 'space plasmas', 'rich sheath', 'radiation mechanisms', 'plasma resonance', 'plasma instabilities', 'plasma diagnostics', 'new instability', 'line broadening', 'laboratory observations', 'ion oscillations', 'instability occurs', 'instability exhibits', 'hard threshold', 'fundamental instability', 'emission process', 'electron inertia', 'electromagnetic waves', 'dynamic ions', 'diodelike electron', 'copious harmonics', 'coherent high', 'coherent beams']</t>
  </si>
  <si>
    <t>Coherent high-frequency oscillations near the electron plasma frequency (œâ‚â≤œâp) are generated by electrodes with positive dc bias immersed in a uniform Maxwellian afterglow plasma. The instability occurs at the sheath-plasma resonance and is driven by a negative rf sheath resistance associated with the electron inertia in the diodelike electron-rich sheath. With increasing dc bias, i.e., electron transit time, the instability exhibits a hard threshold, downward frequency pulling, line broadening, and copious harmonics. The fundamental instability is a bounded oscillation caused by wave evanescence, but the harmonics are radiated as electromagnetic waves from the electrodes acting like antennas. Wavelength and polarization measurements confirm the emission process. Electromagnetic waves are excited by electrodes of various geometries (planes, cylinders, spheres), which excludes other radiation mechanisms such as orbitrons or beam-plasma instabilities. The line broadening mechanism has been identified as a frequency modulation via the electron transit time by dynamic ions. Ion oscillations at the sheath edge give rise to burstlike rf emissions. These laboratory observations of a new instability are important for antennas in space plasmas, generation of coherent beams with diodes, and plasma diagnostics. ¬© 1989 American Institute of Physics.</t>
  </si>
  <si>
    <t>2273-2282</t>
  </si>
  <si>
    <t>Stenzel, R. L.</t>
  </si>
  <si>
    <t>Los Angeles</t>
  </si>
  <si>
    <t>University of California, Los Angeles</t>
  </si>
  <si>
    <t>Stenzel R.</t>
  </si>
  <si>
    <t>High-frequency instability of the sheath-plasma resonance</t>
  </si>
  <si>
    <t>10.1063/1.859042</t>
  </si>
  <si>
    <t>2-s2.0-0011656601</t>
  </si>
  <si>
    <t>['project costs', 'necessary antenna', 'installation restrictions', 'computer program', 'also allows', 'account individual']</t>
  </si>
  <si>
    <t>A computer program has been developed by Siemens for planning radio relay networks. If employs a mathematical optimization method to determine the necessary antenna or tower heights taking into account the project costs. It also allows the optimization to take into account individual, existing antenna towers as well as installation restrictions and other constraints.</t>
  </si>
  <si>
    <t>Telcom Report (English Edition)</t>
  </si>
  <si>
    <t>60028673;60028673;60028673</t>
  </si>
  <si>
    <t>6505796205;6504228066;6603458051</t>
  </si>
  <si>
    <t>Boettner, Uwe;Greitemann, Norbert;Lorber, Hans Peter</t>
  </si>
  <si>
    <t>Munich</t>
  </si>
  <si>
    <t>Siemens AG</t>
  </si>
  <si>
    <t>Boettner U.</t>
  </si>
  <si>
    <t>Optimizing antenna heights</t>
  </si>
  <si>
    <t>2-s2.0-0024303046</t>
  </si>
  <si>
    <t>['œª 4000', '¬© 1989', 'wavelength resolution', 'waveguide coupler', 'suitable antenna', 'scanning probe', 'resolution better', 'reflected signal', 'novel type', 'microscopic object', 'infrared wavelengths', 'fringing fields', 'complex impedance', 'coaxial cable', 'close proximity', 'achieves sub', '30 œºm']</t>
  </si>
  <si>
    <t>We propose a novel type of scanning electromagnetic micoscope that achieves sub-wavelength resolution by using an open-ended transmission line such as a coaxial or stripline as the scanning probe. Radiation is fed into the line with the help of a suitable antenna or waveguide coupler. Any microscopic object in close proximity to the fringing fields at the end of the open line changes the complex impedance of the termination and hence the phase and amplitude of the reflected signal. In experiments using 12 cm microwaves and a coaxial cable of 2mm outer diameter we have demonstrated a resolution better than 30 Œºm or Œª 4000. We propose several different schemes for extending this technique to microstructures and infrared wavelengths. ¬© 1989.</t>
  </si>
  <si>
    <t>219-224</t>
  </si>
  <si>
    <t>Optics Communications</t>
  </si>
  <si>
    <t>60012708;60012708;60029010-60028717</t>
  </si>
  <si>
    <t>7003419527;56623795600;7004983583</t>
  </si>
  <si>
    <t>Fee, M.;Chu, Steven;H√§nsch, T. W.</t>
  </si>
  <si>
    <t>Germany;Germany;United States</t>
  </si>
  <si>
    <t>Garching bei Munchen;Munich;Palo Alto</t>
  </si>
  <si>
    <t>Max Planck Institute of Quantum Optics;Ludwig-Maximilians-Universit√§t M√ºnchen;Stanford University</t>
  </si>
  <si>
    <t>60029010;60028717;60012708</t>
  </si>
  <si>
    <t>Fee M.</t>
  </si>
  <si>
    <t>Scanning electromagnetic transmission line microscope with sub-wavelength resolution</t>
  </si>
  <si>
    <t>003040188990103X</t>
  </si>
  <si>
    <t>10.1016/0030-4018(89)90103-X</t>
  </si>
  <si>
    <t>2-s2.0-0024303967</t>
  </si>
  <si>
    <t>['virginia tech', 'simple models', 'rain attenuation', 'quantitative prediction', 'paper reviews', 'models developed', 'literature references', 'key works', 'discussions centre', 'calculating antenna', 'also presented', 'also included']</t>
  </si>
  <si>
    <t>Earth‚Äêspace Propagation | Rain Millimeter wave | Satellite communications</t>
  </si>
  <si>
    <t>This paper reviews the effects of precipitation on earth‚Äêspace communication links operating the 10 to 35 GHz frequency range. Emphasis is on the quantitative prediction of rain attenuation and depolarization. Discussions centre on the models developed at Virginia Tech. Comments on other models are included as well as literature references to key works. Also included is the system level modelling for dual polarized communication systems with techniques for calculating antenna and propagation medium effects. Simple models for the calculation of average annual attenuation and cross‚Äêpolarization discrimination (XPD) are presented. Calculation of worst month statistics are also presented. Copyright ¬© 1989 John Wiley &amp; Sons, Ltd.</t>
  </si>
  <si>
    <t>37-45</t>
  </si>
  <si>
    <t>International Journal of Satellite Communications</t>
  </si>
  <si>
    <t>January/March 1989</t>
  </si>
  <si>
    <t>Stutzman, Warren L.</t>
  </si>
  <si>
    <t>Stutzman W.</t>
  </si>
  <si>
    <t>Prediction of rain effects on earth‚Äêspace communication links operating in the 10 to 35 GHZ frequency range</t>
  </si>
  <si>
    <t>10.1002/sat.4600070107</t>
  </si>
  <si>
    <t>2-s2.0-0024304394</t>
  </si>
  <si>
    <t>['waves offer', 'sourced package', 'satellite reception', 'quick toinstall', 'prototype system', 'many small', 'extra antennas', 'channels eliminates', 'cable reaches']</t>
  </si>
  <si>
    <t>Millimeter-waves offer an exciting new opportunity for delivering multichannel television to the home. M3VDS is economical and quick toinstall, and can bring 25 channels to millions of viewers in many small/medium size towns quite soon, long before cable reaches them beyond the turn of the century. Its single entry point for a multi-sourced package of channels eliminates the need for extra antennas for multi-satellite reception. A prototype system has been established at Saxmundham, Suffolk, to demonstrate both the concept and the gallium arsenide monolithic integrated circuit technology developed as the key to cost effective receivers.</t>
  </si>
  <si>
    <t>British Telecom technology journal</t>
  </si>
  <si>
    <t>101174815;101174815;101174815;101174815</t>
  </si>
  <si>
    <t>6603862590;55466060900;7005570370;7203088134</t>
  </si>
  <si>
    <t>Pilgrim, Mike;Scott, R. P.I.;Carver, Richard D.;Ellis, Brian J.</t>
  </si>
  <si>
    <t>Castleton Radio Lab</t>
  </si>
  <si>
    <t>Pilgrim M.</t>
  </si>
  <si>
    <t>M&lt;sup&gt;3&lt;/sup&gt;VDS Saxmundham Demonstrator - multichannel TV distribution by mm-waves</t>
  </si>
  <si>
    <t>2-s2.0-0024304837</t>
  </si>
  <si>
    <t>['similar dimensions', 'reactor dimensions', 'next generation', 'large tokamaks', 'icrh antennas', 'evaluated self', 'electrical properties', 'design flexibility', 'conventional design', 'conventional antenna', 'broad antenna']</t>
  </si>
  <si>
    <t>A toroidally broad antenna is proposed for ion cyclotron resonance heating (ICRH) of the next generation of large tokamaks. The antenna has a number of attractive mechanical properties that are absent in ICRH antennas of conventional design. The electrical properties of the broad antenna, together with the properties of a conventional antenna of similar dimensions, are evaluated self-consistently. It is found that the power handling capability and the design flexibility of the broad antenna compare favourably with those of the conventional antenna and that both antennas could supply the ICRH heating requirements of a device of reactor dimensions. ¬© 1989 IOP Publishing Ltd.</t>
  </si>
  <si>
    <t>15-26</t>
  </si>
  <si>
    <t>Nuclear Fusion</t>
  </si>
  <si>
    <t>60026838;60026838</t>
  </si>
  <si>
    <t>6601921403;7401451781</t>
  </si>
  <si>
    <t>Cattanei, G.;Murphy, A. B.</t>
  </si>
  <si>
    <t>Garching bei Munchen</t>
  </si>
  <si>
    <t>Max Planck Institute for Plasma Physics</t>
  </si>
  <si>
    <t>Cattanei G.</t>
  </si>
  <si>
    <t>A toroidally broad antenna for ion cyclotron resonance heating of large tokamaks</t>
  </si>
  <si>
    <t>10.1088/0029-5515/29/1/002</t>
  </si>
  <si>
    <t>2-s2.0-0024304853</t>
  </si>
  <si>
    <t>['mode transition', 'kept constant', 'first observed', 'different behaviour', 'coupling resistance', 'antenna phasings', 'antenna phasing', 'antenna currents', '(‡•†, 0']</t>
  </si>
  <si>
    <t>An increase of the coupling resistance of an ICRF 2 ‚Äï 2 phased loop antenna array after H-mode transition was first observed in JT-60. The coupling resistance of the ICRF antenna decreases after H-mode transition in the (0, 0) antenna phasing (toroidal phase difference), but it increases in the (‡•†, 0) antenna phasing (poloidal phase difference). This different behaviour can be explained by antenna-plasma coupling theory, taking the antenna phasings and the electron density profiles into account. The coupling resistance can be kept constant after H-mode transition by adjusting the toroidal wave number spectra of the antenna currents. ¬© 1989 IOP Publishing Ltd.</t>
  </si>
  <si>
    <t>73-77</t>
  </si>
  <si>
    <t>60012288;60012288;60012288;60012288-60018735;60012288;60012288</t>
  </si>
  <si>
    <t>7005938557;7404269925;35352771100;35377951900;7101740816;55624468974</t>
  </si>
  <si>
    <t>Saigusa, M.;Kimura, H.;Fujii, T.;Kobayashi, N.;Moriyama, S.;Nakamura, H.</t>
  </si>
  <si>
    <t>Japan;Japan</t>
  </si>
  <si>
    <t>Tokyo;Naka</t>
  </si>
  <si>
    <t>Toshiba Corporation;Naka Fusion Institute</t>
  </si>
  <si>
    <t>60018735;60012288</t>
  </si>
  <si>
    <t>Saigusa M.</t>
  </si>
  <si>
    <t>Coupling properties of the JT-60 ICRF antenna during H-mode discharges</t>
  </si>
  <si>
    <t>10.1088/0029-5515/29/1/007</t>
  </si>
  <si>
    <t>2-s2.0-0024304999</t>
  </si>
  <si>
    <t>['voltage pulse', 'rock masses', 'reflection signatures', 'quantitatively interpret', 'optimum properties', 'monitoring system', 'monitoring changes', 'laboratory measurements', 'grouted cable', 'grout mixtures', 'field installation']</t>
  </si>
  <si>
    <t>Techniques presented herein show how reflected voltage pulses from coaxial antenna cable grouted in rock masses can be employed to quantify the type and magnitude of rock mass deformation. This measurement is similar to that obtained from a combined full profile extensometer (to measure local extension) and inclinometer (to measure local shearing). Rock mass movements deform the grouted cable, which locally changes cable capacitance and thereby the reflected wave form of the voltage pulse. Thus, by monitoring changes in these reflection signatures, it is possible to monitor rock mass deformation. This paper presents laboratory measurements necessary to quantitatively interpret the reflected voltage signatures. Cables were sheared and extended to correlate measured cable deformation with reflected voltage signals. Laboratory testing included development of grout mixtures with optimum properties for field installation and performance of a TDR (Time Domain Reflectometry) monitoring system. Finally, the interpretive techniques developed through laboratory measurements were applied to previously collected field data to extract hitherto unrealized information. ¬© 1989 Springer-Verlag.</t>
  </si>
  <si>
    <t>1434453X</t>
  </si>
  <si>
    <t>Rock Mechanics and Rock Engineering</t>
  </si>
  <si>
    <t>60007363;60017511;60028844</t>
  </si>
  <si>
    <t>7004849292;7403167128;57087352400</t>
  </si>
  <si>
    <t>Dowding, C. H.;Su, M. B.;O'Connor, K.</t>
  </si>
  <si>
    <t>United States;Taiwan;United States</t>
  </si>
  <si>
    <t>Socorro;Taichung;Evanston</t>
  </si>
  <si>
    <t>New Mexico Institute of Mining and Technology;National Chung Hsing University;Northwestern University</t>
  </si>
  <si>
    <t>60028844;60017511;60007363</t>
  </si>
  <si>
    <t>Dowding C.</t>
  </si>
  <si>
    <t>Measurement of rock mass deformation with grouted coaxial antenna cables</t>
  </si>
  <si>
    <t>10.1007/BF01274117</t>
  </si>
  <si>
    <t>2-s2.0-0024305232</t>
  </si>
  <si>
    <t>['weak activator', 'unusual type', 'single stimulus', 'reversibly inhibited', 'responses lasting', 'repetitive pulses', 'receptor cell', 'potent compound', 'odor sources', 'much longer', 'male moths', 'linalool stimuli', 'lasting excitatory', 'impulse firing', 'hexadecadiene stimuli', 'hexadecadiene followed', 'hexadecadiene could', 'bombyx mori', 'bombykol analogue', '10 min']</t>
  </si>
  <si>
    <t>The bombykol analogue (Z,E)-4,6-hexadecadiene elicits nerve-impulse firing in the bombykol receptor cell of male moths of Bombyx mori. It is about 100 times less effective than bombykol if one compares equipotent loads of the odor sources. However, brief (1 s) hexadecadiene stimuli are followed by after-responses lasting for more than 10 min, much longer than those following bombykol stimuli yielding equal initial responses. The possibility is discussed that the unusual type of response to hexadecadiene is produced by a combination of long-lasting excitatory and shortlasting inhibitory effects on the receptor cell. Alternatively, hexadecadiene could be a weak activator which is converted on the antenna into a more potent compound. The after-responses can be reversibly inhibited by linalool stimuli. The electrophysiological effects observed led to the prediction that a single stimulus with (Z,E)-4,6-hexadecadiene followed by repetitive pulses of linalool should simulate a response to pulsed bombykol stimuli and elicit anemotactic behavior of male Bombyx mori. ¬© 1989 Springer-Verlag.</t>
  </si>
  <si>
    <t>147-154</t>
  </si>
  <si>
    <t>Journal of Comparative Physiology A</t>
  </si>
  <si>
    <t>60005460;60014966;60000765</t>
  </si>
  <si>
    <t>6603949880;57198479344;7006503853</t>
  </si>
  <si>
    <t>Kaissling, K. E.;Meng, L. Z.;Bestmann, H. J.</t>
  </si>
  <si>
    <t>China;Germany;Germany</t>
  </si>
  <si>
    <t>Beijing;Pocking;Erlangen</t>
  </si>
  <si>
    <t>Peking University;Max Planck Institute for Ornithology;Friedrich-Alexander-Universit√§t Erlangen-N√ºrnberg</t>
  </si>
  <si>
    <t>60014966;60005460;60000765</t>
  </si>
  <si>
    <t>Kaissling K.</t>
  </si>
  <si>
    <t>Responses of bombykol receptor cells to (Z,E)-4,6-hexadecadiene and linalool</t>
  </si>
  <si>
    <t>10.1007/BF00619189</t>
  </si>
  <si>
    <t>2-s2.0-0024316004</t>
  </si>
  <si>
    <t>['three types', 'tetradecadienyl acetate', 'sensilla trichodea', 'relatively common', 'relative number', 'pheromone components', 'pheromone component', 'male antennae', 'hexadecadienyl acetate', 'female gland', 'different combinations', 'cells sensitive', 'cell type', 'average sensitivities', 'antheraea polyphemus', 'anterior side']</t>
  </si>
  <si>
    <t>Three types of receptor cells responding respectively to the pheromone components (E,Z)-6,11-hexadecadienyl acetate (AC1, (E,Z)-6,11-hexadecadienal (AL) and (E,Z)-4,9-tetradecadienyl acetate (AC2) occur in different combinations in the sensilla trichodea on male antennae of Antheraea polyphemus and A. pernyi. The numbers of cells sensitive to AC1 and AL and the average sensitivities of these cells are about equal, and higher than those of the AC2-cells. The cells sensitive to AC2 are relatively common in the small hairs positioned on the anterior side of the antenna. The product of three experimental values - (i) the relative number of each cell type, (ii) the average relative sensitivity of the cells and (iii) the estimated relative release rate of the respective pheromone component from the female gland - suggest that the distance from the female over which a compound can be detected or, the potential active space, is different for each pheromone component. ¬© 1989 Springer-Verlag.</t>
  </si>
  <si>
    <t>139-146</t>
  </si>
  <si>
    <t>60014966;60014966;60005460;60005460;60000765</t>
  </si>
  <si>
    <t>57198479344;7501667929;36472828900;6603949880;7006503853</t>
  </si>
  <si>
    <t>Meng, L. Z.;Wu, C. H.;Wicklein, M.;Kaissling, K. E.;Bestmann, H. J.</t>
  </si>
  <si>
    <t>Meng L.</t>
  </si>
  <si>
    <t>Number and sensitivity of three types of pheromone receptor cells in Antheraea pernyi and A. polyphemus</t>
  </si>
  <si>
    <t>10.1007/BF00619188</t>
  </si>
  <si>
    <t>2-s2.0-0024339224</t>
  </si>
  <si>
    <t>['similar intervals', 'receive implants', 'ray microanalysis', 'neural tissue', 'mm length', 'measured 50', 'intracranial use', 'interstitial radiation', 'interstitial hyperthermia', 'increasing either', 'glial wall', 'function properly', 'conventional ones', 'clearly impractical', 'alumina catheters', 'alumina catheter', 'alumina blank', '56 days', '5 cm', '192 sources', '1 month']</t>
  </si>
  <si>
    <t>A major technical challenge to the use of interstitial hyperthermia in malignant brain tumors is the production of a well-defined, uniform hyperthermal field. In theory, a 915-MHz microwave antenna should allow fewer antennas to be used and cause less mechanical brain damage; however, standard radiation afterloading catheters require antennas to be 12 cm long; this is clearly impractical for intracranial use. Since alumina ceramic (Al2O3) catheters permit short microwave antennas (3-5 cm in length) to function properly in neural tissue, it is important to test the biocompatibility of alumina for use in combined interstitial microwave hyperthermia and brachytherapy. A 5-mm length of alumina catheter was implanted into the brains of 15 white rats. The animals were killed at 3, 7, 14, 28, and 56 days. Histological examination revealed only minor mechanical damage and no encapsulation until 1 month; even then, the glial wall was only a few cell layers thick. Five animals received implants and were killed at similar intervals for x-ray microanalysis with the scanning electron microscope. No migration of aluminum into the brain was detected when compared with two control animals that did not receive implants and an alumina blank. Although we measured 50% attenuation of the radiation from iridium-192 sources in alumina catheters as compared with conventional ones, alumina catheters can still be used for interstitial radiation by increasing either the activity of the seeds or the duration of treatment.</t>
  </si>
  <si>
    <t>209-213</t>
  </si>
  <si>
    <t>0148396X</t>
  </si>
  <si>
    <t>Neurosurgery</t>
  </si>
  <si>
    <t>60004123;60004123;60004123;60004123;60004123;60004123;60004123</t>
  </si>
  <si>
    <t>57214578122;7007030572;7003823014;6603711169;6508274781;7006699615;7006173709</t>
  </si>
  <si>
    <t>Ferraro, F. T.;Salcman, M.;Broadwell, R. D.;Sewchand, W.;Neuberth, G.;Guthrie, B. L.;Selker, R. G.</t>
  </si>
  <si>
    <t>Baltimore</t>
  </si>
  <si>
    <t>University of Maryland Medical Center</t>
  </si>
  <si>
    <t>Ferraro F.</t>
  </si>
  <si>
    <t>Alumina ceramic as a biomaterial for use in afterloading radiation catheters for hyperthermia</t>
  </si>
  <si>
    <t>10.1227/00006123-198908000-00009</t>
  </si>
  <si>
    <t>2-s2.0-0024341456</t>
  </si>
  <si>
    <t>National Science Foundation</t>
  </si>
  <si>
    <t>ECS-8352580</t>
  </si>
  <si>
    <t>NSF</t>
  </si>
  <si>
    <t>['wavelength long', 'theoretical expressions', 'sar patterns', 'sar pattern', 'rights reserved', 'results show', 'resonant half', 'resonant case', 'predictable fashion', 'paper presents', 'often along', 'much longer', 'maximum sar', 'local maximum', 'insertion depth', 'increased beyond', 'hotspot centred', 'eventually split', 'distal section', 'central axis', 'antenna tip', 'antenna junctions', '6 cm']</t>
  </si>
  <si>
    <t>Cancer | Hyperthermia | Insertion depth | Microwave antennas | Specific absorption rate</t>
  </si>
  <si>
    <t>Interstitial microwave antenna array hyperthermia (IMAAH) is presently used clinically in the treatment of cancer. This paper presents the theoretical specific absorption rate (SAR) patterns of 915 MHz microwave antenna arrays for varying insertion depths. The antennas were oriented in a 2¬±2 cm square array. Insertion depth, defined as distance from skin to antenna tip, ranged from 5.9 to 17.6 cm. Two different antenna configurations were considered. In the first the antenna had a distal section a quarter- wavelength long (resonant case), while the second had a distal section approximately 13% longer than a quarter-wavelength (non-resonant case). SAR patterns were calculated from theoretical expressions, and displayed as lines of constant SAR normalized to the maximum SAR value in the array. The results show that regions of concentrated power deposition or 'hotspots' occurred in the centre of the array and moved in a complex but predictable fashion as insertion depth was varied. For insertion depths shorter than a resonant half-wavelength, there occurred one hotspot distal to the antenna junctions. As insertion depth was increased beyond a resonant half-wavelength, the hotspot moved proximal to the antenna junctions and eventually split in two. For depths very much longer than a resonant half-wavelength a hotspot centred about the antenna junction dominated the SAR pattern. For the resonant case the maximum SAR was often along the central axis of the array, while for the non-resonant case the maximum SAR was at the antennas with a local maximum on the central axis. ¬© 1989 Informa UK Ltd All rights reserved: reproduction in whole or part not permitted.</t>
  </si>
  <si>
    <t>733-747</t>
  </si>
  <si>
    <t>International Journal of Hyperthermia</t>
  </si>
  <si>
    <t>60030443;60030443;60030443;60030443</t>
  </si>
  <si>
    <t>57213235841;7005534211;6602167161;7003830659</t>
  </si>
  <si>
    <t>James, B. J.;Strohbehn, J. W.;Mechling, J. A.;Trembly, B. S.</t>
  </si>
  <si>
    <t>Hanover</t>
  </si>
  <si>
    <t>Thayer School of Engineering at Dartmouth</t>
  </si>
  <si>
    <t>James B.</t>
  </si>
  <si>
    <t>The effect of insertion depth on the theoretical SAR patterns of 915 MHz dipole antenna arrays for hyperthermia</t>
  </si>
  <si>
    <t>10.3109/02656738909140498</t>
  </si>
  <si>
    <t>2-s2.0-0024343807</t>
  </si>
  <si>
    <t>National Institutes of Health</t>
  </si>
  <si>
    <t>R01CA023594</t>
  </si>
  <si>
    <t>NIH</t>
  </si>
  <si>
    <t>['¬© 1989', 'two parameters', 'thermal smearing', 'temperature region', 'temperature maximum', 'stanford radiofrequency', 'rf electrode', 'optical sensor', 'minimal smearing', 'interstitial devices', 'interstitial device', 'flow cell', 'dipole antenna', 'data indicate', 'brachytherapy catheter', '6 cm', '06 cm']</t>
  </si>
  <si>
    <t>Brachytherapy | Flow cell-thermal step gradient | Hyperthermia | Interstitial hyperthermia | Microwave antennas | Optical temperature sensors | Radiofrequency electrodes | Thermal conduction</t>
  </si>
  <si>
    <t>The smearing effects due to thermal conduction along various, nonenergized, interstitial devices were quantified in a flow cell-thermal step gradient. An insulated cylindrical flow cell with a high (ca 45¬∞C, 1.12 cm W., 1.6 cm o.d.) temperature region surrounded by a low (ca 37¬∞C) temperature region was used to compare temperature profiles measured with a thermocouple sensor inside a Stanford radiofrequency (RF) hyperthermia/brachytherapy catheter, a BSD instrumented microwave (MW) antenna (i.e., thermistor integrated into a dipole antenna) and a Dartmouth MW antenna with a juxtaposed optical sensor. Two parameters were used to quantify the thermal smearing of each interstitial device in the flow cell: (a) the maximum temperature difference (MTD) and (b) the full- width-half-maximum (FWHM) of the high temperature region. The "true" temperature maximum (45.4¬∞C) and distribution (FWHM = 1.65 ¬± 0.06 cm) were measured with an optical sensor. These data indicate that the BSD instrumented MW antenna significantly smeared the true temperature profile (MTD = 2.7¬∞C, FWHM = 2.1 cm), as did the Dartmouth MW antenna (MTD = 1.5¬∞C, FWHM = 1.7 cm). The Stanford RF catheter, when insulated, resulted in minimal smearing (MTD = 0.3¬∞C, FWHM = 1.9 cm). Moreover, when the insulation was removed so the RF electrode was exposed to the thermal step gradient, smearing was again minimal (MTD = 0.3¬∞C, FWHM = 1.9 cm). ¬© 1989.</t>
  </si>
  <si>
    <t>1557-1564</t>
  </si>
  <si>
    <t>International Journal of Radiation Oncology, Biology, Physics</t>
  </si>
  <si>
    <t>60030443;60113147;60030443;60015615;60015615;60015615;60030443</t>
  </si>
  <si>
    <t>57197374123;35475361200;7102777830;7406967815;6602210886;6603945998;7005534211</t>
  </si>
  <si>
    <t>Ryan, Thomas P.;Samulski, Thaddeus V.;Lyons, Bernard E.;Lee, Eric;Holdren, Dale;Fessenden, Peter;Strohbehn, John W.</t>
  </si>
  <si>
    <t>United States;United States;United States</t>
  </si>
  <si>
    <t>Durham;Hanover;Stanford</t>
  </si>
  <si>
    <t>Duke University Medical Center;Thayer School of Engineering at Dartmouth;Stanford University Medical Center</t>
  </si>
  <si>
    <t>60113147;60030443;60015615</t>
  </si>
  <si>
    <t>Ryan T.</t>
  </si>
  <si>
    <t>Thermal conduction effects associated with temperature measurements in proximity to radiofrequency electrodes and microwave antennas</t>
  </si>
  <si>
    <t>0360-3016(89)90962-0</t>
  </si>
  <si>
    <t>10.1016/0360-3016(89)90962-0</t>
  </si>
  <si>
    <t>2-s2.0-0024351719</t>
  </si>
  <si>
    <t>P30CA033572</t>
  </si>
  <si>
    <t>['tissue material', 'static phantom', 'rights reserved', 'nylon catheters', 'monitoring temperatures', 'junction plane', 'insertion end', 'insertion depths', 'insertion depth', 'inserted 5', 'impedance mismatch', 'hot spots', 'heating varies', 'heating patterns', 'heating near', 'equivalent material', 'determined thermographically', 'antenna arrays', '915 mhz', '8 cm', '5 cm', '15 cm']</t>
  </si>
  <si>
    <t>Antenna | Heating pattern | Hyperthermia | Interstitial | Microwave</t>
  </si>
  <si>
    <t>The changes in heating patterns of interstitial microwave antennas at different insertion depths were investigated in a static phantom at 915 MHz. Antennas for the Clini-Therm Mark VI system were inserted 5-15 cm into muscle-equivalent material, through nylon catheters. The phantom was heated with arrays of antennas at 2 cm spacings for 60 s at 15 W per antenna. Midplane and transverse heating patterns were determined thermographically with the antennas inserted parallel or perpendicular to the split of the phantom. Hot spots, independent of heating near the junction plane, were observed in the midplane of the 2√ó2 and 2√ó4 arrays at 2.8 cm from the insertion end. The magnitudes of these hot spots were reduced by 40-45 per cent as insertion depth was increased from 7 to 10-5 cm. With insertion depths of more than 11-5 cm the hot spots gradually diminished and heating occurred mostly near the junction plane. The observed heating patterns were caused by changes in impedance of the antenna arrays at different insertion depths. The impedance mismatch had resulted in different wave propagation within the tissue material which produced different radiation patterns. During treatments, because heating varies with insertion depth, great care must be exercised in monitoring temperatures. ¬© 1989 Informa UK Ltd All rights reserved: reproduction in whole or part not permitted.</t>
  </si>
  <si>
    <t>499-507</t>
  </si>
  <si>
    <t>60007474;60007474;60007474;60007474;60007474;60007474</t>
  </si>
  <si>
    <t>55967542900;24452192400;7102481508;7201921588;7004721675;56355818000</t>
  </si>
  <si>
    <t>Chan, K. W.;Chou, C. K.;Mcdougall, J. A.;Luk, K. H.;Vora, N. L.;Forell, And B.W.</t>
  </si>
  <si>
    <t>Duarte</t>
  </si>
  <si>
    <t>City of Hope National Med Center</t>
  </si>
  <si>
    <t>Chan K.</t>
  </si>
  <si>
    <t>Changes in heating patterns of interstitial microwave antenna arrays at different insertion depths</t>
  </si>
  <si>
    <t>10.3109/02656738909140474</t>
  </si>
  <si>
    <t>2-s2.0-0024357220</t>
  </si>
  <si>
    <t>['wiley company', 'whether rfr', 'vivo studies', 'two hypotheses', 'temperature increase', 'simultaneously treated', 'simultaneous exposure', 'radiofrequency radiation', 'predominantly negative', 'power density', 'positive reports', 'performed using', 'mutagenic activity', 'mutagenesis resulting', 'mutagenesis induced', 'mmc ),', 'mitomycin c', 'microwave range', 'mammalian cell', 'inc .,', 'genotoxic chemicals', 'chemical treatment', 'chemical alone', 'cell growth', 'cause mutations', 'antenna horn', 'affect either', '8 mw', '45 ghz', '30 w']</t>
  </si>
  <si>
    <t>L5178Y | mutation | radiofrequency radiation</t>
  </si>
  <si>
    <t>Evidence in the literature from in vitro and in vivo studies as to whether or not radiofrequency radiation (RFR) in the microwave range is mutagenic is predominantly negative, with some positive reports. No evidence is available as to whether RFR will alter the mutagenic activity of genotoxic chemicals during a simultaneous exposure, a likely real‚Äêlife situation. Two hypotheses have been proposed: a) that RFR by itself can cause mutations in a mammalian cell in vitro assay system; and b) that a simultaneous exposure to RFR during a chemical treatment of the cells with a known genotoxic agent, mitomycin C (MMC), will alter the extent of mutagenesis induced by the treatment of the cells by the chemical alone. These studies were performed using the forward mutation assay at the thymidine kinase locus in L5178Y mouse leukemic cells. The pulsed wave RFR was broadcast from an antenna horn at a frequency of 2.45 GHz. The power density was 48.8 mW/cm2 and the measured specific absorption rate (SAR) in this system was 30 W/kg (600 W forward power), which is well above current safety guidelines. The conclusions from five different experiments, employing three different concentrations of MMC, were that a) RFR exposure alone, at moderate power levels which resulted in a temperature increase in the cell culture medium of less than 3¬∞C, is not mutagenic; and b) when cells are simultaneously treated with MMC and RFR at these same moderate power levels, the RFR does not affect either the inhibition of cell growth or the extent of mutagenesis resulting from the treatment with the chemical MMC alone. Copyright ¬© 1989 Wiley‚ÄêLiss, Inc., A Wiley Company</t>
  </si>
  <si>
    <t>294-303</t>
  </si>
  <si>
    <t>Environmental and Molecular Mutagenesis</t>
  </si>
  <si>
    <t>60003212;60003212;60019557</t>
  </si>
  <si>
    <t>36857559600;57225258156;7006470960</t>
  </si>
  <si>
    <t>Meltz, Martin L.;Eagan, Phyllis;Erwin, David N.</t>
  </si>
  <si>
    <t>San Antonio;San Antonio</t>
  </si>
  <si>
    <t>Brooks City-Base;The University of Texas at San Antonio</t>
  </si>
  <si>
    <t>60019557;60003212</t>
  </si>
  <si>
    <t>Meltz M.L.</t>
  </si>
  <si>
    <t>Absence of mutagenic interaction between microwaves and mitomycin C in mammalian cells</t>
  </si>
  <si>
    <t>10.1002/em.2850130404</t>
  </si>
  <si>
    <t>2-s2.0-0024361691</t>
  </si>
  <si>
    <t>National Cancer Institute</t>
  </si>
  <si>
    <t>R29CA045690</t>
  </si>
  <si>
    <t>NCI</t>
  </si>
  <si>
    <t>['¬© 1989', 'stored lh', 'sialic acid', 'secreted lh', 'previous studies', 'pituitary gland', 'pi 8', 'pi 6', 'lh immunoreactivity', 'immunological activity', 'hybrid oligosaccharides', 'human lh', 'grown yielded', 'glycosylated forms', 'endocrine society', 'complex oligosaccharides', 'chromatofocusing across', 'antennae terminate', 'acidic ones']</t>
  </si>
  <si>
    <t>Previous studies of the heterogeneity of human LH have employed LH stored within the pituitary gland. In this study we characterized LH secreted by dispersed fetal human pituitary cells. Chromatofocusing across a pH 9 6 gradient of the medium in which fetal pituitary cells had been grown yielded at least eight distinct peaks of LH immunoreactivity. The more basic LH peaks bound more strongly to Concanavalin-A-Sepharose than did the more acidic ones, suggesting that the more basic LH molecules contain more hybrid oligosaccharides, in which one antenna terminates in a mannose, and that the more acidic human LH molecules contain more complex oligosaccharides, in which both antennae terminate in negatively charged groups, sialic acid and/or N-acetylgalactosamine-sulfate. The biological/immunological activity (B/I) ratios of the secreted LH varied directly and dramatically with the pi, from 8.1 at pi 8.4 to 1.1 at pi 6.3. Secreted LH, therefore, exhibits similar heterogeneity of glycosylated forms as does stored LH, raising the possibility that the hormones that control overall LH secretion could affect the secretion of some isohormones more than others and thereby influence LH biological activity to a degree not predicted by measuring total LH immunoreactivity. ¬© 1989 by The Endocrine Society.</t>
  </si>
  <si>
    <t>1033-1038</t>
  </si>
  <si>
    <t>0021972X</t>
  </si>
  <si>
    <t>Journal of Clinical Endocrinology and Metabolism</t>
  </si>
  <si>
    <t>60003711-60024978;60003711-60024978;60003711-60024978;60003711-60024978;60003711-60024978</t>
  </si>
  <si>
    <t>55882540600;6603231453;57202957429;7103345876;7006331933</t>
  </si>
  <si>
    <t>Snyder, Peter J.;Bashey, Hildegarde M.;Montecinos, Angelica;Odell, William D.;Spitalnik, Steven L.</t>
  </si>
  <si>
    <t>Salt Lake City;Philadelphia</t>
  </si>
  <si>
    <t>University of Utah School of Medicine;University of Pennsylvania Perelman School of Medicine</t>
  </si>
  <si>
    <t>60024978;60003711</t>
  </si>
  <si>
    <t>Snyder P.</t>
  </si>
  <si>
    <t>Secretion of multiple forms of human luteinizing hormone by cultured fetal human pituitary cells</t>
  </si>
  <si>
    <t>10.1210/jcem-68-6-1033</t>
  </si>
  <si>
    <t>2-s2.0-0024381473</t>
  </si>
  <si>
    <t>['‚ äêphenanthroline', 'wiley company', 'tumor cells', 'specifically associated', 'results suggest', 'previous studies', 'poorly adhesive', 'pathway prior', 'metalloprotease inhibitor', 'increased invasion', 'increased adhesiveness', 'inc .,', 'hydrolase activities', 'extracellular matrix', 'directly linked', 'block secretion']</t>
  </si>
  <si>
    <t>In previous studies we have shown that the ability of murine tumor cells to metastasize in situ is directly linked to expression of ‚ÄêGIcNAcŒ≤1‚Äê6ManŒ±l‚Äê6Man√üi‚Äêbranched complex‚Äêtype Asn‚Äêlinked oligosaccharides in tumor‚Äêcell glycoproteins. Here we demonstrate that cell‚Äêsurface expression of Œ≤1‚Äê6 branched oligosaccharides in metastatic tumor cells is specifically associated with increased invasion of human amnion basement membranes in vitro. Compared to non‚Äêmetastatic SPI murine mammary carcinoma cells, 2 metastatic sublines expressed higher levels of Œ≤1‚Äê6 branched oligosaccharides and were found to be invasive but poorly adhesive on the amnion basement membrane. Swainsonine, a non‚Äêtoxic inhibitor of Œ≤1‚Äêlinked oligosaccharide processing which blocks the pathway prior to initiation of the Œ≤1‚Äê6 linked antenna, blocked metastatic tumor‚Äêcell invasion and increased adhesiveness. Swainsonine and the metalloprotease inhibitor O‚Äêphenanthroline inhibited invasion, apparently via independent mechanisms. O‚Äêphenanthroline did not affect tumor‚Äêcell adhesion to the amnion basement membrane and swainsonine did not block secretion of metalloproteases, Œ≤‚Äêhexosaminadase or tissue plasminogen activator activity by the tumor cells. These results suggest that tumor‚Äêcell invasion of basement membranes requires both secretion of hydrolase activities and expression of Œ≤1‚Äê6 branched complex‚Äêtype oligosaccharides at the tumor cell surface, such oligosaccharides being associated with reduced tumor‚Äêcell adhesion to extracellular matrix. Copyright ¬© 1989 Wiley‚ÄêLiss, Inc., A Wiley Company</t>
  </si>
  <si>
    <t>685-690</t>
  </si>
  <si>
    <t>International Journal of Cancer</t>
  </si>
  <si>
    <t>60006894;60006894;60015913;60010884;60006894-60016849;60006894-60016849</t>
  </si>
  <si>
    <t>7006376475;7006413512;6603041229;7101946017;7005448008;7202979823</t>
  </si>
  <si>
    <t>Yagel, Simcha;Feinmesser, Raphael;Waghorne, Carol;Lala, Peeyush K.;Breitman, Martin L.;Dennis, James W.</t>
  </si>
  <si>
    <t>Canada;Canada;Canada;Canada</t>
  </si>
  <si>
    <t>Toronto;Halifax;London;Toronto</t>
  </si>
  <si>
    <t>University of Toronto;Dalhousie University;The University of Western Ontario;Mount Sinai Hospital of University of Toronto</t>
  </si>
  <si>
    <t>60016849;60015913;60010884;60006894</t>
  </si>
  <si>
    <t>Yagel S.</t>
  </si>
  <si>
    <t>Evidence that Œ≤1‚Äê6 branched Asn‚Äêlinked oligosaccharides on metastatic tumor cells facilitate invasion of basement membranes</t>
  </si>
  <si>
    <t>10.1002/ijc.2910440422</t>
  </si>
  <si>
    <t>2-s2.0-0024435241</t>
  </si>
  <si>
    <t>['wiley blackwell', 'transferrin synthesized', 'rights reserved', 'results indicate', 'primary structure', 'normal transferrin', 'nmr spectroscopy', 'molecular mass', 'methylation analysis', 'malignant transformation', 'major fraction', 'liver diseases', 'immunoaffinity chromatography', 'igg column', 'human serotransferrin', 'fucose residues', 'five peaks', 'eluted transferrin', 'culture media', 'comparative analysis', 'alcoholic cirrhosis', '5 kda']</t>
  </si>
  <si>
    <t>Transferrin synthesized by a human hepatocellular carcinoma cell line Hep G2 (called Hep G2 transferrin) was purified from culture media by immunoaffinity chromatography on a rabbit anti‚Äê(human serotransferrin) IgG column. The eluted transferrin was then resolved into five peaks on a cation‚Äêexchange column using the fast protein liquid chromatography system. The major fraction, named Hep G2 transferrin fraction C, having a molecular mass of 82.5 kDa was found to be homogeneous in polyacrylamide gel electrophoresis and in concanavalin‚ÄêA‚Äêaffinity crossed immunoelectrophoresis. A comparative analysis of the molar carbohydrate composition of normal human serotransferrin and of Hep G2 transferrin fraction C shows an increase in the latter in the number of galactose and N‚Äêacetylglucosamine residues and in the presence of fucose, which is absent in normal transferrin. By a combination of methylation analysis and NMR spectroscopy, the primary structure of the oligosaccharide alditols released from Hep G2 transferrin fraction C by reductive alkaline cleavage has been established as triantennary, tetraantennary and pentaantennary N‚Äêacetyllactosaminic structures with fucose residues (Œ±1‚Äì3)‚Äêlinked to peripheral N‚Äêacetylglucosamine residues. These results indicate that the increase in the number of antennae in transferrin glycans synthesized by the hepatocarcinoma cell line is much more pronounced than in liver diseases such as alcoholic cirrhosis and that in addition, the malignant transformation of human liver induces the presence of fucose. Copyright ¬© 1989, Wiley Blackwell. All rights reserved</t>
  </si>
  <si>
    <t>405-413</t>
  </si>
  <si>
    <t>European Journal of Biochemistry</t>
  </si>
  <si>
    <t>60104665-117840367;60104665-117840367;60104665-117840367;60104665-117840367;60104665-117840367</t>
  </si>
  <si>
    <t>56901080200;7004781874;7006245680;56377616100;7006843431</t>
  </si>
  <si>
    <t>CAMPION, Bruno;L√âGER, Didier;WIERUSZESKI, Jean‚ÄêMichel ‚ÄêM;MONTREUIL, Jean;SPIK, Genevi√®ve</t>
  </si>
  <si>
    <t>France;France</t>
  </si>
  <si>
    <t>Lille;Villeneuve-d'Ascq</t>
  </si>
  <si>
    <t>Universit√© de Lille;National de la Recherche Scientifique No. 111</t>
  </si>
  <si>
    <t>60104665;117840367</t>
  </si>
  <si>
    <t>CAMPION B.</t>
  </si>
  <si>
    <t>Presence of fucosylated triantennary, tetraantennary and pentaantennary glycans in transferrin synthesized by the human hepatocarcinoma cell line Hep G2</t>
  </si>
  <si>
    <t>10.1111/j.1432-1033.1989.tb15032.x</t>
  </si>
  <si>
    <t>2-s2.0-0024448569</t>
  </si>
  <si>
    <t>['¬© 1989', 'system parameters', 'receive configurations', 'previous work', 'phase coherence', 'paper presents', 'monostatic configuration', 'illustrated using', 'effects due', 'distributed targets', 'bistatic transmit', 'antenna isolation']</t>
  </si>
  <si>
    <t>This paper presents the results of an analysis of the effects of system parameters on the quality of the measured polarized cross section from distributed targets when bistatic transmit/receive configurations are considered. This work is an extension of previous work which was applied only to the monostatic configuration. The new results include the effects due to antenna isolation as well as mismatch between target and antenna polarization states for the full bistatic transmit receive configurations. The results are illustrated using an incoherent surface scatter model where there is no phase coherence between the linear polarization scattering cross sections. ¬© 1989.</t>
  </si>
  <si>
    <t>187-199</t>
  </si>
  <si>
    <t>Remote Sensing of Environment</t>
  </si>
  <si>
    <t>60003467;60003467</t>
  </si>
  <si>
    <t>55452002800;7101834198</t>
  </si>
  <si>
    <t>Nelson, R. J.;Blanchard, A. J.</t>
  </si>
  <si>
    <t>Arlington</t>
  </si>
  <si>
    <t>The University of Texas at Arlington</t>
  </si>
  <si>
    <t>Nelson R.</t>
  </si>
  <si>
    <t>The effect of system parameters on the quality of polarized and depolarized bistatic radar cross section measurements</t>
  </si>
  <si>
    <t>0034-4257(89)90017-5</t>
  </si>
  <si>
    <t>10.1016/0034-4257(89)90017-5</t>
  </si>
  <si>
    <t>2-s2.0-0024471198</t>
  </si>
  <si>
    <t>National Aeronautics and Space Administration</t>
  </si>
  <si>
    <t>NAG 2-254</t>
  </si>
  <si>
    <t>NASA</t>
  </si>
  <si>
    <t>['¬© 1989', 'whisker antenna', 'operating frequencies', 'new type', 'mixer works', 'impedance mismatch', 'frequency versatility', 'experimentally verified', '2000 ghz']</t>
  </si>
  <si>
    <t>A new type of corner-reflector mixer mount, which has the advantages of ease of fabrication and assembly as well as frequency versatility, has been designed and constructed. The mixer works with arbitrary antenna lengths ‚â•4Œª with the reflector to antenna spacing adjusted to give a strong and symmetric central lobe. The predicted response patterns have been experimentally verified for various antenna lengths and operating frequencies between 800 and 2000 GHz. An important design feature is the incorporation of a mierostrip matching network which eliminates IF impedance mismatch and provides mechanical isolation for the whisker antenna. ¬© 1989.</t>
  </si>
  <si>
    <t>119-131</t>
  </si>
  <si>
    <t>Infrared Physics</t>
  </si>
  <si>
    <t>60029392;60029392;60029392</t>
  </si>
  <si>
    <t>7004482405;24555104500;6603815486</t>
  </si>
  <si>
    <t>Zmuidzinas, J.;Betz, A. L.;Boreiko, R. T.</t>
  </si>
  <si>
    <t>Space Sciences Laboratory at UC Berkeley</t>
  </si>
  <si>
    <t>Zmuidzinas J.</t>
  </si>
  <si>
    <t>A corner-reflector mixer mount for far infrared wavelengths</t>
  </si>
  <si>
    <t>10.1016/0020-0891(89)90013-4</t>
  </si>
  <si>
    <t>2-s2.0-0024476015</t>
  </si>
  <si>
    <t>University of Illinois</t>
  </si>
  <si>
    <t>ECS870001</t>
  </si>
  <si>
    <t>UofI</t>
  </si>
  <si>
    <t>['tumor heating', 'synthesized using', 'scanned electronically', 'peak temporal', 'one foci', 'method permits', 'high spatial', 'electrical scanning', 'different sites', 'creating simultaneously', 'conventional scanning', 'computer simulations', 'array elements']</t>
  </si>
  <si>
    <t>A phased-array field conjugation method is investigated as a means for synthesizing directly many ultrasound field patterns useful for tumor heating. For virtually any ultrasound phased array, the method permits the computation of element driving amplitude and phase distributions appropriate for synthesizing directly diffuse heating patterns without the need for mechanical or electrical scanning. Moreover, the proposed method offers the possibility of creating simultaneously, at different sites, more than one foci, which can then be scanned electronically. This attractive feature eliminates the need for operating at high spatial-peak temporal-peak focal intensities, a potential problem associated with conventional scanning, while achieving a desired heating pattern. The method is applied to two different applicator configurations: a concentric-ring and a square n x n array. Computer simulations of different heating patterns, synthesized using the field conjugation method, are presented. Important practical design parameters, such as the size and number of the array elements, are discussed. ¬© 1989 IEEE</t>
  </si>
  <si>
    <t>IEEE Transactions on Ultrasonics, Ferroelectrics, and Frequency Control</t>
  </si>
  <si>
    <t>60000745;60000745</t>
  </si>
  <si>
    <t>6701651109;7103033158</t>
  </si>
  <si>
    <t>Ibbini, Mohammed S.;Cain, Charles A.</t>
  </si>
  <si>
    <t>Urbana</t>
  </si>
  <si>
    <t>University of Illinois Urbana-Champaign</t>
  </si>
  <si>
    <t>Ibbini M.S.</t>
  </si>
  <si>
    <t>A Field Conjugation Method for Direct Synthesis of Hyperthermia Phased-Array Heating Patterns</t>
  </si>
  <si>
    <t>10.1109/58.16962</t>
  </si>
  <si>
    <t>2-s2.0-0024478562</t>
  </si>
  <si>
    <t>['x ),', 'still synchronize', 'radar transmitter', 'radar clutter', 'presented using', 'periodic arrays', 'linear phase', 'interelement spacing', 'computer simulations', 'complex r', 'array could', 'aperiodic arrays']</t>
  </si>
  <si>
    <t>A technique for self-calibrating a large antenna array system in the absence of a beamforming point source is presented using the spatial correlation properties of radar clutter. The array could be real or synthetic. It is shown that if R(X), the spatial autocorrelation function of the field (as measured by adjacent element pairs), is ensured to be real and positive in the neighborhood of the origin, both periodic and aperiodic arrays can be synchronized forming retrodirective beams pointing at the axis of symmetry of the radar transmitter, provided that the interelement spacing does not exceed some limit (the order of the size of the transmitting aperture). If the spatial autocorrelation function is complex but has a linear phase, it is shown that we can still synchronize both periodic and aperiodic arrays, while if the phase of R(X) is nonlinear, only periodic arrays can be synchronized. In both cases of complex R(X), a residual beam pointing error occurs. Computer simulations and airborne sea clutter data verify the theory and practicality of the algorithm. ¬© 1989 IEEE</t>
  </si>
  <si>
    <t>30-38</t>
  </si>
  <si>
    <t>0018926X</t>
  </si>
  <si>
    <t>IEEE Transactions on Antennas and Propagation</t>
  </si>
  <si>
    <t>;60102562</t>
  </si>
  <si>
    <t>7004053683;7102870158</t>
  </si>
  <si>
    <t>Attia, E. Hesham;Steinberg, Bernard D.</t>
  </si>
  <si>
    <t>Philadelphia</t>
  </si>
  <si>
    <t>School of Engineering and Applied Science</t>
  </si>
  <si>
    <t>Attia E.H.</t>
  </si>
  <si>
    <t>Self-Cohering Large Antenna Arrays Using the Spatial Correlation Properties of Radar Clutter</t>
  </si>
  <si>
    <t>10.1109/8.192160</t>
  </si>
  <si>
    <t>2-s2.0-0024478798</t>
  </si>
  <si>
    <t>['¬© 1989', 'specification values', 'requirement method', 'performance aspects', 'paper describes', 'development status']</t>
  </si>
  <si>
    <t>The paper describes the European Space Agency's first remote sensing satellite (ERS-1) and the relationship of the active microwave instrumentation (AMI) to the rest of the payload. The requirement method and specification values for performance aspects are laid down for the AMI. The development status of the AMI and present in-orbit performance predictions are presented. The design areas concerning ambiguous energy, AMI antenna interactions, receiver gain setting, and antenna gain variation are discussed. ¬© 1989.</t>
  </si>
  <si>
    <t>27-40</t>
  </si>
  <si>
    <t>Carter, D. J.Q.</t>
  </si>
  <si>
    <t>United Kingdom</t>
  </si>
  <si>
    <t>Coventry</t>
  </si>
  <si>
    <t>Telent plc</t>
  </si>
  <si>
    <t>Carter D.J.Q.</t>
  </si>
  <si>
    <t>ERS-1 active microwave instrumentation design and performance status</t>
  </si>
  <si>
    <t>0094-5765(89)90005-2</t>
  </si>
  <si>
    <t>10.1016/0094-5765(89)90005-2</t>
  </si>
  <si>
    <t>2-s2.0-0024478818</t>
  </si>
  <si>
    <t>EET-8714651</t>
  </si>
  <si>
    <t>['three dimensions', 'test runs', 'subannular array', 'paper may', 'lending support', 'homogeneous circular', 'fdtd method', 'experimental data', 'dipole antennas', 'deionized water', 'biomedical applications']</t>
  </si>
  <si>
    <t>Annular phased arrays (APA‚Äôs) of aperture and diopole antennas used for hyperthermia are simulated in three dimensions by using the finite difference time-domain (FDTD) method. A 17 363 cell, 1.31 cm resolution, anatomically based model of the human torso surrounded by a bolus of deionized water is used for calculations of specific absorption rates (SAR‚Äôs). Test runs on the calculation of fields in the water-filled interaction space and with homogeneous circular- and elliptical-cylinder phantoms correlate well with the experimental data in the literature, lending support to the accuracy of the FDTD method for near-field exposure conditions. Results are given for APA‚Äôs using different sizes of aperture and dipole antennas and for a subannular array to obtain higher SAR‚Äôs in the liver. Because of its flexibility, the procedure of this paper may be useful for a variety of realistic radio frequency applicators for hyperthermia and other biomedical applications. ¬© 1989 IEEE</t>
  </si>
  <si>
    <t>118-126</t>
  </si>
  <si>
    <t>60025488;60025488</t>
  </si>
  <si>
    <t>57192597127;7103082601</t>
  </si>
  <si>
    <t>Wang, Chang Qing;Gandhi, Om P.</t>
  </si>
  <si>
    <t>Salt Lake City</t>
  </si>
  <si>
    <t>The University of Utah</t>
  </si>
  <si>
    <t>Wang C.Q.</t>
  </si>
  <si>
    <t>Numerical Simulation of Annular Phased Arrays for Anatomically Based Models Using the FDTD Method</t>
  </si>
  <si>
    <t>10.1109/22.20030</t>
  </si>
  <si>
    <t>2-s2.0-0024478852</t>
  </si>
  <si>
    <t>['total transmission', 'total reflection', 'proper choices', 'periodic layers', 'oblique incidence', 'much narrower', 'geometric parameters', 'different frequencies', 'dichroic surface', 'average value', 'always found', 'alternating bars', '5 percent', '40 percent']</t>
  </si>
  <si>
    <t>The feasibility of using a periodic dielectric layer, composed of alternating bars having dielectric constants Œµ1and Œµ2 as a dichroic surface at millimeter wave frequencies is examined. For oblique incidence, it is found that total transmission and total reflection can be obtained at different frequencies for proper choices of Œµ1 and Œµ2 and the geometric parameters. The frequencies of total reflection and transmission can be estimated from wave phenomena occurring in a layer of uniform dielectric constant equal to the average value in the periodic layers. For some of the frequencies of total transmission, the bandwidth for 90 percent transmission is found to be 40 percent. However, the bandwidth for 90 percent reflection is always found to be much narrower, the greatest value obtained being 2.5 percent. ¬© 1989 IEEE</t>
  </si>
  <si>
    <t>78-83</t>
  </si>
  <si>
    <t>60108318;60108318;60013096</t>
  </si>
  <si>
    <t>7005129354;7006505898;6506309830</t>
  </si>
  <si>
    <t>Bertoni, Henry L.;Tamir, Theodor;Cheo, Li Hsiang S.</t>
  </si>
  <si>
    <t>New York;Waynesboro</t>
  </si>
  <si>
    <t>NYU Tandon School of Engineering;William Paterson University</t>
  </si>
  <si>
    <t>60108318;60013096</t>
  </si>
  <si>
    <t>Bertoni H.</t>
  </si>
  <si>
    <t>Frequency-Selective Reflection and Transmission by a Periodic Dielectric Layer</t>
  </si>
  <si>
    <t>10.1109/8.192167</t>
  </si>
  <si>
    <t>2-s2.0-0024478878</t>
  </si>
  <si>
    <t>['wide band', 'transverse magnetic', 'transmission lines', 'series combination', 'results predicted', 'offset dimension', 'method involves', 'input characteristic', 'experimental results', 'equivalent length', 'developed using']</t>
  </si>
  <si>
    <t>A method has been developed using the transmission line model to predict the input characteristic of rectangular microstrip antennas over a wide band of frequencies. The method involves a series combination of transmission lines to represent each transverse magnetic (TM) mode. An equivalent length, width, and offset dimension are introduced to model each mode. The results predicted by the model compared well with experimental results that had varying feed positions. ¬© 1989 IEEE</t>
  </si>
  <si>
    <t>60026810;60026810</t>
  </si>
  <si>
    <t>6603027019;7005918235</t>
  </si>
  <si>
    <t>Dearnley, Russell W.;Barel, Alain R.F.</t>
  </si>
  <si>
    <t>Belgium</t>
  </si>
  <si>
    <t>Brussels</t>
  </si>
  <si>
    <t>Vrije Universiteit Brussel</t>
  </si>
  <si>
    <t>Dearnley R.</t>
  </si>
  <si>
    <t>A Broad-Band Transmission Line Model for a Rectangular Microstrip Antenna</t>
  </si>
  <si>
    <t>10.1109/8.192158</t>
  </si>
  <si>
    <t>2-s2.0-0024478916</t>
  </si>
  <si>
    <t>Mazda Foundation</t>
  </si>
  <si>
    <t>['thereby developing', 'surface modes', 'radiation wave', 'radiation power', 'open waveguide', 'numerical results', 'new modes', 'modal voltages', 'identical definition', 'finite magnitude', 'familiar approach', 'discrete eigenvalues', 'continuous spectra']</t>
  </si>
  <si>
    <t>A novel network approach is proposed for analyzing interacting discontinuities on open planar dielectric waveguides by accurately taking account of both surface modes and waves with continuous spectra. In our approach, a continuum of the radiation wave is recomposed into a set of the newly defined ‚Äúspectral composite‚Äù modes, each of them carrying a finite magnitude of radiation power, and these new modes, in conjunction with surface modes, construct the complete orthonormal set for expressing an arbitrary local field on a dielectric slab waveguide. This idea allows us to provide the modal voltages and currents of the spectral composite modes in the identical definition with those for the surface modes with discrete eigenvalues, thereby developing an equivalent network approach effective for solving discontinuity problems, even on an open waveguide, with the familiar approach for closed waveguide problems. A number of numerical results are shown to prove the usefulness of our approach. ¬© 1989 IEEE</t>
  </si>
  <si>
    <t>60010726;60010726</t>
  </si>
  <si>
    <t>7006521538;55452243700</t>
  </si>
  <si>
    <t>Shigesawa, Hiroshi;Tsuji, Mikio</t>
  </si>
  <si>
    <t>Kyoto</t>
  </si>
  <si>
    <t>Doshisha University</t>
  </si>
  <si>
    <t>Shigesawa H.</t>
  </si>
  <si>
    <t>A New Equivalent Network Method for Analyzing Discontinuity Properties of Open Dielectric Waveguides</t>
  </si>
  <si>
    <t>10.1109/22.20015</t>
  </si>
  <si>
    <t>2-s2.0-0024478968</t>
  </si>
  <si>
    <t>['staked antenna', 'much larger', 'monitor transmissions', 'insulated antenna', 'csamt ),', 'adequately described']</t>
  </si>
  <si>
    <t>A staked and an insulated dipole antenna were used to monitor transmissions from a distant very-low-frequency (VLF) transmitter. The field strength recorded from the staked antenna was found to be much larger than that recorded from the insulated antenna. It is shown that this can be adequately described as magnetic field induction. It is postulated that an insulated antenna is a far better electric field probe for surface impedance investigations including audio magnetotelluric (AMT), controlled source audio magnetotelluric (CSAMT), and VLF sounding techniques.</t>
  </si>
  <si>
    <t>24-27</t>
  </si>
  <si>
    <t>IEEE Transactions on Geoscience and Remote Sensing</t>
  </si>
  <si>
    <t>60032987;60032987</t>
  </si>
  <si>
    <t>56129559800;36893654800</t>
  </si>
  <si>
    <t>Wu, Xiao;Thiel, David V.</t>
  </si>
  <si>
    <t>Australia</t>
  </si>
  <si>
    <t>Brisbane</t>
  </si>
  <si>
    <t>Griffith University</t>
  </si>
  <si>
    <t>Wu X.</t>
  </si>
  <si>
    <t>Electric field sensors in electromagnetic sounding</t>
  </si>
  <si>
    <t>10.1109/36.20271</t>
  </si>
  <si>
    <t>2-s2.0-0024478979</t>
  </si>
  <si>
    <t>['reflector antenna', 'procedure consists', 'posed problem', 'fourier transform', 'focal plane', 'first computing', 'accomplished via', 'abel inversion']</t>
  </si>
  <si>
    <t>An algorithm for computing the atmospheric mutual coherence function from flux measurements taken at the focal plane of a reflector antenna is presented. The procedure consists of first computing the inverse Abel transform of the flux, taking the Fourier transform of the result, and then dividing by the aperture pupil function. It is shown that when flux measurements contain additive noise, the Abel inversion is an Ill-posed problem. Therefore, calculation of the inverse Abel transform is accomplished via a Kalman filtering algorithm. Results of the mutual coherence Function estimator are given for simulated flux measurements. ¬© 1989 IEEE</t>
  </si>
  <si>
    <t>131-134</t>
  </si>
  <si>
    <t>60015099;60000305;60000305</t>
  </si>
  <si>
    <t>6603221999;6603757979;7004044012</t>
  </si>
  <si>
    <t>Sitterle, Jeffrey J.;Claspy, Paul C.;Merat, Francis L.</t>
  </si>
  <si>
    <t>Atlanta;Cleveland</t>
  </si>
  <si>
    <t>Georgia Tech Research Institute;Case Western Reserve University</t>
  </si>
  <si>
    <t>60015099;60000305</t>
  </si>
  <si>
    <t>Sitterle J.</t>
  </si>
  <si>
    <t>A Procedure for Calculating the Atmospheric Mutual Coherence Function Via the Statistical Fourier-Optical Method</t>
  </si>
  <si>
    <t>10.1109/8.192177</t>
  </si>
  <si>
    <t>2-s2.0-0024479170</t>
  </si>
  <si>
    <t>['satellite communication', 'reduced size', 'low loss', 'light weight', 'ideally suited', 'hemispherical coverage', 'hemisphere covered', 'experimental results', 'command guidance', '800 mhz', '12 ghz']</t>
  </si>
  <si>
    <t>A reduced size, light weight, circularly polarised two arm conical log spiral antenna with hemispherical coverage, working over a 15:1 frequency band (800 MHz to 12 GHz) has been designed. A low loss, high strength radome has been developed to protect this antenna. This antenna can be used as an omni directional antenna in the hemisphere covered by it. Experimental results are presented. This type of antenna is ideally suited for satellite communication, command guidance/control and broadband surveillance airborne, shipborne and vehicle mounted applications.</t>
  </si>
  <si>
    <t>15-19</t>
  </si>
  <si>
    <t>IETE Journal of Research</t>
  </si>
  <si>
    <t>Jan-Feb</t>
  </si>
  <si>
    <t>60015465;60015465;60015465</t>
  </si>
  <si>
    <t>57210533617;7201897087;57213897868</t>
  </si>
  <si>
    <t>Pal, Ram;Misra, V. C.;Srivastava, K. K.</t>
  </si>
  <si>
    <t>India</t>
  </si>
  <si>
    <t>Dehradun</t>
  </si>
  <si>
    <t>Defence Research and Development Organisation India</t>
  </si>
  <si>
    <t>Pal R.</t>
  </si>
  <si>
    <t>Circularly polarised hemispherical coverage antenna for multi-octave band</t>
  </si>
  <si>
    <t>10.1080/03772063.1989.11436783</t>
  </si>
  <si>
    <t>2-s2.0-0024479240</t>
  </si>
  <si>
    <t>['two one', 'spatial smoothing', 'source directions', 'search function', 'rectangular array', 'radiating sources', 'perform 1', 'music method', 'first extended', 'estimating two', 'data obtained', 'coherent environment', 'avoid performing', 'approaches based', 'approach based', 'also discussed']</t>
  </si>
  <si>
    <t>In this work, estimating two-dimensional (2-D) angles of arrival for radiating sources in a coherent environment is studied. The concept of spatial smoothing is first extended to a rectangular planar array and a 2-D search function is formed to estimate the source directions. To avoid performing a 2-D search, an approach based on two one-dimensional (1-D) searches is also discussed. This approach uses rows and columns of the rectangular array to perform 1-D searches. To match the data obtained, a 2-D verification is then performed. Computer simulation results for both approaches based on the MUSIC method are presented. ¬© 1989 IEEE</t>
  </si>
  <si>
    <t>153-155</t>
  </si>
  <si>
    <t>IEEE Transactions on Acoustics, Speech, and Signal Processing</t>
  </si>
  <si>
    <t>60005429;60005429;60005429</t>
  </si>
  <si>
    <t>7401672122;56948251900;57148746300</t>
  </si>
  <si>
    <t>Yeh, Chien Chung;Lee, Ju Hong;Chen, Yih Min</t>
  </si>
  <si>
    <t>Taiwan</t>
  </si>
  <si>
    <t>Taipei</t>
  </si>
  <si>
    <t>National Taiwan University</t>
  </si>
  <si>
    <t>Yeh C.C.</t>
  </si>
  <si>
    <t>Estimating Two-Dimensional Angles Of Arrival In Coherent Source Environment</t>
  </si>
  <si>
    <t>10.1109/29.17520</t>
  </si>
  <si>
    <t>2-s2.0-0024479328</t>
  </si>
  <si>
    <t>['usable bandwidth', 'theoretical comparison', 'stripline configuration', 'power dikvider', 'port design', 'phase characteristics', 'performance characteristics', 'new design', 'limited primarily', 'improved design', 'hybrid ring', 'fifth port', 'experimental verification', 'desired degree', 'design equations', 'coupled ports', 'conventional four', 'conventional design', 'cad program', 'approximately twice', 'accomplished using', '1 ].']</t>
  </si>
  <si>
    <t>A power dikvider in the form of a hybrid ring that provides substantially improved amplitude and phase characteristics over a broad frequency range compared to that of a conventional hybrid ring coupler is described. The improvement in bandwidth is obtained by the addition of a fifth port to the conventional four-port design [1]. The new design is applicable to both equal and unequal power divisions and uses the same design equations as the conventional hybrid ring design to obtain the desired degree of coupling. The new design provides substantially improved coupling and phase characteristics over a very broad frequency range; the usable bandwidth is limited primarily by the degradation in the other parameters such as input VS WR and isolation between coupled ports. The bandwidth is approximately twice that of a conventional hybrid ring coupler. A theoretical comparison of the performance characteristics of the improved and the conventional design was accomplished using a CAD program. Experimental verification of the improved design was carried out in a stripline configuration for both equal and unequal power divisions at Kuband and a bandwidth of approximately 45 percent was achieved. ¬© 1989 IEEE</t>
  </si>
  <si>
    <t>112-117</t>
  </si>
  <si>
    <t>60007716;60007716</t>
  </si>
  <si>
    <t>6507998129;7202771665</t>
  </si>
  <si>
    <t>Mikucki, Gerald F.;Agrawal, Ashok K.</t>
  </si>
  <si>
    <t>Boulogne-Billancourt</t>
  </si>
  <si>
    <t>Thomson, SA</t>
  </si>
  <si>
    <t>Mikucki G.</t>
  </si>
  <si>
    <t>A Broad-Band Printed Circuit Hybrid Ring Power Divider</t>
  </si>
  <si>
    <t>10.1109/22.20029</t>
  </si>
  <si>
    <t>2-s2.0-0024479513</t>
  </si>
  <si>
    <t>['type channels', 'therefore introduced', 'rician channels', 'results show', 'rayleigh channels', 'powers greater', 'mobile units', 'measurements made', 'level antennas', 'large bandwidths', 'high values', 'envelope fading', 'elevated antenna', 'delay spread', 'current literature', 'correlation envelope', 'conventional systems', 'conventional designs', 'configuration contrasts', 'coherence bandwidths', 'channel quality', 'celled systems', 'area bounded', 'approximately four', '25 db']</t>
  </si>
  <si>
    <t>It has been proposed in current literature that future urban mobile radio systems be configured with many small cells having low-powered base stations with street-lamp-level antennas. This configuration contrasts with conventional designs for urban mobile systems in which one centrally located, high-powered base station with an elevated antenna is employed to serve a large coverage area. The results of measurements made to determine propagation characteristics on urban mobile radio channels with low base station antennas and line of sight between the base and mobile units are reported in this paper. Cumulative distribution functions for envelope fading, as well as delay spread and frequency correlation statistics are presented. In addition, comparisons are made to similar statistics computed for conventional urban mobile radio channels. There are no previously published papers regarding these characteristics on microcellular-type channels. Results show that multipath propagation conditions would be significantly less severe if small-celled systems were implemented. Root mean square delay spread averages computed by considering all multipath signal components with powers greater than 25 dB below the peak were reduced by a factor of approximately four in comparison to those typical in conventional systems. In addition, microcellular-type channels have Rician, rather than Rayleigh, envelope fading characteristics, and correspondingly different frequency correlation statistics. It is shown that coherence bandwidths are difficult to define for Rician channels since frequency correlation function envelopes remain at high values over very large bandwidths. The area bounded by the correlation envelope is therefore introduced as a measure of channel quality, and these areas are shown to be larger for Rician channels than for Rayleigh channels. ¬© 1989 IEEE</t>
  </si>
  <si>
    <t>31-39</t>
  </si>
  <si>
    <t>IEEE Journal on Selected Areas in Communications</t>
  </si>
  <si>
    <t>60018714;60018714</t>
  </si>
  <si>
    <t>6603668841;56838295100</t>
  </si>
  <si>
    <t>Bultitude, Robert J.C.;Keith Bedal, G.</t>
  </si>
  <si>
    <t>Ottawa</t>
  </si>
  <si>
    <t>Communications Research Centre</t>
  </si>
  <si>
    <t>Bultitude R.</t>
  </si>
  <si>
    <t>Propagation Characteristics on Microcellular Urban Mobile Radio Channels at 910 MHz</t>
  </si>
  <si>
    <t>10.1109/49.16841</t>
  </si>
  <si>
    <t>2-s2.0-0024479515</t>
  </si>
  <si>
    <t>['signal strength', 'sight path', 'short distances', 'short distance', 'results show', 'often based', 'much less', 'mobile vehicle', 'mobile site', 'measurements show', 'measurements presented', 'fixed site', 'direction radial', 'considered propagation', 'antenna heights', 'also increased', '8 ghz', '15 mhz', '1 km', '1 ].']</t>
  </si>
  <si>
    <t>Short distance, low antenna height signal attenuation measurements are presented for their use in the design of future microcellular radio networks. Measurements presented are based on the propagation along busy city streets in a direction radial to a fixed antenna site. Antenna heights between 5 m and 20 m were chosen for the fixed site, while 1.5 m was chosen for the mobile vehicle. The signal strength was then measured out to a distance of 1 km in a line of sight path from the fixed site at both 870.15 MHz and 1.8 GHz. Current cellular system designs are often based on the work of Okumura [1] or Hata [2] who have not considered propagation from low antenna heights (less than 30 m) or over the short distance (less than a kilometer) expected in microcells. The measurements show that extrapolation of the Hata [2] and Okumura [1] formulas into the low antenna height, short distance area is not valid and can lead to inaccuracies. The results show that at short distances from the antenna the signal attenuation slope is very much less than that predicted by extrapolating the results of Hata [2] and Okumura [1]. In addition, the measurements also suggest that the signal attenuation slope increases as the distance between the fixed and mobile site is also increased. ¬© 1989 IEEE</t>
  </si>
  <si>
    <t>Harley, Philip</t>
  </si>
  <si>
    <t>Clayton</t>
  </si>
  <si>
    <t>VICTORIA</t>
  </si>
  <si>
    <t>Harley P.</t>
  </si>
  <si>
    <t>Short Distance Attenuation Measurements at 900 MHz and 1.8 GHz Using Low Antenna Heights for Microcells</t>
  </si>
  <si>
    <t>10.1109/49.16838</t>
  </si>
  <si>
    <t>2-s2.0-0024479757</t>
  </si>
  <si>
    <t>['wiley company', 'particular attention', 'modal currents', 'inc .,', 'dispersion characteristics', 'correct determination', 'computed using']</t>
  </si>
  <si>
    <t>dispersion characteristics | leaky modes | Microstrip lines</t>
  </si>
  <si>
    <t>Dispersion characteristics and modal currents of an open microstrip line are computed using the mixed‚Äêpotential electric field integral equation. Particular attention is given to the correct determination of the radiating, leaky‚Äêwave modes. Copyright ¬© 1989 Wiley Periodicals, Inc., A Wiley Company</t>
  </si>
  <si>
    <t>Microwave and Optical Technology Letters</t>
  </si>
  <si>
    <t>60020547;60020547</t>
  </si>
  <si>
    <t>7004961387;7202567207</t>
  </si>
  <si>
    <t>Michalski, Krzysztof A.;Zheng, Dalian</t>
  </si>
  <si>
    <t>Michalski K.</t>
  </si>
  <si>
    <t>On the leaky modes of open microstrip lines</t>
  </si>
  <si>
    <t>10.1002/mop.4650020104</t>
  </si>
  <si>
    <t>2-s2.0-0024479786</t>
  </si>
  <si>
    <t>['tracking disk', 'reliable acquisition', 'pointing array', 'original intent', 'data processing', 'atmospheric administration', '68010 system']</t>
  </si>
  <si>
    <t>A concept for NOAA (US National Oceanic and Atmospheric Administration) ground station using a pointing array of Yagi-type antenna instead of a tracking disk is presented. The antenna configuration provides a sufficient signal level for the reliable acquisition of high resolution picture transmission (HRPT) data of spatially limited area of interest. A 68010-based microcomputer system is used to store, retrieve, and display the data. The author's original intent was to process the data on the FRS-68010 system, but in light of the recently greatly increased availability, in Australia, of PC-type microcomputer hardware and software it was described to transfer the data to one of these machines and utilize commercially available software for data processing.</t>
  </si>
  <si>
    <t>94-98</t>
  </si>
  <si>
    <t>Wegener, Michael</t>
  </si>
  <si>
    <t>Edinburgh</t>
  </si>
  <si>
    <t>Defence Science and Technology Group</t>
  </si>
  <si>
    <t>Wegener M.</t>
  </si>
  <si>
    <t>FRS-68010 - A new ground station concept for the acquisition and analysis of NOAA HRPT data from a spatially limited area of interest</t>
  </si>
  <si>
    <t>10.1109/36.20279</t>
  </si>
  <si>
    <t>2-s2.0-0024480170</t>
  </si>
  <si>
    <t>['true time', 'superresolution estimation', 'spatial sector', 'processing time', 'moderate cost', 'moderate bandwidths', 'large aperture', 'interferometer elements', 'frequent calibration', 'fast response', 'dof required', 'difficult task', 'delay steering', 'computer simulations', 'also applied']</t>
  </si>
  <si>
    <t>Spatial linear prediction filter antenna systems of large aperture width (in wavelengths) are described for the superresolution estimation of multiple emitter locations over moderate bandwidths. To accomplish this difficult task with reasonably few degrees of freedom (DOF) from the large aperture, the system employs interferometer/sparse array techniques in conjunction with a shaped reference beam which may be steered to the spatial sector of interest. Computer simulations on several multiple source examples have demonstrated that the concept is feasible, provided that true time-delay steering is employed on the shaped reference beam. The optimal estimation system configuration results when time-delay steering is also applied to the interferometer elements because this ‚Äúfocuses‚Äù the sample covariance matrix and minimizes the DOF required. Even transversal filters may be dispensed with under ‚Äúfocused‚Äù conditions if the bandwidth is moderate. System performance goals included high resolution with few DOF, fast response/processing time, moderate cost, and ease of frequent calibration. ¬© 1989 IEEE</t>
  </si>
  <si>
    <t>16-29</t>
  </si>
  <si>
    <t>Gabriel, William F.</t>
  </si>
  <si>
    <t>Crofton</t>
  </si>
  <si>
    <t>SFA, Inc</t>
  </si>
  <si>
    <t>Gabriel W.F.</t>
  </si>
  <si>
    <t>Large-Aperture Sparse Array Antenna Systems of Moderate Bandwidth for Multiple Emitter Location</t>
  </si>
  <si>
    <t>10.1109/8.192159</t>
  </si>
  <si>
    <t>2-s2.0-0024480320</t>
  </si>
  <si>
    <t>['voice communications', 'various users', 'stage coding', 'several mbits', 'salient features', 'provide low', 'one user', 'multipath fading', 'ideally suited', 'error performance', 'error communications', 'desired rates', 'data communications', 'correcting coding', 'combat interference', 'coding may', 'coding gives', 'centralized architecture', 'cellular architecture', 'antenna diversity', 'aggregate rates', 'adaptive equalization']</t>
  </si>
  <si>
    <t>We describe and analyze a flexible, robust, multichannel TDMA radio communications system that is ideally suited for portable as well as mobile indoor use. It employs noncoherent signaling and incorporates slow cyclical frequency hopping and burst-error-correcting coding to provide low-error communications at aggregate rates of several Mbits/s without the need for antenna diversity or adaptive equalization. The system can be implemented in a small building using a centralized architecture or in a large building using a distributed antenna system. In addition, a cellular architecture can be used to extend the capacity. The TDMA protocol allows the various users the flexibility of choosing their own desired rates of data communications. Moreover, the capability of using different levels of coding gives the users the option of selecting their own error performance. Thus, a simple single stage of coding may be chosen for voice communications by one user, while another user could employ two-stage coding to permit reliable data communications by overcoming both multipath fading and interference. The ability to combat interference is one of the salient features of this system that is not present in many other systems. ¬© 1989 IEEE</t>
  </si>
  <si>
    <t>59-70</t>
  </si>
  <si>
    <t>60021378;60021378</t>
  </si>
  <si>
    <t>7202719232;35494080500</t>
  </si>
  <si>
    <t>Saleh, Adel A.M.;Cimini, Leonard J.</t>
  </si>
  <si>
    <t>Murray</t>
  </si>
  <si>
    <t>Nokia Bell Labs</t>
  </si>
  <si>
    <t>Saleh A.</t>
  </si>
  <si>
    <t>Indoor Radio Communications Using Time-Division Multiple Access with Cyclical Slow Frequency Hopping and Coding</t>
  </si>
  <si>
    <t>10.1109/49.16844</t>
  </si>
  <si>
    <t>2-s2.0-0024480329</t>
  </si>
  <si>
    <t>['theoretical results', 'resonant length', 'rectangular waveguide', 'previous studies', 'narrow wall', 'inclined slot', 'evanescent modes', 'calculated results', 'admittance properties']</t>
  </si>
  <si>
    <t>The admittance properties and the resonant length of an inclined slot in the narrow wall of a rectangular waveguide are investigated. The internal power storage in evanescent modes in the waveguide, neglected in previous studies, is included. Theoretical results for the variations of conductance and resonant length with the angle of inclination of slots are presented. Through comparisons of the calculated results with previously available experimental data, the importance of the inclusion of the waveguide internal power storage is emphasized. ¬© 1989 IEEE</t>
  </si>
  <si>
    <t>45-49</t>
  </si>
  <si>
    <t>60118890;60118890</t>
  </si>
  <si>
    <t>7202048581;7410258526</t>
  </si>
  <si>
    <t>Hsu, Powen;Chen, Shin H.</t>
  </si>
  <si>
    <t>College of Engineering, National Taiwan University</t>
  </si>
  <si>
    <t>Hsu P.</t>
  </si>
  <si>
    <t>Admittance and Resonant Length of Inclined Slots in the Narrow Wall of a Rectangular Waveguide</t>
  </si>
  <si>
    <t>10.1109/8.192162</t>
  </si>
  <si>
    <t>2-s2.0-0024480427</t>
  </si>
  <si>
    <t>['three variations', 'substrate properties', 'resonant frequencies', 'patches fed', 'methods applicability', 'greatly effect', 'final result', 'experimentally verified', 'cavity model', 'also shown', 'also investigated']</t>
  </si>
  <si>
    <t>Three variations of the cavity model to determine the resonant frequencies of a rectangular microstrip antenna have been compared. The variations were experimentally verified by studying a set of patches fed to excite different modes. The methods applicability to electrically thick rectangular microstrip antennas was also investigated. It is also shown that the uncertainties of the patches‚Äô dimensions and substrate properties can greatly effect the final result. ¬© 1989 IEEE</t>
  </si>
  <si>
    <t>114-118</t>
  </si>
  <si>
    <t>A Comparison of Models to Determine the Resonant Frequencies of a Rectangular Microstrip Antenna</t>
  </si>
  <si>
    <t>10.1109/8.192173</t>
  </si>
  <si>
    <t>2-s2.0-0024480505</t>
  </si>
  <si>
    <t>['spectrum spread', 'scattered waves', 'scattered returns', 'scattered field', 'resistive loading', 'parameter called', 'modulation index', 'impedance loading', 'francis group']</t>
  </si>
  <si>
    <t>Impedance loading</t>
  </si>
  <si>
    <t>Some novel numerical results of a lumped loaded straight wire are demonstrated and discussed. These include the scattering properties changed by impedance loading; the spectrum spread by nonlinear impedance loading; the effectiveness of providing "false‚Äù Doppler frequency and spreading the spectrum of the scattered returns by time varying loading. In this study, a parameter called the modulation index, is defined to measure the effectiveness of the loading on the above phenomena. It is found that reactive loading affects the scattered field more drastically than resistive loading does. Therefore, reactive type loading is more effective than resistive type loading for providing false Doppler frequency and spreading the spectrum of the scattered waves. ¬© 1989 Taylor &amp; Francis Group, LLC.</t>
  </si>
  <si>
    <t>59-67</t>
  </si>
  <si>
    <t>Journal of the Chinese Institute of Engineers, Transactions of the Chinese Institute of Engineers,Series A/Chung-kuo Kung Ch'eng Hsuch K'an</t>
  </si>
  <si>
    <t>60005429;60102562;60009037</t>
  </si>
  <si>
    <t>35722152600;7005196541;36700390300</t>
  </si>
  <si>
    <t>Li, Hsueh Jyh;Farhat, Nabil H.;Shen, Yuhsyen</t>
  </si>
  <si>
    <t>United States;United States;Taiwan</t>
  </si>
  <si>
    <t>Philadelphia;Pasadena;Taipei</t>
  </si>
  <si>
    <t>School of Engineering and Applied Science;Jet Propulsion Laboratory;National Taiwan University</t>
  </si>
  <si>
    <t>60102562;60009037;60005429</t>
  </si>
  <si>
    <t>Li H.J.</t>
  </si>
  <si>
    <t>Novel numerical results on a loaded straight wire</t>
  </si>
  <si>
    <t>10.1080/02533839.1989.9677131</t>
  </si>
  <si>
    <t>2-s2.0-0024480659</t>
  </si>
  <si>
    <t>['system performance', 'subscriber locations', 'structures near', 'radio within', 'node site', 'little effect', 'lar ).', 'interference effects', 'given range', 'coverage probability', 'computer simulation', 'building reflections', '6 sectors']</t>
  </si>
  <si>
    <t>A computer simulation is described for studying the interference effects of building reflections on the system performance of local access radio (LAR). The simulation is based upon geometric optics. Coverage probability, defined as the fraction of subscriber locations that can be served by radio within a given range, is calculated. It is shown that only half of the potential subscriber sites within the range of the node can be served by the node site. Of those, a majority are not limited by self interference caused by reflections. Most of the strong interferences come from structures near the subscriber. Increasing the node mast height has little effect on the coverage. Changing node antennas from three 120¬∞ sectors to 6 sectors each covering 60¬∞ does not effect the coverage probability. Coverage can be increased by increasing the subscriber mast height. Up to half of the subscribers not served by a node site may be served by an optimally placed node site using different channel frequencies. ¬© 1989 IEEE</t>
  </si>
  <si>
    <t>70-74</t>
  </si>
  <si>
    <t>IEEE Transactions on Communications</t>
  </si>
  <si>
    <t>Ranade, Ashok</t>
  </si>
  <si>
    <t>Piscataway</t>
  </si>
  <si>
    <t>Telcordia Technologies, Inc.</t>
  </si>
  <si>
    <t>Ranade A.</t>
  </si>
  <si>
    <t>Local Access Radio Interference Due To Building Reflections</t>
  </si>
  <si>
    <t>10.1109/26.21656</t>
  </si>
  <si>
    <t>2-s2.0-0024480758</t>
  </si>
  <si>
    <t>['¬© 1989', 'transmission loss', 'required tolerances', 'reflector shows', 'orbit testing', 'ohmic resistance', 'mesh samples', 'main charactertics', 'lie within', 'esa contract', 'electrical measurements', 'double folded', 'certain configuration', 'carbon fibre', 'beam coverage', 'aperture diameters', 'aperture diameter', 'adjustable stand']</t>
  </si>
  <si>
    <t>Mobile services via satellite in the 800-900 MHz frequency range have recently been studied by SPAR Aerospace Ltd in the M-SAT phase B using various unfurlable offset reflector concepts between 9 and 5 m aperture diameters for 6-, 4- and 2-beam coverage. For a 2-beam coverage of Canada and U.S.A. two offset antennas each of 5 m aperture diameter are required. The MBB offset unfurlable mesh antenna (UMA) developed since 1983 under an ESA contract is one of the attractive candidates:. The design concept chosen uses foldable radial ribs of carbon fibre which deploy a gold plated molybdenum mesh on adjustable stand-offs. This concept is applicable for offset aperture diameters up to 12 m since the carbon fibre ribs are double folded and provide for a high package density when stowed at the spacecraft during launch. The electrical analysis performed by TICRA/Copenhagen was assisted by electrical measurements on mesh samples, verifying that main charactertics as ohmic resistance, transmission loss and passive intermodulation products (PIMP) lie within the required tolerances if the mesh is pretensioned to a certain configuration. For on-orbit testing and retrieval by the Shuttle the reflector shows a unique design feature of retractability by the reversable deployment sequence. ¬© 1989.</t>
  </si>
  <si>
    <t>47-56</t>
  </si>
  <si>
    <t>105374737;105374737;60027972;60031159</t>
  </si>
  <si>
    <t>6602918526;6507908440;6701737754;7201566391</t>
  </si>
  <si>
    <t>Kellermeier, H.;Vorbrugg, H.;Pontoppidan, K.;Eaton, D. C.G.</t>
  </si>
  <si>
    <t>Netherlands;Denmark;Germany</t>
  </si>
  <si>
    <t>Noordwijk aan Zee;Copenhagen K;Munich</t>
  </si>
  <si>
    <t>ESTEC - European Space Research and Technology Centre;TICRA;Space Systems Group Ottobrunn</t>
  </si>
  <si>
    <t>60031159;60027972;105374737</t>
  </si>
  <si>
    <t>Kellermeier H.</t>
  </si>
  <si>
    <t>The ESA/MBB unfurlable mesh antenna development for mobile services</t>
  </si>
  <si>
    <t>10.1016/0094-5765(89)90007-6</t>
  </si>
  <si>
    <t>2-s2.0-0024480809</t>
  </si>
  <si>
    <t>['unique series', 'two sites', 'two locations', 'surface targets', 'specific frequency', 'section distribution', 'radar measurements', 'pacific coast', 'opportunity made', 'model combines', 'july 1984', 'highly probable', 'ghz radar', 'frequency distribution', 'effectively exploit']</t>
  </si>
  <si>
    <t>A unique series of radar measurements demonstrates that a 16.5-GHz radar, located at typical shipboard antenna heights, can effectively exploit the existence of the oceanic evaporation duct to achieve surface ship detection ranges of more than twice the standard horizon range. Observations of surface targets of opportunity made at two sites on the U.S. Pacific coast from July 1984 through January 1986 agree with predictions from a simple propagation model. This model combines a single-mode waveguide approximation with a model of the surface target‚Äôs radar cross-section distribution to determine the maximum radar detection range for various evaporation duct heights. A frequency distribution of predicted detection range is given, based on the evaporation duct climatology for two locations. Although the radar measurements and the predictions are for a specific frequency, it is highly probable that the model can be extended to predict the performance of surface-search radars operating at other frequencies and in other areas of the ocean. ¬© 1989 IEEE</t>
  </si>
  <si>
    <t>100-106</t>
  </si>
  <si>
    <t>Anderson, Kenneth D.</t>
  </si>
  <si>
    <t>San Diego</t>
  </si>
  <si>
    <t>Space and Naval Warfare Systems Center San Diego</t>
  </si>
  <si>
    <t>Anderson K.</t>
  </si>
  <si>
    <t>Radar Measurements at 16.5 GHz in the Oceanic Evaporation Duct</t>
  </si>
  <si>
    <t>10.1109/8.192171</t>
  </si>
  <si>
    <t>2-s2.0-0024480964</t>
  </si>
  <si>
    <t>['processing data', 'es computer', 'elektronika 60', '20 microcomputers']</t>
  </si>
  <si>
    <t>A method is proposed for processing data in a nonuniform measurement computational system based on the Elektronika 60 and Elektronika NTs 80-20 microcomputers with various peripheral devices and an ES computer when checking reflector antennas using a 'geometric' method.</t>
  </si>
  <si>
    <t>113-115</t>
  </si>
  <si>
    <t>Telecommunications and Radio Engineering (English translation of Elektrosvyaz and Radiotekhnika)</t>
  </si>
  <si>
    <t>6508354957;7102151041;56899381100</t>
  </si>
  <si>
    <t>Azyukin, A. V.;Shapovalov, V. I.;Shishlov, A. V.</t>
  </si>
  <si>
    <t>Azyukin A.</t>
  </si>
  <si>
    <t>Application of computer technology in checking reflector antennas</t>
  </si>
  <si>
    <t>2-s2.0-0024481577</t>
  </si>
  <si>
    <t>['wire radiators', 'radiators may', 'natural delay', 'arbitrary geometry']</t>
  </si>
  <si>
    <t>A procedure is developed for analyzing phased antenna arrays (PAA) consisting of thin-wire radiators of arbitrary geometry. The radiators may be constructed from wire having a natural delay.</t>
  </si>
  <si>
    <t>108-109</t>
  </si>
  <si>
    <t>6602789142;14023901900;6504683578</t>
  </si>
  <si>
    <t>Volynets, N. A.;Demidchik, V. I.;Shirko, D. S.</t>
  </si>
  <si>
    <t>Volynets N.</t>
  </si>
  <si>
    <t>Numerical investigation of the electrodynamic characteristics of antenna arrays consisting of thin-wire radiators of arbitrary geometry</t>
  </si>
  <si>
    <t>2-s2.0-0024481763</t>
  </si>
  <si>
    <t>['tuned amplifier', 'band antenna']</t>
  </si>
  <si>
    <t>A receiving logperiodic decameter-band antenna, consisting of vertical unbalanced dipoles, each of which is connected to a common distribution line through a tuned amplifier is considered.</t>
  </si>
  <si>
    <t>87-90</t>
  </si>
  <si>
    <t>;</t>
  </si>
  <si>
    <t>7003580445;7006127405</t>
  </si>
  <si>
    <t>Yatskevich, V. A.;Kudryavtsev, N. A.</t>
  </si>
  <si>
    <t>Yatskevich V.</t>
  </si>
  <si>
    <t>An active logperiodic antenna</t>
  </si>
  <si>
    <t>2-s2.0-0024482396</t>
  </si>
  <si>
    <t>['reconstructed images', 'receiver aperture', 'holographic system', 'circular ring', 'basic parameters']</t>
  </si>
  <si>
    <t>The possibility of improving the quality of reconstructed images is considered for a holographic system with a receiver aperture in the form of a circular ring by moving the irradiating antenna around the ring. The basic parameters of the holographic system are determined and a comparison is made with a holographic system having a full circular aperture.</t>
  </si>
  <si>
    <t>139-141</t>
  </si>
  <si>
    <t>Soviet journal of communications technology &amp; electronics</t>
  </si>
  <si>
    <t>6603660520;6603850947;8316323000</t>
  </si>
  <si>
    <t>Belyachits, A. Ch;Kukharchik, P. D.;Semenchik, V. G.</t>
  </si>
  <si>
    <t>Belyachits A.</t>
  </si>
  <si>
    <t>On improving the image quality of a holographic system with a receiver aperture in the form of a circular ring</t>
  </si>
  <si>
    <t>2-s2.0-0024482891</t>
  </si>
  <si>
    <t>['loop antenna', 'input impedance']</t>
  </si>
  <si>
    <t>A formula is obtained for calculating the input impedance of a loop antenna, clad with a layer of toroidally shaped insulation and situated in a homogeneous isotropic semiconducting medium.</t>
  </si>
  <si>
    <t>118-119</t>
  </si>
  <si>
    <t>6603779009;6701398779;6602991222</t>
  </si>
  <si>
    <t>Akindinov, V. V.;Lishin, I. V.;Sorokina, R. K.</t>
  </si>
  <si>
    <t>Akindinov V.</t>
  </si>
  <si>
    <t>Input impedance of a loop antenna in a semiconducting isotropic medium</t>
  </si>
  <si>
    <t>2-s2.0-0024483037</t>
  </si>
  <si>
    <t>['using radio', 'synthesis experiment', 'sensitive aperture', 'glacier surface', 'echoing characteristics', 'echo data', 'determined whether', 'continuous system']</t>
  </si>
  <si>
    <t>A polarization-sensitive aperture-synthesis experiment has been carried out using radio-echo data from Storglaciaren, Sweden. Echoes were recorded in each of three antenna configurations over an array of sites on the glacier surface. Within a 100 m cube, six major targets were identified, each with its own echoing characteristics. Echo strengths indicate that the targets are probably cavities containing water. It cannot be determined whether they are isolated or parts of a continuous system. -Authors</t>
  </si>
  <si>
    <t>43-47</t>
  </si>
  <si>
    <t>Journal of Glaciology</t>
  </si>
  <si>
    <t>60020650;60020650</t>
  </si>
  <si>
    <t>6507306006;7004398101</t>
  </si>
  <si>
    <t>Walford, M. E.R.;Kennett, M. I.</t>
  </si>
  <si>
    <t>Bristol</t>
  </si>
  <si>
    <t>University of Bristol</t>
  </si>
  <si>
    <t>Walford M.E.R.</t>
  </si>
  <si>
    <t>A synthetic-aperture radio-echo experiment at Storglaciaren, Sweden</t>
  </si>
  <si>
    <t>10.3189/002214389793701563</t>
  </si>
  <si>
    <t>2-s2.0-0024484262</t>
  </si>
  <si>
    <t>RRTI 87-3</t>
  </si>
  <si>
    <t>['working principle', 'tissue replaced', 'standard non', 'special design', 'rights reserved', 'resistive heating', 'radiative antennas', 'possible use', 'possible advantages', 'optimal transfer', 'neck implantations', 'multiple wires', 'low cost', 'interstitial heating', 'infrared thermography', 'impedance matching', 'higher frequencies', 'heating system', 'heating along', 'frequency wires', 'free choice', 'field heating', 'even u', 'enabling application', 'connecting cables', 'chosen freely', 'capacitive coupling', 'appears possible', '27 mhz']</t>
  </si>
  <si>
    <t>Infrared thermography | Interstitial hyperthermia | Iridium brachytherapy | Phantom measurements</t>
  </si>
  <si>
    <t>An interstitial hyperthermia system using thin, flexible wires operating at a frequency of 27 MHz has been evaluated for possible use in combination with (iridium) brachy-therapy applications employing flexible nylon afterloading catheters. This method of interstitial heating is argued to be a variation of local-current-field heating, however with the direct galvanic contact between electrode and tissue replaced by a capacitive coupling between wire and tissue. Through a special design of the wire the length of the heated area along the catheter can be chosen freely. Standard non-prepared implantation catheters can be used, so that no change from the established implantation techniques is required. Possible advantages of these 27 MHz wires over coaxial dipole antennas at higher frequencies are simplicity and low cost of the heating system, free choice of effective heating length for each wire and uniformity of heating along this effective heating length up to the tip of the wire. Flexibility of the wires is maintained, enabling application in curved (even U-shaped) catheters, e.g. for head and neck implantations. Impedance matching of the wires to the generator, necessary for an optimal transfer of power, appears possible by means of a variable air coil. Care should be taken to avoid stray capacitances of the connecting cables with respect to ground or among the different cables used. Measurements in muscle-equivalent split phantoms with infrared thermography have been performed with both single and multiple wires. The resulting SAR distributions confirm the working principle of these low-frequency wires (resistive heating) and illustrate the difference with radiative antennas at higher frequencies. The system is being applied both in experimental animal studies and in a clinical pilot study. ¬© 1989 Informa UK Ltd All rights reserved: reproduction in whole or part not permitted.</t>
  </si>
  <si>
    <t>265-276</t>
  </si>
  <si>
    <t>60085423;60085423;60085423;60085423;60085423;60085423</t>
  </si>
  <si>
    <t>7202862242;6507165852;7004847720;7004078268;7004223200;7004141026</t>
  </si>
  <si>
    <t>Visser, A. G.;Deurloo, I. K.K.;Levendag, P. C.;Ruifrok, A. C.C.;Cornet, B.;Van Rhoon, G. C.</t>
  </si>
  <si>
    <t>Rotterdam</t>
  </si>
  <si>
    <t>Rotterdam Radiotherapy Institute</t>
  </si>
  <si>
    <t>Visser A.</t>
  </si>
  <si>
    <t>An interstitial hyperthermia system at 27 MHz</t>
  </si>
  <si>
    <t>10.3109/02656738909140452</t>
  </si>
  <si>
    <t>2-s2.0-0024490097</t>
  </si>
  <si>
    <t>['using scatchard', 'triantennary glycans', 'transferrin present', 'serum concentration', 'sepharose column', 'results suggest', 'relative proportions', 'receptor complex', 'ratio 1', 'pregnant women', 'plot analysis', 'patterns given', 'patterns exhibited', 'one type', 'one triantennary', 'normal donors', 'microheterogeneity based', 'methylation analysis', 'mannose residue', 'lactosamimic type', 'iii decreased', 'ii variants', 'ii increased', 'human serotransferrin', 'healthy donors', 'defined conditions', 'crossed immuno', 'affinity electrophoresis', 'affinity constant', 'affinity chromatography', '5 g']</t>
  </si>
  <si>
    <t>Human serotransferrin (Tf) presents a microheterogeneity based on the existence of biantennary and triantennary glycans of the N-acetyl-lactosamimic type. By affinity chromatography on a concanavalin A-Sepharose column in well-defined conditions, human serotransferrin isolated from healthy donors was resolved into three carbohydrate molecular variants: Tf-I (less than 1%), Tf-II (17¬±2%) and Tf-III (82¬±3%) containing two triantennary glycans, one triantennary and one biantennary glycans and two biantennary glycans respectively. In addition, two 'isomers' of the triantennary glycans containing the third antenna Œ≤-1,4-linked to the Œ±-1,3-mannose residue or Œ≤-1,6-linked to the Œ±-1,6-mannose residue were characterized by methylation analysis in the ratio 1:1 in both Tf-I and Tf-II variants. On concanavalin A crossed immuno-affinity electrophoresis, the patterns exhibited by each of the three purified variants or by a mixture of these variants were compared with the patterns given by transferrin present in sera from non-pregnant and pregnant women. The results suggest that the relative proportions of transferrin carbohydrate variants was unchanged when the concentration of transferrin was increased in serum from normal donors, whereas in the serum of pregnant women, especially in the last 3 months of pregnancy, when the serum concentration of transferrin reached 4.5-5 g/l, the relative proportions of the carbohydrate variants Tf-I and Tf-II increased from 1 to 6¬±1% and from 17¬±2 to 26¬±3% respectively while that of Tf-III decreased from 82¬±3 to 67¬±3%. The binding of the three transferrin carbohydrate variants to the receptor of the syncytiotrophoblast plasma membranes were determined by using Scatchard-plot analysis. The number of binding sites remained constant with an increase in the number of triantennary glycans whereas a decrease up to 6-fold in the affinity constant was observed. Detection of the transferrin-receptor complex by immunoblotting in the presence of non-dissociating detergents revealed the existence of only one type of receptor or of a receptor possessing similar properties involved in the binding of each of the three serotransferrin carbohydrate variants.</t>
  </si>
  <si>
    <t>231-238</t>
  </si>
  <si>
    <t>Biochemical Journal</t>
  </si>
  <si>
    <t>60104665;60104665;60104665;60104665;60104665</t>
  </si>
  <si>
    <t>7004781874;56901080200;6506129587;56377616100;7006843431</t>
  </si>
  <si>
    <t>Leger, D.;Campion, B.;Decottignies, J. P.;Montreuil, J.;Spik, G.</t>
  </si>
  <si>
    <t>Lille</t>
  </si>
  <si>
    <t>Universit√© de Lille</t>
  </si>
  <si>
    <t>Leger D.</t>
  </si>
  <si>
    <t>Physiological significance of the marked increased branching of the glycans of human serotransferrin during pregnancy</t>
  </si>
  <si>
    <t>10.1042/bj2570231</t>
  </si>
  <si>
    <t>2-s2.0-0024493303</t>
  </si>
  <si>
    <t>R01CA020424</t>
  </si>
  <si>
    <t>['œ ≤-', 'œ ±-', 'tri -,', 'tetraantennary structures', 'tetraantennary oligosaccharides', 'taking advantage', 'specific branch', 'preferred 2', 'griffonia simplicifolia', 'gel p', 'gel filtration', 'gal residues', 'gal derivatives', 'carbohydrate specificity', 'b4 isolectin', 'affinity chromatography', 'acetolysis followed', '7 times', '5 times']</t>
  </si>
  <si>
    <t>The ability of Ehrlich tumor cell Œ±(1,3)-galactosyltransferase to catalyze the incorporation of Œ±-D-Gal residues into a specific branch of bi-, tri-, and tetraantennary oligosaccharides has been investigated by acetolysis followed by gel filtration of the fragments on Bio-Gel P-4. Taking advantage of the carbohydrate specificity of the Griffonia simplicifolia I-B4 isolectin, the mono-[14C]Œ±-D-Gal derivatives were isolated by affinity chromatography. Analysis of the acetolysis fragments generated by cleavage of the multiantennary substrates indicates that the Ehrlich cell Œ±(1,3)-galactosyltransferase acts preferentially on the Œ±-D-Man(1,6) arm. This branch is preferred 2.5 times in bi-, 5.6-8.5 times in tri-, and 12.7 times in tetraantennary structures over the Œ±-D-Man(1,3) arm. Within the Œ±-D-Man(1,6) branch, in turn, there is a 1.3-1.9-fold consistently higher frequency of galactosylation of the Œ≤-D-GlcNAc(1,2) as compared to the Œ≤-D-GlcNAc(1,6) antenna.</t>
  </si>
  <si>
    <t>1375-1380</t>
  </si>
  <si>
    <t>Journal of Biological Chemistry</t>
  </si>
  <si>
    <t>60033182;60033182</t>
  </si>
  <si>
    <t>57197400881;7202744996</t>
  </si>
  <si>
    <t>Elices, M. J.;Goldstein, I. J.</t>
  </si>
  <si>
    <t>Ann Arbor</t>
  </si>
  <si>
    <t>University of Michigan Medical School</t>
  </si>
  <si>
    <t>Elices M.J.</t>
  </si>
  <si>
    <t>Biosynthesis of bi-, tri-, and tetraantennary oligosaccharides containing Œ±-D-galactosyl residues at their nonreducing termini. Branch specificity of the Ehrlich tumor cell Œ±(1,3)-galactosyltransferase</t>
  </si>
  <si>
    <t>2-s2.0-0024494510</t>
  </si>
  <si>
    <t>['¬© 1989', 'single product', 'rights reserved', 'radiolabeled epoxides', 'racemic disparlure', 'independent synthesis', 'improved preparation', 'homogeneous tritiation', 'highest conversion', 'female antennae', 'enzymes isolated', 'diol product', 'cleanly converted', 'chemical derivatizations', 'also described', '58 ci']</t>
  </si>
  <si>
    <t>Both of the enantiomers of disparlure, the gypsy moth sex attractant, have been prepared at high specific activity (58 Ci/mmol) by homogeneous tritiation of the optically active alkenyl oxiranes. An improved preparation of the racemic disparlure is also described. The radiolabeled epoxides are cleanly converted to a single product by enzymes isolated from adult gypsy moths (Lymantria dispar). Enzymatic activity obtained from male antennae showed the highest conversion; enzymes isolated from female antennae and from male and female legs showed lower activity. The identification of the metabolite as the threo-7, is established by independent synthesis and by chemical derivatizations to the diacetate, n-butylboronate, and bis(trimethylsilyl) ether. A symmetrical epoxide analogous to disparlure is converted to a diol product at a significantly lower rate. ¬© 1989, American Chemical Society. All rights reserved.</t>
  </si>
  <si>
    <t>636-642</t>
  </si>
  <si>
    <t>60026415;60026415;60026415;60026415</t>
  </si>
  <si>
    <t>36043755100;7401977603;7401774053;7202412220</t>
  </si>
  <si>
    <t>Prestwich, Glenn D.;Graham, Steven Mc G.;Kuo, Jing Wen;Vogt, Richard G.</t>
  </si>
  <si>
    <t>Stony Brook</t>
  </si>
  <si>
    <t>Stony Brook University</t>
  </si>
  <si>
    <t>Prestwich G.</t>
  </si>
  <si>
    <t>Tritium-Labeled Enantiomers of Disparlure. Synthesis and in Vitro Metabolism</t>
  </si>
  <si>
    <t>10.1021/ja00184a035</t>
  </si>
  <si>
    <t>2-s2.0-0024497378</t>
  </si>
  <si>
    <t>['unrelated problems', 'time respiration', 'thoracic procedures', 'system failures', 'surgical procedure', 'several cases', 'reimplanted later', 'postoperative care', 'permanently apneic', 'external components', 'equipment failures', 'electrode resulted', 'cervical approach', 'average lifetime', 'antenna connection', 'another case', 'achieved half', '8 patients', '6 cases', '48 months', '16 years', '15 patients', '108 months']</t>
  </si>
  <si>
    <t>After determining that 15 patients with high spinal cord injuries who were permanently apneic had viable phrenic nerves, electrophrenic respiration units were implanted. Thirteen of the patients (86%) achieved full-time respiration and two more achieved half-time respiration. Despite the loss of 8 patients to unrelated problems, 7 now use electrophrenic respiration continuously, one having done so for 16 years. The patient selection criteria, neurophysiological evaluation method, surgical procedure, postoperative care, and methods for diagnosis of system failures are presented. A comparison of the cervical and thoracic procedures is made. The cervical approach is preferred. Complications consisted primarily of equipment failures. For the external components there were several cases of antenna connection and battery connection failures. The implanted receivers failed in 6 cases with an average lifetime of 48 months, ranging from 24 to 108 months. In one case fibrosis around the electrode resulted in failure to stimulate the phrenic nerve effectively. In another case, infection required removal of the system which was reimplanted later and has continued to provide successful ventilation.</t>
  </si>
  <si>
    <t>529-535</t>
  </si>
  <si>
    <t>60002441;60002441;60002441;60002441;60002441</t>
  </si>
  <si>
    <t>7005813377;7101971787;57225660000;57216568417;7006118952</t>
  </si>
  <si>
    <t>Sharkey, P. C.;Halter, J. A.;Nakajima, K.;Cooper, P. R.;Piepgras, D. G.</t>
  </si>
  <si>
    <t>Houston</t>
  </si>
  <si>
    <t>Baylor College of Medicine</t>
  </si>
  <si>
    <t>Sharkey P.C.</t>
  </si>
  <si>
    <t>Electrophrenic respiration in patients with high quadriplegia</t>
  </si>
  <si>
    <t>10.1227/00006123-198904000-00007</t>
  </si>
  <si>
    <t>2-s2.0-0024500373</t>
  </si>
  <si>
    <t>['two treatments', 'modest delay', 'measured 2', 'interstitial microwave', 'interstitial hyperthermia', 'following treatments', 'combination produced', 'brachytherapy alone', '915 mhz', '45 min', '192 seeds']</t>
  </si>
  <si>
    <t>The rat mammary AC33 solid tumor model was used to investigate the efficacy of interstitial hyperthermia and/or brachytherapy. Subcutaneous flank tumors were heated with an interstitial microwave (915 MHz) antenna to a temperature of 43 ¬± 0.5¬∞C for 45 min for two treatments, three days apart, and/or implanted with Ir-192 seeds for three days (-25 Gy tumor dose). Following treatments, tumors were measured 2 to 3 times per week. Hyperthermia alone produced a modest delay in tumor volume regrowth, while brachytherapy was substantially more effective. The combination produced a improvement in tumor regrowth delay compared to brachytherapy alone.</t>
  </si>
  <si>
    <t>45-48</t>
  </si>
  <si>
    <t>Anticancer Research</t>
  </si>
  <si>
    <t>60007828;60007828;60007828;60007828</t>
  </si>
  <si>
    <t>57215899646;7005395505;7103039236;6602263208</t>
  </si>
  <si>
    <t>Papadopoulos, D.;Kimler, B. F.;Estes, N. C.;Durham, F. J.</t>
  </si>
  <si>
    <t>Kansas City</t>
  </si>
  <si>
    <t>University of Kansas Medical Center</t>
  </si>
  <si>
    <t>Papadopoulos D.</t>
  </si>
  <si>
    <t>Growth delay effect of combined interstitial hyperthermia and brachytherapy in a rat solid tumor model</t>
  </si>
  <si>
    <t>2-s2.0-0024505033</t>
  </si>
  <si>
    <t>National Institute of Neurological Disorders and Stroke</t>
  </si>
  <si>
    <t>R01NS020040</t>
  </si>
  <si>
    <t>NINDS</t>
  </si>
  <si>
    <t>['virtually complete', 'synaptic neuropil', 'synapses begin', 'small number', 'similar segregation', 'radial segregation', 'outer ring', 'normal glomeruli', 'normal development', 'lobes developing', 'form throughout', 'elements intrinsic', 'coarse neuropil', 'characteristic knots', 'central core', 'become segregated', 'arrayed around', 'antennal lobe', 'antennal axons', 'almost 50', 'afferent axons']</t>
  </si>
  <si>
    <t>Insect/invertebrate nervous system | Neuronal development | Neuron‚Äêneuron interactions | Olfactory system | Synaptogenesis</t>
  </si>
  <si>
    <t>The present study compares the placement and frequency of occurrence of synapses in normally developing antennal lobes of the brain of the moth Manduca sexta and in lobes developing in the absence of afferent axons from the antenna. The antennal lobes develop during the metamorphosis from larva to moth, and require antennal afferent input to develop their characteristic knots of synaptic neuropil, the glomeruli, that are arrayed around a central core of coarse neuropil. Synapses begin to form throughout the neuropil of the antennal lobe before ingrowth of antennal axons into the lobe. During normal development, almost all synapses (those among intrinsic neurons as well as those made by antennal afferent axons) become segregated into glomeruli as the glomeruli are established. Thus, in normal mature lobes, the radial segregation between synaptic (glomerular) and nonsynaptic (central) regions is virtually complete. In lobes that have never been allowed to receive antennal axons, an outer ring of ‚Äúprotoglomerular‚Äù neuropil develops in place of the glomeruli. A similar segregation of synaptic and nonsynaptic regions occurs, with two major differences: the frequency of synapses that develops in the outer ring of fine‚Äêtextured neuropil is almost 50% higher than in normal glomeruli, and the small number of synapses that occur in the coarse central neuropil now occur on aberrant fine processes in that neuropil. Apparently, in the absence of their normal massive input from the antenna, elements intrinsic to the antennal lobe are induced to form extra synapses with each other, and to send aberrant fine branches to synapse in a region of neuropil normally containing predominantly large‚Äêcaliber neurite trunks and few synapses. Copyright ¬© 1989 Alan R. Liss, Inc.</t>
  </si>
  <si>
    <t>83-95</t>
  </si>
  <si>
    <t>Synapse</t>
  </si>
  <si>
    <t>Tolbert, Leslie P.</t>
  </si>
  <si>
    <t>Tucson</t>
  </si>
  <si>
    <t>Arizona Research Laboratories</t>
  </si>
  <si>
    <t>Tolbert L.</t>
  </si>
  <si>
    <t>Afferent axons from the antenna influence the number and placement of intrinsic synapses in the antennal lobes of Manduca sexta</t>
  </si>
  <si>
    <t>10.1002/syn.890030112</t>
  </si>
  <si>
    <t>2-s2.0-0024510872</t>
  </si>
  <si>
    <t>['type oligosaccharides', 'trimannosyl core', 'termed p2a', 'sialic acid', 'several murine', 'reactive asn', 'polylactosamine sequences', 'plasma membrane', 'major l', 'lysosomal membranes', 'linked oligosaccharides', 'linked carbohydrates', 'lectin leucoagglutinin', 'large component', 'increased branching', 'glycosidase digestions', 'glycoproteins separated', 'gel electrophoresis', 'cd43 ),', 'binding glycoproteins', 'affinity binding', '585 ].', '110 kda', '1 ),']</t>
  </si>
  <si>
    <t>Increased branching at the trimannosyl core of 'complex-type' Asn-linked oligosaccharides has been observed in both human and murine tumour cells, and appears to be associated with enhanced metastatic potential in several murine tumour models [Dennis, Laferte, Waghorne, Breitman &amp; Kerbel (1987), Science 236, 582-585]. The lectin leucoagglutinin (L-PHA) requires the -GlcNAcŒ≤1-6ManŒ±1-6Man-linked lactosamine antenna in complex-type oligosaccharides for high-affinity binding and can be used to detect these structures in glycoproteins separated on SDS/polyacrylamide-gel electrophoresis. The major L-PHA-binding glycoproteins in the highly metastatic lymphoid tumour cell line called MDAY-D2 were purified and resolved into two major species, termed P2A (110 kDa) and P2B (130 kDa). P2A had L-PHA-reactive Asn-linked oligosaccharides with polylactosamine sequences as well as a large component of sialylated O-linked carbohydrates. The glycoprotein showed structural characteristics similar to those of leukosialin (i.e. CD43), a glycoprotein previously identified on the surface of leukocytes. Based on monosaccharide compositional analysis and glycosidase digestions, P2B was found to be 50-60% Asn-linked oligosaccharide containing polylactosamine sequences and sialic acid. The N-terminal peptide sequence of P2B was determined to be very similar to that of murine lysosomal membrane glycoprotein (LAMP-1), a ubiquitous glycoprotein found largely in the lysosomal membranes but also in the plasma membrane of several murine and human tumour cell lines.</t>
  </si>
  <si>
    <t>569-576</t>
  </si>
  <si>
    <t>60015186;60015186</t>
  </si>
  <si>
    <t>6602142116;7202979823</t>
  </si>
  <si>
    <t>Laferte, S.;Dennis, J. W.</t>
  </si>
  <si>
    <t>Saskatoon</t>
  </si>
  <si>
    <t>University of Saskatchewan</t>
  </si>
  <si>
    <t>Laferte S.</t>
  </si>
  <si>
    <t>Purification of two glycoproteins expressing Œ≤1-6 branched Asn-linked oligosaccharides from metastatic tumour cells</t>
  </si>
  <si>
    <t>10.1042/bj2590569</t>
  </si>
  <si>
    <t>2-s2.0-0024514877</t>
  </si>
  <si>
    <t>['wiley company', 'various conditions', 'inc .,', 'head models', 'antenna type']</t>
  </si>
  <si>
    <t>dosimetry | radiofrequency radiation | transceivers</t>
  </si>
  <si>
    <t>Specific absorption rate (SAR) was measured in models of the human head exposed to hand‚Äêheld portable radios (‚Äútransceivers‚Äù) transmitting at frequencies in the 800‚ÄêMHz band. An isotropic implantable electric‚Äêfield probe was used to measure internal fields induced in the head models, and SARs were determined by calculation. As well as determining representative values and distributions for SARs under various conditions, it was shown that antenna type and orientation with respect to the head are important factors affecting energy absorption. Copyright ¬© 1989 Wiley‚ÄêLiss, Inc., A Wiley Company</t>
  </si>
  <si>
    <t>173-186</t>
  </si>
  <si>
    <t>1521186X</t>
  </si>
  <si>
    <t>Bioelectromagnetics</t>
  </si>
  <si>
    <t>60010003;60101765</t>
  </si>
  <si>
    <t>7102377409;6701435966</t>
  </si>
  <si>
    <t>Cleveland, Robert F.;Athey, T. Whit</t>
  </si>
  <si>
    <t>Rockville;Washington, D.C.</t>
  </si>
  <si>
    <t>Food and Drug Administration, Center for Devices and Radiological Health;Federal Communications Commission</t>
  </si>
  <si>
    <t>60101765;60010003</t>
  </si>
  <si>
    <t>Cleveland R.</t>
  </si>
  <si>
    <t>Specific absorption rate (SAR) in models of the human head exposed to hand‚Äêheld UHF portable radios</t>
  </si>
  <si>
    <t>10.1002/bem.2250100206</t>
  </si>
  <si>
    <t>2-s2.0-0024515293</t>
  </si>
  <si>
    <t>['tympanic membrane', 'transcutaneous eight', 'surgical technique', 'surgical procedure', 'speech processor', 'simplified incisions', 'patient surgery', 'patient comfort', 'improve performance', 'current features']</t>
  </si>
  <si>
    <t>The transcutaneous eight-channel extracochlear implant has undergone continuous revision to simplify the surgical technique, to minimize patient morbidity, and to improve performance. The extracochlear electrode array has been miniaturized so that it can be inserted through the facial recess without disturbing the external auditory canal, tympanic membrane, or malleus. The use of the remote antenna placed around the external auditory canal has greatly increased battery life and patient comfort. With its simplified incisions, the surgical procedure can be performed as out-patient surgery. Preoperative cochlear nerve testing and use of evoked response cochlear nerve testing allow preadjustment of the speech processor. Current features and performance of the implant are discussed.</t>
  </si>
  <si>
    <t>84-90</t>
  </si>
  <si>
    <t>American Journal of Otology</t>
  </si>
  <si>
    <t>100591628;100591628;100591628;100591628</t>
  </si>
  <si>
    <t>7101907657;56360371000;57199386038;6602566993</t>
  </si>
  <si>
    <t>Pulec, J. L.;Smith, J. C.;Lewis, M. L.;Hortmann, G.</t>
  </si>
  <si>
    <t>Ear International</t>
  </si>
  <si>
    <t>Pulec J.</t>
  </si>
  <si>
    <t>Multichannel extracochlear implant</t>
  </si>
  <si>
    <t>2-s2.0-0024523678</t>
  </si>
  <si>
    <t>['yields radiances', 'scattering effects', 'microwave radiation', 'cloud tops', 'although drop', 'agree well', '37 ghz']</t>
  </si>
  <si>
    <t>A computationally efficient numerical model has been developed to study the transfer of microwave radiation through a horizontally finite cloud of hydrometeors. Although drop-scattering effects are only approximated in this model, it yields radiances which agree well with more rigorous model computations. Model parameters characteristic of tropical cyclone rain cells over the ocean are specified, and the resulting microwave intensities emerging from the cloud tops at the Scanning Multichannel Microwave Radiometer (SMMT) frequencies (6.6-37 GHz) are calculated. SMMR antenna spatial response functions are estimated. -from Author</t>
  </si>
  <si>
    <t>2267-2280</t>
  </si>
  <si>
    <t>D2</t>
  </si>
  <si>
    <t>Journal of Geophysical Research</t>
  </si>
  <si>
    <t>Olson, W. S.</t>
  </si>
  <si>
    <t>Madison</t>
  </si>
  <si>
    <t>University of Wisconsin-Madison</t>
  </si>
  <si>
    <t>Olson W.</t>
  </si>
  <si>
    <t>Physical retrieval of rainfall rates over the ocean by multispectral microwave radiometry: application to tropical cyclones</t>
  </si>
  <si>
    <t>10.1029/JD094iD02p02267</t>
  </si>
  <si>
    <t>2-s2.0-0024525407</t>
  </si>
  <si>
    <t>CA 23 108</t>
  </si>
  <si>
    <t>['thermal conduction', 'temperature measurements', 'simple model', 'rights reserved', 'model consisting', 'microwave hyperthermia', 'made using', 'investigations demonstrate', 'heat loss', 'good representation', 'fold increase', 'exponential term', 'cooling rates', 'cooling data', 'constant value', 'blood flow', 'another series']</t>
  </si>
  <si>
    <t>Cerebral blood flow | Cooling rate | Heat transfer | Hyperthermia | Thermal conduction | Thermal washout</t>
  </si>
  <si>
    <t>The effects of blood flow and thermal conduction during microwave hyperthermia were investigated in normal canine brain. Heating was accomplished with an external microstrip spiral antenna and temperature measurements were made using a multichannel fluoroptic thermometry system. In order to determine cooling rates, temperature measurements made during cooling were fitted with a model consisting of a constant value and an exponential term. Data from experiments in both perfused and non-perfused brains could be fitted with this simple model. The resulting cooling rates indicated that heat loss by conduction is comparable to that by blood flow. In another series of experiments, temperature measurements were made during several 1 min cooling intervals in which the power was shut off intermittently during a 35 min heating episode. Results were consistent with a 2-3-fold increase in blood flow rate which occurred gradually throughout the course of heating. Parameters that affect the determination of cooling rates are discussed in terms of the bioheat transfer equation. These investigations demonstrate that a simple heat sink model provides a good representation of the cooling data for the thermal distributions obtained. ¬© 1989 Informa UK Ltd All rights reserved: reproduction in whole or part not permitted.</t>
  </si>
  <si>
    <t>225-247</t>
  </si>
  <si>
    <t>60001844;60113147;60015615;60015615</t>
  </si>
  <si>
    <t>7102777830;35475361200;7403419639;6603945998</t>
  </si>
  <si>
    <t>Lyons, Bernard E.;Samulski, Thaddeus V.;Cox, Richard S.;Fessenden, Peter</t>
  </si>
  <si>
    <t>Durham;Stanford;Lebanon</t>
  </si>
  <si>
    <t>Duke University Medical Center;Stanford University Medical Center;Dartmouth-Hitchcock Medical Center</t>
  </si>
  <si>
    <t>60113147;60015615;60001844</t>
  </si>
  <si>
    <t>Lyons B.</t>
  </si>
  <si>
    <t>Heat loss and blood flow during hyperthermia in normal canine brain i: Empirical study and analysis</t>
  </si>
  <si>
    <t>10.3109/02656738909140450</t>
  </si>
  <si>
    <t>2-s2.0-0024532323</t>
  </si>
  <si>
    <t>['¬© 1989', 'st +),', 'short antenna', 'rose eye', 'right arm', 'recessive x', 'linkage crosses', 'laboratory strain', 'iinked trait', 'homozygous condition', 'ems ).', 'chromosome 3', 'autosome transiocations', 'anopheles quadrimaculatus']</t>
  </si>
  <si>
    <t>Three new mutants were induced in a laboratory strain of Anopheles quadrimaculatus (Say), species A, by feeding adult males ethyl methanesulfonate (EMS). Rose eye (ro) is a recessive X-iinked trait. Short antenna (Sa) and melanotic (Mel) are dominant autosomal traits that are lethal in the homozygous condition. Linkage crosses and X-autosome transiocations were used to assign short antenna to the right arm of chromosome 3 about 45 map units proximal to stripe (st+), and melanotic was located on chromosome 2 near the centromere. ¬© 1989 The American Genetic Association.</t>
  </si>
  <si>
    <t>58-61</t>
  </si>
  <si>
    <t>Journal of Heredity</t>
  </si>
  <si>
    <t>60103678;60103678</t>
  </si>
  <si>
    <t>57217310482;7003850059</t>
  </si>
  <si>
    <t>Mitchell, S. E.;Seawright, J. A.</t>
  </si>
  <si>
    <t>Gainesville</t>
  </si>
  <si>
    <t>USDA Agricultural Research Service, Gainesville</t>
  </si>
  <si>
    <t>Mitchell S.E.</t>
  </si>
  <si>
    <t>EMS-induced mutations in Anopheles quadrimaculatus (say), species a</t>
  </si>
  <si>
    <t>10.1093/oxfordjournals.jhered.a110790</t>
  </si>
  <si>
    <t>2-s2.0-0024541597</t>
  </si>
  <si>
    <t>['surgical excision', 'olfactory input', 'olfactory afferents', 'normal antennules', 'normal antennule', 'lateral branches', 'heteromorphic antennules', 'heteromorphic antennule', 'external flagella', 'data suggest', 'compound eyes', 'central terminals', 'autoradiographic analysis']</t>
  </si>
  <si>
    <t>aesthetasc | crustacean | glomerulus</t>
  </si>
  <si>
    <t>Surgical excision of one of the compound eyes from juvenile crayfish leads to the regeneration of a heteromorphic antennule in 30% of the cases. Most of the heteromorphic antennules generated this way are bifurcate appendages possessing morphologically distinct medial and lateral branches. These structures are identical to the internal and external flagella of the normal antennules, and the homolog of the external flagellum bears aesthetascs supplied by olfactory sensory neurons. Autoradiographic analysis of the brain following exposure of heteromorphic antennules to tritiated leucine indicates that the supernumerary sensory axons transport the labeled amino acid into their central terminals at appropriate target locations within the ipsilateral olfactory lobe. The data suggest that olfactory input from heteromorphic antennules is incorporated into the organized central projection of olfactory afferents from the normal antennule. Copyright ¬© 1989 Alan R. Liss, Inc.</t>
  </si>
  <si>
    <t>645-662</t>
  </si>
  <si>
    <t>Journal of Comparative Neurology</t>
  </si>
  <si>
    <t>60021918;60021918;60021918</t>
  </si>
  <si>
    <t>7003515482;36977312400;36795672900</t>
  </si>
  <si>
    <t>Mellon, De Forest;Tuten, H. Robert;Redick, Jan</t>
  </si>
  <si>
    <t>Charlottesville</t>
  </si>
  <si>
    <t>University of Virginia</t>
  </si>
  <si>
    <t>Mellon D.</t>
  </si>
  <si>
    <t>Distribution of radioactive leucine following uptake by olfactory sensory neurons in normal and heteromorphic crayfish antennules</t>
  </si>
  <si>
    <t>10.1002/cne.902800414</t>
  </si>
  <si>
    <t>2-s2.0-0024549384</t>
  </si>
  <si>
    <t>1341-1353</t>
  </si>
  <si>
    <t>Journal of Neuroscience</t>
  </si>
  <si>
    <t>60017994;60017994;60017994</t>
  </si>
  <si>
    <t>6701321945;56186941200;35519038900</t>
  </si>
  <si>
    <t>Rybczynski, R.;Reagan, J.;Lerner, M. R.</t>
  </si>
  <si>
    <t>New Haven</t>
  </si>
  <si>
    <t>Yale School of Medicine</t>
  </si>
  <si>
    <t>Rybczynski R.</t>
  </si>
  <si>
    <t>A pheromone-degrading aldehyde oxidase in the antennae of the moth Manduca sexta</t>
  </si>
  <si>
    <t>10.1523/jneurosci.09-04-01341.1989</t>
  </si>
  <si>
    <t>2-s2.0-0024553725</t>
  </si>
  <si>
    <t>['urethral interface', 'transurethral approach', 'technique appears', 'rights reserved', 'reproducible localization', 'prostatic urethra', 'outer surface', 'elevating temperature', 'dimensional sar', 'control temperature', 'balance power']</t>
  </si>
  <si>
    <t>BPH | Hyperthermia | Microwave | Prostate</t>
  </si>
  <si>
    <t>An applicator for heating the prostate gland using a transurethral approach is described. This technique uses three microwave antennas and a thermometry sensor attached to the outer surface of a balloon (Foley) type urological catheter. Each microwave antenna also includes a built-in thermistor to control temperature and balance power. The balloon catheter assures rapid and reproducible localization of the antennas in the prostatic urethra. The two-dimensional SAR and steady-state temperature distributions surrounding the applicator in tissue equivalent phantom are reported. Longitudinal temperature distributions measured in situ at the applicator-urethral interface and the longitudinal and radial temperature distributions measured in normal canine prostate are presented and discussed. The technique appears to be capable of elevating temperature to greater than 42¬∞C in a cylindrically symmetrical volume up to 5 cm length and 0.5 cm radial penetration surrounding the applicator. ¬© 1989 Informa UK Ltd All rights reserved: reproduction in whole or part not permitted.</t>
  </si>
  <si>
    <t>283-296</t>
  </si>
  <si>
    <t>60015183;60015183;60015183;60015183;60015183;60015183;60015183</t>
  </si>
  <si>
    <t>7006549540;7003599942;24754876900;7007051442;6508149759;7201529114;7006372174</t>
  </si>
  <si>
    <t>Astrahan, M. A.;Sapozink, M. D.;Cohen, D.;Luxton, G.;Kampp, T. D.;Boyd, S.;Petrovich, Z.</t>
  </si>
  <si>
    <t>Keck School of Medicine of USC</t>
  </si>
  <si>
    <t>Astrahan M.</t>
  </si>
  <si>
    <t>Microwave applicator for transurethral hyperthermia of benign prostatic hyperplasia</t>
  </si>
  <si>
    <t>10.3109/02656738909140455</t>
  </si>
  <si>
    <t>2-s2.0-0024554682</t>
  </si>
  <si>
    <t>CA-O1169</t>
  </si>
  <si>
    <t>['œîtmax ).', 'thermometry probes', 'teflon catheters', 'state plateau', 'square arrays', 'square array', 'rights reserved', 'results showed', 'nine successive', 'metal trocars', 'measured points', 'inserted percutaneously', 'implant site', 'heat trials', 'four positions', 'duplicated reliably', 'depth along', 'consistently within', 'array volume', 'array boundaries', 'analysed quantitatively', '7 0']</t>
  </si>
  <si>
    <t>Comparative thermal dosimetry | Interstitial hyperthermia | Localized current field (LCF) heating | Microwave antennas | Radiofrequency (RF) electrodes</t>
  </si>
  <si>
    <t>Steady-state temperature distributions induced by commercial radiofrequency localized current field (RF-LCF) and microwave (MW) interstitial heating systems were compared in dog thigh muscle in vivo using repeated 15-min heating experiments in the same implant site. Control experiments consisting of up to nine successive, identical heat trials with either modality verified that induced temperature distributions could be duplicated reliably. For all comparative dosimetry experiments a square array of parallel heat sources and thermometry probes was inserted percutaneously through a 5 mm grid Plexiglas template to a depth of 7 0-8 0 cm. Metal trocar electrodes were left at the corners of square arrays for two or three successive RF-LCF heat trials. After the metal trocars were removed, two or three more heat trials were performed using dipole microwave antennas in Teflon catheters at the same four positions. The three-dimensional temperature distributions within the array boundaries were characterized by mapping up to 11 fibre optic temperature probes in 1 cm increments during the steady-state plateau of each trial. The distributions were analysed quantitatively in terms of the percentage of measured points which achieved at least 50 per cent of the maximum array temperature increase above baseline (ŒîTmax). Results showed that the RF-LCF technique heated more uniformly with depth along the bare metal electrodes and more consistently within the array boundaries than the microwave dipole antennas. For all array spacings studied (1.0-3.5 cm), the RF electrodes heated approximately 10-20 per cent more of the array volume to greater than 50 per cent of ŒîTmax. ¬© 1989 Informa UK Ltd All rights reserved: reproduction in whole or part not permitted.</t>
  </si>
  <si>
    <t>307-318</t>
  </si>
  <si>
    <t>60023691;60023691;60023691;60023691;60023691;60023691;60023691</t>
  </si>
  <si>
    <t>7005772755;35408019300;7003487797;57216311476;7601609251;7006300930;7401766706</t>
  </si>
  <si>
    <t>Stauffer, P. R.;Sneed, P. K.;Suen, S. A.;Satoh, T.;Matsumoto, K.;Fike, J. R.;Phillips, T. L.</t>
  </si>
  <si>
    <t>San Francisco</t>
  </si>
  <si>
    <t>University of California, San Francisco</t>
  </si>
  <si>
    <t>Stauffer P.R.</t>
  </si>
  <si>
    <t>Comparative thermal dosimetry of interstitial microwave and radiofrequency-LCF hyperthermia</t>
  </si>
  <si>
    <t>10.3109/02656738909140457</t>
  </si>
  <si>
    <t>2-s2.0-0024554683</t>
  </si>
  <si>
    <t>['œît ).', 'within 10', 'two methods', 'treatment planning', 'thermal washout', 'thermal field', 'thermal clearance', 'temperatures include', 'temperature elevation', 'specific heat', 'since cbf', 'platinum electrodes', 'new methodology', 'microwave antennas', 'microwave antenna', 'increased distances', 'heuristic value', 'heating cbf', 'effective use', 'derive c', 'correlation coefficient', 'clincial estimation', 'cbf determined', 'cbf derived', 'cbf ).', 'brain may', 'b )),', 'adult dogs', 'adjacent brain', '2450 mhz', '08 cal']</t>
  </si>
  <si>
    <t>Safe and effective use of hyperthermia for the treatment of brain tumors requires precise control of the distribution of temperatures (that is, the thermal field) within the tumor and within the adjacent brain. Major influences upon the distribution of temperatures include the passive thermal properties of the brain, such as its specific heat (C(b)), and the contribution of cerebral blood flow (CBF). Recently, an electrical-mechanical analog model of heat flow within the brain has been developed from which an expression for CBF has been derived: CBF = C(b)/(œÑœÅc) where œÑ is the thermal decay constant, œÅ is the density of blood, and c is its specific heat. To test this model a series of experiments was carried out in adult dogs in which stereotaxically implanted microwave antennas operating at 2450 MHz, fluoro-optical thermometry probes, and platinum electrodes were used to simultaneously measure CBF by thermal washout and hydrogen clearance techniques. The correlation coefficient for estimates of CBF derived by the two methods in 52 paired observations was 0.89. Measurements of CBF were more reliable at increased distances from the microwave antenna, since CBF is sensitive to the degree of temperature elevation (ŒîT). The ratio of post-heating CBF to pre-heating CBF varies linearly with ŒîT and has a correlation coefficient of 0.86. When values of CBF determined by the hydrogen clearance method were employed in the above equation, it was possible to derive C(b) as 0.70 ¬± 0.08 cal/gm-¬∞C. Use of this value for C(b) in this equation produces estimates of CBF by thermal clearance that are within 10% of the values for CBF as measured by the hydrogen clearance method. It is concluded that this model of thermal flow within the brain may have heuristic value for treatment planning and that microwave antennas and fluoro-optical probes may represent a new methodology for the clincial estimation of CBF. These methods have recently been employed in patients undergoing combined hyperthermia and chemotherapy.</t>
  </si>
  <si>
    <t>592-598</t>
  </si>
  <si>
    <t>Journal of Neurosurgery</t>
  </si>
  <si>
    <t>60014653;60014653;60014653;60014653;60014653;60014653;60014653</t>
  </si>
  <si>
    <t>7007030572;56243220100;57198142929;6602606455;6507856637;6508274781;6603211648</t>
  </si>
  <si>
    <t>Salcman, M.;Moriyama, E.;Elsner, H. J.;Rossman, H.;Gettleman, R. A.;Neuberth, G.;Corradino, G.</t>
  </si>
  <si>
    <t>University of Maryland, Baltimore (UMB)</t>
  </si>
  <si>
    <t>Salcman M.</t>
  </si>
  <si>
    <t>Cerebral blood flow and the thermal properties of the brain: A preliminary analysis</t>
  </si>
  <si>
    <t>10.3171/jns.1989.70.4.0592</t>
  </si>
  <si>
    <t>2-s2.0-0024560925</t>
  </si>
  <si>
    <t>['wiley company', 'sting result', 'observed responses', 'middle value', 'measurements validate', 'measurements indicate', 'lower thorax', 'lab measurements', 'lab experiments', 'inc .,', 'e field', 'dry conductors', 'devices used', 'conductive substrate', 'body parts', 'body hairs', 'bees exposed', 'bee standing', 'bee impedance', 'bee disturbance', 'bee current', '480 na', '300 kv', '200 kv', '150 kv']</t>
  </si>
  <si>
    <t>60 Hz | Apis mellifera | electric fields | impedance | induced currents | transmission lines</t>
  </si>
  <si>
    <t>Bees exposed to 60‚ÄêHz electric (E) fields &gt; 150 kV/m show field‚Äêinduced vibrations of wings, antennae, and body hairs. They also show altered behavior if exposed while in contact with a conductive substrate. Measurements indicate that approximately 240 nA is coupled to a bee standing on a conductive substrate in a 100‚ÄêkV/m E field. In lab experiments, bee disturbance and sting result from exposure to E field &gt;200 kV/m (bee current &gt;480 nA) and reduced voluntary movements at &gt;300 kV/m (&gt;720 nA bee current) only if the bee is on a conductive substrate. It is hypothesized that in the latter situation coupled bee current drains through the lower thorax and legs to the conductive substrate, and that the resulting enhanced current density in these regions is the cause of observed responses. The observation that bees exposed to intense E fields on an insulator show vibration of body parts but no behavioral response suggests that vibration contributes little to the disturbance of bees in intense E fields. Lab measurements of bee impedance from front‚Äêto‚Äêrear leg pairs were made on wet and dry conductors. Measurements validate the selection of 1 MŒ© as a middle value for bee impedance used in the design of devices used to generate step‚Äêpotential‚Äêinduced currents in bees. Copyright ¬© 1989 Wiley‚ÄêLiss, Inc., A Wiley Company</t>
  </si>
  <si>
    <t>60027561-60029526;60032949;60027561-101159470</t>
  </si>
  <si>
    <t>7004695868;7004179174;7201629550</t>
  </si>
  <si>
    <t>Bindokas, Vytautas P.;Gauger, James R.;Greenberg, Bernard</t>
  </si>
  <si>
    <t>United States;United States;United States;United States</t>
  </si>
  <si>
    <t>Chicago;Riverside;Chicago;Chicago</t>
  </si>
  <si>
    <t>IIT Research Institute;University of California, Riverside;University of Illinois at Chicago;Bioconcern Inc</t>
  </si>
  <si>
    <t>60032949;60029526;60027561;101159470</t>
  </si>
  <si>
    <t>Bindokas V.P.</t>
  </si>
  <si>
    <t>Laboratory investigations of the electrical characteristics of honey bees and their exposure to intense electric fields</t>
  </si>
  <si>
    <t>10.1002/bem.2250100102</t>
  </si>
  <si>
    <t>2-s2.0-0024569046</t>
  </si>
  <si>
    <t>['¬© 1988', 'tracing technique', 'soil type', 'site evaluation', 'site effects', 'royal institute', 'rights reserved', 'results computed', 'plate model', 'paper outlines', 'major airports', 'ils performance', 'good agreement', 'experimental methods', 'exhaustive ray', 'directly affected', 'array antenna', 'approach combines', 'analytical method', 'also outlined', 'actual measurements', 'accurate formulation']</t>
  </si>
  <si>
    <t>Instrument landing systems (ILS) and the upcoming microwave landing systems (MLS) are (or are planned to be) very important navigational aids at most major airports of the world. However, their performance is directly affected by the features of the site in which they are located. Currently, validation of the ILS performance is through costly and time-consuming experimental methods. This paper outlines a powerful and versatile analytical approach for performing the site evaluation, as an alternative to the experimental methods. The approach combines a multi-plate model for the terrain with a powerful and exhaustive ray-tracing technique and a versatile and accurate formulation for estimating the electromagnetic fields due to the array antenna in the presence of the terrain. It can model the effects of the undulation, the roughness and the impedance (depending on the soil type) of the terrain at the site. The results computed from the analytical method are compared with the actual measurements and good agreement is shown. Considerations for site effects on MLS are also outlined. ¬© 1988, The Royal Institute of Navigation. All rights reserved.</t>
  </si>
  <si>
    <t>278-290</t>
  </si>
  <si>
    <t>Journal of Navigation</t>
  </si>
  <si>
    <t>60014097;100434821</t>
  </si>
  <si>
    <t>7005329304;6603349097</t>
  </si>
  <si>
    <t>Mahapatra, P. R.;Poulose, M. M.</t>
  </si>
  <si>
    <t>India;India</t>
  </si>
  <si>
    <t>Bengaluru;Imphal</t>
  </si>
  <si>
    <t>Indian Institute of Science;ACS</t>
  </si>
  <si>
    <t>Mahapatra P.R.</t>
  </si>
  <si>
    <t>Evaluating ILS and MLS Sites without Flight Tests</t>
  </si>
  <si>
    <t>10.1017/S037346330001448X</t>
  </si>
  <si>
    <t>2-s2.0-0024569642</t>
  </si>
  <si>
    <t>['well tolerated', 'tissue interface', 'technique appears', 'rights reserved', 'relatively simple', 'radial penetration', 'oesophageal carcinoma', 'minimal modification', 'length greater', 'existing procedure', 'equivalent phantom', 'dimensional sar', 'control temperature', 'clinical technique', 'brachytherapy alone', 'balance power', 'approach uses', '5 cm', '192ir brachytherapy']</t>
  </si>
  <si>
    <t>Brachytherapy | Hyperthermia | Intraluminal | Microwave | Oesophagus</t>
  </si>
  <si>
    <t>A technique for combining microwave hyperthermia with 192Ir brachytherapy for the treatment of oesophageal carcinoma is described. This approach uses an intraluminal afterloading applicator and up to six microwave antennae to deliver both hyperthermia and brachytherapy, with minimal modification of the existing procedure for brachytherapy alone. Each microwave antenna includes a built-in thermistor to control temperature and balance power. Longitudinal temperature distributions were measured in situ from within the applicator, and at the applicator-tissue interface in vivo. Two-dimensional SAR and steady-state temperature distributions measured in muscle-equivalent phantom are presented and discussed. The technique appears to be capable of elevating tissue temperature to greater than 42¬∞C in a radially symmetric volume of length greater than 5 cm, with radial penetration of 0 5 cm. The clinical technique is relatively simple and well tolerated. ¬© 1989 Informa UK Ltd All rights reserved: reproduction in whole or part not permitted.</t>
  </si>
  <si>
    <t>37-51</t>
  </si>
  <si>
    <t>60015183;60015183;60015183;60015183;60015183</t>
  </si>
  <si>
    <t>7006549540;7003599942;7007051442;6508149759;7006372174</t>
  </si>
  <si>
    <t>Astrahan, M. A.;Sapozink, M. D.;Luxton, G.;Kampp, T. D.;Petrovich, Z.</t>
  </si>
  <si>
    <t>A technique for combining microwave hyperthermia with intraluminal brachytherapy of the oesophagus</t>
  </si>
  <si>
    <t>10.3109/02656738909140431</t>
  </si>
  <si>
    <t>2-s2.0-0024578241</t>
  </si>
  <si>
    <t>['¬© 1989', 'scatter lines', 'partial coherent', 'insect control', 'human breath', 'disease diagnostics', 'common species', 'cabannes line', 'acoustic frequency', '667 cm', '643 cm', '200 hz', '1 region']</t>
  </si>
  <si>
    <t>A cotton tip applicator was utilized to stimulate far IR scatter (emission) from human breath. The reticulated cotton tip was vibrated at 200 Hz, the acoustic frequency that matches the average vibration frequency of common species of mosquitoes. Mosquitoes have open resonator dielectric sensillae (spines) on their antenna that match the 643 cm-1 (15.5) Cabannes line in the 667 cm-1 region of CO2 rotation line, acoustic Stokes Brillouin and Stokes Raman lines are noted. Implications of such maserlike (coherent or partial coherent) scatter lines to insect control and disease diagnostics are discussed. ¬© 1989.</t>
  </si>
  <si>
    <t>99-105</t>
  </si>
  <si>
    <t>Medical Hypotheses</t>
  </si>
  <si>
    <t>Callahan, P. S.</t>
  </si>
  <si>
    <t>The Olive W. Garvey Center for the Improvement of Human Functioning, Inc.</t>
  </si>
  <si>
    <t>Callahan P.</t>
  </si>
  <si>
    <t>Maserlike nonlinear scatter from human breath, a surface-enhanced far infrared scatter effect</t>
  </si>
  <si>
    <t>10.1016/0306-9877(89)90021-2</t>
  </si>
  <si>
    <t>2-s2.0-0024578298</t>
  </si>
  <si>
    <t>['wiley company', 'whip antenna', 'positioned erect', 'outdoor facility', 'mean value', 'localized sars', 'input power', 'inc .,', 'feasible using', 'ankle region', '83 w', '4 ft', '35 ft', '0 kw']</t>
  </si>
  <si>
    <t>calorimeter | EM dosimetry | Man model | temperature probe</t>
  </si>
  <si>
    <t>Localized and averaged specific absorption rates (SARs) were obtained in a full‚Äêsize muscle‚Äêequivalent human model exposed to near‚Äêfield 29.9 MHz irradiation at an outdoor facility. The model was positioned erect on a metallic groundplane 1.22 m (4 ft) from the base of a 10.8‚Äêm (35 ft) whip antenna with an input power of 1.0 kW. For whole‚Äêbody SAR, a mean value of 0.83 W/kg was determined using two gradient‚Äêlayer calorimeters in a twin‚Äêwell configuration. The localized SARs at 12 body locations were measured using nonperturbing temperature probes and were highest in the ankle region. We conclude that averaged SAR measurements in a full‚Äêsize phantom are feasible using a twin‚Äêcalorimeter approach; measurements in the field are practical when human‚Äêsize (183 √ó 61 √ó 46 cm) calorimeters are used. Copyright ¬© 1989 Wiley‚ÄêLiss, Inc., A Wiley Company</t>
  </si>
  <si>
    <t>161-171</t>
  </si>
  <si>
    <t>60008213;60008213</t>
  </si>
  <si>
    <t>57202524954;6507175256</t>
  </si>
  <si>
    <t>Olsen, Richard G.;Griner, Toby A.</t>
  </si>
  <si>
    <t>Pensacola</t>
  </si>
  <si>
    <t>Naval Aerospace Medical Research Laboratory</t>
  </si>
  <si>
    <t>Olsen R.G.</t>
  </si>
  <si>
    <t>Outdoor measurement of SAR in a full‚Äêsized human model exposed to 29.9 MHz in the near field</t>
  </si>
  <si>
    <t>10.1002/bem.2250100205</t>
  </si>
  <si>
    <t>2-s2.0-0024580770</t>
  </si>
  <si>
    <t>European Molecular Biology Laboratory</t>
  </si>
  <si>
    <t>EMBL</t>
  </si>
  <si>
    <t>['type solubilised', 'transposon tn5', 'spectroscopic properties', 'recent work', 'reaction centre', 'northern hybridisation', 'mutant m2192', 'mutant m21', 'lh1 antenna', 'l polypeptide', 'inherent property', 'gel electrophoresis', 'gaussian deconvolution', 'fluorescence polarisation', 'complex purified', 'absorbance spectroscopy']</t>
  </si>
  <si>
    <t>(Rb. sphaeroides) | Antenna complex | Energy transfer | Light harvesting | Photosynthesis | Transposon mutagenesis</t>
  </si>
  <si>
    <t>Recent work on the spectroscopic properties of the B875 (LH1) antenna of Rb. sphaeroides has been performed on the complex purified from membranes of the wild-type solubilised in lithium dodecyl sulphate. In order to facilitate an examination of the properties of the membrane-bound antenna free from other complexes, mutant M2192 was constructed from mutant M21, which contains reaction centres and LH1 but lacks the B800-850 (LH2)complex. This was accomplished by insertion of transposon Tn5 into the puf L gene which encodes the L polypeptide of the reaction centre. This manipulation leaves B875 as the sole pigment protein, which has been confirmed by Southern and Northern hybridisation, gel electrophoresis and fluorescence and absorbance spectroscopy. Evidence from Gaussian deconvolution of the Qy absorbance region, and from fluorescence polarisation, suggests that the long-wavelength species BChl 896 is present, and may be an inherent property of the LH1 antenna. ¬© 1989 Elsevier Science Publishers B.V. (Biomedical Division).</t>
  </si>
  <si>
    <t>383-389</t>
  </si>
  <si>
    <t>60015150;100315378;60003878</t>
  </si>
  <si>
    <t>13105070700;35599806700;7801620289</t>
  </si>
  <si>
    <t>Hunter, C. N.;van Grondelle, R.;van Dorssen, R. J.</t>
  </si>
  <si>
    <t>United Kingdom;Netherlands;United Kingdom</t>
  </si>
  <si>
    <t>London;Leiden;Brussels</t>
  </si>
  <si>
    <t>Imperial College London;Sterrewacht Leiden;Free University Brussels</t>
  </si>
  <si>
    <t>60015150;60003878;100315378</t>
  </si>
  <si>
    <t>Hunter C.</t>
  </si>
  <si>
    <t>The construction and properties of a mutant of Rhodobacter sphaeroides with the LH1 antenna as the sole pigment protein</t>
  </si>
  <si>
    <t>S0005-2728(89)80379-2</t>
  </si>
  <si>
    <t>10.1016/S0005-2728(89)80379-2</t>
  </si>
  <si>
    <t>2-s2.0-0024591230</t>
  </si>
  <si>
    <t>P30CA022453</t>
  </si>
  <si>
    <t>['wiley company', 'situ directly', 'roughly 0', 'inc .,', 'drug labeled', 'drug concentration', '5 mm']</t>
  </si>
  <si>
    <t>The use of 2H‚Äêlabeled drugs provides a measure of drug concentration in situ directly from a single 2H NMR spectrum obtained with any antenna by correcting only for differential saturation effects. The limit of detection for a drug labeled with three equivalent deuterons is roughly 0.5 mM. ¬© 1989 Academic Press, Inc. Copyright ¬© 1989 Wiley‚ÄêLiss, Inc., A Wiley Company</t>
  </si>
  <si>
    <t>402-410</t>
  </si>
  <si>
    <t>Magnetic Resonance in Medicine</t>
  </si>
  <si>
    <t>60009408;60009408;60009408</t>
  </si>
  <si>
    <t>57196233026;9534048900;15125686500</t>
  </si>
  <si>
    <t>Evelhoch, Jeffrey L.;McCoy, Cheryl L.;Giri, Brij P.</t>
  </si>
  <si>
    <t>Detroit</t>
  </si>
  <si>
    <t>Wayne State University</t>
  </si>
  <si>
    <t>Evelhoch J.L.</t>
  </si>
  <si>
    <t>A method for direct in vivo measurement of drug concentrations from a single &lt;sup&gt;2&lt;/sup&gt;H NMR spectrum</t>
  </si>
  <si>
    <t>10.1002/mrm.1910090313</t>
  </si>
  <si>
    <t>2-s2.0-0024603093</t>
  </si>
  <si>
    <t>['utd ),', 'uniform theory', 'scattered fields', 'reflector antennas', 'francis group', 'fed heyperboloidal', 'easy way', 'axially symmetric']</t>
  </si>
  <si>
    <t>By using the uniform theory of diffraction (UTD), the scattered fields of reflector antennas can be computed. In this paper, a formulation is derived which gives a compact, short, easy way of computing scattered fields of axially symmetric and focus-fed heyperboloidal and ellipsoidal reflector antennas. ¬© 1989 Taylor &amp; Francis Group, LLC.</t>
  </si>
  <si>
    <t>283-288</t>
  </si>
  <si>
    <t>International Journal of Electronics</t>
  </si>
  <si>
    <t>Yazgan, Erdem</t>
  </si>
  <si>
    <t>Turkey</t>
  </si>
  <si>
    <t>Ankara</t>
  </si>
  <si>
    <t>Hacettepe √úniversitesi</t>
  </si>
  <si>
    <t>Yazgan E.</t>
  </si>
  <si>
    <t>A simple formulation of UTD for some reflector antennas</t>
  </si>
  <si>
    <t>10.1080/00207218908925385</t>
  </si>
  <si>
    <t>2-s2.0-0024606350</t>
  </si>
  <si>
    <t>['synthesis procedure', 'slot self', 'moment method', 'measured self', 'earlier contributions', 'array antennas']</t>
  </si>
  <si>
    <t>A computer aided design/synthesis procedure for array antennas of the slotted waveguide type is described. It differs from earlier contributions to this topic in that it uses theoretically evaluated self-admittances, rather than measured self-admittances, for the individual broadwall slots in the array. By adopting the moment method to generate the slot self-admittances, it is shown that accuracies which are comparable with those obtained from a measurement based procedure can be achieved.</t>
  </si>
  <si>
    <t>39-46</t>
  </si>
  <si>
    <t>0950107X</t>
  </si>
  <si>
    <t>IEE Proceedings H: Microwaves, Antennas and Propagation</t>
  </si>
  <si>
    <t>Feb</t>
  </si>
  <si>
    <t>60019656;60019656</t>
  </si>
  <si>
    <t>7007049394;7102450073</t>
  </si>
  <si>
    <t>Sangster, A. J.;McCormick, A. H.I.</t>
  </si>
  <si>
    <t>Heriot-Watt University</t>
  </si>
  <si>
    <t>Sangster A.J.</t>
  </si>
  <si>
    <t>Theoretical design/synthesis of slotted waveguide arrays</t>
  </si>
  <si>
    <t>10.1049/ip-h-2.1989.0007</t>
  </si>
  <si>
    <t>2-s2.0-0024606641</t>
  </si>
  <si>
    <t>['transmission lines', 'temperature superconductors', 'superconducting antennas', 'microwave resonators', 'many applications', 'josephson junctions', 'brief review']</t>
  </si>
  <si>
    <t>Since the discovery, 2 years ago, of high-temperature superconductors, researchers have tried to assess their usefulness in many applications, particularly in electronics. A brief review of early and recent research efforts is presented. Potential applications considered include: microwave resonators, transmission lines and interconnects, superconducting antennas and Josephson junctions.</t>
  </si>
  <si>
    <t>57-60</t>
  </si>
  <si>
    <t>IEE Review</t>
  </si>
  <si>
    <t>Cardwell, D. A.</t>
  </si>
  <si>
    <t>Northampton</t>
  </si>
  <si>
    <t>Plessey Research Caswell</t>
  </si>
  <si>
    <t>Cardwell D.A.</t>
  </si>
  <si>
    <t>Electronic potentialities of high-temperature superconductors</t>
  </si>
  <si>
    <t>10.1049/ir:19890025</t>
  </si>
  <si>
    <t>2-s2.0-0024606929</t>
  </si>
  <si>
    <t>70-72</t>
  </si>
  <si>
    <t>Nakaoka, K.</t>
  </si>
  <si>
    <t>Sapporo</t>
  </si>
  <si>
    <t>Hokkaido University</t>
  </si>
  <si>
    <t>Nakaoka K.</t>
  </si>
  <si>
    <t>Experiments of circularly polarised printed slot array antenna</t>
  </si>
  <si>
    <t>10.1049/ip-h-2.1989.0013</t>
  </si>
  <si>
    <t>2-s2.0-0024606965</t>
  </si>
  <si>
    <t>47-52</t>
  </si>
  <si>
    <t>Brennan, P. V.</t>
  </si>
  <si>
    <t>London</t>
  </si>
  <si>
    <t>University College London</t>
  </si>
  <si>
    <t>Brennan P.V.</t>
  </si>
  <si>
    <t>Investigation into the multipath performance of self-phased array</t>
  </si>
  <si>
    <t>10.1049/ip-h-2.1989.0008</t>
  </si>
  <si>
    <t>2-s2.0-0024607131</t>
  </si>
  <si>
    <t>67-69</t>
  </si>
  <si>
    <t>Sultan, M. A.</t>
  </si>
  <si>
    <t>Sultan M.A.</t>
  </si>
  <si>
    <t>Extended analysis of closed-ring microstrip antenna</t>
  </si>
  <si>
    <t>10.1049/ip-h-2.1989.0012</t>
  </si>
  <si>
    <t>2-s2.0-0024607133</t>
  </si>
  <si>
    <t>29-33</t>
  </si>
  <si>
    <t>60031126;60031126;60031126</t>
  </si>
  <si>
    <t>7006899159;7402657600;7201747933</t>
  </si>
  <si>
    <t>Hirokawa, J.;Arai, H.;Goto, N.</t>
  </si>
  <si>
    <t>Tokyo</t>
  </si>
  <si>
    <t>Tokyo Institute of Technology</t>
  </si>
  <si>
    <t>Hirokawa J.</t>
  </si>
  <si>
    <t>Cavity-backed wide slot antenna</t>
  </si>
  <si>
    <t>10.1049/ip-h-2.1989.0005</t>
  </si>
  <si>
    <t>2-s2.0-0024607348</t>
  </si>
  <si>
    <t>53-58</t>
  </si>
  <si>
    <t>118918761;118918761</t>
  </si>
  <si>
    <t>57216018748;55698377500</t>
  </si>
  <si>
    <t>Musa, L.;Smith, M. S.</t>
  </si>
  <si>
    <t>Cardiff</t>
  </si>
  <si>
    <t>University College</t>
  </si>
  <si>
    <t>Musa L.</t>
  </si>
  <si>
    <t>Microstrip port design and sidewall absorption for printed Rotman lenses</t>
  </si>
  <si>
    <t>10.1049/ip-h-2.1989.0009</t>
  </si>
  <si>
    <t>2-s2.0-0024607978</t>
  </si>
  <si>
    <t>['¬© asce', 'survey indicate', 'survey demonstrates', 'standard mode', 'presented along', 'method operationally', 'many ngs', 'little modification', 'kinematic methods', 'kinematic gps', '2 min']</t>
  </si>
  <si>
    <t>A kinematic GPS (Global Positioning System) survey was performed by the National Geodetic Survey to determine the feasibility of using the method operationally on some geodetic surveying projects. The method of the experiment is described, and results from two GPS data reduction packages are presented along with results of a terrestrial survey performed on the same network of stations. Operationally oriented discussions of the kinematic method., project planning and execution, and suggestions for future kinematic software and hardware are included. The antenna swap method of determining integer biases is described. The survey demonstrates that with little modification of equipment or software, it is possible to implement kinematic surveying as a standard mode of operation on many NGS (National Geodetic Survey) projects. The results of the survey indicate that with station occupation periods of 2 min the repeatability of base line vector components determined by kinematic methods will be subcentimeter. ¬© ASCE.</t>
  </si>
  <si>
    <t>121-137</t>
  </si>
  <si>
    <t>Journal of Surveying Engineering</t>
  </si>
  <si>
    <t>Minkel, David H.</t>
  </si>
  <si>
    <t>National Oceanic and Atmospheric Administration</t>
  </si>
  <si>
    <t>Minkel D.</t>
  </si>
  <si>
    <t>Kinematic GPS land survey‚Äîdescription of operational test and results</t>
  </si>
  <si>
    <t>10.1061/(ASCE)0733-9453(1989)115:1(121)</t>
  </si>
  <si>
    <t>2-s2.0-0024608232</t>
  </si>
  <si>
    <t>['¬© asce', 'signal multipath', 'quadrifilar helix', 'precise correction', 'precise applications', 'microstrip patch', 'measurements needed', 'major factors', 'li frequency', 'l2 frequencies', 'ground planes', 'greatest importance', 'fit sphere', 'associated residuals', 'analytic models', 'accuracy performance', 'acceptable high']</t>
  </si>
  <si>
    <t>Antenna characteristics required for geodetic and subcentimeter accuracy GPS (Global Positioning System) applications are discussed, including the types of measurements needed for precise antenna calibration. The antenna phase characteristics over the upper hemispherical coverage region, which are of greatest importance in precise applications, are described in terms of a best-fit (least mean square sense) sphere with associated residuals that may then be used for very precise correction of direct GPS carrier phase measurements. A criterion of ¬±5¬∞ phase ripple (maximum) and overall 5¬∞ rms deviation from the best-fit sphere is presented for acceptable high-accuracy performance. Measured phase responses are presented for two representative commercial GPS antennas; a quadrifilar helix (volute) at LI frequency and a microstrip patch at LI and L2 frequencies. Theoretical results obtained from analytic models are presented to identify the major factors that affect precise GPS antenna performance, including the electrical feed network balance, the use of ground planes, and signal multipath. ¬© ASCE.</t>
  </si>
  <si>
    <t>60016983;60016983</t>
  </si>
  <si>
    <t>7004680083;6602478265</t>
  </si>
  <si>
    <t>Tranquilla, James M.;Colpitts, Bruce G.</t>
  </si>
  <si>
    <t>Fredericton</t>
  </si>
  <si>
    <t>University of New Brunswick</t>
  </si>
  <si>
    <t>Tranquilla J.</t>
  </si>
  <si>
    <t>GPS antenna design characteristics for high-precision applications</t>
  </si>
  <si>
    <t>10.1061/(ASCE)0733-9453(1989)115:1(2)</t>
  </si>
  <si>
    <t>2-s2.0-0024608826</t>
  </si>
  <si>
    <t>['widely independent', 'vessel walls', 'typical l', 'strong release', 'rather similar', 'ptot 4', 'pose problems', 'particular efforts', 'paper summarizes', 'november 1984', 'nbi scheme', 'mode transitions', 'mode behaviour', 'mechanisms responsible', 'march 1986', 'interesting results', 'impurity generation', 'icrh antenna', 'icrh alone', 'heating mixtures', 'experiments performed', 'combined icrh', 'applying extensive', 'also true', '6 mw', '5 mw']</t>
  </si>
  <si>
    <t>The paper summarizes the experiments performed with ion cyclotron resonance heating (ICRH) on ASDEX, from November 1984 until March 1986; the most interesting results are reported and discussed in detail. Heating and confinement studies using the hydrogen second harmonic scheme and the hydrogen minority scheme (PIC &lt; 2.6 MW, tIC &lt; 1.5 s) show a typical L-mode behaviour, i.e. a power dependent confinement degradation, which is rather similar to that found with neutral beam injection (NBI) heating. ICRH is accompanied by a slightly improved particle and energy confinement compared with that of NBI; this is also true for a combined ICRH + NBI scheme, up to Ptot 4.5 MW, absorbed in the plasma. Particular efforts have been devoted to investigations of the second harmonic regime in H/D plasmas with nHne0.1 - 1, with a view to heating mixtures in reactor relevant plasmas. The achievement of H-mode transitions with ICRH alone in the hydrogen minority scheme at an absorbed RF power of about 1.1 MW supports the assumption of common confinement properties in auxiliary heated tokamaks, since they appear to be widely independent of the additional heating method. ICRH specific impurity problems, such as the strong release of iron from the vessel walls, have been overcome by applying extensive in situ wall carbonization. The mechanisms responsible for impurity generation have partly been identified and analysed; however, the problem still remains to be solved. Impurities preferentially released from the ICRH antenna do not pose problems. ¬© 1989 IOP Publishing Ltd.</t>
  </si>
  <si>
    <t>277-294</t>
  </si>
  <si>
    <t>60026838;60026838;60026838;60026838;60026838;60026838;60026838;60026838;60026838;60026838;60026838;60026838;60026838;60026838;60026838;60026838;60026838;60026838;60026838;60026838;60026838;60026838;60026838;60026838;60026838;60026838;60026838;60026838;60026838;60026838;60026838;60026838;60026838;60026838;60026838;60026838;60026838;60026838;60026838;60026838;60026838;60026838;60026838;60026838;60026838;60026838;60026838;60026838;60026838;60026838;60026838;60026838;60026838;60015815;60015815;60000297;60000297;60025104;60025104;60015481-60028186;116289793</t>
  </si>
  <si>
    <t>22969242500;7003897872;7003267283;55726277900;7004287725;22965696600;7401553143;57217347018;7102153382;7005473290;7102498023;22966014100;6603728195;7005856640;7003325553;6701610658;6603938100;6507162171;22967052400;7005158232;7201616885;7103042746;7003909322;7005722689;6602629163;22971671400;6602336130;57206543254;22967541900;6506524755;6603843404;7402488269;57083074200;22963197700;7005527358;57207098220;16402476000;7005276942;22963633800;55106411800;22968670300;55187235000;6506740909;56731407700;22968837800;57189582416;22964509000;7003729083;22964424000;57210775535;57210775250;7004639134;6603316399;6701495215;6701390883;6602343176;7003589745;7004122122;6603859644;35894861100;24792667600</t>
  </si>
  <si>
    <t>Steinmetz, K.;Niedermeyer, H.;Noterdaeme, J. M.;Wagner, F.;Wesner, F.;B√§umler, J.;Becker, G.;Becker, W.;Bosch, H. S.;Brambilla, M.;Braun, F.;Brocken, H.;Eberhagen, A.;Fritsch, R.;Fussmann, G.;Gehre, O.;Gernhardt, J.;von Gierke, G.;Glock, E.;Gruber, O.;Haas, G.;Hofmann, J.;Hofmeister, F.;Janeschitz, G.;Karger, F.;Kl√ºber, O.;Kornherr, M.;Lackner, K.;Lisitano, G.;Van Mark, E.;Mast, K. F.;Mayer, H. M.;Mc Cormick, K.;Meisel, D.;Mertens, V.;M√ºller, E. R.;Murmann, H. D.;Neuhauser, J.;Poschenrieder, W.;Puri, S.;Rapp, H.;Roth, J.;Rudyj, A.;Schneider, F.;Setzensack, C.;Siller, G.;Speth, E.;S√∂ldner, F. X.;Stabler, A.;Steuer, K. H.;Vollmer, O.;Wedler, H.;Zasche, D.;Dodel, G.;Holzhauer, E.;Izvozchikov, A. B.;Kislyakov, A.;Keilhacker, M.;Smeulders, P.;Kotze, P. B.;S√∂ll, M.</t>
  </si>
  <si>
    <t>Switzerland;Germany;United Kingdom;Germany;United States;Russian Federation;Germany</t>
  </si>
  <si>
    <t>Lausanne;Garching bei Munchen;;Stuttgart;Seattle;Saint Petersburg (ex Leningrad);Bernried</t>
  </si>
  <si>
    <t>Swiss Federal Institute of Technology Lausanne;Max Planck Institute for Plasma Physics;EFDA-JET;Universit√§t Stuttgart;University of Washington;Ioffe Institute;WTB</t>
  </si>
  <si>
    <t>60028186;60026838;60025104;60015815;60015481;60000297;116289793</t>
  </si>
  <si>
    <t>Steinmetz K.</t>
  </si>
  <si>
    <t>Heating and confinement in the ion cyclotron range of frequencies on the divertor tokamak ASDEX</t>
  </si>
  <si>
    <t>10.1088/0029-5515/29/2/010</t>
  </si>
  <si>
    <t>2-s2.0-0024608948</t>
  </si>
  <si>
    <t>['top products', 'signal cables', 'readily analyzed', 'primary importance', 'paper investigates', 'much smaller', 'maximum dimensions', 'generally much']</t>
  </si>
  <si>
    <t>Often, the most difficult radiated electromagnetic interference (EMI) problems with table-top products occur at frequencies where the maximum dimensions of the product are much smaller than a wavelength. Electrically small table-top products tend to be much more efficient radiation sources than dipole source models would predict and the radiation is generally much more difficult to contain than other types of EMI source models indicate. This paper investigates the ways in which electrically small sources radiate and proposes a technique for modeling electrically small table-top products that have power or signal cables. The end-driven wire model, as it is referred to in the paper, is a strategy for reducing the product to a form that is more readily analyzed. The result is a relatively simple configuration that includes only those parameters of the product that are of primary importance to the radiated EMI calculation. ¬© 1989 IEEE</t>
  </si>
  <si>
    <t>74-84</t>
  </si>
  <si>
    <t>1558187X</t>
  </si>
  <si>
    <t>IEEE Transactions on Electromagnetic Compatibility</t>
  </si>
  <si>
    <t>60021293;60004923</t>
  </si>
  <si>
    <t>7005230345;7403022663</t>
  </si>
  <si>
    <t>Hubing, Todd H.;Kaufman, J. Frank</t>
  </si>
  <si>
    <t>Armonk;Raleigh</t>
  </si>
  <si>
    <t>International Business Machines;NC State University</t>
  </si>
  <si>
    <t>Hubing T.H.</t>
  </si>
  <si>
    <t>Modeling the Electromagnetic Radiation from Electrically Small Table-Top Products</t>
  </si>
  <si>
    <t>10.1109/15.19910</t>
  </si>
  <si>
    <t>2-s2.0-0024610674</t>
  </si>
  <si>
    <t>['separated homogeneous', 'ground plane']</t>
  </si>
  <si>
    <t>A dielectric coated hemispherical conductor mounted on an infinite perfectly conducting ground plane and fed by a coaxial transmission line is investigated. Green's functions for the region above the ground plane are derived with separated homogeneous and particular solution parts so as to be compatible with numerical analysis techniques. A magnetic field integral equation is constructed in terms of the unknown annular aperture tangential electric field and is solved by the method of moments. A comparison between the characteristics of the dielectric coated hemispherical conductor and a flush-mounted coaxial line with an infinite homogeneous region above the ground plane is presented for the tangential aperture electric field, the coaxial line apparent input impedance, and the far radiated field. ¬© 1989 IEEE</t>
  </si>
  <si>
    <t>16-20</t>
  </si>
  <si>
    <t>60020547;60005837</t>
  </si>
  <si>
    <t>7003263401;35610030600</t>
  </si>
  <si>
    <t>Nevels, Robert D.;Wheeler, J. Edward</t>
  </si>
  <si>
    <t>College Station;Houston</t>
  </si>
  <si>
    <t>Texas A&amp;M University;University of Houston</t>
  </si>
  <si>
    <t>Nevels R.</t>
  </si>
  <si>
    <t>Radiation from a Dielectric Coated Hemispherical Conductor Fed by a Coaxial Transmission Line</t>
  </si>
  <si>
    <t>10.1109/15.19903</t>
  </si>
  <si>
    <t>2-s2.0-0024610758</t>
  </si>
  <si>
    <t>['¬© 1989', 'useful insight', 'space station', 'space shuttle', 'slewing arm', 'scientific instruments', 'satellite consisting', 'rigid reflector', 'rigid platform', 'rigid appendage', 'results suggest', 'regain stability', 'paper presents', 'orbit geometry', 'mrms ).', 'initial conditions', 'inertia parameters', 'flexible beam', 'flexible appendages', 'critical combinations', 'analysis provides']</t>
  </si>
  <si>
    <t>The paper presents a relatively general formulation for studying librational dynamics of a flexible platform supporting a mobile base connected to a series of slewing, flexible appendages. It is applicable to missions requiring slew maneuvers of antennas, telescopes, scientific instruments and, in particular, the U.S. proposed Space Station's Mobile Remote Manipulator System (MRMS). Application of the formulation is illustrated through three simple examples: (i) a satellite consisting of a rigid platform with a slewing, rigid appendage; (ii) a flexible beam-type platform representing the Space Station with a mobile, flexible, slewing arm; (iii) the SCOLE configuration representing the Space Shuttle-based flexible beam supporting a rigid reflector at its end. The analysis provides a useful insight into interactions between inertia parameters, orbit geometry, translational and slewing time histories, flexibility and initial conditions. Results suggest that under critical combinations of the parameters the system may become unstable. Application of the infinite time linear regulator is demonstrated to regain stability. ¬© 1989.</t>
  </si>
  <si>
    <t>125-143</t>
  </si>
  <si>
    <t>60010365;60010365;60000809;60000809</t>
  </si>
  <si>
    <t>6603766524;7102008072;7402316333;16229065100</t>
  </si>
  <si>
    <t>Mah, H. W.;Modi, V. J.;Morita, Y.;Yokota, H.</t>
  </si>
  <si>
    <t>Canada;Japan</t>
  </si>
  <si>
    <t>Vancouver;Sagamihara</t>
  </si>
  <si>
    <t>The University of British Columbia;JAXA Institute of Space and Astronautical Science</t>
  </si>
  <si>
    <t>60010365;60000809</t>
  </si>
  <si>
    <t>Mah H.</t>
  </si>
  <si>
    <t>Dynamics and control during slewing maneuvers</t>
  </si>
  <si>
    <t>10.1016/0094-5765(89)90097-0</t>
  </si>
  <si>
    <t>2-s2.0-0024610881</t>
  </si>
  <si>
    <t>['uat ).', 'two theories', 'reflection boundaries', 'radiation pattern', 'patterns predicted']</t>
  </si>
  <si>
    <t>The radiation pattern of a focus-fed offset hyperbolic reflector is determined by using the uniform geometrical theory of diffraction (UTD) and the uniform asymptotic theory of diffraction (UAT). The patterns predicted by these two theories are observed to differ considerably around incident and reflection boundaries. ¬© 1989 IEEE</t>
  </si>
  <si>
    <t>251-253</t>
  </si>
  <si>
    <t>≈ûfak, Mehmet</t>
  </si>
  <si>
    <t>The Hague</t>
  </si>
  <si>
    <t>NATO Consultation, Command and Control Agency</t>
  </si>
  <si>
    <t>≈ûfak M.</t>
  </si>
  <si>
    <t>Radiation Pattern of an Offset Hyperbolic Reflector</t>
  </si>
  <si>
    <t>10.1109/8.18714</t>
  </si>
  <si>
    <t>2-s2.0-0024610917</t>
  </si>
  <si>
    <t>['wide applications', 'transmitter filter', 'semicoaxial filter', 'saw filters', 'receiver filter', 'power improvements', 'mobile telephones', 'insertion loss', 'future vhf', 'fundamental experiments', 'examined theoretically', 'also presented', '800 mhz', '600 mhz', '0 db']</t>
  </si>
  <si>
    <t>Wide applications of surface acoustic wave (SAW) technologies are investigated to reduce the volume and weight of recent and future VHF/UHF radio communication transceivers. Insertion loss and power improvements for SAW filters, one of the most successful devices within the above technologies, are examined theoretically and experimentally. By analyzing loss mechanisms of the previously developed high-performance SAW filter for mobile telephones, a new extremely low-loss SAW filter (loss of as low as 1.2‚Äì2.0 dB at 600 MHz) is achieved. The results of fundamental experiments for a SAW antenna duplexer using a new SAW filter as the transmitter filter and a semicoaxial filter as the receiver filter at 800 MHz are also presented. ¬© 1989 IEEE</t>
  </si>
  <si>
    <t>IEEE Transactions on Vehicular Technology</t>
  </si>
  <si>
    <t>60003381;60003381;60084716</t>
  </si>
  <si>
    <t>7102360893;7006046079;6602460189</t>
  </si>
  <si>
    <t>Hikita, Mitsutaka;Tabuchi, Toyoji;Sumioka, Atsushi</t>
  </si>
  <si>
    <t>Tokyo;Tokyo</t>
  </si>
  <si>
    <t>Hitachi Kokusai Electric Inc.;Hitachi, Ltd.</t>
  </si>
  <si>
    <t>60084716;60003381</t>
  </si>
  <si>
    <t>Hikita M.</t>
  </si>
  <si>
    <t>Miniaturized SAW Devices for Radio Communication Transceivers</t>
  </si>
  <si>
    <t>10.1109/25.31128</t>
  </si>
  <si>
    <t>2-s2.0-0024611017</t>
  </si>
  <si>
    <t>['zn mineralization', 'zinc subdistrict', 'viburnum trend', 'type pb', 'type orebodies', 'trace elements', 'sr contents', 'southeast missouri', 'similar south', 'second fluid', 'regional south', 'previously suggested', 'northern source', 'north flow', 'north enrichment', 'mnco 3', 'mn contents', 'mississippi valley', 'late phases', 'lamotte sandstone', 'inferred fluid', 'francois mountains', 'flow system', 'flow paths', 'feco 3', 'epigenetic dolomites', 'earlier precipitation', 'bonneterre dolomite', 'bonneterre contact', 'basinal fluids', 'arkoma basin', '54 ppm', '41 mole', '40 ppm', '34 mole', '27 ppm', '23 mole', '11 mole', '105 ppm']</t>
  </si>
  <si>
    <t>The sources and flow paths of basinal fluids that precipitated the dolomite-hosted Mississippi Valley-type orebodies of southeast Missouri have historically been a subject of debate. This study presents geochemical data for epigenetic dolomites of the Bonneterre Dolomite directly above the Lamotte Sandstone aquifer and from the Viburnum Trend orebodies. Samples of epigenetic replacement dolomite were collected at the Bonneterre Dolomite-Lamotte Sandstone contact from 35 drill cores covering an area of more than 25,000 km 2 west of the St. Francois Mountains. There are distinct aerial trends in Fe, Mn, and Sr contents of the dolomite from values of 3.47 wt%, 0.38 wt%, and 27 ppm in the south to 0.82 wt%, 0.12 wt%, and 54 ppm in the north, respectively. In and near the Viburnum Trend lead-zinc subdistrict, the distributions of Fe, Mn, and Sr are reversed, from values of 0.50 wt%, 0.10 wt%, and 105 ppm in the south to 3.15 wt%, 0.55 wt%, and 40 ppm in the north, respectively. Fe and Mn contents of gangue dolomite cement in the Viburnum Trend orebodies show a similar south-to-north enrichment, ranging from 1.41 mole% FeCO 3 and 0.11 mole% MnCO 3 in the south to 2.34 mole% and 0.23 mole% in the north, respectively. On the basis of fractionation of minor and trace elements between fluids and dolomites, the data are interpreted to indicate a regional south-to-north flow of water from the Arkoma Basin through the Lamotte Sandstone. A second fluid-flow system, with a northern source (possibly the Illinois Basin), precipitated the late phases of gangue dolomite cement in the Viburnum Trend and may have been active during the earlier precipitation of the dolomite at the Lamotte-Bonneterre contact. The inferred fluid-flow paths suggest a more complex, multiple-basin fluid involvement than previously suggested for the Mississippi Valley-type Pb-Zn mineralization of southeast Missouri. ¬© 1989 Geological Society of America.</t>
  </si>
  <si>
    <t>221-230</t>
  </si>
  <si>
    <t>Bulletin of the Geological Society of America</t>
  </si>
  <si>
    <t>100501178-60024728;60006173</t>
  </si>
  <si>
    <t>35953641500;7005949183</t>
  </si>
  <si>
    <t>Gregg, Jay M.;Shelton, Kevin L.</t>
  </si>
  <si>
    <t>Rolla;Columbia;Missouri City</t>
  </si>
  <si>
    <t>Missouri University of Science and Technology;University of Missouri;St. Joe Minerals Corporation</t>
  </si>
  <si>
    <t>60024728;60006173;100501178</t>
  </si>
  <si>
    <t>Gregg J.</t>
  </si>
  <si>
    <t>Minor- and trace-element distributions in the Bonneterre Dolomite (Cambrian), southeast Missouri: Evidence for possible multiple-basin fluid sources and pathways during lead-zinc mineralization</t>
  </si>
  <si>
    <t>10.1130/0016-7606(1989)101&lt;0221:MATEDI&gt;2.3.CO;2</t>
  </si>
  <si>
    <t>2-s2.0-0024611152</t>
  </si>
  <si>
    <t>['thin cylindrical', 'radiation patterns', 'q factors', 'input impedances', 'graphical results', 'comprehensive analysis']</t>
  </si>
  <si>
    <t>A comprehensive analysis of a thin cylindrical-rectangular microstrip patch antenna which includes resonant frequencies, radiation patterns, input impedances and Q factors is presented. Numerical and graphical results are given to illustrate the effects of curvature on the characteristics of the TM10and TM01 modes. ¬© 1989 IEEE</t>
  </si>
  <si>
    <t>143-147</t>
  </si>
  <si>
    <t>60002798-60021624-60009658</t>
  </si>
  <si>
    <t>Luk, Kwai Man</t>
  </si>
  <si>
    <t>United States;United Kingdom;Hong Kong</t>
  </si>
  <si>
    <t>Toledo;Swindon;Hong Kong</t>
  </si>
  <si>
    <t>The University of Toledo;Defence College of Management and Technology;Chinese University of Hong Kong</t>
  </si>
  <si>
    <t>60021624;60009658;60002798</t>
  </si>
  <si>
    <t>Luk K.M.</t>
  </si>
  <si>
    <t>Analysis of the Cylindrical-Rectangular Patch Antenna</t>
  </si>
  <si>
    <t>10.1109/8.18699</t>
  </si>
  <si>
    <t>2-s2.0-0024611277</t>
  </si>
  <si>
    <t>['resonant frequencies', 'obtained based', 'microstrip antenna', 'great generality', 'average value']</t>
  </si>
  <si>
    <t>The appropriately corrected formula for the resonant frequencies of microstrip antenna (MA) elements is obtained based on the evaluation of average value of effective dielectric constant. The formula is accurate, of great generality, and is useful in microstrip antenna design. ¬© 1989 IEEE</t>
  </si>
  <si>
    <t>245-247</t>
  </si>
  <si>
    <t>Gang, Xu</t>
  </si>
  <si>
    <t>China</t>
  </si>
  <si>
    <t>Chengdu</t>
  </si>
  <si>
    <t>University of Electronic Science and Technology of China</t>
  </si>
  <si>
    <t>Gang X.</t>
  </si>
  <si>
    <t>On the Resonant Frequencies of Microstrip Antennas</t>
  </si>
  <si>
    <t>10.1109/8.18712</t>
  </si>
  <si>
    <t>2-s2.0-0024611278</t>
  </si>
  <si>
    <t>['wide range', 'scan blindness', 'resonant frequency', 'reasonable correlation', 'reactive loading', 'radiation pattern', 'problems associated', 'possibly mitigate', 'one position', 'multiple loads', 'major applications', 'input impedance', 'generalized theory', 'fabricated based', 'element would', 'dynamically controlling', 'circuited loads', 'circuit antennas', 'actual printed']</t>
  </si>
  <si>
    <t>A study has been undertaken to determine the feasibility of dynamically controlling the input impedance of a microstrip antenna element by changing its reactive loading. The major applications of such an element would be for use in a scanned phase array. By changing the loading of individual elements appropriately, one can alter the active array impedance of the elements which might then possibly mitigate the problems associated with scan blindness. The generalized theory of loaded microstrip antennas has been used to predict the impedance of a variety of microstrip antenna configurations with multiple loads. This work has shown the possibilities of changing the input impedance of the radiator over a wide range of values without greatly affecting its resonant frequency or radiation pattern by moving a set of short-circuited loads from one position to another. Actual printed-circuit antennas were fabricated based on this design, and reasonable correlation was found between theory and experiment. ¬© 1989 IEEE</t>
  </si>
  <si>
    <t>247-251</t>
  </si>
  <si>
    <t>60005837;60005837;60005837</t>
  </si>
  <si>
    <t>7004675406;7202452162;7402507033</t>
  </si>
  <si>
    <t>Ali-KHAN, Ajaz;Richards, William F.;Long, Stuart A.</t>
  </si>
  <si>
    <t>University of Houston</t>
  </si>
  <si>
    <t>Ali-KHAN A.</t>
  </si>
  <si>
    <t>Impedance Control of Microstrip Antennas Using Reactive Loading</t>
  </si>
  <si>
    <t>10.1109/8.18713</t>
  </si>
  <si>
    <t>2-s2.0-0024611358</t>
  </si>
  <si>
    <t>Langley Research Center</t>
  </si>
  <si>
    <t>NAS1-18310</t>
  </si>
  <si>
    <t>LaRC</t>
  </si>
  <si>
    <t>['typical applications', 'transmitter components', 'single elements', 'potential applications', 'photolithographic techniques', 'packing density', 'mmic circuits', 'either hybrid', 'array elements']</t>
  </si>
  <si>
    <t>Tapered slot antennas (TSA's) have a number of potential applications as single elements and focal plane arrays. TSA's can be fabricated with photolithographic techniques and integrated in either hybrid or MMIC circuits with receiver or transmitter components. They offer considerably narrower beams than other integrated antenna elements and have high aperture efficiency and packing density as array elements. Typical applications which have been demonstrated or are under development are reviewed. ¬© 1989 IEEE</t>
  </si>
  <si>
    <t>365-374</t>
  </si>
  <si>
    <t>60014313;60005304;60014313;60000990;60000990</t>
  </si>
  <si>
    <t>7003389714;6508170434;57006932700;7005304586;35617942000</t>
  </si>
  <si>
    <t>Yngvesson, K. Sigfrid;Korzeniowski, T. L.;Kim, Young Sik;Kollberg, Erik L.;Johansson, Joakim F.</t>
  </si>
  <si>
    <t>United States;United States;Sweden</t>
  </si>
  <si>
    <t>Amherst MA;Waltham;Gothenburg</t>
  </si>
  <si>
    <t>University of Massachusetts Amherst;Raytheon;Chalmers University of Technology</t>
  </si>
  <si>
    <t>60014313;60005304;60000990</t>
  </si>
  <si>
    <t>Yngvesson K.S.</t>
  </si>
  <si>
    <t>The Tapered Slot Antenna‚ÄîA New Integrated Element for Millimeter-wave Applications</t>
  </si>
  <si>
    <t>10.1109/22.20062</t>
  </si>
  <si>
    <t>2-s2.0-0024611430</t>
  </si>
  <si>
    <t>Wisconsin Alumni Research Foundation</t>
  </si>
  <si>
    <t>DAAG29-84-K-0014</t>
  </si>
  <si>
    <t>WARF</t>
  </si>
  <si>
    <t>['simulations indicate', 'performance degrades', 'narrowband environments', 'limited number', 'good performance', 'general analysis', 'excellent performance', 'eigenstructure dimension', 'broadband environments', 'analyze beam', 'adaptive weights', 'adaptive beamformers']</t>
  </si>
  <si>
    <t>A general analysis of broadband interference cancellation in adaptive beamformers is provided. The results are then used to analyze beam, eigenstructure, and power minimization approaches to the design of linearly constrained partially adaptive beamformers. It is shown that although beam based designs are capable of good performance in narrowband environments, they are not appropriate for broadband environments. Eigenstructure based designs are capable of excellent performance in narrow- or broadband environments. However, performance degrades if the number of adaptive weights is less than the eigenstructure dimension. Power minimization designs are based on directly minimizing interference output power. Simulations indicate that the power minimization design is capable of the best cancellation performance with a limited number of adaptive weights. ¬© 1989 IEEE</t>
  </si>
  <si>
    <t>192-203</t>
  </si>
  <si>
    <t>Van Veen, Barry D.</t>
  </si>
  <si>
    <t>Van Veen B.</t>
  </si>
  <si>
    <t>An Analysis Of Several Partially Adaptive Beamformer Designs</t>
  </si>
  <si>
    <t>10.1109/29.21682</t>
  </si>
  <si>
    <t>2-s2.0-0024611467</t>
  </si>
  <si>
    <t>['wave ratio', 'voltage standing', 'single cluster', 'seven subarrays', 'band widths']</t>
  </si>
  <si>
    <t>An L-band circularly polarized microstrip array antenna with relatively wide bandwidth has been constructed and tested. The array has seven subarrays which form a single cluster as part of a large overlapping cluster reflector feed array. Each of the seven subarrays consists of four uniquely arranged linearly polarized microstrip elements. Seven and a half percent impedance (voltage standing-wave ratio (VSWR) &lt;1.5) as well as axial ratio (&lt;1 dB) band widths have been achieved by employing relatively thick honeycomb substrate with special impedance matching feed probes. ¬© 1989 IEEE</t>
  </si>
  <si>
    <t>153-158</t>
  </si>
  <si>
    <t>60009037;60009037</t>
  </si>
  <si>
    <t>7408102852;6701419948</t>
  </si>
  <si>
    <t>Huang, John;Jamnejad, Vahraz</t>
  </si>
  <si>
    <t>Pasadena</t>
  </si>
  <si>
    <t>Jet Propulsion Laboratory</t>
  </si>
  <si>
    <t>Huang J.</t>
  </si>
  <si>
    <t>A Microstrip Array Feed for Land Mobile Satellite Reflector Antennas</t>
  </si>
  <si>
    <t>10.1109/8.18701</t>
  </si>
  <si>
    <t>2-s2.0-0024611646</t>
  </si>
  <si>
    <t>['victim antenna', 'readily incorporates', 'paper presents', 'model predicts', 'interference based', 'existing model']</t>
  </si>
  <si>
    <t>This paper presents a statistically based antenna coupling model. The model predicts the probability of interference based on the antenna coupling statistics. In addition, a modification to the model is presented that takes into account sidelobe blanking on the victim antenna. This model has advantages over an existing model because in addition to considering sidelobe blanking it makes no assumption about the antenna pattern statistics and readily incorporates the main beam region. ¬© 1989 IEEE</t>
  </si>
  <si>
    <t>85-87</t>
  </si>
  <si>
    <t>Foreman, Terry L.</t>
  </si>
  <si>
    <t>Gaithersburg</t>
  </si>
  <si>
    <t>EG&amp;G</t>
  </si>
  <si>
    <t>Foreman T.</t>
  </si>
  <si>
    <t>Short Papers: Antenna Coupling Model for Radar Electromagnetic Compatibility Analysis</t>
  </si>
  <si>
    <t>10.1109/15.19911</t>
  </si>
  <si>
    <t>2-s2.0-0024611679</t>
  </si>
  <si>
    <t>['¬© 1989', 'vibration tests', 'transient dynamics', 'theoretical progress', 'theoretical large', 'structural models', 'structural dynamics', 'several methods', 'scaling limitations', 'recent results', 'recent progress', 'flexible structures', 'experimental results', 'activities leading']</t>
  </si>
  <si>
    <t>Recent progress in the area of structural dynamics of large space structures is reviewed. Topics include system identification, large angle slewing of flexible structures, definition of scaling limitations in structural models, and recent results on a tension-stabilized antenna concept known as the hoop-column. Increasingly complex laboratory experiments guide most of the activities leading to realistic technological developments. Theoretical progress in system identification based on system realization theory resulting in unification of several methods is reviewed. Experimental results from implementation of a theoretical large-angle slewing control approach are shown. Status and results of the development of a research computer program for analysis of the transient dynamics of large angle motion of flexible structures are presented. Correlation of results from analysis and vibration tests of the hoop-column antenna concept is summarized. ¬© 1989.</t>
  </si>
  <si>
    <t>Pinson, Larry D.</t>
  </si>
  <si>
    <t>Hampton</t>
  </si>
  <si>
    <t>NASA Langley Research Center</t>
  </si>
  <si>
    <t>Pinson L.</t>
  </si>
  <si>
    <t>Recent advances in structural dynamics of large space structures</t>
  </si>
  <si>
    <t>10.1016/0094-5765(89)90099-4</t>
  </si>
  <si>
    <t>2-s2.0-0024611703</t>
  </si>
  <si>
    <t>Kuwait University</t>
  </si>
  <si>
    <t>EE 031</t>
  </si>
  <si>
    <t>KU</t>
  </si>
  <si>
    <t>['√ ó', 'time variation', 'sinusoidal waves', 'loop sensor', 'late 1800', 'hertzian dipole', 'gaussian pulses', 'gaussian pulse', 'flux lines', 'far zone', 'experimental setup', 'current radiator', 'antenna current']</t>
  </si>
  <si>
    <t>flux lines | Gaussian pulse | H16d | H5d | I9d | Nonsinusoidal waves | radiators</t>
  </si>
  <si>
    <t>An experimental setup of a large-current radiator and a closed-loop sensor has recently been developed for the radiation and reception of nonsinusoidal electromagnetic waves. The time variation of the radiated waves approximately equals that of a Gaussian pulse. In this paper, oscillograms of antenna current and radiated nonsinusoidal pulses are presented. Magnetic flux lines representing the radiation of Gaussian pulses from a large-current sheet radiator of physical dimensions w √ó d √ó s are plotted in analogy to the plots first derived by Hertz in the late 1800's for the radiation of sinusoidal waves by a Hertzian dipole. The flux lines form closed contours as they radiate from the surface of the radiator to the far zone. The density of the flux lines at any distance from the radiator is proportional to the magnitude of the produced field strength. ¬© 1989 IEEE</t>
  </si>
  <si>
    <t>48-54</t>
  </si>
  <si>
    <t>Hussain, Malek G.M.</t>
  </si>
  <si>
    <t>University of Michigan, Ann Arbor</t>
  </si>
  <si>
    <t>Hussain M.</t>
  </si>
  <si>
    <t>Antenna Patterns of Nonsinusoidal Waves with the Time Variation of a Gaussian Pulse: Part IV</t>
  </si>
  <si>
    <t>10.1109/15.19906</t>
  </si>
  <si>
    <t>2-s2.0-0024611777</t>
  </si>
  <si>
    <t>['wiley company', 'vswr less', 'printed radiator', 'new type', 'narrow break', 'large bandwidth', 'inc .,', 'element radiator', 'band width', 'annular ring']</t>
  </si>
  <si>
    <t>antenna feed | integrated circuits | Ring antennas</t>
  </si>
  <si>
    <t>A new type of printed radiator has been designed, fabricated, and tested. This radiator is in the form of an annular ring with a narrow break in the form of a slot. The antenna is fed by a microstripline and has yielded a VSWR less than 2.0 over a 20% band width. Because of its low profile construction and large bandwidth, this antenna can find wide application as an element radiator in phased array antennas. Copyright ¬© 1989 Wiley Periodicals, Inc., A Wiley Company</t>
  </si>
  <si>
    <t>74-79</t>
  </si>
  <si>
    <t>60015465;60015465</t>
  </si>
  <si>
    <t>7006470835;6602405970</t>
  </si>
  <si>
    <t>Sastry, N. N.;Lakshminarayana, M.</t>
  </si>
  <si>
    <t>Sastry N.N.</t>
  </si>
  <si>
    <t>A new electromagnetically coupled printed ring radiator</t>
  </si>
  <si>
    <t>10.1002/mop.4650020211</t>
  </si>
  <si>
    <t>2-s2.0-0024611786</t>
  </si>
  <si>
    <t>['transmission line', 'practical measurements', 'antenna mode']</t>
  </si>
  <si>
    <t>Practical measurements are made in order to identify the antenna mode component of a wide bandwidth horn antenna. Effects of the addition of a 24-in transmission line with various load terminations are found to result in data in which the antenna mode and structural mode may be separated. ¬© 1989 IEEE</t>
  </si>
  <si>
    <t>257-260</t>
  </si>
  <si>
    <t>Lindsey, Jefferson F.</t>
  </si>
  <si>
    <t>Chicago</t>
  </si>
  <si>
    <t>Boeing Corporation</t>
  </si>
  <si>
    <t>Lindsey J.F.</t>
  </si>
  <si>
    <t>Radar Cross-Section Effects Relating to a Horn Antenna</t>
  </si>
  <si>
    <t>10.1109/8.18716</t>
  </si>
  <si>
    <t>2-s2.0-0024612034</t>
  </si>
  <si>
    <t>['special reference', 'mechanical analog', 'immediate application', 'identical dipoles', 'entire array', 'directional properties', 'circular arrays', 'careful selection', 'beam scanning']</t>
  </si>
  <si>
    <t>The characteristics of endfire, Yagi and circular arrays of dipoles are reviewed with special reference to their directional properties and the possibility of supergain. The quantum-mechanical analog, which suggested the investigation, is described. It is noted that circular arrays of identical dipoles of which only one is driven have attractive directional properties when the entire array is adjusted to resonance by a careful selection of the length of the elements, the distance between them, and the circumference of the array. An immediate application to beam scanning is described. ¬© 1989 IEEE</t>
  </si>
  <si>
    <t>178-186</t>
  </si>
  <si>
    <t>King, Ronold W.P.</t>
  </si>
  <si>
    <t>King R.W.P.</t>
  </si>
  <si>
    <t>Supergain Antennas and the Yagi and Circular Arrays</t>
  </si>
  <si>
    <t>10.1109/8.18704</t>
  </si>
  <si>
    <t>2-s2.0-0024612071</t>
  </si>
  <si>
    <t>Deutsche Forschungsgemeinschaft</t>
  </si>
  <si>
    <t>DFG</t>
  </si>
  <si>
    <t>['various frequencies', 'tapered slotline', 'symmetrical beam', 'substrate thickness', 'submillimeter frequencies', 'scaled model', 'radiation patterns', 'radiation pattern', 'planar antenna', 'h planes', 'front area', 'dielectric thickness', 'dielectric substrate', 'beam efficiency', 'antenna consists', 'antenna allows']</t>
  </si>
  <si>
    <t>A frequency-scaled model of a tapered slot antenna has been investigated. The antenna consists of a dielectric substrate which serves as a carrier for a tapered slotline. The width and the shape of the slotline and the dimensions of the substrate (including the value of the permittivity) have been varied to investigate the radiation patterns. The result is a planar antenna with a symmetrical beam in the E and H planes and a beam efficiency of almost 50 percent. The substrate thickness is the most important limiting factor for scaling the model to submillimeter frequencies. Taking away parts of the dielectric substrate in the front area of the antenna allows a relatively large substrate thickness. The variations of the half-power beam width versus slot parameters, versus the dielectric thickness of the substrate, and versus the length and the width of the substrate are presented. In addition the beam efficiency has been measured for various frequencies, and the radiation pattern has been calculated for comparison. ¬© 1989 IEEE</t>
  </si>
  <si>
    <t>375-380</t>
  </si>
  <si>
    <t>60024025;60024025</t>
  </si>
  <si>
    <t>6507425377;6603760531</t>
  </si>
  <si>
    <t>Kotthaus, Ulrich;Vowinkel, Bernd</t>
  </si>
  <si>
    <t>Koln</t>
  </si>
  <si>
    <t>University of Cologne</t>
  </si>
  <si>
    <t>Kotthaus U.</t>
  </si>
  <si>
    <t>Investigation of Planar Antennas for Submillimeter Receivers</t>
  </si>
  <si>
    <t>10.1109/22.20063</t>
  </si>
  <si>
    <t>2-s2.0-0024612090</t>
  </si>
  <si>
    <t>['time variation', 'slope pattern', 'sinusoidal waves', 'resolution angle', 'power pattern', 'nonsinusoidal waves', 'large bandwidth', 'lack bandwidth', 'gaussian pulse', 'antenna patterns', 'also presented']</t>
  </si>
  <si>
    <t>angular resolution | antenna pattern | circular array | Gaussian pulse | Nonsinusoidal waves</t>
  </si>
  <si>
    <t>In Parts I and II of this series of papers, antenna patterns are derived for linear and planar arrays receiving (or radiating) nonsinusoidal waves with the time variation of a Gaussian pulse. In this paper, antenna patterns such as peak-amplitude, peak-power, energy, and slope pattern are derived for a circular array receiving nonsinusoidal Gaussian pulses. Antenna amplitude pattern and average-power pattern of sinusoidal waves are also presented for comparison to the ones for nonsinusoidal waves. Due to the large bandwidth of nonsinusoidal waves, their antenna patterns are more attractive for achieving good angular resolution than the ones for infinitely extended periodic sinusoidal waves, which lack bandwidth. The resolution angle of a circular array based on sinusoidal waves and the resolution angle based on nonsinusoidal Gaussian pulses are derived too. ¬© 1989 IEEE</t>
  </si>
  <si>
    <t>34-47</t>
  </si>
  <si>
    <t>60025778;60038812;60038812</t>
  </si>
  <si>
    <t>56222659200;7801528107;7202864014</t>
  </si>
  <si>
    <t>Hussain, Malek G.M.;Al-Halabi, Maha M.M.;Omar, Amjad A.</t>
  </si>
  <si>
    <t>Kuwait;United States</t>
  </si>
  <si>
    <t>Kuwait City;Ann Arbor</t>
  </si>
  <si>
    <t>Kuwait University;University of Michigan, Ann Arbor</t>
  </si>
  <si>
    <t>60038812;60025778</t>
  </si>
  <si>
    <t>Antenna Patterns of Nonsinusoidal Waves with the Time Variation of a Gaussian Pulse: Part III</t>
  </si>
  <si>
    <t>10.1109/15.19905</t>
  </si>
  <si>
    <t>2-s2.0-0024612159</t>
  </si>
  <si>
    <t>Office of Naval Research</t>
  </si>
  <si>
    <t>F49620-86-C-0045</t>
  </si>
  <si>
    <t>ONR</t>
  </si>
  <si>
    <t>['suspended stripline', 'microslab waveguides', 'discontinuity characterizations', 'design information', 'attenuation characteristics']</t>
  </si>
  <si>
    <t>A number of quasi-planar transmission lines are reviewed in terms of the general propagation characteristics including useful features, precautions in practice, and some design information. Transmission lines discussed in this paper include coplanar waveguides, fin-lines, suspended stripline, and microslab waveguides. Attenuation characteristics of some of these lines are compared. In addition, the problems of discontinuity characterizations are included. ¬© 1989 IEEE</t>
  </si>
  <si>
    <t>275-280</t>
  </si>
  <si>
    <t>Itoh, Tatsuo</t>
  </si>
  <si>
    <t>Austin</t>
  </si>
  <si>
    <t>The University of Texas at Austin</t>
  </si>
  <si>
    <t>Itoh T.</t>
  </si>
  <si>
    <t>Overview of Quasi-Planar Transmission Lines</t>
  </si>
  <si>
    <t>10.1109/22.20052</t>
  </si>
  <si>
    <t>2-s2.0-0024612167</t>
  </si>
  <si>
    <t>['trigonometric identities', 'rigorous analysis', 'radiation properties', 'radiation patterns', 'radiation field', 'odd modes', 'general expressions', 'gap open', 'field distributions', 'even modes', 'cylindrical functions', 'cross cut', 'computed results', 'closed ring', 'cavity model', 'antenna characteristics']</t>
  </si>
  <si>
    <t>A rigorous analysis of the features of the modes of an ideal- gap open-ring (closed ring with a cross cut) printed microstrip antenna is presented. General expressions for its radiation field are derived by using the cavity model, trigonometric identities, and the properties of the cylindrical functions. The solution and the computed results for the radiation patterns and the field distributions for the even and odd modes are presented. The solutions for the even modes are the same as the closed-ring printed microstrip antenna. The results for the radiation patterns and other antenna characteristics for the odd modes indicate the superiority in the radiation properties of the ideal-gap open-ring when excited in the TM12mode over that of a closed-ring. ¬© 1989 IEEE</t>
  </si>
  <si>
    <t>137-142</t>
  </si>
  <si>
    <t>Sultan, Mohammed A.</t>
  </si>
  <si>
    <t>Corvallis</t>
  </si>
  <si>
    <t>Oregon State University</t>
  </si>
  <si>
    <t>The Mode Features of an Ideal-Gap Open-Ring Microstrip Antenna</t>
  </si>
  <si>
    <t>10.1109/8.18698</t>
  </si>
  <si>
    <t>2-s2.0-0024612285</t>
  </si>
  <si>
    <t>['procedure makes', 'mutual impedance', 'element currents', 'advanced undergraduate']</t>
  </si>
  <si>
    <t>A tutorial on the analysis of linear antenna array performance is described. Use is made of a new, rapidly converging algorithm for the calculation of element currents that include the effects of mutual impedance. The procedure makes it possible to introduce realistic antenna problems into an advanced undergraduate or first graduate antennas course. ¬© 1989 IEEE</t>
  </si>
  <si>
    <t>29-34</t>
  </si>
  <si>
    <t>IEEE Transactions on Education</t>
  </si>
  <si>
    <t>Malherbe, Johannes A.G.</t>
  </si>
  <si>
    <t>South Africa</t>
  </si>
  <si>
    <t>Pretoria</t>
  </si>
  <si>
    <t>University of Pretoria</t>
  </si>
  <si>
    <t>Malherbe J.</t>
  </si>
  <si>
    <t>Analysis of a Linear Antenna Array Including the Effects of Mutual Coupling</t>
  </si>
  <si>
    <t>10.1109/13.21159</t>
  </si>
  <si>
    <t>2-s2.0-0024612389</t>
  </si>
  <si>
    <t>antenna feed | numerical method | Reflector antenna</t>
  </si>
  <si>
    <t>60000745;60000745;60009037;60009037</t>
  </si>
  <si>
    <t>6701514073;55197051100;7003293983;7003977774</t>
  </si>
  <si>
    <t>Jervase, Joseph A.;Mittra, Raj;Galindo‚ÄêIsrael, Victor;Imbriale, W.</t>
  </si>
  <si>
    <t>Pasadena;Urbana</t>
  </si>
  <si>
    <t>Jet Propulsion Laboratory;University of Illinois Urbana-Champaign</t>
  </si>
  <si>
    <t>60009037;60000745</t>
  </si>
  <si>
    <t>Jervase J.</t>
  </si>
  <si>
    <t>Interpolation solutions for the problem of synthesis of dual‚Äêshaped offset reflector antennas</t>
  </si>
  <si>
    <t>10.1002/mop.4650020203</t>
  </si>
  <si>
    <t>2-s2.0-0024612390</t>
  </si>
  <si>
    <t>['various edges', 'two edges', 'segmentation method', 'relative contributions', 'rectangular patches', 'mutual coupling', 'microstrip patches', 'microstrip patch', 'measured data', 'good agreement', 'edge fields']</t>
  </si>
  <si>
    <t>A method for representing the mutual coupling between two edges of a microstrip patch (or those of two different patches in an array) in form of a mutual admittance matrix is discussed. Coefficients of the mutual admittance matrix are evaluated by modeling the edge fields by equivalent magnetic current line sources. The formulation is compatible with the multiport network modeling of microstrip patches and the segmentation method of analysis. Results are found to be in good agreement with the measured data on mutual coupling available in the literature. Relative contributions of various edges of rectangular patches to the mutual coupling are discussed. ¬© 1989 IEEE</t>
  </si>
  <si>
    <t>148-152</t>
  </si>
  <si>
    <t>60000221;60000221</t>
  </si>
  <si>
    <t>6602836798;7402592343</t>
  </si>
  <si>
    <t>Benalla, Abdelaziz;Gupta, Kuldip C.</t>
  </si>
  <si>
    <t>Boulder</t>
  </si>
  <si>
    <t>University of Colorado Boulder</t>
  </si>
  <si>
    <t>Benalla A.</t>
  </si>
  <si>
    <t>Multiport Network Approach for Modeling the Mutual Coupling Effects in Microstrip Patch Antennas and Arrays</t>
  </si>
  <si>
    <t>10.1109/8.18700</t>
  </si>
  <si>
    <t>2-s2.0-0024612402</t>
  </si>
  <si>
    <t>['several waveguide', 'reflection coefficient', 'numerical solution', 'numerical checks', 'field patterns', 'fed structures', 'experiment demonstrate', 'efficient methods', 'direct solutions', 'derived explicitly', 'current densities', 'applications include']</t>
  </si>
  <si>
    <t>A method for solving radiation problems involving structures of revolution is presented, based on the direct solutions of one-dimensional integral equations for the currents; the kernels are derived explicitly and their singularities are studied. Efficient methods for their computation are presented. The numerical solution is obtained by a method of moments, with sinusoidal basis functions. Applications include the determination of the current densities, reflection coefficient, and far-field patterns for several waveguide-fed structures. Numerical checks and comparisons with experiment demonstrate the accuracy of the method. ¬© 1989 IEEE</t>
  </si>
  <si>
    <t>159-170</t>
  </si>
  <si>
    <t>Berthon, Andre</t>
  </si>
  <si>
    <t>Issy-les-Moulineaux</t>
  </si>
  <si>
    <t>Orange Labs</t>
  </si>
  <si>
    <t>Berthon A.</t>
  </si>
  <si>
    <t>Integral Equation Analysis of Radiating Structures of Revolution</t>
  </si>
  <si>
    <t>10.1109/8.18702</t>
  </si>
  <si>
    <t>2-s2.0-0024612403</t>
  </si>
  <si>
    <t>['¬© 1989', 'measure rates', 'first time', 'energy transfer']</t>
  </si>
  <si>
    <t>All photosynthetic organisms require a light harvesting system to funnel excitation energy towards the photosynthetic reaction centre, a process which can take 100 ps. Laser spectroscopy allows us to measure rates of energy transfer between pigments of the light harvesting system for the first time. These rates are correlated with models of the light harvesting apparatus. ¬© 1989.</t>
  </si>
  <si>
    <t>72-76</t>
  </si>
  <si>
    <t>Trends in Biochemical Sciences</t>
  </si>
  <si>
    <t>60001881;60008734;60001881</t>
  </si>
  <si>
    <t>57203953084;35599806700;7403259482</t>
  </si>
  <si>
    <t>Neil Hunter, C.;van Grondelle, Rienk;Olsen, John D.</t>
  </si>
  <si>
    <t>Netherlands;United Kingdom</t>
  </si>
  <si>
    <t>Amsterdam;Sheffield</t>
  </si>
  <si>
    <t>Vrije Universiteit Amsterdam;The University of Sheffield</t>
  </si>
  <si>
    <t>60008734;60001881</t>
  </si>
  <si>
    <t>Neil Hunter C.</t>
  </si>
  <si>
    <t>Photosynthetic antenna proteins: 100 ps before photochemistry starts</t>
  </si>
  <si>
    <t>10.1016/0968-0004(89)90047-9</t>
  </si>
  <si>
    <t>2-s2.0-0024614935</t>
  </si>
  <si>
    <t>['various sections', 'various near', 'uniform insulation', 'radiation characteristics', 'optimum designs', 'obtained results', 'numerical predictions', 'multisection designs', 'multisection arrangement', 'microwave hyperthermia', 'interstitial antennas', 'heating pattern', 'field components', 'examined analytically', 'design tradeoffs', 'current distribution', 'conductive tissue', 'center conductors', 'antenna tip']</t>
  </si>
  <si>
    <t>To improve the performance of interstitial antennas for microwave hyperthermia, parameters such as the uniformity of the heating pattern, the depth of penetration, and the impedance matching properties must be optimized. We examined analytically and experimentally the radiation characteristics of multisection insulated antennas in conductive tissue. The effects of varying the diameters and lengths of the center conductors in the various sections of the antenna and the diameter and type of the insulation on the electromagnetic power deposition pattern and input impedance characteristics were examined. A new approximate numerical model which calculates the current distribution and the radiation characteristics of multisection insulated antennas was developed. The numerical predictions were verified in a qualitative way experimentally by mapping the various near-and far-field components of these antennas. Based on the obtained results, design tradeoffs are identified and quantified, and guidelines for optimum designs are specified. In particular, it is shown that an insulation-to-center-conductor diameter ratio between 1.5 to 2.0 is optimum for a uniform Teflon insulation, and that a multisection arrangement with the thinnest insulation near the antenna tip has superior performance compared with the uniform insulation or other multisection designs. ¬© 1989 IEEE</t>
  </si>
  <si>
    <t>238-246</t>
  </si>
  <si>
    <t>IEEE Transactions on Biomedical Engineering</t>
  </si>
  <si>
    <t>60025488;60025488-60016827</t>
  </si>
  <si>
    <t>34769915200;6506217456</t>
  </si>
  <si>
    <t>Iskander, Magdy F.;Tumeh, Amer M.</t>
  </si>
  <si>
    <t>Salt Lake City;Salt Lake City</t>
  </si>
  <si>
    <t>The University of Utah;BSD Medical Corporation</t>
  </si>
  <si>
    <t>60025488;60016827</t>
  </si>
  <si>
    <t>Iskander M.F.</t>
  </si>
  <si>
    <t>Design Optimization of Interstitial Antennas</t>
  </si>
  <si>
    <t>10.1109/10.16471</t>
  </si>
  <si>
    <t>2-s2.0-0024617715</t>
  </si>
  <si>
    <t>['systems applied', 'sources make', 'realistic possibility', 'novel transmission', 'many examples', 'launching systems', 'fusion reactor', 'fel sources', 'bulk heating', 'antenna technology']</t>
  </si>
  <si>
    <t>A survey is presented of the microwave transmission system and antenna technology that has been developed for electron cyclotron heating (ECH) experiments using gyrotron and FEL sources. The development of these sources make the bulk heating of a fusion reactor a realistic possibility. Utilization of these sources, with their high unit output power and higher order output modes, has required the development of novel transmission and launching systems. Many examples of such systems applied to tokamaks will be given.</t>
  </si>
  <si>
    <t>725-733</t>
  </si>
  <si>
    <t>2 pt 2A</t>
  </si>
  <si>
    <t>Fusion Technology</t>
  </si>
  <si>
    <t>Mar</t>
  </si>
  <si>
    <t>Moeller, Charles P.</t>
  </si>
  <si>
    <t>General Atomics</t>
  </si>
  <si>
    <t>Moeller C.P.</t>
  </si>
  <si>
    <t>Survey of ECH microwave technology</t>
  </si>
  <si>
    <t>10.13182/fst89-a39782</t>
  </si>
  <si>
    <t>2-s2.0-0024619520</t>
  </si>
  <si>
    <t>['test facilities', 'strongly coupled', 'optimal combination', 'megawatt level', 'least expensive', 'icrf technology', 'fusion experiments', 'effective means', 'confinement experiments', '96 %.', '2 kw']</t>
  </si>
  <si>
    <t>Plasma heating using the ion cyclotron range of frequencies (ICRF) is the least expensive, most effective means of accomplishing auxiliary heating in fusion experiments. RF systems comprise two major elements: the transmitter and the antenna. The state of the art for transmitters is already at the megawatt level. The technology of antennas is strongly coupled to the character of the plasma to be heated. Typically, these antennas are designed to operate at a high power density (1.2 kW/cm2) with an efficiency of 96%. ICRF technology and options have improved over the past few years, owing to development and experiments; however, the optimal combination of options can be defined only which results from confinement experiments and test facilities are in hand.</t>
  </si>
  <si>
    <t>719-724</t>
  </si>
  <si>
    <t>60024266;60024266</t>
  </si>
  <si>
    <t>7402222174;7103023683</t>
  </si>
  <si>
    <t>Hoffman, D. J.;Barber, G. C.</t>
  </si>
  <si>
    <t>Oak Ridge</t>
  </si>
  <si>
    <t>Oak Ridge National Laboratory</t>
  </si>
  <si>
    <t>Hoffman D.J.</t>
  </si>
  <si>
    <t>Technology of the ion cyclotron range of frequencies</t>
  </si>
  <si>
    <t>10.13182/fst89-a39781</t>
  </si>
  <si>
    <t>2-s2.0-0024619689</t>
  </si>
  <si>
    <t>['united states', 'two designs', 'tore supra', 'technologies developed', 'substantial differences', 'specific components', 'new jersey', 'fusion plasmas', 'france ).', 'etudes nucleaires', 'electrical circuit']</t>
  </si>
  <si>
    <t>As part of the development of ion cyclotron resonant heating (ICRH) of fusion plasmas, Oak Ridge National Laboratory (ORNL) has built resonant double loop (RDL) antennas for the Tokamak Fusion Test Reactor (TFTR) (Princeton Plasma Physics Laboratory, Princeton, New Jersey, United States) and Tore Supra (Centre d'Etudes Nucleaires, Cadarache, France). Each antenna has been designed to deliver 4 MW of power. The electrical circuit and the mechanical philosophy employed are the same for both antennas, but different operating environments lead to substantial differences in the designs of specific components. A description and a comparison of the technologies developed in the two designs are presented.</t>
  </si>
  <si>
    <t>1088-1092</t>
  </si>
  <si>
    <t>2 pt 2B</t>
  </si>
  <si>
    <t>60024266;60024266;60024266;60024266;60024266;60024266;60024266;60024266;60024266</t>
  </si>
  <si>
    <t>57197237697;7004436911;57197193159;7102452966;6507417878;7402222174;57080222000;6603709441;36765225300</t>
  </si>
  <si>
    <t>Taylor, D. J.;Baity, F. W.;Brown, R. A.;Bryan, W. E.;Fadnek, A.;Hoffman, D. J.;King, J. F.;Livesey, R. L.;McIlwain, R. L.</t>
  </si>
  <si>
    <t>Taylor D.J.</t>
  </si>
  <si>
    <t>Resonant double loop antenna development at ORNL</t>
  </si>
  <si>
    <t>10.13182/fst89-a39837</t>
  </si>
  <si>
    <t>2-s2.0-0024620467</t>
  </si>
  <si>
    <t>DMS-8700794</t>
  </si>
  <si>
    <t>['¬© 1989', 'receiving antennae', 'problems serve', 'plane wave', 'osrc method', 'open resonator', 'open end', 'numerical results', 'interesting byproduct', 'finite distance', 'field within', 'complex eigenfrequencies', 'bistatic cross', 'approximate solution', 'approximate prediction']</t>
  </si>
  <si>
    <t>The scattering of a plane wave from the open end of a flanged, parallel plate waveguide is approximately solved using the On-Surface Radiation Condition method. Simple explicit formulae are given for the field within the waveguide and for the bistatic cross-section. In addition, our theory also gives an approximate solution to the associated open cavity problem, which is formed when the waveguide is terminated by a short circuit positioned a finite distance from the aperture. These problems serve as prototypes for receiving antennae and open resonators respectively. Numerical results are presented which confirm the accuracy of the OSRC method. An interesting byproduct of our analysis is the approximate prediction of the complex eigenfrequencies of the open resonator. ¬© 1989.</t>
  </si>
  <si>
    <t>65-76</t>
  </si>
  <si>
    <t>Wave Motion</t>
  </si>
  <si>
    <t>60007363;60007363;60007363</t>
  </si>
  <si>
    <t>6602373411;7005979875;7006104679</t>
  </si>
  <si>
    <t>Blaschak, Jeffrey;Kriegsmann, Gregory A.;Taflove, Allen</t>
  </si>
  <si>
    <t>Evanston</t>
  </si>
  <si>
    <t>Northwestern University</t>
  </si>
  <si>
    <t>Blaschak J.</t>
  </si>
  <si>
    <t>A study of wave interactions with flanged waveguides and cavities using the on-surface radiation condition method</t>
  </si>
  <si>
    <t>0165-2125(89)90013-9</t>
  </si>
  <si>
    <t>10.1016/0165-2125(89)90013-9</t>
  </si>
  <si>
    <t>2-s2.0-0024620906</t>
  </si>
  <si>
    <t>['vswr less', 'tree space', 'slot generates', 'slot cut', 'reflection coefficient', 'reduced height', 'rectangular waveguide', 'radiation efficiency', 'input impedance', 'good agreement', 'frequency band', 'francis group', 'fields radiated', 'experimental measurements', 'developed theory', 'design purposes', 'broad wall', 'band guide']</t>
  </si>
  <si>
    <t>The input impedance of transverse radiating slots cut in the broad wall of a rectangular waveguide is calculated for a wide frequency range. The slot is assumed to be equivalent to a transmission line excited by the dominant mode incident wave. The voltage distribution along the slot is the solution of the transmission line equation. The magnetic current equivalent to the voltage on the slot generates the fields radiated into Tree space, as well as the waveguide modes scattered by the slot. Poynting's theorem is used to find the reflection coefficient of the slot. A slot cut in an X-band guide with reduced height (5 mm), and terminated by a short circuited stub has an 80% radiation efficiency (or VSWR less than 2.6) and more in a 20% frequency band. The developed theory is in good agreement with experimental measurements, and can be used for design purposes. ¬© 1989 Taylor &amp; Francis Group, LLC.</t>
  </si>
  <si>
    <t>469-479</t>
  </si>
  <si>
    <t>60005681;60005681</t>
  </si>
  <si>
    <t>56944839100;7004654512</t>
  </si>
  <si>
    <t>Klsliuk, Moshe;Axelrod, Alexander</t>
  </si>
  <si>
    <t>Israel</t>
  </si>
  <si>
    <t>Tel Aviv-Yafo</t>
  </si>
  <si>
    <t>Tel Aviv University</t>
  </si>
  <si>
    <t>Klsliuk M.</t>
  </si>
  <si>
    <t>Input impedance of waveguide transverse slot antennas</t>
  </si>
  <si>
    <t>10.1080/00207218908925404</t>
  </si>
  <si>
    <t>2-s2.0-0024620934</t>
  </si>
  <si>
    <t>['wisp antenna', 'simulating motions', 'rigid body', 'rights reserved', 'paper deals', 'new method', 'motion linearized', 'modal coordinates', 'method consists', 'links outside', 'highly sensitive', 'given time', 'general manner', 'current interest', 'angular velocity']</t>
  </si>
  <si>
    <t>This paper deals with a new method for simulating motions of a beam that is being extruded from, or retracted into, a rigid body rotating in a general manner. In essence, the method consists of modeling the beam as a series of elastically connected rigid links and then working with equations of motion linearized in the modal coordinates for the links outside the rigid body at a given time. The theory is applied to a problem of current interest, the extrusion/retraction of the WISP antenna from the Shuttle. Simulation results show that beam tip deflections are highly sensitive to the total time devoted to extrusion /retraction, with retraction the less stable process of the two; and the nature of the angular velocity of the rigid body from /into which the beam is being extruded/retracted is found to affect beam behavior significantly. ¬© 1989 American Institute of Aeronautics and Astronautics, Inc. All rights reserved.</t>
  </si>
  <si>
    <t>140-146</t>
  </si>
  <si>
    <t>Journal of Guidance, Control, and Dynamics</t>
  </si>
  <si>
    <t>March-April 1989</t>
  </si>
  <si>
    <t>60022774;60012708</t>
  </si>
  <si>
    <t>57212417406;7101829435</t>
  </si>
  <si>
    <t>Banerjee, Arun K.;Kane, Thomas R.</t>
  </si>
  <si>
    <t>Boulevard;Palo Alto</t>
  </si>
  <si>
    <t>Lockheed Martin Space Systems Company;Stanford University</t>
  </si>
  <si>
    <t>Banerjee A.</t>
  </si>
  <si>
    <t>Extrusion of a beam from a rotating base</t>
  </si>
  <si>
    <t>10.2514/3.20383</t>
  </si>
  <si>
    <t>2-s2.0-0024621639</t>
  </si>
  <si>
    <t>['severe vibration', 'quantitative effects', 'paper considers', 'mild cases', 'gps signals', 'gps receiver', 'equivalent loss', '1989 institute']</t>
  </si>
  <si>
    <t>This paper considers the effects of vibration of the antenna and oscillator in a GPS receiver. These combine to cause a vibration‚Äêinduced phase shift in the carrier phase tracking loop. While the vibration (motion) of the antenna is not under the designer's control, the g‚Äêsensitivity of the oscillator is amenable to choice. The quantitative effects are analyzed with reference to the design of a GPS receiver for ground‚Äêmobile use. It is shown that the loss of lock of GPS signals under severe vibration is avoidable. A well‚Äêdesigned equipment will exhibit increased carrier cycle slip when vibrated. This may be related to an equivalent loss of signal‚Äêto‚Äênoise ratio in mild cases. 1989 Institute of Navigation</t>
  </si>
  <si>
    <t>63-75</t>
  </si>
  <si>
    <t>Navigation</t>
  </si>
  <si>
    <t>Spring 1989</t>
  </si>
  <si>
    <t>PRATT, ANTHONY R.</t>
  </si>
  <si>
    <t>Daventry</t>
  </si>
  <si>
    <t>Polytechnic Electronics plc</t>
  </si>
  <si>
    <t>PRATT A.</t>
  </si>
  <si>
    <t>g‚ÄêEffects on Oscillator Performance in GPS Receivers</t>
  </si>
  <si>
    <t>10.1002/j.2161-4296.1989.tb00981.x</t>
  </si>
  <si>
    <t>2-s2.0-0024621863</t>
  </si>
  <si>
    <t>['thermal expansion', 'successful fabrication', 'proof testing', 'paper presents', 'materials selected', 'joining development', 'inconel tube', 'graphite tiles', 'graphite could', 'different coefficients', 'brazing procedures', 'achieve due']</t>
  </si>
  <si>
    <t>The ion cyclotron resonant frequency (ICRF) antennas for heating fusion plasmas require careful analysis of the materials selected for the design and the successful fabrication of high integrity braze bonds. Graphite tiles are brazed to Inconel 625 Faraday shield tubes to protect the antenna from the plasma. The bond between the graphite and Inconel tube is difficult to achieve due to the different coefficients of thermal expansion. A 2-D stress analysis showed the graphite could be bonded to Inconel with a Ag-Cu-Ti braze alloy without cracking the graphite. Brazing procedures and nondestructive examination methods have been developed for these joints. This paper presents the results of our joining development and proof testing.</t>
  </si>
  <si>
    <t>1093-1096</t>
  </si>
  <si>
    <t>60024266;60024266;60024266;60024266;60024266</t>
  </si>
  <si>
    <t>57080222000;7101608027;7004436911;57197237697;7402222174</t>
  </si>
  <si>
    <t>King, J. F.;Walls, J. C.;Baity, F. W.;Taylor, D. J.;Hoffman, D. J.</t>
  </si>
  <si>
    <t>King J.F.</t>
  </si>
  <si>
    <t>Materials tests and analyses of Faraday shield tubes for ICRF antennas</t>
  </si>
  <si>
    <t>10.13182/fst89-a39838</t>
  </si>
  <si>
    <t>2-s2.0-0024621885</t>
  </si>
  <si>
    <t>['software system', 'precise positioning', 'parameter estimation', 'numerically stable', 'new software', 'multipath errors', 'data noise', 'corresponding contribution', 'combined effects', '2 cm', '1989 institute', '1 cm']</t>
  </si>
  <si>
    <t>GPS offers significantly improved capabilities in precise positioning. Applications include 10 cm altitude determination for the Topex/Poseidon oceanographic satellite, centimeter positioning anywhere on the Earth, and precise attitude determination for synthetic aperture radar. In the pursuit of the most precise GPS‚Äêbased measurements, NASA has sponsored the development of new software and hardware tools related to GPS. The dual‚Äêfrequency Rogue receiver can track up to eight GPS satellites simultaneously. A new antenna design for the Rogue has reduced the combined effects of data noise and multipath to less than 15 cm peak with 2 min smoothing on the pseudorange. The corresponding contribution from data noise is less than 2 cm. Data noise for the carrier is insignificant, and multipath errors are about 1 cm for 2 min smoothing. The GPS Inferred Positioning SYstem (GIPSY) is a software system that includes state‚Äêof‚Äêthe‚Äêart Earth models, automatic data editing, and numerically stable and flexible square root filtering techniques for parameter estimation, including process noise modeling. With these tools, we have demonstrated submeter GPS orbits and measurements of positions on the Earth to a precision and accuracy of better than 20 parts per billion. 1989 Institute of Navigation</t>
  </si>
  <si>
    <t>99-113</t>
  </si>
  <si>
    <t>7004083431;7201385110</t>
  </si>
  <si>
    <t>BERTIGER, WILLY I.;THORNTON, CATHERINE L.</t>
  </si>
  <si>
    <t>BERTIGER W.</t>
  </si>
  <si>
    <t>GPS‚ÄêBased System for Satellite Tracking and Geodesy</t>
  </si>
  <si>
    <t>10.1002/j.2161-4296.1989.tb00983.x</t>
  </si>
  <si>
    <t>2-s2.0-0024622697</t>
  </si>
  <si>
    <t>SDIO-/IST</t>
  </si>
  <si>
    <t>['refractory nbn', 'mixer tests', 'junction structures', 'edge geometries', 'critical currents', 'coupling structures', '65 mv', '207 ghz']</t>
  </si>
  <si>
    <t>We report on the fabrication and testing of all refractory NbN/MgO/NbN SIS tunnel junctions for use as high frequency mixers. Progress in the development of techniques for the fabrication of submicron area tunnel junctions is described. Junction structures which have been investigated include mesa, crossline, and edge geometries. Using reactive sputtering techniques, NbN tunnel junctions with critical currents in excess of 104 A/cm2 have been fabricated with Vmvalues as high as 65 mV and areas down to 0.1 ¬µm2Specific capacitance measurements on NbN/MgO/NbN mesa type tunnel junctions give values in the range 60‚Äì90 fF/¬µm2. These SIS tunnel junctions have been integrated with antennas and coupling structures for mixer tests in a wave guide receiver at 207 GHz. Preliminary mixer results are reported. ¬© 1989 IEEE</t>
  </si>
  <si>
    <t>1054-1059</t>
  </si>
  <si>
    <t>IEEE Transactions on Magnetics</t>
  </si>
  <si>
    <t>60009037;60009037;60009037;60009037;60009037;60009037;60009037</t>
  </si>
  <si>
    <t>56796770500;7201600595;23974476000;6508125888;7006448685;56796786700;7401552381</t>
  </si>
  <si>
    <t>Stern (Caltech), J. A.;Hunt, B. D.;LeDuc, H. G.;Judas, A.;McGrath, W. R.;Cyphet, S. R.;Khanna, S. K.</t>
  </si>
  <si>
    <t>Stern (Caltech) J.A.</t>
  </si>
  <si>
    <t>NbN/MgO/NbN sis tunnel junctions for submm wave mixers</t>
  </si>
  <si>
    <t>10.1109/20.92470</t>
  </si>
  <si>
    <t>2-s2.0-0024626298</t>
  </si>
  <si>
    <t>['scattering coefficients', 'presented method', 'mutual impedances', 'mutual coupling', 'millimeterwave range', 'element arrays', 'conductor thickness', 'analytical method']</t>
  </si>
  <si>
    <t>An analytical method for the evaluation of mutual coupling in multielement microstrip arrays is discussed. The elements of the array are strip dipoles covered by an overlayer and excited by microstrip lines embedded in the substrate. As an example, the coupling between the elements of two-, three- and five-element arrays is evaluated, and results are presented in the form of mutual impedances and scattering coefficients. The presented method is valid in the microwave and millimeterwave range and accounts for conductor thickness and surface wave excitation. Also, it can become the basis of an accurate iterative array design procedure. ¬© 1989 IEEE</t>
  </si>
  <si>
    <t>Katehi, Pisti B.</t>
  </si>
  <si>
    <t>Katehi P.</t>
  </si>
  <si>
    <t>Mutual Coupling Between Microstrip Dipoles in Multielement Arrays</t>
  </si>
  <si>
    <t>10.1109/8.18722</t>
  </si>
  <si>
    <t>2-s2.0-0024626333</t>
  </si>
  <si>
    <t>['vision system', 'ultrasonic vision', 'ultrasonic system', 'totally avoided', 'three dimensions', 'single pulse', 'signal bandwidth', 'shannon sense', 'remove clutter', 'receiving aperture', 'receiving antenna', 'optical system', 'object identification', 'object generates', 'noise ratios', 'narrow relative', 'modest signal', 'may arise', 'magnitude larger', 'interest may', 'identifying objects', 'fundamental limit', 'full potential', 'faster execution', 'enormous number', 'directly used', 'additional work']</t>
  </si>
  <si>
    <t>We consider a vision system that uses the echo of a transmitted ultrasonic pulse as the basis for identifying objects. With this system, the return of a single pulse from an object generates a Three-dimensional acoustical characteristic signature across the aperture of a receiving antenna which can be directly used for object identification. Thus, there is no need to reproduce an accurate visual representation in order to recognize which of a class of objects is present. Since the signal bandwidth is narrow relative to that of an optical imaging system, faster execution should be possible. Finally, the need to remove clutter which may arise in a conventional imaging system, caused by the compression of three dimensions into two, is totally avoided. However, unlike an optical system, the extent of an object of interest may not be orders-of-magnitude larger than the ‚Äúbeamwidth‚Äù of the receiving aperture. We calculate a fundamental limit (in the Shannon sense) on the number of objects that may be distinguished by an ultrasonic system and show that, for modest signal-to-noise ratios and an object space comparable to the beamwidth, an enormous number of different objects may still, in principle, be resolved. Based on these results and on the calculation of signatures of some common geometric shapes, we conclude that the approach offers promise as a complement to or replacement for a conventional optical system, and identify some areas where additional work is needed to realize the full potential of ultrasonic vision. ¬© 1989 IEEE</t>
  </si>
  <si>
    <t>291-303</t>
  </si>
  <si>
    <t>IEEE Transactions on Pattern Analysis and Machine Intelligence</t>
  </si>
  <si>
    <t>7006070875;7102662778</t>
  </si>
  <si>
    <t>Acampora, Anthony S.;Winters, Jack H.</t>
  </si>
  <si>
    <t>Acampora A.S.</t>
  </si>
  <si>
    <t>Three-dimensional Ultrasonic Vision for Robotic Applications</t>
  </si>
  <si>
    <t>10.1109/34.21798</t>
  </si>
  <si>
    <t>2-s2.0-0024626474</t>
  </si>
  <si>
    <t>['source point', 'singular behavior', 'properly taken', 'permeability tensors', 'layer separately', 'general forms', 'found inside', 'field excited', 'completely unrestricted', 'close vicinity']</t>
  </si>
  <si>
    <t>Using matrix methods in conjunction with Fourier transformation techniques, the field excited by arbitrarily oriented elementary electric or magnetic dipole sources in the presence of a uniaxial or biaxial stratified gyrotropic medium is obtained in the form of a full dyadic Green‚Äôs function. Both the permittivity and permeability tensors, being completely unrestricted, assume their most general forms in each layer separately. The singular behavior of the solution in the close vicinity of the source point is properly taken into account by means of separate suitably selected dyadic delta function terms. Using suitably selected upward or downward wave amplitude matrices the field is found inside any of the layers. ¬© 1989 IEEE</t>
  </si>
  <si>
    <t>399-403</t>
  </si>
  <si>
    <t>Tsalamengas, John L.</t>
  </si>
  <si>
    <t>Greece</t>
  </si>
  <si>
    <t>Athens</t>
  </si>
  <si>
    <t>National Technical University of Athens</t>
  </si>
  <si>
    <t>Tsalamengas J.L.</t>
  </si>
  <si>
    <t>Electromagnetic Fields of Elementary Dipole Antennas Embedded in Stratified General Gyrotropic Media</t>
  </si>
  <si>
    <t>10.1109/8.18739</t>
  </si>
  <si>
    <t>2-s2.0-0024626880</t>
  </si>
  <si>
    <t>['wave mixers', 'quantum susceptance', 'mixer performance', 'matching structures', 'independently calculated', 'fit data', 'especially important']</t>
  </si>
  <si>
    <t>We have used the full Tucker theory including the quantum susceptance to fit data from planar lithographed mm-wave mixers with bow tie antennas and integrated RF coupling elements.1.2 Essentially perfect fits to pumped IV curves have been obtained. The deduced imbedding admittances agree well with those independently calculated from the geometry of the antenna and matching structures. We find that the quantum susceptance is essential to the fit and thus to predictions of the mixer performance. For junctions with moderately sharp gap structures, the quantum susceptance is especially important in the production of steps with low and/or negative dynamic conductance. ¬© 1989 IEEE</t>
  </si>
  <si>
    <t>1050-1053</t>
  </si>
  <si>
    <t>60025038;60025038;60025038</t>
  </si>
  <si>
    <t>7003528806;7403214762;7201484168</t>
  </si>
  <si>
    <t>Mears, C. A.;Hu, Qing;Richards, P. L.</t>
  </si>
  <si>
    <t>Mears C.A.</t>
  </si>
  <si>
    <t>Numerical simulation of experimental data from planar sis mixers with integrated tuning elements</t>
  </si>
  <si>
    <t>10.1109/20.92469</t>
  </si>
  <si>
    <t>2-s2.0-0024626907</t>
  </si>
  <si>
    <t>['wave dipoles', 'theoretical model', 'solved using', 'reasonable agreement', 'obtained experimentally', 'linear systems', 'equivalent lengths', 'coaxial colinear']</t>
  </si>
  <si>
    <t>An improved theoretical model of the coaxial colinear (COCO) antenna is presented. Uniform and tapered current distributions have been obtained experimentally and theoretically on end-fed coaxial colinear antennas. There is reasonable agreement between theory and measurements. The linear systems of equations of the theoretical model are solved using a preconditioned conjugate gradient method. The gains of a few COCO antennas relative to equivalent lengths of half-wave dipoles are given. ¬© 1989 IEEE</t>
  </si>
  <si>
    <t>289-296</t>
  </si>
  <si>
    <t>60008778-60027716</t>
  </si>
  <si>
    <t>Judasz, Thierry J.</t>
  </si>
  <si>
    <t>Washington, D.C.;Boulder</t>
  </si>
  <si>
    <t>National Oceanic and Atmospheric Administration;Cooperative Institute for Research in Environmental Sciences</t>
  </si>
  <si>
    <t>60027716;60008778</t>
  </si>
  <si>
    <t>Judasz T.J.</t>
  </si>
  <si>
    <t>Improved Theoretical and Experimental Models for the Coaxial Colinear Antenna</t>
  </si>
  <si>
    <t>10.1109/8.18724</t>
  </si>
  <si>
    <t>2-s2.0-0024627029</t>
  </si>
  <si>
    <t>[]</t>
  </si>
  <si>
    <t>An X-band phased array with dielectric loaded circular waveguide elements was investigated. The aperture was designed to provide balanced scan characteristics for both the E- and H-planes. ¬© 1989 IEEE</t>
  </si>
  <si>
    <t>395-399</t>
  </si>
  <si>
    <t>60005304;60005304</t>
  </si>
  <si>
    <t>57193268489;7102122144</t>
  </si>
  <si>
    <t>Lee, J. J.;Chu, Ruey Shi</t>
  </si>
  <si>
    <t>Waltham</t>
  </si>
  <si>
    <t>Raytheon</t>
  </si>
  <si>
    <t>Lee J.</t>
  </si>
  <si>
    <t>Aperture Matching of a Dielectric Loaded Circular Waveguide Element Array</t>
  </si>
  <si>
    <t>10.1109/8.18738</t>
  </si>
  <si>
    <t>2-s2.0-0024627127</t>
  </si>
  <si>
    <t>NSG-5049</t>
  </si>
  <si>
    <t>['tracking errors', 'tracking error', 'shift keying', 'receiver sensitivity', 'receiver performance', 'random pointing', 'quickly offset', 'position modulation', 'pbe ),', 'modulation format', 'local oscillator', 'incoming signal', 'heterodyne systems', 'heterodyne system', 'desired probability', 'bit error', 'antenna size']</t>
  </si>
  <si>
    <t>The impact of random pointing and tracking errors on the performance and design of optical intersatellite communication links is analyzed. Given the rms transmitter pointing error and the desired probability of bit error (PBE), it can be shown that an optimal transmitter antenna gain exists which minimizes the required transmitter power. The product of this optimum antenna gain and the mean square pointing error is a constant which depends only on the PBE and the modulation format. For heterodyne systems, the performance of the receiver also depends on the tracking error between the local oscillator (LO) and the incoming signal. Given the rms LO tracking error, an optimum receiver antenna gain can be found which optimizes the receiver performance. The impact of pointing and tracking errors on the design of direct detection pulse-position modulation (PPM) and heterodyne noncoherent frequency-shift keying (NCFSK) systems are then analyzed in terms of constraints on the antenna size and the power penalty incurred. It is shown that in the limit of large spatial tracking errors, the advantage in receiver sensitivity for the heterodyne system is quickly offset by the smaller antenna gain and the higher power penalty due to tracking errors. In contrast, for systems with small spatial tracking errors, the heterodyne system is superior because of the higher receiver sensitivity. ¬© 1989 IEEE</t>
  </si>
  <si>
    <t>252-260</t>
  </si>
  <si>
    <t>56126274000;7202389214</t>
  </si>
  <si>
    <t>Chen, Chien Chung;Gardner, Chester S.</t>
  </si>
  <si>
    <t>Chen C.</t>
  </si>
  <si>
    <t>Impact of Random Pointing and Tracking Errors on the Design of Coherent and Incoherent Optical Intersatellite Communication Links</t>
  </si>
  <si>
    <t>10.1109/26.20099</t>
  </si>
  <si>
    <t>2-s2.0-0024627150</t>
  </si>
  <si>
    <t>['superconducting radio', 'several thousand', 'rf bridge', 'remotely balanced', 'present stage', 'physical quantity', 'one part', 'allowed us', '4 mhz', "/' hz"]</t>
  </si>
  <si>
    <t>An electromechanical transducer based on a superconducting radio-frequency bridge circuit has been developed for use on a gravitational radiation detector. The low electrical loss of superconductors has allowed us to achieve electrical quality factors of several thousand in a lumped element circuit which operates at 4 MHz. The RF bridge could be remotely balanced to one part in 50,000 which led to a displacement noise level of 10‚Äì15 meter/Hz, The RF bridge should be useful to measure any physical quantity which can be made to change a capacitance. At the present stage of development capacitance changes of 10‚Äì20 F could be detected in a one second integration time. One straightforward improvement, namely the use of a low phase noise quartz crystal oscillator as the bridge excitation source, will yield a reduction of the noise to 10‚Äì17 m/'Hz. ¬© 1989 IEEE</t>
  </si>
  <si>
    <t>1358-1361</t>
  </si>
  <si>
    <t>60027165;60007566;115596443</t>
  </si>
  <si>
    <t>7004544285;7404847027;6602162239</t>
  </si>
  <si>
    <t>Bocko, Mark F.;Johnson, Warren W.;Iafolla, Valerio</t>
  </si>
  <si>
    <t>United States;United States;Italy</t>
  </si>
  <si>
    <t>Rochester;Baton Rouge;Frascati</t>
  </si>
  <si>
    <t>University of Rochester;Louisiana State University;I.F.S.I.</t>
  </si>
  <si>
    <t>Bocko M.</t>
  </si>
  <si>
    <t>A RF Superconducting Electromechanical Transducer for Gravitational Wave Antennae</t>
  </si>
  <si>
    <t>10.1109/20.92845</t>
  </si>
  <si>
    <t>2-s2.0-0024627160</t>
  </si>
  <si>
    <t>['strongly dependent', 'spectrum shape', 'postdetection diversity', 'multipath channel', 'msk show', 'mobile station', 'independent awgn', 'frequency demodulation', 'fading correlation', 'diversity improvement', 'dd ),', 'calculated results', 'branch case', 'ber performance', 'also analyzed']</t>
  </si>
  <si>
    <t>An analysis of bit error rate (BER) in a binary digital FM system with postdetection diversity is presented. Expressions for the average BER due to additive white Gaussian noise (AWGN), random FM noise and delay-spread in the multipath channel are derived for reception using differential demodulation (DD), and frequency demodulation (FD) assuming independent fading signals. Calculated results for MSK show that the BER performance is strongly dependent on the rms-delay to bit duration ratio and that the delay-spectrum shape is of no importance when the receiver predetection filter BT product is optimized for the effect of AWGN. The effect of fading correlation on the diversity improvement is also analyzed for a two-branch case with multiplicative Rayleigh fading signals. Expressions for the average BER due to AWGN and random FM noise are derived. Calculated results are shown for the average BER due to random FM noise assuming a horizontally spaced antenna system at a mobile station. It is shown that the use of small antenna spacings leads to a diversity improvement greater than that obtainable for the case of independent AWGN. ¬© 1989 IEEE</t>
  </si>
  <si>
    <t>200-210</t>
  </si>
  <si>
    <t>60025555;60020661</t>
  </si>
  <si>
    <t>7103400688;7402708406</t>
  </si>
  <si>
    <t>Adachi, Fumiyuki;Parsons, J. David</t>
  </si>
  <si>
    <t>Japan;United Kingdom</t>
  </si>
  <si>
    <t>Tokyo;Liverpool</t>
  </si>
  <si>
    <t>Nippon Telegraph and Telephone Corporation;University of Liverpool</t>
  </si>
  <si>
    <t>Adachi F.</t>
  </si>
  <si>
    <t>Error Rate Performance of Digital FM Mobile Radio with Postdetection Diversity</t>
  </si>
  <si>
    <t>10.1109/26.20093</t>
  </si>
  <si>
    <t>2-s2.0-0024627176</t>
  </si>
  <si>
    <t>['transmit signals', 'target zone', 'system performance', 'stray signals', 'small taper', 'polarization errors', 'minimize diffractions', 'main reflector', 'fence reduces', 'feed assemblies', 'enable one', 'coupling aperture', 'absorber fence']</t>
  </si>
  <si>
    <t>The concept of a dual chamber compact range configuration is proposed. The main chamber contains only the main reflector and target zone; the second, smaller chamber contains an oversized Gregorian subreflector and feed assemblies. The chambers are isolated by an absorber fence except for a small coupling aperture which is used to transmit signals between them. The absorber fence prevents diffraction by the subreflector and spillover by the feed from illuminating the main reflector and target zone. System performance is analyzed with and without the absorber fence to show how the fence reduces the effects of the stray signals, and it is shown how the coupling aperture should be shaped to minimize diffractions. The use of such a system should enable one to produce an illumination with very small taper, ripple and cross-polarization errors in the target zone. ¬© 1989 IEEE</t>
  </si>
  <si>
    <t>305-313</t>
  </si>
  <si>
    <t>60021902-60003500;60003500</t>
  </si>
  <si>
    <t>7004219095;7004270570</t>
  </si>
  <si>
    <t>Pistorius, Carl W.;Burnside, Walter D.</t>
  </si>
  <si>
    <t>South Africa;United States</t>
  </si>
  <si>
    <t>Pretoria;Columbus</t>
  </si>
  <si>
    <t>University of Pretoria;The Ohio State University</t>
  </si>
  <si>
    <t>60021902;60003500</t>
  </si>
  <si>
    <t>Pistorius C.</t>
  </si>
  <si>
    <t>A Dual Chamber Gregorian Subreflector System for Compact Range Applications</t>
  </si>
  <si>
    <t>10.1109/8.18726</t>
  </si>
  <si>
    <t>2-s2.0-0024627187</t>
  </si>
  <si>
    <t>['input power', '550 mhz']</t>
  </si>
  <si>
    <t>Measurements on a liquid nitrogen cooled, superconducting, short dipole aerial at 550 MHz are presented. An estimate of the rf critical current is made from deviations in linearity with input power. ¬© 1989 IEEE</t>
  </si>
  <si>
    <t>1313-1314</t>
  </si>
  <si>
    <t>60019702-105844656;60019702-105844656;60019702</t>
  </si>
  <si>
    <t>7004362255;7005970306;7006639115</t>
  </si>
  <si>
    <t>Gough, C. E.;Maclean, T. S.M.;Mehler, M. J.</t>
  </si>
  <si>
    <t>Birmingham;Runcorn</t>
  </si>
  <si>
    <t>University of Birmingham;I.C.I. Chemicals and Polymers Group</t>
  </si>
  <si>
    <t>60019702;105844656</t>
  </si>
  <si>
    <t>Gough C.</t>
  </si>
  <si>
    <t>Critical currents in a high-TC superconducting short dipole antenna</t>
  </si>
  <si>
    <t>10.1109/20.92536</t>
  </si>
  <si>
    <t>2-s2.0-0024627320</t>
  </si>
  <si>
    <t>U.S. Department of Energy</t>
  </si>
  <si>
    <t>USDOE</t>
  </si>
  <si>
    <t>['tuning elements', 'single junction', 'periodic antennas', 'optical system', 'operating frequencies', 'near millimeter', 'near 90', 'measurements using', 'least 200ghz', 'junction capacitance', 'inductive wire', 'fwhm bandwidths', 'fwhm bandwidth', 'attributed mainly', '3ghz respectively', '360 ghz']</t>
  </si>
  <si>
    <t>We have tested the performance of planar SIS mixers with log-periodic antennas at near millimeter and submillimeter wave frequencies from 90 to 360 GHz. The large œâRNC product (~1 0 at 90 GHz,) of our Nb/NbOx/Pb-In-Au junctions requires an integrated inductive tuning element to resonate the junction capacitance at the operating frequencies. We have used two types of integrated tuning element, which were designed with the aid of measurements using a Fourier transform spectrometer. Preliminary results indicate that the tuning elements can give very good mixer performance up to at least 200GHz. An inductive wire in parallel with a 5-junction array gives a minimum mixer noise temperature of 115K (DSB) at 90GHz with a FWHM bandwidth of 8GHz. An open-ended microstrip stub in parallel with a single junction, gives minimum mixer noise temperatures of 150 and 200K (DSB) near 90 and 1800Hz with FWHM bandwidths of 4 and 3GHz respectively. The relatively high mixer noise temperatures compared to those of waveguide SIS mixers in a similar frequency range are attributed mainly to the losses in our optical system, which is being improved. ¬© 1989 IEEE</t>
  </si>
  <si>
    <t>1380-1383</t>
  </si>
  <si>
    <t>60025038;60025038;60025038;60023053</t>
  </si>
  <si>
    <t>7403214762;7003528806;7201484168;57219106457</t>
  </si>
  <si>
    <t>Hu, Qing;Mears, C. A.;Richards, P. L.;Lloyd, F. L.</t>
  </si>
  <si>
    <t>Berkeley;Gaithersburg</t>
  </si>
  <si>
    <t>University of California, Berkeley;National Institute of Standards and Technology</t>
  </si>
  <si>
    <t>60025038;60023053</t>
  </si>
  <si>
    <t>Hu Q.</t>
  </si>
  <si>
    <t>MM Wave quasioptical sis mixers</t>
  </si>
  <si>
    <t>10.1109/20.92552</t>
  </si>
  <si>
    <t>2-s2.0-0024627837</t>
  </si>
  <si>
    <t>['scalar horn', 'reflector antennas', 'readily treated', 'novel configuration', 'near field', 'electrically small', '3 mm']</t>
  </si>
  <si>
    <t>Simple design procedures, based on Gaussian beam theory, for illumination of reflector antennas are discussed. Cases where a reflector or subreflector is electrically small, or in the near field of a feed, are readily treated. For ellipitcal beam antennas, a simple illumination system using only a scalar horn and a single cylindrical lens can generally be found; this has no ray optics analogue. A novel configuration of this type is discussed, with a practical case study of a 28 by 80 X ellipitcal Cassegrain antenna operating at a wavelength of 3 mm. ¬© 1989 IEEE</t>
  </si>
  <si>
    <t>297-304</t>
  </si>
  <si>
    <t>60008524-60014313</t>
  </si>
  <si>
    <t>Mcewan, Neil J.</t>
  </si>
  <si>
    <t>United States;United Kingdom</t>
  </si>
  <si>
    <t>Amherst MA;Bradford</t>
  </si>
  <si>
    <t>University of Massachusetts Amherst;University of Bradford</t>
  </si>
  <si>
    <t>60014313;60008524</t>
  </si>
  <si>
    <t>Mcewan N.</t>
  </si>
  <si>
    <t>Gaussian Beam Techniques for Illuminating Reflector Antennas</t>
  </si>
  <si>
    <t>10.1109/8.18725</t>
  </si>
  <si>
    <t>2-s2.0-0024627946</t>
  </si>
  <si>
    <t>['results available', 'rectangular waveguides', 'polarization effects', 'moment method', 'modal expansion', 'full set']</t>
  </si>
  <si>
    <t>A combined modal expansion and moment method is applied for analyzing finite planar arrays of rectangular waveguides in an infinite ground plane including reactively loaded waveguide elements. Mutual aperture coupling, also for large aperture sizes, cross-polarization effects as well as the influence of higher order modes are taken into account by orthogonally polarized rooftop expansion functions for the magnetic surface currents in the apertures, and by modal expansion into the full set of eigenmodes in the involved waveguide cavity elements. Design examples demonstrate that beamforming, limited sector beamsteering, and improvement of cross-polar suppression properties are achieved by the electromagnetically excited waveguide elements. The theory is verified by results available from the literature and by our own measurements. ¬© 1989 IEEE</t>
  </si>
  <si>
    <t>329-338</t>
  </si>
  <si>
    <t>60008293;60008293;60008293;60008293;60008293;60008293;60008293</t>
  </si>
  <si>
    <t>7006748393;7201666588;6504133393;56838679400;6503926934;6503905041;6506367450</t>
  </si>
  <si>
    <t>Arndt, Fritz;Wolff, Karl Heinz;Br√únjes, L√úr;Reiner Heyen, R. H.;Siefken-Herrlich, Frank;Bothmer, Wolfgang;Forgber, Ernst</t>
  </si>
  <si>
    <t>Bremen</t>
  </si>
  <si>
    <t>Universit√§t Bremen</t>
  </si>
  <si>
    <t>Arndt F.</t>
  </si>
  <si>
    <t>Generalized Moment Method Analysis of Plana Reactively Loaded Rectangular Waveguide Arrays</t>
  </si>
  <si>
    <t>10.1109/8.18729</t>
  </si>
  <si>
    <t>2-s2.0-0024627947</t>
  </si>
  <si>
    <t>['wave impedance', 'propagation constants', 'magnetic materials', 'low loss', 'lossy materials', 'exact formulation', 'better predict']</t>
  </si>
  <si>
    <t>Calculations of propagation constants for lossy materials are performed under the approximations of low loss (or high conductivity). To improve the understanding and better predict the analysis of such materials, exact formulation for wave impedance and propagation constants of homogeneous, lossy, dielectric/magnetic materials are proposed. Formulation is based on dielectric and/or magnetic loss tangent of the material. ¬© 1989 IEEE</t>
  </si>
  <si>
    <t>410-411</t>
  </si>
  <si>
    <t>Peter, Linner J.</t>
  </si>
  <si>
    <t>Gothenburg</t>
  </si>
  <si>
    <t>Chalmers University of Technology</t>
  </si>
  <si>
    <t>Peter L.J.</t>
  </si>
  <si>
    <t>Exact Formulas for Wave Impedance and Propagation Constants of Homogeneous, Lossy Dielectric and/or Magnetic Materials</t>
  </si>
  <si>
    <t>10.1109/8.18743</t>
  </si>
  <si>
    <t>2-s2.0-0024627972</t>
  </si>
  <si>
    <t>['strip conductor', 'specified frequency', 'slowly varying', 'made using', 'ground plane', 'design parameters', 'circularly polarized', 'circular polarization', 'annular sector', '5 db']</t>
  </si>
  <si>
    <t>A low-profile, circularly polarized (CP) antenna can be made using an annular sector of strip conductor over a ground plane. It is simple to construct and feed. Both senses of circular polarization can be transmitted or received from the same structure. The antenna has a very wide impedance bandwidth. A figure of merit, proportional to the broadside power gain, is slowly varying over a 30 percent bandwidth. Design parameters are given for an antenna that will produce a broadside axial ratio that is less than 0.5 dB at a specified frequency. ¬© 1989 IEEE</t>
  </si>
  <si>
    <t>281-288</t>
  </si>
  <si>
    <t>7007149908;7006767012</t>
  </si>
  <si>
    <t>Drewniak, James L.;Mayes, Paul E.</t>
  </si>
  <si>
    <t>Drewniak J.L.</t>
  </si>
  <si>
    <t>Anserlin: A Broad-Band, Low-Profile, Circularly Polarized Antenna</t>
  </si>
  <si>
    <t>10.1109/8.18723</t>
  </si>
  <si>
    <t>2-s2.0-0024627987</t>
  </si>
  <si>
    <t>['wiley company', 'whispering gallery', 'valid result', 'sphere radius', 'previous expression', 'numerical integration', 'integer ).', 'inc .,', 'high speed', 'experimental results', 'engineering application', 'electromagnetic field', 'electromagnetic analysis', 'dome antenna', 'continuous spectrum', 'conducting sphere', 'concave surface', 'concave side', 'arbitrary ka', 'antenna beam']</t>
  </si>
  <si>
    <t>The dome antenna has been proposed for scanning an antenna beam at a high speed in a wide angular range. For the design of a dome antenna, an electromagnetic analysis in the concave side of the conducting sphere is required. In connection with this problem, the electromagnetic field by an electric dipole placed on the concave surface of an open conducting sphere has been reported and analyzed in terms of the sum of the whispering gallery (WG) modes, continuous spectrum and ŒΩ = 0 (ŒΩ: wavenumber in the Œ∏ direction) by the authors. However, it has been pointed out that this expression has a problem for an arbitrary ka, although it provides a valid result for ka = nœÄ/2 (k: wavenumber, a: sphere radius, n: integer). It is also unattractive numerically since Legendre functions must be calculated by numerical integration. In this paper, an engineering application is attempted by using a high‚Äêfrequency approximation. By means of the approximate asymptotic solution and the previous expression, actual numerical calculations have been carried out. By way of comparison with experimental results, the validity of each expression is confirmed and its range of applicability is studied. Copyright ¬© 1989 Wiley Periodicals, Inc., A Wiley Company</t>
  </si>
  <si>
    <t>19-28</t>
  </si>
  <si>
    <t>8756663X</t>
  </si>
  <si>
    <t>Electronics and Communications in Japan (Part II: Electronics)</t>
  </si>
  <si>
    <t>60008435-60018735;60008435;60008435;60011107</t>
  </si>
  <si>
    <t>7404540549;35598806700;56779495700;7004205007</t>
  </si>
  <si>
    <t>Maeda, Tadahiko;Sawaya, Kunio;Adachi, Saburo;Mushiake, Yasuto</t>
  </si>
  <si>
    <t>Tokyo;Sendai;Sendai</t>
  </si>
  <si>
    <t>Toshiba Corporation;Tohoku Institute of Technology;Tohoku University</t>
  </si>
  <si>
    <t>60018735;60011107;60008435</t>
  </si>
  <si>
    <t>Maeda T.</t>
  </si>
  <si>
    <t>Asymptotic approximation and experimental study of electromagnetic fields excited by an electric dipole located over a conducting concave spherical surface</t>
  </si>
  <si>
    <t>10.1002/ecjb.4420720303</t>
  </si>
  <si>
    <t>2-s2.0-0024627990</t>
  </si>
  <si>
    <t>['wider field', 'proper refocusing', 'may give', 'lenses fabricated', 'grating lobes', 'approach provides']</t>
  </si>
  <si>
    <t>A procedure is derived for proper refocusing of the dielectric-filled Rotman lens with beam port locations determined according to Snell's law. The approach provides an alternative lens configuration which may give a wider field of scan, at a given focal length, for lenses fabricated in microstrip or stripline. The presence of grating lobes in the lens is discussed. ¬© 1989 IEEE.</t>
  </si>
  <si>
    <t>390-392</t>
  </si>
  <si>
    <t>Gagnon, David R.</t>
  </si>
  <si>
    <t>China Lake</t>
  </si>
  <si>
    <t>Naval Air Warfare Center Weapons Division</t>
  </si>
  <si>
    <t>Gagnon D.</t>
  </si>
  <si>
    <t>Procedure for Correct Refocusing of the Rotman Lens According to Snell‚Äôs Law</t>
  </si>
  <si>
    <t>10.1109/8.18736</t>
  </si>
  <si>
    <t>2-s2.0-0024628186</t>
  </si>
  <si>
    <t>['simple derivation', 'series expansions', 'scattering coefficients', 'require inversion', 'particular formulation', 'mutual impedance', 'microstrip patches', 'method matrix', 'domain analysis', 'computationally efficient', 'cavity model']</t>
  </si>
  <si>
    <t>A dominant-mode mutual coupling theory is developed for an array of microstrip patches. Advantages of this particular formulation are compatibility with either a cavity model, a spectral-domain analysis, or measurements, and the simple derivation of series expansions for the mutual impedance, admittance, and scattering coefficients which do not require inversion of a moment-method matrix. These expansions are computationally efficient for large sparse arrays. ¬© 1989 IEEE</t>
  </si>
  <si>
    <t>269-274</t>
  </si>
  <si>
    <t>7404289310;7202452162;7004675406</t>
  </si>
  <si>
    <t>Jackson, David R.;Richards, William F.;Ali-Khan, Ajaz</t>
  </si>
  <si>
    <t>Jackson D.</t>
  </si>
  <si>
    <t>Series Expansions for the Mutual Coupling in Microstrip Patch Arrays</t>
  </si>
  <si>
    <t>10.1109/8.18721</t>
  </si>
  <si>
    <t>2-s2.0-0024628439</t>
  </si>
  <si>
    <t>['useful insight', 'series form', 'resulting solution', 'quite accurate', 'new observations', 'method solution', 'direct inspection', 'current response', 'coupling phenomena', 'converges rapidly', 'approximate solution', 'accurate moment']</t>
  </si>
  <si>
    <t>An approximate solution is derived for determining the total current induced on a centrally located conducting wire within a two-dimensional axially slotted cylinder for the case of E-polarization. The solution is obtained by assuming an approximate field representation for the aperture electric field. The resulting solution is shown to be quite accurate for apertures up to one wavelength wide by comparing with an accurate moment-method solution of the describing integral equation. The approximate solution is cast in a series form which converges rapidly. Useful insight into coupling phenomena is obtained by direct inspection of the solution, and some new observations about the current response are made. ¬© 1989 IEEE</t>
  </si>
  <si>
    <t>347-352</t>
  </si>
  <si>
    <t>Riley, Douglas J.</t>
  </si>
  <si>
    <t>Albuquerque</t>
  </si>
  <si>
    <t>Sandia National Laboratories, New Mexico</t>
  </si>
  <si>
    <t>Riley D.</t>
  </si>
  <si>
    <t>An Approximate Solution for E-Polarization Coupling Into a Coaxial Cylinder with an Infinite Axial Slot</t>
  </si>
  <si>
    <t>10.1109/8.18731</t>
  </si>
  <si>
    <t>2-s2.0-0024628440</t>
  </si>
  <si>
    <t>['various biliproteins', 'upon desaggregation', 'trimeric apc', 'one chromophore', 'extended geometry', 'chromophores increases', 'apc adopts']</t>
  </si>
  <si>
    <t>Resonance-enhanced CARS spectra of various biliproteins from the cyanobacterium Mastigocladus laminosus are presented. It is concluded that upon desaggregation of the whole antenna complex (PBS) into trimeric APC and PC and of PC into its subunits the microheterogeneity of the chromophores increases. APC spectra recorded with different pump wavelenths show that one chromophore in APC adopts an extended, the other one a non-extended geometry.</t>
  </si>
  <si>
    <t>312-315</t>
  </si>
  <si>
    <t>Berichte der Bunsengesellschaft/Physical Chemistry Chemical Physics</t>
  </si>
  <si>
    <t>60019722;60019722;60019722;60019722;60019722;60019722</t>
  </si>
  <si>
    <t>57210379912;7401903425;6507732050;55458487300;6505537018;57216047370</t>
  </si>
  <si>
    <t>Baumann, F.;Schneider, S.;Gege, P.;Fischer, R.;Siebzehnruebl, S.;Scheer, H.</t>
  </si>
  <si>
    <t>Technical University of Munich</t>
  </si>
  <si>
    <t>Baumann F.</t>
  </si>
  <si>
    <t>Resonance CARS spectroscopy of bile pigments from photosynthetic antennas</t>
  </si>
  <si>
    <t>10.1002/bbpc.19890930320</t>
  </si>
  <si>
    <t>2-s2.0-0024628479</t>
  </si>
  <si>
    <t>['wiley company', 'varied freely', 'test antenna', 'placed inside', 'parasitic posts', 'obtained theoretically', 'numerical examples', 'moment method', 'matched condition', 'load reactances', 'integral equations', 'input impedance', 'inc .,', 'fundamental characteristics', 'determinantal equation', 'current distribution', 'connected externally', 'antenna cavity']</t>
  </si>
  <si>
    <t>A cutoff cavity antenna is proposed in which excitation and parasitic posts are placed inside the antenna cavity. The input impedance of the antenna can be varied freely and matched. Its fundamental characteristics are obtained theoretically. The values of the load reactances which were connected externally to those posts are controlled and can be matched for a desired operating frequency. The current distribution on the excitation and parasitic posts and the electric field distribution over the aperture were analyzed. Integral equations for those distributions were derived and solved by Galerkin's moment method. In addition, the determinantal equation to obtain matched load reactances was obtained. Numerical examples were presented for the current distribution and the aperture electric field under a matched condition. Experiments were conducted on a test antenna and the validity of the theory was discussed. Copyright ¬© 1989 Wiley Periodicals, Inc., A Wiley Company</t>
  </si>
  <si>
    <t>61-74</t>
  </si>
  <si>
    <t>Electronics and Communications in Japan (Part I: Communications)</t>
  </si>
  <si>
    <t>60025997;60025997</t>
  </si>
  <si>
    <t>7409319315;7005495467</t>
  </si>
  <si>
    <t>Kim, Ki Chai;Tokumaru, Shinobu</t>
  </si>
  <si>
    <t>Keio University</t>
  </si>
  <si>
    <t>Kim K.C.</t>
  </si>
  <si>
    <t>A cutoff cavity antenna with resonant posts</t>
  </si>
  <si>
    <t>10.1002/ecja.4410720307</t>
  </si>
  <si>
    <t>2-s2.0-0024628607</t>
  </si>
  <si>
    <t>IEEE Transactions on Broadcasting</t>
  </si>
  <si>
    <t>7103008782;57198181336</t>
  </si>
  <si>
    <t>Vaughan, T.;McClure, H.</t>
  </si>
  <si>
    <t>Vaughan T.</t>
  </si>
  <si>
    <t>Reflection and ghosts in a multitower environment</t>
  </si>
  <si>
    <t>10.1109/11.18761</t>
  </si>
  <si>
    <t>2-s2.0-0024629111</t>
  </si>
  <si>
    <t>['various services', 'two pairs', 'simpl ify', 'signal reception', 'reception rate', 'phase combined', 'field tests', 'electronic tracking', 'dbs signals', 'antenna units', 'antenna tracking', 'antenna controlling', 'always corrected']</t>
  </si>
  <si>
    <t>A practical mobile 12GHz broadcasting satellite (OBS) television receiving system for receivers on vehicles is described in this paper. The system is housed in a cyl indrical radome of 350 mm height and 862 mm diameter. And it weighs 50 kilograms. In order to receive DBS television on vehicles, two pairs of high performance flat panel antenna units (640mm x 18Umm x 2 pairs) are used to minimize the system. And for rapid re-catch of DBS, antenna controlling is based on gyroscope which is always corrected with phase comparison monopulse. In order to simpl ify the system, the antenna units and receivers are used not only for antenna tracking but also for signal reception. The antenna units are in-phase combined to enable the electronic tracking for the DBS signals, The electronic tracking reduces the influence of pointing error caused by vibration of vehicles. Field tests have proved that this system is very practical, maintaining a reception rate of more than 90% on expressways. This system can draw out the potentiality of DBS. Various services from DBS will be available On vehicles by using this system. ¬© 1989 IEEE</t>
  </si>
  <si>
    <t>56-62</t>
  </si>
  <si>
    <t>60103907;60103907</t>
  </si>
  <si>
    <t>55467314600;54680372200</t>
  </si>
  <si>
    <t>Ito, Yasuhiro;Yamazaki, Shigeru</t>
  </si>
  <si>
    <t>Nippon Hoso Kyokai</t>
  </si>
  <si>
    <t>Ito Y.</t>
  </si>
  <si>
    <t>A mobile 12 GHZ DBS telivision receiving system</t>
  </si>
  <si>
    <t>10.1109/11.18765</t>
  </si>
  <si>
    <t>2-s2.0-0024629382</t>
  </si>
  <si>
    <t>['would require', 'two methods', 'theoretical model', 'systematic approach', 'radio telescope', 'near field', 'image sources', 'existing telescopes', 'antenna array']</t>
  </si>
  <si>
    <t>A theoretical model is developed for describing the operation of a radio telescope using techniques from optical coherence theory. This model is then used to develop a more systematic approach to the problem of refocusing a radio telescope to image sources which are within the near field of the antenna array. Two methods for refocusing the telescope are described which would require no modification to most existing telescopes. Some modifications of the data processing software would be required. ¬© 1989 IEEE.</t>
  </si>
  <si>
    <t>314-319</t>
  </si>
  <si>
    <t>Carter, William H.</t>
  </si>
  <si>
    <t>Naval Research Laboratory</t>
  </si>
  <si>
    <t>Carter W.</t>
  </si>
  <si>
    <t>On Refocusing a Radio Telescope to Image Sources in the Near Field of the Antenna Array</t>
  </si>
  <si>
    <t>10.1109/8.18727</t>
  </si>
  <si>
    <t>2-s2.0-0024629386</t>
  </si>
  <si>
    <t>Air Force Office of Scientific Research</t>
  </si>
  <si>
    <t>AFOSR</t>
  </si>
  <si>
    <t>['wave quasi', 'optical applications', 'individual elements', 'imaging array', 'circuit produced', '7900 k']</t>
  </si>
  <si>
    <t>Planar twin dipole microstrip antennas with integrated FET detectors have been constructed and found to provide antenna patterns suitable for millimeter-wave quasi-optical applications. The circuits are suitable as individual elements of an imaging array. A 63 GHz heterodyne mixer using such a circuit produced a system noise temperature of 7900 K. ¬© 1989 IEEE</t>
  </si>
  <si>
    <t>593-597</t>
  </si>
  <si>
    <t>60027550;60027550</t>
  </si>
  <si>
    <t>7202427680;7006388096</t>
  </si>
  <si>
    <t>Chew, Wilbert;Fetterman, Harold R.</t>
  </si>
  <si>
    <t>Chew W.</t>
  </si>
  <si>
    <t>Printed Circuit Antennas with Integrated FET Detectors for Millimeter-Wave Quasi Optics</t>
  </si>
  <si>
    <t>10.1109/22.21632</t>
  </si>
  <si>
    <t>2-s2.0-0024629516</t>
  </si>
  <si>
    <t>['whole range', 'wavelength part', 'pulse duration', 'bands representing', 'antenna chlorophyll', '5 ns']</t>
  </si>
  <si>
    <t>Induction of a non-linearity in the long-wavelength part of the S0-S1 absorption band of chlorophyll in vivo by a monochromatic pulse results in simultaneous band shape change in the whole range of investigation (645 - 680 nm). Such homogeneous broadening behavior at least for time periods ‚â≥0.5 ns (pulse duration) does not support the hypothesis of many small sub-bands representing 'chlorophyll forms'. The band shape changes at different excitation intensities indicate two excited state absorptions of antenna chlorophyll.</t>
  </si>
  <si>
    <t>371-374</t>
  </si>
  <si>
    <t>60016082;60016082;60016082;60016082</t>
  </si>
  <si>
    <t>24551741200;56133500300;7004323950;56261415500</t>
  </si>
  <si>
    <t>Leupold, D.;Stiel, H.;Klose, E.;Hoffmann, P.</t>
  </si>
  <si>
    <t>Berlin</t>
  </si>
  <si>
    <t>Akademie der Wissenschaften der DDR</t>
  </si>
  <si>
    <t>Leupold D.</t>
  </si>
  <si>
    <t>Search of 'chlorophyll forms' in vivo by non-linear laser spectroscopy</t>
  </si>
  <si>
    <t>10.1002/bbpc.19890930330</t>
  </si>
  <si>
    <t>2-s2.0-0024629621</t>
  </si>
  <si>
    <t>['upon use', 'suitable image', 'quantitative evaluation', 'overall error', 'neglected since', 'mechanical tolerances', 'gtd ),', 'geometrical theory', 'error due', 'efficiently computed', 'effects requires', 'array edges', 'approximate form']</t>
  </si>
  <si>
    <t>In the design of high-performance slot arrays, the influence of the array edges should not be neglected. The quantitative evaluation of these effects requires the knowledge of the Green‚Äôs function for a wedge. Upon use of the geometrical theory of diffraction (GTD), an approximate form of this Green‚Äôs function is computed, which admits a representation in terms of ‚Äôimages.‚Äù The influence of the edge is modeled as a coupling with a suitable image of the slot, which can be very efficiently computed. Some test cases show that the overall error of this approximation can be neglected since it is comparable with the error due to mechanical tolerances. ¬© 1989 IEEE</t>
  </si>
  <si>
    <t>392-395</t>
  </si>
  <si>
    <t>Mazzarella, Giuseppe</t>
  </si>
  <si>
    <t>Naples</t>
  </si>
  <si>
    <t>Universit√† degli Studi di Napoli Federico II</t>
  </si>
  <si>
    <t>Mazzarella G.</t>
  </si>
  <si>
    <t>Evaluation of Edge Effects in Slot Arrays Using The Geometrical Theory of Diffraction</t>
  </si>
  <si>
    <t>10.1109/8.18737</t>
  </si>
  <si>
    <t>2-s2.0-0024629667</t>
  </si>
  <si>
    <t>['modified form', 'microstrip antenna', 'made technique', 'input impedance', 'ferrite substrate', 'exact relation', 'dielectric substrate', 'also suggested']</t>
  </si>
  <si>
    <t>Modal expansion technique used to determine the input impedance of microstrip antenna on dielectric substrate has, in the modified form, been employed to establish an exact relation between the input impedance of microstrip antenna on a ferrite substrate and the feed point variation both for coax and microstrip line feeding. A ready-made technique is also suggested to find out the input impedance of ferrite based microstrip antennas.</t>
  </si>
  <si>
    <t>111-114</t>
  </si>
  <si>
    <t>IETE Technical Review (Institution of Electronics and Telecommunication Engineers, India)</t>
  </si>
  <si>
    <t>Mar-Apr</t>
  </si>
  <si>
    <t>118782112;118782112;118782112</t>
  </si>
  <si>
    <t>7402648371;7006422314;8356522700</t>
  </si>
  <si>
    <t>Mishra, R. K.;Pattnaik, S. S.;Das, N.</t>
  </si>
  <si>
    <t>Kanyakumari</t>
  </si>
  <si>
    <t>University College of Engineering</t>
  </si>
  <si>
    <t>Mishra R.</t>
  </si>
  <si>
    <t>Input impedance variation of coax and microstrip-line fed microstrip antenna on ferrite substrates</t>
  </si>
  <si>
    <t>10.1080/02564602.1989.11438446</t>
  </si>
  <si>
    <t>2-s2.0-0024630024</t>
  </si>
  <si>
    <t>['zenith angle', 'wind profiles', 'two components', 'tidal waves', 'scattering processes', 'scattering increases', 'scattered power', 'results show', 'received power', 'preferentially normal', 'may provide', 'isotropic component', 'horizontal displacement', 'copyright 1989', 'aspect sensitivity', 'antenna gain', 'angular width', 'angular dependence', 'angle relative', 'angle measured', '85 km', '6 ¬∞', '2 hours']</t>
  </si>
  <si>
    <t>We have measured radar returns from the mesosphere by operating a 10‚Äêantenna phase‚Äêcoherent 2.66‚ÄêMHz radar as an imaging Doppler interferometer. We use the resulting three‚Äêdimensional description of the scattering to characterize the aspect sensitivity of the returns for 2 hours of data taken one spring equinox afternoon. The returned power distribution is generally circularly symmetric, so that it can be described at each altitude in terms of its variation with zenith angle, or, more accurately, with the angle relative to the center of power of the distribution. The horizontal displacement from zenith of the center of power versus altitude suggests a gravity wave‚Äêlike variation with a 13‚Äêkm vertical wavelength and may provide an alternative to wind profiles as a way to observe propagating gravity and tidal waves. We correct the received power for antenna gain and distance and display the dependence of scattered power on the angle measured from the center of power to describe the angular dependence of the scattering processes. These results show that the scattering generally consists of two components : an anisotropic (preferentially normal) component and an isotropic component. The anisotropic component dominates within about 6¬∞ of the center of power, while the isotropic component is seen beyond 6¬∞. The angular width of the scattering increases with altitude; above 85 km the scattering becomes almost completely isotropic. Copyright 1989 by the American Geophysical Union.</t>
  </si>
  <si>
    <t>127-132</t>
  </si>
  <si>
    <t>7401507285;6603366505;7407015324</t>
  </si>
  <si>
    <t>Adams, Gene W.;Brosnahan, John W.;Johnson, Reese E.</t>
  </si>
  <si>
    <t>Adams G.</t>
  </si>
  <si>
    <t>Aspect sensitivity of 2.66‚ÄêMHz radar returns from the mesosphere</t>
  </si>
  <si>
    <t>10.1029/RS024i002p00127</t>
  </si>
  <si>
    <t>2-s2.0-0024630044</t>
  </si>
  <si>
    <t>['vertical extent', 'vertical direction', 'turbulent layer', 'steplike discontinuities', 'reflection coefficient', 'nonphysical profiles', 'new technique', 'length scale', 'large errors', 'functional shape', 'finite width', 'echoes obtained', 'copyright 1989', 'authors propose', 'aspect sensitivity', 'anisotropic turbulence']</t>
  </si>
  <si>
    <t>A new technique, using beam broadening effects, has been developed to measure the aspect sensitivity of atmospheric clear air VHF radar echoes. It uses the relatively broad antenna beam of the vertical‚Äêpointing antenna of the new Chung‚ÄêLi stratospheric‚Äêtropospheric radar (25¬∞N, 120¬∞E). The aspect sensitivity measurement using this method is straightforward and free from convolution effects introduced by the finite width of the antenna beam pattern. The observed results agree very well with other measurements. The authors propose a turbulent layer model to explain the aspect sensitivity of the echoes. In this model, anisotropic turbulence is confined to a very thin (few meters) region at the boundary of a turbulent layer. This region is responsible for the aspect sensitivity of the echoes obtained from the vertical direction. The isotropic echoes obtained from the oblique beam arise from the isotropic turbulence embedded in the center of the layer, with 30‚Äì300 m in vertical extent. We show in an appendix that the magnitude of the partial reflection coefficient is much more sensitive to the shape, length scale, and smoothness, than to the slope of the refractive index profile. Therefore the functional shape of the refractive index profile is very important for estimating the reflection coefficient. Large errors can be made when assuming, for simplicity, nonphysical profiles. For partial reflecting mechanisms to be important, steplike discontinuities, confined within length scales of the order of a meter, would be required. Copyright 1989 by the American Geophysical Union.</t>
  </si>
  <si>
    <t>113-125</t>
  </si>
  <si>
    <t>36884983500;7403051123</t>
  </si>
  <si>
    <t>Woodman, Ronald F.;Chu, Yen‚ÄêHsyang ‚ÄêH</t>
  </si>
  <si>
    <t>Woodman R.</t>
  </si>
  <si>
    <t>Aspect sensitivity measurements of VHF backscatter made with the Chung‚ÄêLi radar: Plausible mechanisms</t>
  </si>
  <si>
    <t>10.1029/RS024i002p00113</t>
  </si>
  <si>
    <t>2-s2.0-0024630125</t>
  </si>
  <si>
    <t>['timing errors', 'results show', 'expected due', 'copyright 1989']</t>
  </si>
  <si>
    <t>Timing errors caused by the propagation of the LORAN‚ÄêC pulses over finitely conducting earth are investigated. The results show that timing errors of 1‚Äì4 Œºs could be expected due to 100‚Äê to 400‚Äêkm propagation over finitely conducting ground. Copyright 1989 by the American Geophysical Union.</t>
  </si>
  <si>
    <t>179-182</t>
  </si>
  <si>
    <t>7005428121;57213726307</t>
  </si>
  <si>
    <t>Cooray, Vernon;Orville, R. E.</t>
  </si>
  <si>
    <t>Cooray V.</t>
  </si>
  <si>
    <t>LORAN‚ÄêC timing errors caused by propagation over finitely conducting ground</t>
  </si>
  <si>
    <t>10.1029/RS024i002p00179</t>
  </si>
  <si>
    <t>2-s2.0-0024630172</t>
  </si>
  <si>
    <t>['simultaneous measurements', 'significant episodes', 'receiving antennae', 'principal means', 'microwave fading', 'meteorological conditions', 'fading associated', 'different types', 'copyright 1989', 'continuing effort', 'case studies', 'acoustic sounding']</t>
  </si>
  <si>
    <t>Simultaneous measurements of microwave fading and lower atmospheric conditions were carried out in Georgia in 1986 as a part of the continuing effort to study the line‚Äêof‚Äêsight digital radio performance. Acoustic sounding was a principal means of exploring the mechanism that causes dispersive fading. It was found that dispersive multipath fading occurs during nights with strong radiation inversion accompanied by a subsiding air mass. Subsidence inversion causes dispersion, and the origin of the air mass affects the mean received power level under multipath propagation conditions. When the height of the nocturnal boundary layer coincides with the height of the ground‚Äêbased radiation inversion layer and is at 100‚Äì150 m, fading is heavy, active, and dispersive for a 57‚Äêkm path with both transmitting and receiving antennae at 60 m above grade. Case studies of the significant episodes are presented, and the statistics of the different types of fading associated with the types of meteorological conditions are summarized for the 5‚Äêmonth study period. Copyright 1989 by the American Geophysical Union.</t>
  </si>
  <si>
    <t>133-146</t>
  </si>
  <si>
    <t>Lee, Jiin‚ÄêLang ‚ÄêL</t>
  </si>
  <si>
    <t>Dispersive microwave fading and lower atmospheric structure: An observational study</t>
  </si>
  <si>
    <t>10.1029/RS024i002p00133</t>
  </si>
  <si>
    <t>2-s2.0-0024630298</t>
  </si>
  <si>
    <t>['numerical techniques', 'moments applied', 'improves efficiency', 'copyright 1989']</t>
  </si>
  <si>
    <t>Coupling through dielectric‚Äêcovered slots is becoming a very important excitation mechanism for antennas and arrays in microwave and millimeter wave frequencies. The characteristics of these antennas can be analyzed by solving appropriate integral equations. A space domain method of moments applied for solving these equations may complicate the existing Sommerfeld integrals even more. In this paper a combination of analytical and numerical techniques has been developed which reduces the complexity of the integrals and improves efficiency and accuracy in their computation. Copyright 1989 by the American Geophysical Union.</t>
  </si>
  <si>
    <t>253-260</t>
  </si>
  <si>
    <t>Katehi P.B.</t>
  </si>
  <si>
    <t>A space domain integral equation approach in the analysis of dielectric‚Äêcovered slots</t>
  </si>
  <si>
    <t>10.1029/RS024i002p00253</t>
  </si>
  <si>
    <t>2-s2.0-0024630597</t>
  </si>
  <si>
    <t>['numerical methods', 'moment method', 'modal expansion', 'microstrip antennas', 'includes transmission', 'element method', 'different techniques', 'computer techniques', 'arbitrary shapes']</t>
  </si>
  <si>
    <t>The developments of the microstrip antennas are surveyed. Different techniques and methods for the analysis of regular and arbitrary shapes are summarised, which includes transmission-line, modal expansion (cavity), segmentation-desegmentation, computer techniques as well as numerical methods such as moment method, finite-element method, least collocation method etc.</t>
  </si>
  <si>
    <t>115-121</t>
  </si>
  <si>
    <t>105496348;105496348</t>
  </si>
  <si>
    <t>7801381799;7006597267</t>
  </si>
  <si>
    <t>Khanra, D. N.;Mallick, A. K.</t>
  </si>
  <si>
    <t>V.S. Mahavidyalaya</t>
  </si>
  <si>
    <t>Khanra D.</t>
  </si>
  <si>
    <t>Analytical techniques for regular and arbitrary shaped microstrip patch antennas: a review</t>
  </si>
  <si>
    <t>10.1080/02564602.1989.11438447</t>
  </si>
  <si>
    <t>2-s2.0-0024631278</t>
  </si>
  <si>
    <t>['tuned capacitively', 'transmitting antenna', 'therefore possible', 'radiated power', 'measured bandwidths', 'low frequency', 'least 100', 'fourth power', 'elf corona', 'despite changes', 'degrading effects', 'copyright 1989', 'continuously tuned', 'capacitance caused', 'calculations show', 'antenna radiated', 'antenna emulated', 'antenna could', 'aerostat altitude', '90 %.', '500 feet', '5 khz', '34 khz', '260 kv', '23 khz', '180 kv', '000 times']</t>
  </si>
  <si>
    <t>A demonstration of an aerostat‚Äêsupported extremely low frequency/very low frequency (ELF/VLF) transmitting antenna was performed. At ELF the vertical electric dipole (VED) antenna radiated at least 100,000 times more power than would a horizontal electric dipole having the same moment. That efficiency was achieved with an altitude of 12,500 feet (3810 m). Calculations show that the radiated power will increase as the fourth power of aerostat altitude. The tether antenna exhibited a corona onset voltage of 180 kV and was resistant to the degrading effects of ELF corona. Prolonged in‚Äêcorona operation is therefore possible. The antenna was continuously tuned, despite changes in height and capacitance caused by the aerostat flight dynamics. The huge 300‚ÄêH ELF tuning inductor posed no problem. Enhanced VED moments were achieved at ELF by operation at voltages up to 260 kV, 40% above the corona onset voltage. At VLF the antenna emulated a monopole that had a radiation efficiency greater than 90%. The measured bandwidths were large: 1.5 kHz at 23 kHz and 3.5 kHz at 34 kHz. The antenna height exceeded one‚Äêquarter wavelength at VLF, so the antenna could be tuned capacitively and required relatively low base voltages. At both VLF and ELF the measured fields agreed closely with predictions. Copyright 1989 by the American Geophysical Union.</t>
  </si>
  <si>
    <t>235-246</t>
  </si>
  <si>
    <t>;;;;;</t>
  </si>
  <si>
    <t>7201526033;6603211941;7006842497;7102835409;7201639114;56327394300</t>
  </si>
  <si>
    <t>Field, E. C.;Kies, L. R.;Bannister, P. R.;Ingram, R. F.;Hopkins, W. D.;Roberts, M. A.</t>
  </si>
  <si>
    <t>Field E.</t>
  </si>
  <si>
    <t>An aerostat‚Äêsupported ELF/VLF transmitter</t>
  </si>
  <si>
    <t>10.1029/RS024i002p00235</t>
  </si>
  <si>
    <t>2-s2.0-0024631727</t>
  </si>
  <si>
    <t>['¬© 1989', 'tumour tissue', 'total power', 'switched within', 'six months', 'performance decrements', 'passive elements', 'microwave power', 'hyperthermia treatments', 'hot switching', 'duty cycles', 'duty cycle', 'controlling power', 'computer controlled', 'avoid failure', 'application reported', 'alternately switched', 'also tested', 'active element', '99 %.', '80 w', '5 œºs', '40 w', '12 channels', '1 h', '0 œºs']</t>
  </si>
  <si>
    <t>cancer | Hyperthermia | interstitial | microwave antenna | PIN diode</t>
  </si>
  <si>
    <t>In many cancer treatment facilities where hyperthermia treatments are performed, there is a need to split a single channel microwave source into multiple, individually controllable channels. In the application reported here, microwave power is alternately switched between active and passive elements for each channel. The active element is either a microwave antenna inside a catheter in tumour tissue or a planar spiral applicator placed superficially, the total power to each channel being pulse width modulated from 1 to 99% of a 1 s duty cycle. The system is computer controlled and is capable of dividing and controlling power to 12 channels. PIN diode switch assemblies control the flow of power in each channel but they must be switched within a few microseconds to avoid failure at the high power levels used in the clinic. A high speed circuit was fabricated and tested to drive each PIN diode switch; the PIN diode switches are turned on in 1.5 Œºs and off in 3.0 Œºs, which meets the specifications for hot switching. The increase in speed over the former driver system is a factor of 5.1 for the on cycle and 1.5 √ó 105 for the off cycle and the maximum power tested in each channel was 80 W for 1 h at random duty cycles between 1 and 99%. The circuit was also tested with 40 W of power at duty cycles of 1, 50 and 99% for 1 h each; no failures or performance decrements were observed. The 12 channel circuit driver has been used for six months of clinical treatments without failure. ¬© 1989.</t>
  </si>
  <si>
    <t>130-132</t>
  </si>
  <si>
    <t>Journal of Biomedical Engineering</t>
  </si>
  <si>
    <t>60001844;105856333</t>
  </si>
  <si>
    <t>57197374123;56874783000</t>
  </si>
  <si>
    <t>Ryan, T. P.;Miller, W.</t>
  </si>
  <si>
    <t>Lebanon;Fairfield</t>
  </si>
  <si>
    <t>Dartmouth-Hitchcock Medical Center;Anghel Laboratories</t>
  </si>
  <si>
    <t>Design and performance of a high speed driver circuit for PIN diode switches used in microwave hyperthermia</t>
  </si>
  <si>
    <t>10.1016/0141-5425(89)90122-2</t>
  </si>
  <si>
    <t>2-s2.0-0024637190</t>
  </si>
  <si>
    <t>['wiley blackwell', 'weak effects', 'rights reserved', 'results confirm', 'olfactory stimuli', 'olfactory component', 'mating responses', 'male cuticle', 'male antennae', 'females appears', 'decoy females', 'controlled conditions', 'automatically recording']</t>
  </si>
  <si>
    <t>Glossina morsitans morsitans | mate location | olfaction | tsetse control | vision</t>
  </si>
  <si>
    <t>ABSTRACT. The roles of visual and/or olfactory stimuli in eliciting mating responses from male Glossina morsitans morsitans Westwood were examined, using a system for automatically recording the number and duration of mating strikes made towards decoys, under controlled conditions. The results confirm that there is no olfactory component of the female sex recognition pheromone sensed by the male antennae, and the attraction of males to females appears to be visual. The absence of male‚Äêmale mating strikes was the result of the absence of female sex‚Äêpheromone, rather than the presence of a repellent mating deterrent in the male cuticle. Experiments with coloured, artificial, sex‚Äêpheromone‚Äêdosed, cotton decoys showed that colour had only weak effects on attractiveness and number of encounters with decoys, and that no colour caused significant enhancement of mating responses over those shown to decoy females. Copyright ¬© 1989, Wiley Blackwell. All rights reserved</t>
  </si>
  <si>
    <t>147-152</t>
  </si>
  <si>
    <t>0269283X</t>
  </si>
  <si>
    <t>Medical and Veterinary Entomology</t>
  </si>
  <si>
    <t>WALL, RICHARD</t>
  </si>
  <si>
    <t>WALL R.</t>
  </si>
  <si>
    <t>The roles of vision and olfaction in mate location by males of the tsetse fly Glossina morsitans morsitans</t>
  </si>
  <si>
    <t>10.1111/j.1365-2915.1989.tb00492.x</t>
  </si>
  <si>
    <t>2-s2.0-0024639594</t>
  </si>
  <si>
    <t>['would also', 'practical version', 'measured performance', 'dielectric wedges', 'developed particularly', 'boresight using', 'antenna beam']</t>
  </si>
  <si>
    <t>A technique is described for steering an antenna beam from its boresight using a pair of dielectric wedges. The technique has been developed particularly for application in a direct broadcast satellite television receiver antenna, but would also be usable in other applications. A practical version has been designed and constructed, and the measured performance is compared with predictions.</t>
  </si>
  <si>
    <t>126-131</t>
  </si>
  <si>
    <t>Apr</t>
  </si>
  <si>
    <t>60022148;60022148</t>
  </si>
  <si>
    <t>7202821654;56132159800</t>
  </si>
  <si>
    <t>Griffiths, H. D.;Khan, M. R.</t>
  </si>
  <si>
    <t>Griffiths H.</t>
  </si>
  <si>
    <t>Antenna beam steering technique using dielectric wedges</t>
  </si>
  <si>
    <t>10.1049/ip-h-2.1989.0023</t>
  </si>
  <si>
    <t>2-s2.0-0024639730</t>
  </si>
  <si>
    <t>75-80</t>
  </si>
  <si>
    <t>IEE proceedings. Part F. Communications, radar and signal processing</t>
  </si>
  <si>
    <t>60026242;60026242</t>
  </si>
  <si>
    <t>7006283363;57124508800</t>
  </si>
  <si>
    <t>McWhirter, J. G.;Shepherd, T. J.</t>
  </si>
  <si>
    <t>Salisbury</t>
  </si>
  <si>
    <t>Defence Science and Technology Laboratory</t>
  </si>
  <si>
    <t>McWhirter J.G.</t>
  </si>
  <si>
    <t>Systolic array processor for MVDR beamforming</t>
  </si>
  <si>
    <t>10.1049/ip-f-2.1989.0013</t>
  </si>
  <si>
    <t>2-s2.0-0024639871</t>
  </si>
  <si>
    <t>['unique frequency', 'two origins', 'steady state', 'stabilization process', 'present system', 'paper deals', 'paper concludes', 'one hand', 'new feature', 'multiphase oscillators', 'minute changes', 'initial conditions', 'exist regions', 'earlier developments', 'dynamic behaviours', 'development results', 'close proximity', 'chaotic dynamics', 'arranged symmetrically']</t>
  </si>
  <si>
    <t>The paper deals with the development of a symmetrically stabilized five‚Äêphase oscillator. the development results from two origins. It employs on one hand a five‚Äêphase conservative oscillator. On the other hand the stabilization process of the oscillator is due to similar non‚Äêlinear damping terms in earlier developments of stabilized three‚Äêphase oscillators. A new feature of the present system is that it possesses an interesting steady state limit‚Äêcycle behaviour. the two possible steady state oscillations are similar, since both of them consist of a five‚Äêphase balanced set of phasors which are arranged symmetrically. However, each mode of possible steady state oscillation possesses its own unique frequency, although the amplitudes are equal. Another interesting feature of the oscillator is related to the way in which the various possible solutions (oscillatory, steady state, stable and unstable dynamic behaviours) evolve from initial conditions. There seem to exist regions where the system solutions appear sensitive to minute changes in initial conditions. It appears that completely different types of dynamic behaviours can develop from initial conditions in close proximity, which may lead eventually to the development of slightly modified systems with chaotic dynamics. the paper concludes by suggesting an application of multiphase oscillators for feeding phased array antennas. Copyright ¬© 1989 John Wiley &amp; Sons, Ltd.</t>
  </si>
  <si>
    <t>197-212</t>
  </si>
  <si>
    <t>1097007X</t>
  </si>
  <si>
    <t>International Journal of Circuit Theory and Applications</t>
  </si>
  <si>
    <t>60027161;60027161</t>
  </si>
  <si>
    <t>55152287700;6602119956</t>
  </si>
  <si>
    <t>Kaplan, B. Z.;Yardeni, D.</t>
  </si>
  <si>
    <t>Beer Sheba</t>
  </si>
  <si>
    <t>Ben-Gurion University of the Negev</t>
  </si>
  <si>
    <t>Kaplan B.</t>
  </si>
  <si>
    <t>On the development of symmetrically stabilized five‚Äêphase oscillators and some implications</t>
  </si>
  <si>
    <t>10.1002/cta.4490170206</t>
  </si>
  <si>
    <t>2-s2.0-0024639885</t>
  </si>
  <si>
    <t>['unit cell', 'similar solutions', 'rigorously included', 'reduced cross', 'probe self', 'probe coupling', 'polarization applications', 'patch antennas', 'infinite arrays', 'fed patches', 'excellent agreement', 'element fed']</t>
  </si>
  <si>
    <t>An analysis of infinite arrays of rectangular microstrip patches with each element fed by one or two coaxial probes is presented. The probe self-impedance and the rapidly varying patch current near the feed connection point are rigorously included in the analysis. Two-probe-fed patches are analyzed for both reduced cross-polarization and circular-polarization applications, and the effect of probe-to-probe coupling in the unit cell is determined. The theory generates results in excellent agreement with waveguide simulator measurements. Similar solutions can be developed for other types of patch antennas and arrays.</t>
  </si>
  <si>
    <t>110-119</t>
  </si>
  <si>
    <t>60013894;60013894</t>
  </si>
  <si>
    <t>7005725769;7006061921</t>
  </si>
  <si>
    <t>Aberle, J. T.;Pozar, D. M.</t>
  </si>
  <si>
    <t>Boston</t>
  </si>
  <si>
    <t>University of Massachusetts System</t>
  </si>
  <si>
    <t>Aberle J.</t>
  </si>
  <si>
    <t>Analysis of infinite arrays of probe-fed rectangular microstrip patches using a rigorous feed model</t>
  </si>
  <si>
    <t>10.1049/ip-h-2.1989.0021</t>
  </si>
  <si>
    <t>2-s2.0-0024639941</t>
  </si>
  <si>
    <t>['¬© 1989', 'rights reserved', 'loss dielectrics', 'electrical engineers', 'dependent loss', '130 ghz']</t>
  </si>
  <si>
    <t>Antennas | Dielectrics | Optoelectronics | Transmission lines</t>
  </si>
  <si>
    <t>Measurements of the frequency-dependent loss and dispersion of low-loss dielectrics, between 10 and 130 GHz, are presented. The data are obtained from a single experiment using the picosecond transient radiation from optoelectroni-cally pulsed integrated antennas. ¬© 1989, The Institution of Electrical Engineers. All rights reserved.</t>
  </si>
  <si>
    <t>523-524</t>
  </si>
  <si>
    <t>Electronics Letters</t>
  </si>
  <si>
    <t>60017366;60017366;60017366;60017366</t>
  </si>
  <si>
    <t>6602459372;7004102516;7003917289;6604060955</t>
  </si>
  <si>
    <t>Pastol, Y.;Arjavalingam, G.;Halbout, J. M.;Kopcsay, G. V.</t>
  </si>
  <si>
    <t>Yorktown Heights</t>
  </si>
  <si>
    <t>IBM Thomas J. Watson Research Center</t>
  </si>
  <si>
    <t>Pastol Y.</t>
  </si>
  <si>
    <t>Absorption and dispersion of low-loss dielectrics measured with microwave transient radiation</t>
  </si>
  <si>
    <t>10.1049/el:19890358</t>
  </si>
  <si>
    <t>2-s2.0-0024640073</t>
  </si>
  <si>
    <t>['transient performances', 'projection gradient', 'pointing errors', 'new array', 'less susceptible', 'faster real', 'adaptive algorithm']</t>
  </si>
  <si>
    <t>A single directional constrained adaptive array using symmetric amplitude control is presented. The adaptive algorithm is based on the method of projection gradient. The steady-state and transient performances of the array are investigated. Detailed transient analysis for the case of one interference source is performed to get further insight. Results are compared with those obtained with conventional complex weights. It is shown that the new array has a faster real-time convergent rate and its optimal output SNIR is less susceptible to pointing errors.</t>
  </si>
  <si>
    <t>90-97</t>
  </si>
  <si>
    <t>60028333;60028333</t>
  </si>
  <si>
    <t>7402101459;7102344747</t>
  </si>
  <si>
    <t>Lo, K. W.;Vu, T. B.</t>
  </si>
  <si>
    <t>Sydney</t>
  </si>
  <si>
    <t>UNSW Sydney</t>
  </si>
  <si>
    <t>Lo K.</t>
  </si>
  <si>
    <t>Directional constrained adaptive array using symmetric amplitude control</t>
  </si>
  <si>
    <t>10.1049/ip-h-2.1989.0018</t>
  </si>
  <si>
    <t>2-s2.0-0024640411</t>
  </si>
  <si>
    <t>['taken fully', 'standard moment', 'model analysis', 'method analysis', 'measured results', 'dipole elements', 'currents fed', 'circuit model']</t>
  </si>
  <si>
    <t>A method of analyzing HF dipole curtain arrays is presented which uses a circuit model to compute the currents fed to the dipole elements. A standard moment-method analysis is carried out once to establish the short-circuit admittance matrix for the set of dipoles. Subsequently the circuit-model analysis can be used to compute the performance of the array with alternative feeder configurations very quickly. Mutual coupling within the array is taken fully into account. Measured results are presented in confirmation.</t>
  </si>
  <si>
    <t>179-181</t>
  </si>
  <si>
    <t>Boswell, A. G.P.</t>
  </si>
  <si>
    <t>Farnborough</t>
  </si>
  <si>
    <t>BAE Systems plc</t>
  </si>
  <si>
    <t>Boswell A.G.P.</t>
  </si>
  <si>
    <t>Analysis of curtain arrays for HF broadcasting</t>
  </si>
  <si>
    <t>10.1049/ip-h-2.1989.0033</t>
  </si>
  <si>
    <t>2-s2.0-0024640413</t>
  </si>
  <si>
    <t>['square loop', 'results obtained', 'radiation pattern', 'meander dipole', 'made small']</t>
  </si>
  <si>
    <t>Square loop, meander dipole and spiral antennas printed on grounded dielectric substrates, are numerically analyzed using Sommerfeld type integrals. The square loop is found to have a radiation pattern in which cross-polarization is negligible and zero in the E-plane and the H-plane, respectively. The results obtained for the meander dipole demonstrate that such an antenna can be made small with no deterioration in the radiation pattern. The analysis of the spiral antenna fed from the outer arms shows that the spiral can radiate a circularly polarized wave with a purely resistive input impedance.</t>
  </si>
  <si>
    <t>98-104</t>
  </si>
  <si>
    <t>60030526;60030526;60030526;60030526;60030526</t>
  </si>
  <si>
    <t>55633340100;7403255155;57218994631;6603937704;7004468161</t>
  </si>
  <si>
    <t>Nakano, H.;Hirose, K.;Suzuki, T.;Kerner, S. R.;Alexopoulos, N. G.</t>
  </si>
  <si>
    <t>Hosei University</t>
  </si>
  <si>
    <t>Nakano H.</t>
  </si>
  <si>
    <t>Numerical analyses of printed line antennas</t>
  </si>
  <si>
    <t>10.1049/ip-h-2.1989.0019</t>
  </si>
  <si>
    <t>2-s2.0-0024640594</t>
  </si>
  <si>
    <t>['¬© 1989', 'spectral propagation', 'single near', 'rights reserved', 'retrieval algorithm', 'field predictions', 'electrical engineers']</t>
  </si>
  <si>
    <t>Antenna radiation patterns | Antennas</t>
  </si>
  <si>
    <t>Simulations are presented which demonstrate the feasibility of far-field predictions from a single near-field intensity planar scan using a phase-retrieval algorithm with spectral propagation. ¬© 1989, The Institution of Electrical Engineers. All rights reserved.</t>
  </si>
  <si>
    <t>519-520</t>
  </si>
  <si>
    <t>60001881;60001881;60001881</t>
  </si>
  <si>
    <t>7403369332;6603451186;7202404090</t>
  </si>
  <si>
    <t>Anderson, A. P.;Junkin, G.;McCormack, J. E.</t>
  </si>
  <si>
    <t>Sheffield</t>
  </si>
  <si>
    <t>The University of Sheffield</t>
  </si>
  <si>
    <t>Anderson A.</t>
  </si>
  <si>
    <t>Near-field far-field predictions from single-intensity-planar-scan phase retrieval</t>
  </si>
  <si>
    <t>10.1049/el:19890355</t>
  </si>
  <si>
    <t>2-s2.0-0024640639</t>
  </si>
  <si>
    <t>['return loss', 'range 40', 'input resistances', 'input resistance', 'input impedance', 'inherently inductive', 'feed point', 'design aid', 'also varied', '20 db', '120 ohms']</t>
  </si>
  <si>
    <t>The input impedance of a thick microstrip patch antenna is inherently inductive. The patch can be matched by using a capacitive annular gap round the feed point. By varying the amount of capacitance the input resistance is also varied. It is shown that input resistances in the range 40 to 120 ohms can be chosen by varying the radius of the annulus. A return loss of -20 dB over a bandwidth of 13% was achieved. An equivalent circuit model is described which can be used as a design aid.</t>
  </si>
  <si>
    <t>172-174</t>
  </si>
  <si>
    <t>Alexander, M. J.</t>
  </si>
  <si>
    <t>Alexander M.J.</t>
  </si>
  <si>
    <t>Capacitive matching of microstrip patch antennas</t>
  </si>
  <si>
    <t>10.1049/ip-h-2.1989.0031</t>
  </si>
  <si>
    <t>2-s2.0-0024640647</t>
  </si>
  <si>
    <t>['suppresses interference', 'signal direction', 'results show', 'principle adopted', 'pointing error', 'paper deals', 'output power', 'numerical calculations', 'noise ratio', 'modified version', 'low distortion', 'improved ccmp', 'imperfect settings', 'good protection', 'function satisfactorily', 'directional constraints', 'cross correlation', 'constrained minimization', 'broadband signal', 'also discussed', 'adaptive antenna']</t>
  </si>
  <si>
    <t>This paper deals with a robust adaptive antenna which suppresses interference with good protection of the broadband signal under imperfect settings of directional constraints. The principle adopted to control the adaptive antenna is to minimize the output power with a constraint on the cross correlation between the signals at the input and output of the array. The principle is called the correlation-constrained minimization of power (CCMP) method. The performance of CCMP and its modified version (improved CCMP) are demonstrated by numerical calculations. The results show that the improved CCMP method achieves high SINR (signal-to-interference-plus-noise ratio) and low distortion of the output signal even when the signal is broadbanded and signal direction is not exact. The limit of the pointing error where the system can function satisfactorily is also discussed.</t>
  </si>
  <si>
    <t>85-89</t>
  </si>
  <si>
    <t>60024751;60024751</t>
  </si>
  <si>
    <t>7003894513;7102188996</t>
  </si>
  <si>
    <t>Kikuma, N.;Takao, K.</t>
  </si>
  <si>
    <t>Nagoya</t>
  </si>
  <si>
    <t>Nagoya Institute of Technology</t>
  </si>
  <si>
    <t>Kikuma N.</t>
  </si>
  <si>
    <t>Broadband and robust adaptive antenna under correlation constraint</t>
  </si>
  <si>
    <t>10.1049/ip-h-2.1989.0017</t>
  </si>
  <si>
    <t>2-s2.0-0024640693</t>
  </si>
  <si>
    <t>['simultaneously electric', 'magnetic conductor', 'magnetic coating', 'low side', 'low cross', 'inner walls', 'horn antennas', 'electric conductor', 'dissipative loss', 'corrugated horns']</t>
  </si>
  <si>
    <t>Low side-lobes, low cross-polarization and, if desired, symmetrical radiation patterns, can be achieved for horn antennas by placing a properly designed magnetic coating on the inner walls of a horn. The magnetic coating over an electric conductor is, in effect, a simultaneously electric and magnetic conductor in these designs. By choosing appropriate horn flare angles, good antenna performance close to that of corrugated horns was achieved for the magnetically coated horns except for antenna gain reduction due to dissipative loss.</t>
  </si>
  <si>
    <t>132-138</t>
  </si>
  <si>
    <t>60019647;60019647;60019647</t>
  </si>
  <si>
    <t>57203558701;7003971864;7101690094</t>
  </si>
  <si>
    <t>Wang, J. J.H.;Tripp, V. K.;Zimmer, R. P.</t>
  </si>
  <si>
    <t>Atlanta</t>
  </si>
  <si>
    <t>Georgia Institute of Technology</t>
  </si>
  <si>
    <t>Wang J.</t>
  </si>
  <si>
    <t>Magnetically coated horn for low sidelobes and low cross-polarisation</t>
  </si>
  <si>
    <t>10.1049/ip-h-2.1989.0024</t>
  </si>
  <si>
    <t>2-s2.0-0024640884</t>
  </si>
  <si>
    <t>['radiation characteristics', 'polarization level', 'numerical method', 'excellent agreement', 'dielectric rod', 'consequently increase', 'computed numerically', 'circular waveguide', '35 ).', '30 db', '16 db']</t>
  </si>
  <si>
    <t>The radiation characteristics of the coaxial cavity feed antenna are computed numerically. Excellent agreement between the computed and measured radiation patterns is obtained. The numerical method is used to optimize the performance of the antenna as a feed for deep parabolic reflectors (f/D &lt; 0.35). The cross-polarization level is reduced from -16 dB to below -30 dB. The circular waveguide is filled by a dielectric rod to reduce the feed aperture size and consequently increase the radiation pattern beamwidth. The dielectric rod end is shaped to reduce the cross-polarization level.</t>
  </si>
  <si>
    <t>169-171</t>
  </si>
  <si>
    <t>Kishk, A. A.</t>
  </si>
  <si>
    <t>University</t>
  </si>
  <si>
    <t>University of Mississippi</t>
  </si>
  <si>
    <t>Kishk A.A.</t>
  </si>
  <si>
    <t>Simple primary focus feeds for deep reflectors</t>
  </si>
  <si>
    <t>10.1049/ip-h-2.1989.0030</t>
  </si>
  <si>
    <t>2-s2.0-0024641153</t>
  </si>
  <si>
    <t>['¬© 1989', 'transient characteristics', 'time responses', 'rights reserved', 'remanent magnetisation', 'instantaneous distributions', 'electrical engineers']</t>
  </si>
  <si>
    <t>Antennas | Ferrite devices | Magnetic properties of substances | Phase shifters</t>
  </si>
  <si>
    <t>In the letter the transient characteristics of electromagnetic fields caused by changing the direction of remanent magnetisation in a twin-toroid phase shifter is simulated by the spatial network method. The time responses of the field and its instantaneous distributions are presented. ¬© 1989, The Institution of Electrical Engineers. All rights reserved.</t>
  </si>
  <si>
    <t>581-583</t>
  </si>
  <si>
    <t>60014652;60014652;60014652</t>
  </si>
  <si>
    <t>6602752213;7403004870;57214925937</t>
  </si>
  <si>
    <t>Kukutsu, N.;Yoshida, N.;Fukai, I.</t>
  </si>
  <si>
    <t>Kukutsu N.</t>
  </si>
  <si>
    <t>Transient analysis of ferrite twin-toroid phase shifter by spatial network method</t>
  </si>
  <si>
    <t>10.1049/el:19890396</t>
  </si>
  <si>
    <t>2-s2.0-0024641296</t>
  </si>
  <si>
    <t>['various cavity', 'testing functions', 'special case', 'solved numerically', 'slot dimensions', 'resonance frequency', 'proper choice', 'input impedance', 'general problem', 'differential operator', 'differential equation']</t>
  </si>
  <si>
    <t>The general problem of a cavity-backed aperture radiator is formulated for the tangential electric field in the aperture. The result is used to obtain an integro-differential equation for the special case of a narrow slot backed by a rectangular cavity resonator. This equation is then solved numerically by the method of moments with the proper choice of piecewise sinusoidal basis and testing functions to remove the differential operator in the integrand. Typical numerical results are presented to show the effect of various cavity and slot dimensions on quantities such as voltage distribution along the slot, input impedance, resonance frequency and bandwidth of the antenna.</t>
  </si>
  <si>
    <t>60009697;60009697</t>
  </si>
  <si>
    <t>7004091962;7103051886</t>
  </si>
  <si>
    <t>Hadidi, A.;Hamid, M.</t>
  </si>
  <si>
    <t>Winnipeg</t>
  </si>
  <si>
    <t>University of Manitoba</t>
  </si>
  <si>
    <t>Hadidi A.</t>
  </si>
  <si>
    <t>Aperture field and circuit parameters of cavity-backed slot radiator</t>
  </si>
  <si>
    <t>10.1049/ip-h-2.1989.0025</t>
  </si>
  <si>
    <t>2-s2.0-0024641603</t>
  </si>
  <si>
    <t>['received signal', 'prestar uses', 'prestar system', 'precise time', 'paper outlines', 'makes use', 'high signal', 'beam antenna']</t>
  </si>
  <si>
    <t>A precise relative positioning system using GPS, called ‚ÄúPRESTAR,‚Äù has been developed by the Communications Research Laboratory, Japan, and is. designed to give accurate relative position measurements, precise time. synchronization, and precise orbit determinations. PRESTAR uses a high gain beam antenna to obtain highly accurate range data through the high signal-to-noise (S /N) ratio of the received signal. It makes use of a beam antenna, necessitating a single channel sequential system. Its performance giving accurate relative position measurements, precise time synchronization, and precise orbit determinations has been demonstrated with a 55-km baseline experiment. Longer baseline positioning experiments and orbit determination experiments are being planned. This paper outlines the PRESTAR system and some results of experiments. ¬© 1989 IEEE</t>
  </si>
  <si>
    <t>644-647</t>
  </si>
  <si>
    <t>IEEE Transactions on Instrumentation and Measurement</t>
  </si>
  <si>
    <t>60092258;60092258-60095982;60092258;60092258;60092258;60092258</t>
  </si>
  <si>
    <t>7403254454;57204813071;7004951282;57202484847;6603808637;21234356400</t>
  </si>
  <si>
    <t>Sugimoto, Yuji;Kurihara, Noriyuki;Kiuchi, Hitoshi;Kaneko, Akihiro;Sawada, Fumitake;Shirado, Tamotsu</t>
  </si>
  <si>
    <t>Kanagawa;Koganei</t>
  </si>
  <si>
    <t>Anritsu Corporation;Ministry of Posts and Telecommunications, Japan</t>
  </si>
  <si>
    <t>60095982;60092258</t>
  </si>
  <si>
    <t>Sugimoto Y.</t>
  </si>
  <si>
    <t>Development of GPS Positioning System ‚ÄúPRESTAR‚Äù</t>
  </si>
  <si>
    <t>10.1109/19.192367</t>
  </si>
  <si>
    <t>2-s2.0-0024645879</t>
  </si>
  <si>
    <t>['transportable antenna', 'results obtained', 'receiver noise', 'radiometric measurements', 'quantitatively evaluated', 'principal source', 'north directions', 'millimeter accuracy', 'major cause', 'km baseline', 'five measurements', 'error analysis', 'delay observations', 'atmospheric turbulence', 'also found', 'agrees well', '7 mm', '6 mm']</t>
  </si>
  <si>
    <t>Millimeter accuracy of geodetic VLBI measurements was demonstrated in experiments repeated five times from 1984 to 1988 on a 54-km baseline between a 26-m antenna at Kashima and a 5-m transportable antenna at Tsukuba. The average formal errors of the five measurements were 4.6 mm in length, 4.4 and 6.7 mm in the east and north directions. In the error analysis, effects of atmospheric turbulence and thermal receiver noise were investigated and quantitatively evaluated. As a result of that, it was found that the stability of the atmosphere was on the order of 10‚àí14in the Allan standard deviation, which agrees well with other results obtained in interferometric and radiometric measurements. It was also found that the atmospheric turbulence was a major cause of an error on delay rate observations whereas the receiver noise is a principal source of error in delay observations. ¬© 1989 IEEE</t>
  </si>
  <si>
    <t>668-671</t>
  </si>
  <si>
    <t>60032325-60032915;60032325;60032325</t>
  </si>
  <si>
    <t>7102913956;57204813071;6603748793</t>
  </si>
  <si>
    <t>Kawaguchi, Noriyuki;Kurihara, Noriyuki;Amagai, Jun</t>
  </si>
  <si>
    <t>Tsukuba;Koganei</t>
  </si>
  <si>
    <t>Geographical Survey Institute of Japan;Japan National Institute of Information and Communications Technology</t>
  </si>
  <si>
    <t>60032915;60032325</t>
  </si>
  <si>
    <t>Kawaguchi N.</t>
  </si>
  <si>
    <t>Millimeter Accuracy of Geodetic VLBI Measurements Achieved on a 54-km Baseline</t>
  </si>
  <si>
    <t>10.1109/19.192373</t>
  </si>
  <si>
    <t>2-s2.0-0024645980</t>
  </si>
  <si>
    <t>['voltage across', 'screen material', 'narrow sheath', 'minimize sputtering', 'icrf antennas', 'icrf antenna', 'generated constitute', 'gap spacing', 'electron response', 'electric field', 'density n', 'combined toroidal', 'appreciable fraction']</t>
  </si>
  <si>
    <t>In general, Faraday screen elements in an ICRF antenna are not aligned precisely along the combined toroidal and poloidal magnetic fields. When plasma of density n &lt; 2Ëúî0V/eg2 - 109cm‚Äì3 (V being the voltage across the gap and g the gap spacing) is present in the gap between the elements, the electron response to the parallel electric field shorts out the electric field over most of the gap, leaving a narrow sheath of positive space charge and an intense electric field. This intense electric field accelerates ions up to an appreciable fraction of the gap voltage (‚Äì1 kV), sufficient to cause physical sputtering of the screen material. Impurities so generated constitute the principal limitationon power density for ICRF antennas. Principles of ICRF antenna and Faraday screen design which minimize sputtering are discussed. ¬© 1989 IOP Publishing Ltd.</t>
  </si>
  <si>
    <t>583-592</t>
  </si>
  <si>
    <t>Perkins, F. W.</t>
  </si>
  <si>
    <t>Perkins F.</t>
  </si>
  <si>
    <t>Radiofrequency sheaths and impurity generation by ICRF antennas</t>
  </si>
  <si>
    <t>10.1088/0029-5515/29/4/004</t>
  </si>
  <si>
    <t>2-s2.0-0024646310</t>
  </si>
  <si>
    <t>['vector component', 'station consists', 'short baseline', 'mobile experiments', 'highly transportable', 'fringe amplitude', 'end system', 'crystal oscillator', 'compact back', 'baseline vector']</t>
  </si>
  <si>
    <t>The highly transportable very long baseline inteferometry (VLBI) station is now under development in the Communications Research Laboratory, Ibaraki, Japan. This station consists of a small parabloic antenna (diameter: 3 m), a compact back-end system, and a compact frequency standard (crystal oscillator) suitable for mobile experiments. The preliminary experiments using some parts of the highly transportable VLBI station on a short baseline were carried out, and the baseline vector was determined and it agrees with the result of conventional measurement within 4 cm for each vector component. From these experiments we checked the performance of the station, and estimated the fringe amplitude which will be obtained in a long baseline experiment. ¬© 1989 IEEE</t>
  </si>
  <si>
    <t>672-675</t>
  </si>
  <si>
    <t>60032325;60032325;60032325</t>
  </si>
  <si>
    <t>6603748793;7004951282;7102913956</t>
  </si>
  <si>
    <t>Amagai, Jun;Kiuchi, Hitoshi;Kawaguchi, Noriyuki</t>
  </si>
  <si>
    <t>Koganei</t>
  </si>
  <si>
    <t>Japan National Institute of Information and Communications Technology</t>
  </si>
  <si>
    <t>Amagai J.</t>
  </si>
  <si>
    <t>Short Baseline Experiments Using the Highly Transportable VLBI Station</t>
  </si>
  <si>
    <t>10.1109/19.192374</t>
  </si>
  <si>
    <t>2-s2.0-0024646368</t>
  </si>
  <si>
    <t>['purpose may', 'pack ice', 'modified sonobuoys', 'low cost', 'equipment used', 'easily extended', 'desirable traits', '57a sonobuoys', '30 days', '20 km']</t>
  </si>
  <si>
    <t>Underwater acoustic measurements made from the pack ice in Arctic regions often require unmanned remote hydrophones. The purpose may be to set up an under-ice acoustic tracking range, to avoid ice station generated noise, and/or to measure transmission loss. In any case it is desirable to utilize a system that is reliable, low cost, easy to operate, rugged, and that requires no maintenance. These desirable traits can be satisfied by utilizing a hand-deployed remote hydrophone system based on modified sonobuoys. This paper presents specific methods and equipment used to modify, power, and hand-deploy AN/SSQ-57A sonobuoys in the Arctic. The methods and suggestions can be easily extended for use with other types of sonobuoys. The modified sonobuoys transmit continuously for up to 30 days from a remote unmanned site to a manned base camp over a range of 20 km. Sample acoustic data from the APLIS 87 ice station will be presented. ¬© 1989 IEEE</t>
  </si>
  <si>
    <t>211-220</t>
  </si>
  <si>
    <t>IEEE Journal of Oceanic Engineering</t>
  </si>
  <si>
    <t>Horsley, Laverne E.</t>
  </si>
  <si>
    <t>Stennis Space Center</t>
  </si>
  <si>
    <t>NASA Stennis Space Center</t>
  </si>
  <si>
    <t>Horsley L.E.</t>
  </si>
  <si>
    <t>Modification and Deployment Techniques for Hand-Deployed Arctic Long-Life Sonobuoys</t>
  </si>
  <si>
    <t>10.1109/48.16836</t>
  </si>
  <si>
    <t>2-s2.0-0024646521</t>
  </si>
  <si>
    <t>['three weeks', 'spanish word', 'south america', 'science areas', 'predicted rates', 'latitude using', 'january 18', 'institutions cooperated', 'global coverage', 'geodynamics program', 'february 5', 'collaborative experiment', 'baseline geodesy', '13 countries', '125 ¬∞']</t>
  </si>
  <si>
    <t>For three weeks from January 18 to February 5, 1988, scientists and engineers from 13 countries and 30 international agencies and institutions cooperated in the most extensive GPS field campaign, and the largest geodynamics experiment, in the world to date. This collaborative experiment concentrated GPS receivers in Central and South America, hence the acronym CASA UNO. (UNO is a Spanish word for one, designating first epoch measurements.) This is a geo-physically intriguing region where five tectonic plates interact. The predicted rates of motions are on the order of 5‚Äì10 cm/yr. Global coverage of GPS observations spanned 220¬∞of longitude and 125¬∞of latitude using a total of 43 GPS receivers. The experiment was the first civilian effort at implementing an extended international GPS satellite tracking network. Covariance analyses incorporating the extended tracking network predicted significant improvement in precise orbit determination allowing accurate long-baseline geodesy in the science areas. The collaborative experiment was coordinated and managed by NASA's Jet Propulsion Laboratory, under the Geodynamics Program. ¬© 1989 IEEE</t>
  </si>
  <si>
    <t>648-651</t>
  </si>
  <si>
    <t>6603307112;7101998527;7006484732;7005927438;56284304300;7006961529;57213379818</t>
  </si>
  <si>
    <t>Neilan, Ruth E.;Dixon, T. H.;Meehan, Thomas K.;Melbourne, William G.;Scheid, John A.;Kellogg, J. N.;Stowell, J. L.</t>
  </si>
  <si>
    <t>Neilan R.E.</t>
  </si>
  <si>
    <t>Operational Aspects of CASA UNO ‚Äò88-The First Large Scale International GPS Geodetic Network</t>
  </si>
  <si>
    <t>10.1109/19.192368</t>
  </si>
  <si>
    <t>2-s2.0-0024647035</t>
  </si>
  <si>
    <t>['variational method', 'theoretical analysis', 'tem propagation', 'spectral domain', 'shifting behavior', 'results obtained', 'propagation characteristics', 'planar systems', 'lsbr ),', 'good agreement', 'experimental data', 'easy design', 'dielectric substrate', 'composite ferrite']</t>
  </si>
  <si>
    <t>The propagation characteristics and fields of a microstrip transmission line on a composite ferrite-dielectric substrate are studied with a focus on its phase-shifting behavior. Two different methods are used for theoretical analysis, namely the least-squares boundary residual (LSBR), which offers high precision, and a variational method in the spectral domain, which requires a low computing time. Quasi-TEM propagation is assumed in both cases. The results obtained are compared with the experimental data, and good agreement is observed. Besides its easy design, this phase shifter presents the advantage of having a good peak power handling capacity as well as a low production cost because of the ease with which it can be integrated in planar systems. ¬© 1989 IEEE</t>
  </si>
  <si>
    <t>698-705</t>
  </si>
  <si>
    <t>;60028112;60028112;</t>
  </si>
  <si>
    <t>6603404961;26533828700;7007171277;7201530777</t>
  </si>
  <si>
    <t>Bolioli, Sylvain;Benzina, Hafed;Baudrand, Henri;Chan, B.</t>
  </si>
  <si>
    <t>Toulouse</t>
  </si>
  <si>
    <t>ENSEEIHT Ecole Nationale Sup√©rieure d'Electrotechnique, d'Electronique, d'Informatique, d'Hydraulique et des T√©l√©communications</t>
  </si>
  <si>
    <t>Bolioli S.</t>
  </si>
  <si>
    <t>Centimeter-Wave Microstrip Phase Shifter on a Ferrite-Dielectric Substrate</t>
  </si>
  <si>
    <t>10.1109/22.18842</t>
  </si>
  <si>
    <t>2-s2.0-0024647052</t>
  </si>
  <si>
    <t>['troposcatter radio', 'sidelobe canceller', 'performance predictions', 'general solution', 'countermeasure approach', 'array processing']</t>
  </si>
  <si>
    <t>Performance predictions on a Rayleigh fading channel are calculated for a troposcatter radio in the presence of two LOS jammers. The receiver incorporates dual main antennas and a sidelobe canceller, and the countermeasure approach is array processing. The general solution is derived. An approximation is proposed as a useful alternative characterization to performance. ¬© 1989 IEEE</t>
  </si>
  <si>
    <t>325-331</t>
  </si>
  <si>
    <t>Matthews, James W.</t>
  </si>
  <si>
    <t>McLean</t>
  </si>
  <si>
    <t>MITRE Corporation</t>
  </si>
  <si>
    <t>Matthews J.W.</t>
  </si>
  <si>
    <t>Troposcatter Link Performance in the Presence of Two Jammers</t>
  </si>
  <si>
    <t>10.1109/26.20112</t>
  </si>
  <si>
    <t>2-s2.0-0024647057</t>
  </si>
  <si>
    <t>['wiley company', 'used together', 'mutual coupling', 'moment method', 'measured data', 'inc .,', 'current distribution']</t>
  </si>
  <si>
    <t>circular path antennas | moment method solution | Printed antennas and arrays</t>
  </si>
  <si>
    <t>A full‚Äêwave solution for the mutual coupling between circular microstrip patches fed by idealized vertical probe feeds is presented. The grounded slab Green's function is used together with the moment method to determine the current distribution on each patch. From this, the patch port impedance matrix and, hence, the mutual coupling can be determined. Measured data that validate the theory are presented. Copyright ¬© 1989 Wiley Periodicals, Inc., A Wiley Company</t>
  </si>
  <si>
    <t>60014313;60014313</t>
  </si>
  <si>
    <t>Amherst MA</t>
  </si>
  <si>
    <t>University of Massachusetts Amherst</t>
  </si>
  <si>
    <t>A full‚Äêwave solution for the mutual coupling between circular microstrip patch antennas</t>
  </si>
  <si>
    <t>10.1002/mop.4650020405</t>
  </si>
  <si>
    <t>2-s2.0-0024647544</t>
  </si>
  <si>
    <t>['widely commented', 'western europe', 'transmitting system', 'system flexibility', 'synthesis parameters', 'relationship existing', 'potential reconfigurability', 'payload characteristics', 'parametric investigation', 'parametric curves', 'parametric analysis', 'paper describes', 'multibeam coverage', 'may provide', 'ku band', 'important role', 'helpful tool', 'estec contract', 'demonstrated within']</t>
  </si>
  <si>
    <t>Active phased array | High‚Äêpower amplifiers | Parametric investigation | Up‚Äêconverters</t>
  </si>
  <si>
    <t>Active phased arrays will play an important role in future satellite communications, because of the system flexibility and potential reconfigurability that they may provide. Therefore, an investigation of the relationship existing between payload characteristics and the synthesis parameters of this kind of antenna may constitute a helpful tool. To this end, a parametric analysis of the on‚Äêboard non‚Äêlinear circuitry of the transmitting system (power and up‚Äêconverter sections) has been carried out, establishing the dependence of the mass and DC power demand on the number of beams and feeds of the transmitting phased array. The parametric investigation has been, in particular, applied to an active imaging phased array and an active direct radiating phased array whose suitability to provide a multibeam coverage of Western Europe at Ku band has been demonstrated within an ESA/ESTEC contract. This paper describes the parametric approach followed in the investigation of the on‚Äêboard non‚Äêlinear subsystems of the active transmitting phased arrays. The assumed circuitry configurations are widely commented, and the parametric curves for the case of imaging and direct radiating phased arrays are reported. Copyright ¬© 1989 John Wiley &amp; Sons, Ltd.</t>
  </si>
  <si>
    <t>103-109</t>
  </si>
  <si>
    <t>April/June 1989</t>
  </si>
  <si>
    <t>60027509;60027509;60027509</t>
  </si>
  <si>
    <t>7102395884;7004620008;7102391180</t>
  </si>
  <si>
    <t>Giannini, F.;Leuzzi, G.;Ruggieri, M.</t>
  </si>
  <si>
    <t>Universit√† degli Studi di Roma "Tor Vergata"</t>
  </si>
  <si>
    <t>Giannini F.</t>
  </si>
  <si>
    <t>On‚Äêboard non‚Äêlinear circuitry for K&lt;inf&gt;u&lt;/inf&gt;‚Äêband active arrays</t>
  </si>
  <si>
    <t>10.1002/sat.4600070206</t>
  </si>
  <si>
    <t>2-s2.0-0024647712</t>
  </si>
  <si>
    <t>N00014-88-K-0004</t>
  </si>
  <si>
    <t>['vertically separated', 'pws forms', 'propagation constant', 'observation points', 'modified form', 'microstrip green', 'laterally rather', 'input impedance', 'immediate vicinity', 'function converge', 'form representation', 'finite length', 'field points', 'employed elsewhere', 'efficiently applied', 'corresponding exact', 'asymptotic form', 'asymptotic closed']</t>
  </si>
  <si>
    <t>A newly developed closed-form asymptotic representation of the grounded dielectric slab Green's function can be very efficiently applied to analyze planar microstrip configurations. In this study, such a representation is used in a moment method formulation to calculate the propagation constant of an infinite microstrip transmission line and the input impedance of a finite length, center-fed printed dipole. In these problems, source and field points are laterally rather than vertically separated with respect to the substrate. The conventional Sommerfeld integral and the plane wave spectral integral (PWS) representations of the microstrip Green's function converge very slowly in this case. However, the asymptotic closed-form representation of the Green's function does not have this limitation, and it remains accurate even for very small lateral separation between source and observation points. Only for observation points in the immediate vicinity of the source is a modified form of the Sommerfeld integral representation used, while the asymptotic form is employed elsewhere. Some numerical results based on this approach are presented and are shown to compare very well with previous results based on the corresponding exact-integral or PWS forms of the Green's function. ¬© 1989 IEEE</t>
  </si>
  <si>
    <t>669-679</t>
  </si>
  <si>
    <t>60003500;60003500;60003500</t>
  </si>
  <si>
    <t>7202222050;6603705367;35579308700</t>
  </si>
  <si>
    <t>Marin, Miguel;Barkeshli, Sina;Pathak, Prabhakar H.</t>
  </si>
  <si>
    <t>Columbus</t>
  </si>
  <si>
    <t>The Ohio State University</t>
  </si>
  <si>
    <t>Marin M.</t>
  </si>
  <si>
    <t>Efficient Analysis of Planar Microstrip Geometries Using a Closed-Form Asymptotic Representation of the Grounded Dielectric Slab Green's Function</t>
  </si>
  <si>
    <t>10.1109/22.18838</t>
  </si>
  <si>
    <t>2-s2.0-0024647878</t>
  </si>
  <si>
    <t>N00014-84-K-0465</t>
  </si>
  <si>
    <t>['transmission line', 'strip conductors', 'strip conductor', 'large permittivity', 'insulated antenna', 'flat strip', 'elevated microstrip', 'complex wavenumber', 'coated half', 'characteristic impedance']</t>
  </si>
  <si>
    <t>The complex wavenumber and characteristic impedance are determined for a wire or flat strip over a dielectric-Coated half-space that may be a conductor or a dielectric with large permittivity. Elevated microstrip is an example of the configuration. The properties of the wire as an antenna or transmission line are determined from those of the insulated antenna with a two-layer eccentric insulation. The theory is extended to the strip conductor with the help of a comparison of the tubular and strip conductors over a perfectly conducting half-space. ¬© 1989 IEEE</t>
  </si>
  <si>
    <t>754-760</t>
  </si>
  <si>
    <t>Wire and Strip Conductors over a Dielectric-Coated Conducting or Dielectric Half-Space</t>
  </si>
  <si>
    <t>10.1109/22.18850</t>
  </si>
  <si>
    <t>2-s2.0-0024647898</t>
  </si>
  <si>
    <t>['transmitting loop', 'strength standard', 'receiving loop', 'optical fibers', 'magnetic field', 'emf induced', 'calibration system', '30 mhz']</t>
  </si>
  <si>
    <t>A calibration system for a magnetic field-strength standard is developed using two feederless hollow loop antennas containing electronic components. Optical fibers are used for measuring transmitting loop current and the EMF induced on the receiving loop. Magnetic field strengths evaluated independently by the transmitting loop and by the receiving loop are compared at a frequency of 30 MHz. ¬© 1989 IEEE</t>
  </si>
  <si>
    <t>613-616</t>
  </si>
  <si>
    <t>60092258;60092258-100920004</t>
  </si>
  <si>
    <t>7005910499;7003607129</t>
  </si>
  <si>
    <t>Kawana, Tatsuichi;Tejima, Teruo</t>
  </si>
  <si>
    <t>Koganei;Satsumasendai</t>
  </si>
  <si>
    <t>Ministry of Posts and Telecommunications, Japan;Ministry of Construction</t>
  </si>
  <si>
    <t>60092258;100920004</t>
  </si>
  <si>
    <t>Kawana T.</t>
  </si>
  <si>
    <t>Development of a Calibration System for a Magnetic Field-Strength Standard by Feederless Loop Antennas</t>
  </si>
  <si>
    <t>10.1109/19.192360</t>
  </si>
  <si>
    <t>2-s2.0-0024647932</t>
  </si>
  <si>
    <t>['¬± 0', 'radiation field', 'phase center', 'l db', 'field gain', 'farfield region', 'anechoic chambers', 'amplitude center']</t>
  </si>
  <si>
    <t>The present work describes a measurement technique well suited for experiments in anechoic chambers to determine the far-field gain of two identical pyramidal horn antennas with an uncertainty of ¬±0.l dB. To do this technique it is necessary to find out the location of the amplitude center of a horn for observation points within the farfield region. In addition the amplitude center leads to the phase center in the 45¬∞ plane of the radiation field. ¬© 1989 IEEE</t>
  </si>
  <si>
    <t>617-618</t>
  </si>
  <si>
    <t>Hollmann, Heinrich</t>
  </si>
  <si>
    <t>Darmstadt</t>
  </si>
  <si>
    <t>Forschungsinstitut der Deutschen Bundespost</t>
  </si>
  <si>
    <t>Hollmann H.</t>
  </si>
  <si>
    <t>Accurate Gain Measurement of Horn Antennas in the Shortened Far Field</t>
  </si>
  <si>
    <t>10.1109/19.192361</t>
  </si>
  <si>
    <t>2-s2.0-0024647933</t>
  </si>
  <si>
    <t>['water vapor', 'two antennas', 'thermal ratiation', 'temperature difference', 'solar radiation', 'simplified method', 'measured data', 'ground level', 'experimental results', 'different beamwidths', 'absolute humidity']</t>
  </si>
  <si>
    <t>A compact radiometer system having two small antennas of different beamwidths was developed to detect water vapor concentration by measuring atmospheric attenuation of the solar radiation at the K-band. To obtain continuous monitoring of the total water vapor fluctuation, a simplified measuring method was used, which was a cancellation of 1) the thermal ratiation of the atmosphere by measuring the temperature difference of the two antennas with different beamwidths, and 2) the solar radiation fluctuation by taking the ratio of measured data at two frequency points in the water vapor absorption spectrum. Errors in the estimation of total water vapor arising from the simplified method were evaluated. Experimental results have shown general agreement in the trend of theoretically calculated results against absolute humidity. at ground level, and hence, total water vapor content or integrated water vapor, when the standard atmospheric altitude distribution of water vapor is assumed. ¬© 1989 IEEE</t>
  </si>
  <si>
    <t>619-623</t>
  </si>
  <si>
    <t>Hashimoto, Shinobu</t>
  </si>
  <si>
    <t>Tsukuba</t>
  </si>
  <si>
    <t>Electrotechnical Laboratory</t>
  </si>
  <si>
    <t>Hashimoto S.</t>
  </si>
  <si>
    <t>A Compact Sun Tracking Radiometer with Two Different Beamwidth Antennas for Detection of Atmospheric Water Vapor</t>
  </si>
  <si>
    <t>10.1109/19.192362</t>
  </si>
  <si>
    <t>2-s2.0-0024648324</t>
  </si>
  <si>
    <t>['xpd degrades', 'wiley company', 'vertical polarization', 'top edge', 'tall buildings', 'residential areas', 'received power', 'propagation study', 'orthogonal polarization', 'loss increase', 'inc .,', 'horizontal polarization', 'following findings', 'dipole antenna', 'business districts', 'attenuation constant']</t>
  </si>
  <si>
    <t>A propagation study has been conducted for horizontal and vertical polarization inside buildings in residential areas and in business districts with tall buildings. The following findings have been obtained: (i) when half‚Äêwave dipole antennas are used both for transmission and reception, the received power is stronger for transmission and reception in the vertical polarization than for transmission and reception in the horizontal polarization. This phenomenon is due to the difference of the directivity of the dipole antenna; (ii) the cross polarization discrimination (XPD), defined as the ratio of the in‚Äêphase polarization component voltage to that of the orthogonal polarization, correlates with the loss increase from the free space propagation. As the latter is increased, the XPD degrades more; (iii) the XPD degrades more as the propagation distance increases. This is because the attenuation constant of the in‚Äêphase polarization component is larger than that of the orthogonal polarization component; (iv) the XPD of the wave propagation outside is determined by the ratio of the RG wave guided along a road to the BD wave diffracted by the top edge of a building. It degrades more as the BD wave component is increased; and (v) for a distance of less than about 1 km line‚Äêof‚Äêsight, the difference in attenuation by the polarization is negligible. Copyright ¬© 1989 Wiley Periodicals, Inc., A Wiley Company</t>
  </si>
  <si>
    <t>65-78</t>
  </si>
  <si>
    <t>Kaji, Masatake</t>
  </si>
  <si>
    <t>Nippon Telegraph and Telephone Corporation</t>
  </si>
  <si>
    <t>Kaji M.</t>
  </si>
  <si>
    <t>Polarization characteristics in UHF‚Äêband mobile radio propagation</t>
  </si>
  <si>
    <t>10.1002/ecja.4410720408</t>
  </si>
  <si>
    <t>2-s2.0-0024649560</t>
  </si>
  <si>
    <t>['synechococcus sp', 'strain gt8b', 'protein complexes', 'polypeptide compositions', 'nm fluorescence', 'grow photoautotrophically', 'complex responsible', 'associated chlorophyll']</t>
  </si>
  <si>
    <t>Two photosystem II-associated chlorophyll-protein complexes of Synechococcus sp. strain PCC 7002 were identified. Their polypeptide compositions were similar to those of chlorophyll-containing antenna complexes of other cyanobacteria. Strain GT8B did not possess the complex responsible for 695-nm fluorescence and was unable to grow photoautotrophically; hence, this complex is necessary for photosystem II function in vivo.</t>
  </si>
  <si>
    <t>2262-2264</t>
  </si>
  <si>
    <t>Journal of bacteriology</t>
  </si>
  <si>
    <t>60030398;60030398</t>
  </si>
  <si>
    <t>57216170369;6507342231</t>
  </si>
  <si>
    <t>Webb, R.;Punnett, T.</t>
  </si>
  <si>
    <t>Temple University</t>
  </si>
  <si>
    <t>Webb R.</t>
  </si>
  <si>
    <t>Characterization of a Synechococcus sp. strain PCC 7002 spontaneous mutant strain defective in accumulation of photosystem II core chlorophyll-protein complexes.</t>
  </si>
  <si>
    <t>10.1128/jb.171.4.2262-2264.1989</t>
  </si>
  <si>
    <t>2-s2.0-0024652190</t>
  </si>
  <si>
    <t>['wiley company', 'unknown functions', 'sie ),', 'integral equations', 'inc .,', 'arbitrary metallization', 'analyzed using']</t>
  </si>
  <si>
    <t>Conjugate gradient‚Äêfast Fourier transform method | finite multilayer structures | microstrip antennas</t>
  </si>
  <si>
    <t>Radiation and scattering from finite dielectric sheets with arbitrary metallization on both sides is analyzed using the conjugate gradient‚Äêfast Fourier transform (CG‚ÄêFFT) method to solve a system of integral equations (SIE), where the unknown functions are electric and magnetic equivalent surface currents. The results obtained indicate that the method is efficient and accurate. Copyright ¬© 1989 Wiley Periodicals, Inc., A Wiley Company</t>
  </si>
  <si>
    <t>165-170</t>
  </si>
  <si>
    <t>60009455;</t>
  </si>
  <si>
    <t>57220192155;35859670000</t>
  </si>
  <si>
    <t>C√°tedra, Manuel F.;Alcaraz, Jos√© A.</t>
  </si>
  <si>
    <t>Spain</t>
  </si>
  <si>
    <t>Madrid</t>
  </si>
  <si>
    <t>Escuela T√©cnica Superior de Ingenieros de Telecomunicaci√≥n, Universidad Polit√©cnica de Madrid</t>
  </si>
  <si>
    <t>C√°tedra M.F.</t>
  </si>
  <si>
    <t>Analysis of finite dielectric sheets with arbitrarily shaped metallization on both sides using the conjugate gradient‚Äêfast fourier transform method</t>
  </si>
  <si>
    <t>10.1002/mop.4650020507</t>
  </si>
  <si>
    <t>2-s2.0-0024656403</t>
  </si>
  <si>
    <t>['¬© 1989', 'wartime rules', 'topside structure', 'topside design', 'tools provided', 'system operators', 'surface combatant', 'ship designers', 'radiation characteristics', 'radiating parameters', 'potential solutions', 'possibly redesigned', 'physical shape', 'personnel need', 'ordnance needs', 'naval engineers', 'movable antennas', 'making decisions', 'less susceptible', 'larger library', 'increased use', 'increased awareness', 'electromagnetic radiation', 'conflicting requirements', 'battle conditions', 'attention include', 'areas warranting', 'american society']</t>
  </si>
  <si>
    <t>The surface combatant's topside electromagnetic environment is becoming more complex. The quantity of antennas has been increasing, radiation characteristics are becoming more varied, and there are more modes of operation and a larger library of radiating parameters. Automatic computer control of radiators is more prevalent as is increased output power. Furthermore, there has been a reduction in maximum safe exposure limits for personnel, and there is an increased awareness of the importance of radar cross section reduction. The result is that ship designers and system operators are faced with conflicting requirements. The future will require electronic equipment designers to be more innovative and replace traditional systems with those of more flexibility. Potential solutions to the situation will require increased attention to both topside design and to the tools provided to the operators. Areas warranting further attention include the physical shape of the topside structure and equipment, movable antennas, increased use of radiation absorbing material, and movable radiation barriers. Safe radiation limits for personnel need to be made more flexible. Wartime rules and battle conditions will be different than peacetime. Some of our ordnance needs to be tested and possibly redesigned, so as to be less susceptible to electromagnetic radiation. And finally, complex surface combatants will require computer‚Äêbased expert systems to assist the operators in making decisions as to what to radiate, how to permit or restrict the movement and firing of ordnance, and the limitations to be placed on personnel access topside under peacetime, wartime and battle conditions. ¬© 1989 by the American Society of Naval Engineers</t>
  </si>
  <si>
    <t>138-143</t>
  </si>
  <si>
    <t>Naval Engineers Journal</t>
  </si>
  <si>
    <t>GALLAGHER, CHARLES J.</t>
  </si>
  <si>
    <t>GALLAGHER C.</t>
  </si>
  <si>
    <t>Control of the Topside Electromagnetic Environment</t>
  </si>
  <si>
    <t>10.1111/j.1559-3584.1989.tb02194.x</t>
  </si>
  <si>
    <t>2-s2.0-0024656470</t>
  </si>
  <si>
    <t>['power divider', 'new type', 'db couplers', 'db coupler', 'compact size', 'antenna coupled']</t>
  </si>
  <si>
    <t>A new type of antenna coupled Y-branch with the advan- tages of low branching loss and short coupling length (hence, compact size) is proposed. This structure is free from the critical fabrication requirements that are associated with the directional coupler type power dividers and 3-dB couplers. There is no need for any extra bending elements (hence no bending loss), when this structure is used as a 3-dB coupler/power divider of the Mach-Zehnder type switch. Detailed theoretical analysis (both two-dimensional and three-dimensional) is carried out. ¬© 1989 IEEE</t>
  </si>
  <si>
    <t>753-758</t>
  </si>
  <si>
    <t>Journal of Lightwave Technology</t>
  </si>
  <si>
    <t>60008435;60008435;60008435</t>
  </si>
  <si>
    <t>56782480500;7003808801;35462051700</t>
  </si>
  <si>
    <t>Rangaraj, M.;Minakata, M.;Kawakami, S.</t>
  </si>
  <si>
    <t>Sendai</t>
  </si>
  <si>
    <t>Tohoku University</t>
  </si>
  <si>
    <t>Rangaraj M.</t>
  </si>
  <si>
    <t>Low Loss Integrated Optical Y-Branch</t>
  </si>
  <si>
    <t>10.1109/50.19110</t>
  </si>
  <si>
    <t>2-s2.0-0024662669</t>
  </si>
  <si>
    <t>['spatial localization', 'ray channel', 'observation confirms', 'maser action', 'local changes', 'ice source', 'fusion reactivity', 'edge plasma', '17 ms']</t>
  </si>
  <si>
    <t>During ohmically heated high current deuterium discharges in JET, inverted sawtooth oscillations in the superthermal ion cyclotron emission (ICE) have been detected which cannot be accounted for by fluctuations in the antenna-plasma coupling efficiency. This observation confirms the spatial localization of the ICE source in the edge plasma, close to the position of the detecting RF antenna on the low field side of the torus. Strong time correlation is observed between the inverted ICE sawteeth and those seen in an outer soft X-ray channel and in DŒ± emission from the limiter. Time delay data show that the ICE sawtooth peaks coincide with the arrival of sawtooth heat pulses in the edge plasma which are delayed by 17 ms with respect to the central sawtooth crash. The ICE sawtooth oscillations are interpreted in terms of local changes in the thermonuclear D-D fusion reactivity in the edge plasma. The observations are consistent with the interpretation of ICE as the result of maser action by an energetic ion population. ¬© 1989 IOP Publishing Ltd.</t>
  </si>
  <si>
    <t>834-839</t>
  </si>
  <si>
    <t>60025104-60104653;60025104;60008662</t>
  </si>
  <si>
    <t>6701439549;7102792905;7005284197</t>
  </si>
  <si>
    <t>Schild, P.;Cottrell, G. A.;Dendy, R. O.</t>
  </si>
  <si>
    <t>France;United Kingdom;United Kingdom</t>
  </si>
  <si>
    <t>Saint Martin d'Heres;;Oxfordshire</t>
  </si>
  <si>
    <t>Universite Grenoble Alpes;EFDA-JET;Euratom Ukaea Fusion Association</t>
  </si>
  <si>
    <t>60104653;60025104;60008662</t>
  </si>
  <si>
    <t>Schild P.</t>
  </si>
  <si>
    <t>Sawtooth oscillations in ion cyclotron emission from JET</t>
  </si>
  <si>
    <t>10.1088/0029-5515/29/5/013</t>
  </si>
  <si>
    <t>2-s2.0-0024662919</t>
  </si>
  <si>
    <t>['ultimately degrades', 'two iterations', 'shapeadjustment procedure', 'shape distortions', 'rights reserved', 'reflector surface', 'procedure resulted', 'orbit compensation', 'fabrication errors', 'electromagnetic performance', 'diam hoop', 'column antenna', 'analysis procedure']</t>
  </si>
  <si>
    <t>A 15-m-diam hoop-column antenna has been analyzed and tested to study shape adjustment of the reflector surface. The hoop-column antenna concept employs pretensioned cables and mesh to produce a paraboloidal reflector surface. Fabrication errors can distort the surface of mesh-type reflectors significantly, which ultimately degrades the electromagnetic performance of the antenna. To improve antenna performance, a shapeadjustment procedure to reduce surface distortions was developed. The shape-adjustment algorithm consisted of finite-element and least-squares error analyses. Experimental results verified the analysis procedure. Application of the procedure resulted in reduction of the average surface error by 36% in two iterations. Quasistatic shape adjustment has the potential for on-orbit compensation for a variety of surface-shape distortions. ¬© American Institute of Aeronautics and Astronautics, Inc., 1989, All rights reserved.</t>
  </si>
  <si>
    <t>129-136</t>
  </si>
  <si>
    <t>Journal of Spacecraft and Rockets</t>
  </si>
  <si>
    <t>60000854-117569431;117814115;60000854-117814094</t>
  </si>
  <si>
    <t>8321588500;6508141178;7801363327</t>
  </si>
  <si>
    <t>Keith Belvin, W.;Edighoffer, Harold H.;Herstrom, Catherine L.</t>
  </si>
  <si>
    <t>Hampton;Newport News;;</t>
  </si>
  <si>
    <t>NASA Langley Research Center;Edighoffer, Inc.;Structural Concepts Branch;Spacecraft Dynamics Branch</t>
  </si>
  <si>
    <t>60000854;117814115;117814094;117569431</t>
  </si>
  <si>
    <t>Keith Belvin W.</t>
  </si>
  <si>
    <t>Quasistatic shape adjustment of a 15-meter-diameter space antenna</t>
  </si>
  <si>
    <t>10.2514/3.26044</t>
  </si>
  <si>
    <t>2-s2.0-0024663062</t>
  </si>
  <si>
    <t>AFOSR-88-0080</t>
  </si>
  <si>
    <t>['useful properties', 'statistical efficiency', 'several methods', 'related problem', 'rao bound', 'paper studies', 'paper contains', 'numerical study', 'narrowband arrays', 'music estimator', 'ml methods', 'ml estimators', 'ml ),', 'maximum likelihood', 'exact description', 'conclusion section', 'also derives']</t>
  </si>
  <si>
    <t>The problem of finding the directions of multiple plane waves with narrowband arrays of sensors, and the related problem of estimating the parameters of multiple superimposed exponential signals in noise, have attracted considerable interest recently. Several methods, such as the MUSIC and maximum likelihood (ML), have been proposed for solving these problems. This paper studies the performance of the MUSIC and ML methods, and analyzes their statistical efficiency. It also derives the Cramer-Rao bound (CRB) for the estimation problems mentioned above, and establishes some useful properties of the CRB covariance matrix. The relationship between the MUSIC and ML estimators is investigated as well. Finally, the paper contains a numerical study of the statistical efficiency of the MUSIC estimator for the problem of finding the directions of two plane waves using a uniform linear array. A more exact description of the results of this paper can be found in the conclusion section. ¬© 1989 IEEE</t>
  </si>
  <si>
    <t>720-741</t>
  </si>
  <si>
    <t>60003161;60005455</t>
  </si>
  <si>
    <t>36040796700;35238156300</t>
  </si>
  <si>
    <t>Stoica, Petre;Nehorai, Arye</t>
  </si>
  <si>
    <t>United States;Romania</t>
  </si>
  <si>
    <t>New Haven;Bucuresti</t>
  </si>
  <si>
    <t>Yale University;University Politehnica of Bucharest</t>
  </si>
  <si>
    <t>60005455;60003161</t>
  </si>
  <si>
    <t>Stoica P.</t>
  </si>
  <si>
    <t>Music, Maximum Likelihood, And Cramer-Rao Bound</t>
  </si>
  <si>
    <t>10.1109/29.17564</t>
  </si>
  <si>
    <t>2-s2.0-0024663112</t>
  </si>
  <si>
    <t>['¬± œé', 'vibration analysis', 'studied analytically', 'statistical analysis', 'standard deviation', 'rights reserved', 'paper deals', 'normal distributions', 'friction torques', 'friction torque', 'failure mode', 'effects analysis', 'deployment reliability', 'deployment dynamics', 'critical modes', 'calculated assuming', 'antenna based']</t>
  </si>
  <si>
    <t>This paper deals with the prediction of deployment dynamics, antenna vibration characteristics, and reliability evaluation related with an antenna deployment mechanism (ADM) necessary for large satellite antenna development. A statistical analysis is proposed to predict deployment dynamics of an antenna based on the driving and friction torques of mechanical parts whose statistical distributions are fitted to normal distributions. Test results comprised a range of ¬± œÉ (standard deviation) predicted by the analysis. Vibration analysis was performed to clarify the effect of ADM bending stiffness. The effect of ADM bending stiffness on antenna natural frequencies was studied analytically to establish a guideline for determination of the ADM bending stiffness. The first natural frequency of the antenna was lessened by 5 Hz due to the effect of ADM bending stiffness. A procedure is proposed to evaluate the reliability of the ADM. The failure mode and effects analysis was conducted to identify all possible failure modes, among which the critical modes were selected for further investigation. Deployment reliability was calculated assuming that the deployment reliability of the ADM mainly depends on the magnitude of difference between the driving and friction torque. ¬© American Institute of Aeronautics and Astronautics, Inc., 1989, All rights reserved.</t>
  </si>
  <si>
    <t>181-187</t>
  </si>
  <si>
    <t>60025555;60025555;60025555</t>
  </si>
  <si>
    <t>55835393000;7005801010;56021726700</t>
  </si>
  <si>
    <t>Misawa, Masayoshi;Yasaka, Tetsuo;Miyake, Shojiro</t>
  </si>
  <si>
    <t>Misawa M.</t>
  </si>
  <si>
    <t>Analytical and experimental investigations for satellite antenna deployment mechanisms</t>
  </si>
  <si>
    <t>10.2514/3.26051</t>
  </si>
  <si>
    <t>2-s2.0-0024663144</t>
  </si>
  <si>
    <t>['transient behavior', 'therefore applicable', 'steering vector', 'steady state', 'spectrum spreading', 'removed prior', 'reference signal', 'proposed arrays', 'noise ratio', 'modulation procedure', 'low sensitivity', 'hybrid array', 'array output', 'adapting weights']</t>
  </si>
  <si>
    <t>Hybrid interference suppressing adaptive arrays utilizing both steering vector and reference signal have been developed in the past for spread-spectrum data communication systems. They have a low sensitivity to errors in steering vector because the desired signal component in the feedback is removed prior to adapting weights. We propose two regenerative hybrid adaptive arrays in which a self-generated reference signal is obtained through a detection-modulation procedure from the array output. The proposed arrays do not depend on spectrum spreading and are therefore applicable where this feature is not available. We show that at the steady state, these regenerative hybrid arrays perform approximately the same as a hybrid array with a perfect reference signal. As to the transient behavior, these arrays are shown to converge if the available imperfect steering vector can result in a few dB output signal-to-interference-plus-noise ratio with the self-generated reference disabled. ¬© 1989 IEEE</t>
  </si>
  <si>
    <t>351-361</t>
  </si>
  <si>
    <t>IEEE Transactions on Aerospace and Electronic Systems</t>
  </si>
  <si>
    <t>60005429;60010547;60006297</t>
  </si>
  <si>
    <t>7401672122;7202892410;7003848370</t>
  </si>
  <si>
    <t>Yeh, C. C.;Chao, T. H.;Haber, F.</t>
  </si>
  <si>
    <t>Princeton;Philadelphia;Taipei</t>
  </si>
  <si>
    <t>Sarnoff Corporation;University of Pennsylvania;National Taiwan University</t>
  </si>
  <si>
    <t>60010547;60006297;60005429</t>
  </si>
  <si>
    <t>Yeh C.</t>
  </si>
  <si>
    <t>Regenerative Hybrid Arrays for Interference Suppression</t>
  </si>
  <si>
    <t>10.1109/7.30790</t>
  </si>
  <si>
    <t>2-s2.0-0024663363</t>
  </si>
  <si>
    <t>['tm12 mode', 'rights reserved', 'electrical engineers']</t>
  </si>
  <si>
    <t>Antennas | Crosspolarisation | Microstrip</t>
  </si>
  <si>
    <t>The crosspolarisation of annular-ring microstrip patches resonating in the TM12 mode is discussed. It is shown that circumferential slots within the rings can suppress other modes and improve the radiated crosspolarisation levels. Copyright ¬© 1989, The Institution of Electrical Engineers. All rights reserved.</t>
  </si>
  <si>
    <t>656-657</t>
  </si>
  <si>
    <t>60010818;60010818</t>
  </si>
  <si>
    <t>6507585335;56020461500</t>
  </si>
  <si>
    <t>Nurie, N. S.;Langley, R. J.</t>
  </si>
  <si>
    <t>Canterbury</t>
  </si>
  <si>
    <t>University of Kent</t>
  </si>
  <si>
    <t>Nurie N.</t>
  </si>
  <si>
    <t>Crosspolar performance of annular-ring microstrip antenna with novel mode suppression</t>
  </si>
  <si>
    <t>10.1049/el:19890444</t>
  </si>
  <si>
    <t>2-s2.0-0024663538</t>
  </si>
  <si>
    <t>['transmitting station', 'stability analysis', 'spatial acquisition', 'quadrant photodetector', 'pointing error', 'optical cross', 'initial pointing', 'error voltages']</t>
  </si>
  <si>
    <t>Establishing an optical cross-link between two stations requires reciprocal spatial beam tracking subsequent to initial pointing and spatial acquisition. Tracking is achieved at each station by a quadrant photodetector, which generates simultaneous azimuth and elevation error voltages for control of two dc servomotors. The error voltages at one receiving station depend also on both the pointing error and the antenna gain pattern at the other transmitting station at the time of transmission. The cooperative tracking system evolves therefore as a pair of local tracking loops inherently coupled to each other. We carry on the stability analysis for this system. ¬© 1989 IEEE</t>
  </si>
  <si>
    <t>325-334</t>
  </si>
  <si>
    <t>60028868;60028868;60004969</t>
  </si>
  <si>
    <t>6603367408;6506589688;7005542516</t>
  </si>
  <si>
    <t>Marola, G.;Santerini, D.;Prati, G.</t>
  </si>
  <si>
    <t>Pisa;Parma</t>
  </si>
  <si>
    <t>Universit√† di Pisa;Universit√† di Parma</t>
  </si>
  <si>
    <t>60028868;60004969</t>
  </si>
  <si>
    <t>Marola G.</t>
  </si>
  <si>
    <t>Stability Analysis of Direct-Detection Cooperative Optical Beam Tracking</t>
  </si>
  <si>
    <t>10.1109/7.30787</t>
  </si>
  <si>
    <t>2-s2.0-0024663912</t>
  </si>
  <si>
    <t>University of California</t>
  </si>
  <si>
    <t>UC</t>
  </si>
  <si>
    <t>['waveguide dimensions', 'tilt angles', 'significant application', 'scattering parameters', 'rigorous analysis', 'resonant length', 'numerical results', 'integral equations']</t>
  </si>
  <si>
    <t>A rigorous analysis of a centered-inclined broad wall slot coupler between two crossed rectangular waveguides is presented. Pertinent integral equations are developed, taking into account finite wall thickness. The integral equations are then solved for the slot aperture E field using the method of moments. Coupling slot characteristics are deduced, including resonant length and dominant mode scattering in both waveguides. Numerical results for resonant length and scattering parameters are presented over a range of tilt angles, frequencies, and waveguide dimensions. These results have significant application in the design of waveguide-fed slot arrays. ¬© 1989 IEEE</t>
  </si>
  <si>
    <t>884-889</t>
  </si>
  <si>
    <t>Rengarajan, Sembiam R.</t>
  </si>
  <si>
    <t>Rengarajan S.R.</t>
  </si>
  <si>
    <t>Analysis of a Centered-Inclined Waveguide Slot Coupler</t>
  </si>
  <si>
    <t>10.1109/22.17455</t>
  </si>
  <si>
    <t>2-s2.0-0024664275</t>
  </si>
  <si>
    <t>659-662</t>
  </si>
  <si>
    <t>Proceedings of the IEEE</t>
  </si>
  <si>
    <t>Hansen, R. C.</t>
  </si>
  <si>
    <t>Hansen R.</t>
  </si>
  <si>
    <t>Relationships Between Antennas as Scatterers and as Radiators</t>
  </si>
  <si>
    <t>10.1109/5.32056</t>
  </si>
  <si>
    <t>2-s2.0-0024665708</t>
  </si>
  <si>
    <t>['receive attention', 'open waveguide', 'nonseparable nature', 'lsm assumptions', 'latter plays', 'important role', 'image line', 'essential two', 'discrete spectrum', 'discontinuity problems', 'continuous spectrum', 'circuit components', 'bound modes', 'basic principles', 'antenna applications']</t>
  </si>
  <si>
    <t>As image line is an open waveguide, its finite, discrete spectrum of bound modes is complemented by a continuum. The latter plays an important role in discontinuity and radiation problems arising in circuit components and antenna applications. However, the continuous spectrum has failed to receive attention so far, possibly because of the essential two-dimensional, nonseparable nature of the problem. In this paper, we derive from basic principles the complete orthonormalized spectrum, under LSE/LSM assumptions, by means of a method of ‚Äúpartial wave phase shifts.‚Äù The results are applicable to radiation and discontinuity problems in image line. ¬© 1989 IEEE</t>
  </si>
  <si>
    <t>868-874</t>
  </si>
  <si>
    <t>60030480;60030480</t>
  </si>
  <si>
    <t>56253019800;7003779898</t>
  </si>
  <si>
    <t>Rozzi, Tullio;Kot, John S.</t>
  </si>
  <si>
    <t>Bath</t>
  </si>
  <si>
    <t>University of Bath</t>
  </si>
  <si>
    <t>Rozzi T.</t>
  </si>
  <si>
    <t>The Complete Spectrum of Image Line</t>
  </si>
  <si>
    <t>10.1109/22.17453</t>
  </si>
  <si>
    <t>2-s2.0-0024665738</t>
  </si>
  <si>
    <t>['wire radii', 'whose characteristics', 'small values', 'resonant frequency', 'radiation resistance', 'phase reversals', 'multiple lobes', 'maximum value', 'maximum excursions', 'main objective', 'loop exhibits', 'loop dimensions', 'loop antenna', 'francis ltd', 'excitation voltage', 'electrical size', 'effective area', 'current distributions', 'azimuthal angle', 'aforementioned value', '6 mhz', '180 ¬∞,']</t>
  </si>
  <si>
    <t>The main objective of this paper is the determination of an approximate generalized solution to the current distributions of a circular-loop antenna using the method of moments. Numerical results obtained and displayed in graphical forms show that the maximum excursions of the current amplitudes occur when the azimuthal angle is 180¬∞, while phase reversals of the current distributions that are symmetrical about the aforementioned value of the azimuthal angle occur when the electrical size of the loop antenna is greater than unity. Electric fields also computed exhibit sharp nulls for small values of the electrical size while these sharp nulls tend to disappear and the fields eventually degenerate into multiple lobes when the electrical size of the circular loop becomes relatively large. In addition, it is shown that when the loop dimensions are specified as 0-2‚Äâm and 0-5‚Äâcm for the loop and wire radii, respectively, the total power radiated by the loop exhibits its maximum value at a resonant frequency of 262-6 MHz. Other design parameters computed and whose characteristics are also presented include the radiation resistance, the directivity as well as the effective area and height of the circular-loop antenna. In all the computed results presented, an excitation voltage of 0-1‚ÄâV is applied to the wire antenna structure. ¬© 1989 Taylor &amp; Francis Ltd.</t>
  </si>
  <si>
    <t>821-834</t>
  </si>
  <si>
    <t>60006448;60006448</t>
  </si>
  <si>
    <t>6603932305;6701860135</t>
  </si>
  <si>
    <t>Adekola, S. A.;Okereke, O. U.</t>
  </si>
  <si>
    <t>Nigeria</t>
  </si>
  <si>
    <t>Lagos</t>
  </si>
  <si>
    <t>University of Lagos</t>
  </si>
  <si>
    <t>Adekola S.</t>
  </si>
  <si>
    <t>Analysis of a circular-loop antenna using moment methods</t>
  </si>
  <si>
    <t>10.1080/00207218908925436</t>
  </si>
  <si>
    <t>2-s2.0-0024666032</t>
  </si>
  <si>
    <t>National Science Council</t>
  </si>
  <si>
    <t>NSC</t>
  </si>
  <si>
    <t>['wave dipole', 'taking assumption', 'results obtained', 'receiving antennas', 'near field', 'national bureau', 'moment method', 'method show', 'method provides', 'measured data', 'little error', 'kawana using', 'ground reflection', 'good agreement', 'geometrical optics', 'francis group', 'effective solution', 'easily solved', 'dissipative losses', 'caused errors', 'calculating time', 'antenna factors', 'also discussed']</t>
  </si>
  <si>
    <t>Antenna | Geometrical optics | Near field effect | Site attenuation</t>
  </si>
  <si>
    <t>With little error, taking assumption of sinusoidal current distribution on the half-wave dipole for exact (near and far) field and using the geometrical optics (GO) theory for ground reflection, a simplified yet improved method is derived for calculating site attenuation in terms of the antenna factors of transmitting and receiving antennas. The near field and mutual coupling problems that have caused errors between theoretical and measured data in the past can be easily solved. The deviation in the site attenuation curve due to equipment impedance mismatch and dissipative losses is also discussed. The results obtained by using this method show a good agreement with those obtained by Kawana using the moment method (MM) (for 3 meter site) and those measured by the National Bureau of Standards of U. S. A. (NBS) (for 3, 10 and 30 meter sites), while much more calculating time is saved. That is, this method provides a more effective solution for evaluating theoretical site attenuation of a standard open site. ¬© 1989 Taylor &amp; Francis Group, LLC.</t>
  </si>
  <si>
    <t>331-339</t>
  </si>
  <si>
    <t>60015763;60015763</t>
  </si>
  <si>
    <t>7103110722;15925629400</t>
  </si>
  <si>
    <t>Chuang, Horng Dow;Huang, Chi Fang</t>
  </si>
  <si>
    <t>Tatung Institute of Technology Taiwan</t>
  </si>
  <si>
    <t>Chuang H.D.</t>
  </si>
  <si>
    <t>Near field effect on the evaluation of site attenuation</t>
  </si>
  <si>
    <t>10.1080/02533839.1989.9677167</t>
  </si>
  <si>
    <t>2-s2.0-0024666332</t>
  </si>
  <si>
    <t>['wiley company', 'wide bandwidth', 'placement must', 'paper proposes', 'optimum location', 'obtained numerically', 'normal projection', 'main antenna', 'interfering waves', 'inc .,', 'earth stations', 'different sizes', 'detailed examination', 'auxiliary antennas', 'arrival direction', 'analytic study']</t>
  </si>
  <si>
    <t>As Earth stations for satellite communication become smaller, the problem of interference with existing communication links becomes more serious. This paper proposes a technique to apply cancelling sidelobes to suppress such interference. A detailed examination of the location of auxiliary antennas was made to realize favorable characteristics to suppress the interference over a wide bandwidth. For an analytic study, a uniformly excited circular aperture antenna was assumed. Its characteristics for different sizes were obtained numerically. First, a case of the known arrival direction of the interfering waves was considered where only two auxiliary antennas are needed. However, their placement must be determined exactly depending on the arrival direction of the interfering waves and the diameter of the main antenna. If the arrival direction of the interfering waves is unknown, five auxiliary antennas are needed to achieve a fairly favorable interference suppression. To decide the optimum location of the auxiliary antennas, a normal projection of the two properly chosen antennas in the arrival direction of the interfering waves is required to coincide as closely as those for two antennas used in the case of the known arrival direction. Copyright ¬© 1989 Wiley Periodicals, Inc., A Wiley Company</t>
  </si>
  <si>
    <t>20-29</t>
  </si>
  <si>
    <t>Takao, Kazuaki</t>
  </si>
  <si>
    <t>Kyoto University</t>
  </si>
  <si>
    <t>Takao K.</t>
  </si>
  <si>
    <t>A wideband sidelobe canceller for an earth station antenna</t>
  </si>
  <si>
    <t>10.1002/ecja.4410720503</t>
  </si>
  <si>
    <t>2-s2.0-0024666576</t>
  </si>
  <si>
    <t>['theoretical performances', 'rural areas', 'phase shifters', 'fed arrays', 'critical component']</t>
  </si>
  <si>
    <t>The Mobile Satellite Program is being developed to provide needed communication links to rural areas. A critical component in the system is the antenna for the vehicle. The issue of reducing the cost of phased array vehicle antennas through the use of a lens feeding arrangement instead of through the use of phase shifters at each element is addressed. Theoretical performances of these lens-fed arrays were performed at UHF. These data can be scaled to L-band, which is now the planned frequency band. ¬© 1989 IEEE</t>
  </si>
  <si>
    <t>86-94</t>
  </si>
  <si>
    <t>60019647;60019647;60009037</t>
  </si>
  <si>
    <t>7005729263;57198211793;7102110120</t>
  </si>
  <si>
    <t>Bodnar, Donald G.;Rainer, B. Keith;Rahmat-Samii, Yahya</t>
  </si>
  <si>
    <t>Atlanta;Pasadena</t>
  </si>
  <si>
    <t>Georgia Institute of Technology;Jet Propulsion Laboratory</t>
  </si>
  <si>
    <t>60019647;60009037</t>
  </si>
  <si>
    <t>Bodnar D.G.</t>
  </si>
  <si>
    <t>A Novel Array Antenna for MSAT Applications</t>
  </si>
  <si>
    <t>10.1109/25.61334</t>
  </si>
  <si>
    <t>2-s2.0-0024666771</t>
  </si>
  <si>
    <t>80-90</t>
  </si>
  <si>
    <t>Electrical Engineering in Japan</t>
  </si>
  <si>
    <t>May/June 1989</t>
  </si>
  <si>
    <t>6602725758;7404001025</t>
  </si>
  <si>
    <t>Hayeiwa, Kazuhisa;Ikeda, Hiroaki</t>
  </si>
  <si>
    <t>Hayeiwa K.</t>
  </si>
  <si>
    <t>SOA and lightning protection of MOS‚ÄêFETs in DC‚ÄêRF power inverters for medium‚Äêwave radio transmitters</t>
  </si>
  <si>
    <t>10.1002/eej.4391090309</t>
  </si>
  <si>
    <t>2-s2.0-0024667004</t>
  </si>
  <si>
    <t>['wiley company', 'wide field', 'supernova explosions', 'solar observation', 'small size', 'promising method', 'output signals', 'inc .,', 'efficient tool', 'basic operation', 'arithmetic operation', '7 cops']</t>
  </si>
  <si>
    <t>A radio astronomy telescope with a wide field of view is an efficient tool for locating such transient radio sources in space as supernova explosions. A promising method of designing this type of telescope is to apply Fourier transformation to the output signals from a phased array antenna. the implementation of a high‚Äêspeed parallel FFT processor to an eight‚Äêelement linear phased array antenna output is reported in this paper. Small size and low‚Äêpower con sumption are achieved by utilizing conventional digital video signal processing LSIs. In the present pilot system, arithmetic operation up to a speed of 2.7 COPS (giga operations per second) has been attained. the basic operation has been confirmed by solar observation. Copyright ¬© 1989 Wiley Periodicals, Inc., A Wiley Company</t>
  </si>
  <si>
    <t>109-117</t>
  </si>
  <si>
    <t>Electronics and Communications in Japan (Part III: Fundamental Electronic Science)</t>
  </si>
  <si>
    <t>60021178;60021178;60021178;60023462;60023462</t>
  </si>
  <si>
    <t>7102143532;7101868822;36475805100;6507726439;9235649100</t>
  </si>
  <si>
    <t>Iwase, Seiichiro;Okita, Toshimichi;Yamazaki, Takao;Daishido, Tsuneaki;Asuma, Kuniyuki</t>
  </si>
  <si>
    <t>Waseda University;Sony Corporation</t>
  </si>
  <si>
    <t>60023462;60021178</t>
  </si>
  <si>
    <t>Iwase S.</t>
  </si>
  <si>
    <t>A high‚Äêspeed parallel FFT‚Äêprocessor for a radio astronomy telescope</t>
  </si>
  <si>
    <t>10.1002/ecjc.4430720513</t>
  </si>
  <si>
    <t>2-s2.0-0024667498</t>
  </si>
  <si>
    <t>['significant improvement', 'present technique', 'linear array', 'investigated theoretically', 'higher lobes', 'existing methods']</t>
  </si>
  <si>
    <t>Usually, linear slotted waveguide arrays employing longitudinally displaced slots on a broad wall exhibit higher sidelobes, in particular Gruenberg lobes at ¬±45¬∞ as compared to theoretically designed value. The occurrence of such higher lobes has been investigated theoretically as well as experimentally. The theory has been extended to the suppression of these lobes. The improved design technique based on theory has been developed and used in the design of a linear array. The experimental results demonstrate the effectiveness of the technique. The present technique is a significant improvement over existing methods.</t>
  </si>
  <si>
    <t>153-159</t>
  </si>
  <si>
    <t>May-Jun</t>
  </si>
  <si>
    <t>60023345;60023345</t>
  </si>
  <si>
    <t>55491681600;6701379515</t>
  </si>
  <si>
    <t>Sharma, S. B.;Calla, O. P.N.</t>
  </si>
  <si>
    <t>Bengaluru</t>
  </si>
  <si>
    <t>Indian Space Research Organization</t>
  </si>
  <si>
    <t>Sharma S.</t>
  </si>
  <si>
    <t>Occurrence of grating lobes and their suppression in broad wall slotted array of shunt slots</t>
  </si>
  <si>
    <t>10.1080/03772063.1989.11436807</t>
  </si>
  <si>
    <t>2-s2.0-0024668528</t>
  </si>
  <si>
    <t>National Institute of General Medical Sciences</t>
  </si>
  <si>
    <t>T32GM007185</t>
  </si>
  <si>
    <t>NIGMS</t>
  </si>
  <si>
    <t>['white light', 'unstacked membranes', 'transcriptional mechanisms', 'transcription assays', 'transcription activity', 'significantly affect', 'red light', 'qualitatively correlated', 'primarily responsible', 'plants grown', 'plants adapted', 'photosynthetic proteins', 'mrna levels', 'mrna level', 'increased ratio', 'fold decrease', 'equal amount', 'differential decrease', 'changes include', 'approximately 10', 'adapted chloroplasts']</t>
  </si>
  <si>
    <t>The adaptation of germinating spinach seedlings to yellow and red light was studied and compared with plants grown in white light. Spinach chloroplasts isolated from cotyledons and leaves of yellow and white light-grown plants showed similar membrane structures and compositions, while chloroplasts from plants grown in red light have significant adaptive changes. Based on an equal amount of chlorophyll, these changes include a reduction in the number of photosystem I complexes, an increase of photosystem II antenna size, and an increased ratio of stacked to unstacked membranes in red light-adapted chloroplasts. The decrease in the number of photosystem I complexes per unit of chlorophyll in these chloroplasts was qualitatively correlated with an approximately 10-fold decrease in the level of the psaA mRNA encoding the photosystem I 65-kilodalton to 70-kilodalton chlorophyll apoprotein, as well as with a differential decrease in mRNA levels of other photosynthetic proteins. Light quality adaptations do not significantly affect the plastid to nuclear DNA ratio or the overall chloroplast transcription activity. The relative transcriptional activities of 10 plastid genes, as determined by run-on transcription assays, are similar in chloroplasts from cotyledons and leaves of plants grown under the three light qualities. Only the psaA gene shows a 30% to 40% decrease in transcription activity in chloroplasts of plants adapted to red light. This decrease in psaA transcription activity, however, cannot fully account for the decrease of its mRNA level. We conclude, therefore, that post-transcriptional mechanisms are primarily responsible for the control of differential chloroplast mRNA accumulation in light quality adaptations.</t>
  </si>
  <si>
    <t>645-654</t>
  </si>
  <si>
    <t>The Plant cell</t>
  </si>
  <si>
    <t>60025038;60025038;60025038;60025038;60025038</t>
  </si>
  <si>
    <t>7401768784;6506660790;7103226377;7004524029;35599078800</t>
  </si>
  <si>
    <t>Deng, X. W.;Tonkyn, J. C.;Peter, G. F.;Thornber, J. P.;Gruissem, W.</t>
  </si>
  <si>
    <t>Deng X.W.</t>
  </si>
  <si>
    <t>Post-transcriptional control of plastid mRNA accumulation during adaptation of chloroplasts to different light quality environments.</t>
  </si>
  <si>
    <t>10.1105/tpc.1.6.645</t>
  </si>
  <si>
    <t>2-s2.0-0024673605</t>
  </si>
  <si>
    <t>['significant improvement', 'shape control', 'rights reserved', 'results indicate', 'regulating electromagnetic', 'reflector surface', 'radiometer design', 'previous work', 'inc .,', 'extremely precise', 'correction effort', 'control procedure']</t>
  </si>
  <si>
    <t>The requirements for extremely precise and powerful large space antenna reflectors have motivated the development of a procedure for static shape control of the reflector surface. A mathematical optimization procedure has been developed that improves antenna performance while minimizing necessary shape-correction effort. The control procedure is based on regulating electromagnetic (EM) performance in contrast to previous work, which is based on controlling the rms distortion error of the surface, thereby indirectly improving antenna performance. The application of the control procedure to a radiometer design with a tetrahedral truss backup structure demonstrates the potential for significant improvement. The results indicate the benefit of including EM performance calculations in procedures for shape control of large space antenna reflectors. ¬© 1989 American Institute of Aeronautics and Astronautics, Inc., All rights reserved.</t>
  </si>
  <si>
    <t>814-819</t>
  </si>
  <si>
    <t>AIAA Journal</t>
  </si>
  <si>
    <t>60000854;60000854;60000854;60027090</t>
  </si>
  <si>
    <t>56235418300;7102463776;7401639390;7102367440</t>
  </si>
  <si>
    <t>Padula, S. L.;Adelman, H. M.;Bailey, M. C.;Haftka, R. T.</t>
  </si>
  <si>
    <t>Blacksburg;Hampton</t>
  </si>
  <si>
    <t>Virginia Polytechnic Institute and State University;NASA Langley Research Center</t>
  </si>
  <si>
    <t>60027090;60000854</t>
  </si>
  <si>
    <t>Padula S.</t>
  </si>
  <si>
    <t>Integrated structural electromagnetic shape control of large space anatenna reflectors</t>
  </si>
  <si>
    <t>10.2514/3.10183</t>
  </si>
  <si>
    <t>2-s2.0-0024673627</t>
  </si>
  <si>
    <t>['wiley company', 'utilize subarraying', 'subarray weights', 'simultaneously synthesize', 'optimum sum', 'inc .,', 'difference patterns', 'dealing directly', 'appropriately adjuring']</t>
  </si>
  <si>
    <t>Monopulse arrays | subarraying | synthesis</t>
  </si>
  <si>
    <t>In this paper a technique is described to simultaneously synthesize both sum and difference patterns of linear antenna arrays which utilize subarraying to increase the number of degrees of freedom above that Obtainable with the more conventional two‚Äêsection feed network. The approach described attempts to obtain an optimum sum (difference) and a ‚Äúbest compromise‚Äù difference (sum) pattern by dealing directly with the space factor zeros of the separately optimum sum and difference patterns and appropriately adjuring the subarray weights. Copyright ¬© 1989 Wiley Periodicals, Inc., A Wiley Company</t>
  </si>
  <si>
    <t>224-227</t>
  </si>
  <si>
    <t>Mcnamara, Derek A.</t>
  </si>
  <si>
    <t>Mcnamara D.</t>
  </si>
  <si>
    <t>A Space Factor Zero Placement Technique for the Synthesis of Subarrayed Monopulse Linear Arrays</t>
  </si>
  <si>
    <t>10.1002/mop.4650020613</t>
  </si>
  <si>
    <t>2-s2.0-0024679922</t>
  </si>
  <si>
    <t>['wiley company', 'wide bond', 'reactive loading', 'radiation pattern', 'radiating element', 'promising potential', 'notable 5', 'nearly constant', 'loading scheme', 'induced along', 'inc .,', 'frequency characteristics', 'dipole antenna', 'design technique', 'demonstrated via', 'current distribution']</t>
  </si>
  <si>
    <t>broadband techniques | Dipole antenna | moment method</t>
  </si>
  <si>
    <t>A dipole antenna is an inherently frequency‚Äêsensitive device. The frequency characteristics of the dipole are governed by the current that is induced along the radiating element. Herein, we suggest a design technique of reactive loading, aiming to maintain the current distribution, and consequently the input impedance und the radiation pattern, nearly constant over a wide bond of frequencies. The promising potential of the loading scheme is demonstrated via a moment‚Äêmethod numerical simulation that shows that even with a single optimal lumped reactive load a notable 5:I bandwidth with VSWR &lt; 3 is attainable. Copyright ¬© 1989 Wiley Periodicals, Inc., A Wiley Company</t>
  </si>
  <si>
    <t>208-210</t>
  </si>
  <si>
    <t>60022403;60022403;60022403</t>
  </si>
  <si>
    <t>35614064400;7005691179;6504519248</t>
  </si>
  <si>
    <t>Einziger, P. D.;Leviatan, Y.;Rozenkovich, J.</t>
  </si>
  <si>
    <t>Haifa</t>
  </si>
  <si>
    <t>Technion - Israel Institute of Technology</t>
  </si>
  <si>
    <t>Einziger P.D.</t>
  </si>
  <si>
    <t>Broad‚ÄêBand Reactively Loaded Dipole Antenna</t>
  </si>
  <si>
    <t>10.1002/mop.4650020607</t>
  </si>
  <si>
    <t>2-s2.0-0024680265</t>
  </si>
  <si>
    <t>['various kinds', 'transmitting antenna', 'small antenna', 'reciprocity theorem', 'receiving antennas', 'receiving antenna', 'range distances', 'range distance', 'range criterion', 'radiation patterns', 'pattern measurements', 'measurements distances', 'measurement distance', 'large dimensions', 'gain error', 'fresnel pattern', 'error obtained', 'error introduced', 'difference whether', 'assumed .).', 'arbitrary size', 'aperture distribution', 'antenna gains', 'also discussed', '83 times']</t>
  </si>
  <si>
    <t>The dependence of the radiation patterns and antenna gains on the measurement distance when both transmitting and receiving antennas have the same order of large dimensions is discussed. The antenna under test (being measured) is the transmitting antenna. This is contrary to the usual pattern ranges, but from the reciprocity theorem it makes no difference whether the antenna under test is a transmitter or a receiver. The near-zone radiation patterns (Fresnel pattern) and the antenna gains of various kinds of circular aperture distributions versus the measurements distances are calculated for an arbitrary size of the receiving probe antenna. It is indicated both theoretically and experimentally that the near-zone measurement error of the radiation patterns introduced when the receiving antenna is of comparable or the same dimension as the transmitting antenna is smaller than the error introduced when the receiving antenna is very small. Thus, it is concluded that as a range criterion is more appropriate than 2(Da + Db)2/Œª for pattern measurements (Da and Dbare linear dimensions of the transmitting and receiving antennas, and Da &gt; Db is assumed.). The near-zone gains versus the range distances are also discussed. It is indicated that the gain error for any aperture distribution obtained by using a large receiving probe antenna is greater at any range distance than the error obtained by using a small antenna such as a dipole. For example, when the transmitting and receiving antennas of the same size are used, the required minimum range distance to maintain the same gain error is about 2.20 ~ 2.83 times that for the small receiving antenna depending on the aperture distribution. ¬© 1989 IEEE</t>
  </si>
  <si>
    <t>707-720</t>
  </si>
  <si>
    <t>60008435;60008435</t>
  </si>
  <si>
    <t>7201851714;56779495700</t>
  </si>
  <si>
    <t>Uno, Toru;Adachi, Saburo</t>
  </si>
  <si>
    <t>Uno T.</t>
  </si>
  <si>
    <t>Range Distance Requirements for Large Antenna Measurements</t>
  </si>
  <si>
    <t>10.1109/8.29357</t>
  </si>
  <si>
    <t>2-s2.0-0024680782</t>
  </si>
  <si>
    <t>['surface diffractions', 'surface consists', 'reflected components', 'present paper', 'incident field', 'former components', 'finite extent', 'explicit expressions', 'edge reflections', 'currents induced', 'considered separately', 'components attributable', 'canonical problems']</t>
  </si>
  <si>
    <t>High-frequency surface currents induced on a surface with edges can be interpreted as composed of components attributable to the reflections and edge or surface diffractions of the incident field as well as to the edge reflections of these components themselves. The explicit expressions of the former components can be obtained from a set of properly formulated canonical problems if the surface consists of a cylindrically or spherically curved sheet. These types of canonical problems are not suitable for the derivation of the edge-reflected components which should be considered in dealing with currents induced on sheets of finite extent. In the present paper a conjecture is made about the edge-reflected currents induced on a cylindrically curved sheet, and some of its consequences are shown. The normal and oblique incidence cases are considered separately. ¬© 1989 IEEE</t>
  </si>
  <si>
    <t>736-743</t>
  </si>
  <si>
    <t>60005593-60022002;60022002</t>
  </si>
  <si>
    <t>7004740682;6601954863</t>
  </si>
  <si>
    <t>Idemen, Mithat;Akduman, Ibrahim</t>
  </si>
  <si>
    <t>Turkey;Turkey</t>
  </si>
  <si>
    <t>Istanbul;Ankara</t>
  </si>
  <si>
    <t>ƒ∞stanbul Teknik √úniversitesi;T√ºrkiye Bilimsel ve Teknolojik Ara≈ütirma Kurumu</t>
  </si>
  <si>
    <t>60022002;60005593</t>
  </si>
  <si>
    <t>Idemen M.</t>
  </si>
  <si>
    <t>On the Edge Reflections of High-Frequency Surface Currents Induced on a Cylindrical Strip</t>
  </si>
  <si>
    <t>10.1109/8.29360</t>
  </si>
  <si>
    <t>2-s2.0-0024681119</t>
  </si>
  <si>
    <t>['moments techniques', 'mininec analysis', 'impedance measurements', 'desired pattern', 'close agreement', 'array incorporates']</t>
  </si>
  <si>
    <t>The use of method of moments techniques to obtain operating base parameters for a medium wave directional array is described. The array incorporates a 130¬∞ tall antenna element which is sectionalized 75¬∞ above the base. A matrix of impedance measurements is used to obtain input data for the MININEC analysis of the array. The MININEC output provides base operating parameters for the appropriate field values required to produce the desired pattern. When these values were used, the resulting measured antenna pattern was in close agreement with the original theoretical pattern which had been calculated using traditional assumptions. ¬© 1989 IEEE</t>
  </si>
  <si>
    <t>185-189</t>
  </si>
  <si>
    <t>Dawson, Benjamin F.</t>
  </si>
  <si>
    <t>Dawson B.</t>
  </si>
  <si>
    <t>Analysis of a sectionalzzed tower as an element in a medium wave phased array using the method of moments</t>
  </si>
  <si>
    <t>10.1109/11.30832</t>
  </si>
  <si>
    <t>2-s2.0-0024681175</t>
  </si>
  <si>
    <t>['moment program', 'data generated']</t>
  </si>
  <si>
    <t>The purpose of this paper is to compare the self and mutual impedances predicted by the moment method program with actual field measurements. The moment method program is detailed to show how it derives the ‚ÄúZ‚Äù matrix. A discussion on the theory of these impedances is offered in the appendix as a foundation to analyze the results. The comparison will show that the field measurements support the data generated by the moment program. ¬© 1989 IEEE</t>
  </si>
  <si>
    <t>190-192</t>
  </si>
  <si>
    <t>Chiodini, Todd</t>
  </si>
  <si>
    <t>Chiodini T.</t>
  </si>
  <si>
    <t>Moment method predicted impedances compared to actual measured impedances of directional arrays</t>
  </si>
  <si>
    <t>10.1109/11.30833</t>
  </si>
  <si>
    <t>2-s2.0-0024681176</t>
  </si>
  <si>
    <t>['throat section', 'second example', 'rigorously taken', 'polarization level', 'polarization characteristics', 'plane patterns', 'pattern symmetry', 'optimized cross', 'one example', 'matrix formulation', 'influence due', 'efficient computer', 'design theory', 'complete six', 'complete microwave', 'aperture radiating', 'aperture problem', 'aided design', '30 ¬∞).', '11 ghz']</t>
  </si>
  <si>
    <t>A full-wave hybrid field theoretic method is presented for the accurate and efficient computer-aided design of complete microwave or millimeter-wave radiating components comprising stepped rectangular waveguide mode converters and horn transitions including the effect of the aperture radiating into halfspace. The hybrid method combines the complete six-field component modal S-matrix formulation, for the double-plane waveguide discontinuity problem of the throat section, with the full component moment solution, for the aperture problem. Two orthogonally polarized sets of rooftop basis functions are utilized to model the magnetic surface currents in the apertures. All important design parameters, such as the input reflection coefficient including the actual aperture effect, H- and E-plane patterns considering the influence due to all excited higher order mode field components, as well as the cross-polarization characteristics, are rigorously taken into account by the design theory. The method is verified by comparison with available measured data for pyramidal horn transitions. Two design examples for stepped multimode horn transitions are presented. One example has been optimized with regard to pattern symmetry and achieves nearly identical E- and H-plane patterns from 10.8 to 11.2 GHz within Œ∏ ‚àä(-30¬∞, + 30¬∞). The second example with optimized cross-polarization behavior shows -50 dB maximum cross-polarization level at 11 GHz. ¬© 1989 IEEE</t>
  </si>
  <si>
    <t>780-790</t>
  </si>
  <si>
    <t>60008293;60008293;60008293;60008293</t>
  </si>
  <si>
    <t>7004541933;7201666588;7006748393;6507769785</t>
  </si>
  <si>
    <t>Wriedt, Thomas;Wolff, Karl heinz;Arndt, Fritz;Tucholke, Ulrich</t>
  </si>
  <si>
    <t>Wriedt T.</t>
  </si>
  <si>
    <t>Rigorous Hybrid Field Theoretic Design of Stepped Rectangular Waveguide Mode Converters Including the Horn Transitions into Half-Space</t>
  </si>
  <si>
    <t>10.1109/8.29365</t>
  </si>
  <si>
    <t>2-s2.0-0024681271</t>
  </si>
  <si>
    <t>['usually necessary', 'relative magnitudes', 'relative fields', 'radiation patterns', 'radiating objects', 'quantities known', 'officially designate', 'moments techniques', 'mininec iii', 'min1nec iii', 'linear relationship', 'international notifications', 'floated towers', 'field parameters', 'facilities authorized', 'etc .)', 'electric fields', 'easily calculated', 'directional arrays', 'detuning impedances', 'correct pattern', 'computed voltages', 'base voltages', 'accurately located']</t>
  </si>
  <si>
    <t>The equation that is used to calculate the radiation patterns of AM directional arrays for facilities authorized by the Federal Communications Commission (FCC) is based upon simplified ray geometry that requires the use of quantities known as Field Parameters. The Field Parameters are the relative magnitudes and phases of the electric fields as they leave the towers and the corresponding physical dimensions of the array. These are the parameters that are used by the FCC to officially designate the shape of AM directional antenna patterns for domestic (i.e., construction permits, etc.) and international notifications. When AM directional arrays are adjusted, the antenna monitor ratios and phases are set to be the same as the construction permit Field Parameters. After this is accomplished, it is usually necessary to ‚Äúfield adjust‚Äù the array to get the correct pattern. With the help of method of moments techniques, the antenna monitor parameters that give the correct pattern can be calculated from the field parameters. The base voltages can be computed from the linear relationship between the relative fields and the base voltages. The computed voltages can then be used as sources for MIN1NEC III. The base currents computed by MININEC III for those base voltages are used to determine the antenna monitor parameters that result in the correct directional antenna (DA) pattern. Calculating the antenna monitor parameters that give the correct DA pattern means that trial and error field adjustment is not necessary in those situations where re-radiating objects are not present. Thin re-radiating objects, such as AC power transmission towers, can be included in the computation when they can be accurately located and described. Detuning impedances from the floated towers to ground are easily calculated from the output of the MININEC III program. Examples of the use of this technique are shown in this paper. ¬© 1989 IEEE</t>
  </si>
  <si>
    <t>176-184</t>
  </si>
  <si>
    <t>Hatfield, James B.</t>
  </si>
  <si>
    <t>Hatfield J.</t>
  </si>
  <si>
    <t>Relative tower currents and fields in an am directional array</t>
  </si>
  <si>
    <t>10.1109/11.30831</t>
  </si>
  <si>
    <t>2-s2.0-0024681275</t>
  </si>
  <si>
    <t>['two examples', 'theoretical patterns', 'theoretical models', 'sufficient accuracy', 'specified pattern', 'radiator concept', 'radiating elements', 'patterns measured', 'pattern synthesis', 'paper deals', 'optimization procedure', 'optimal approximation', 'n radiators', 'mm analysis', 'helicopter show', 'four towers', 'first discusses', 'directional high', 'computer models', 'close agreement']</t>
  </si>
  <si>
    <t>The paper deals with the synthesis of directional high-power MF antennas which comprise grounded self-supporting steel towers with driven wire cages as radiating elements, and at first discusses some advantages of this radiator concept. Computer models of such radiators for method of moments (MM) analysis of sufficient accuracy are presented. Pattern synthesis for an antenna of n radiators is achieved by 1) MM analysis of the antenna for n independent mode3. and 2) applying an optimization procedure for determining n complex coefficients for superposition of the modes. in order to obtain an optimal approximation to a specified pattern. Aspects for selecting the modes are discussed. Two examples, viz. antennas with two and four towers, and the theoretical models of their radiators are presented. The patterns measured by helicopter show very close agreement to the theoretical patterns. ¬© 1989 IEEE</t>
  </si>
  <si>
    <t>193-199</t>
  </si>
  <si>
    <t>60075697;60075697</t>
  </si>
  <si>
    <t>6602947470;6507120817</t>
  </si>
  <si>
    <t>Bruger, Peter;Waniewski, Bernd</t>
  </si>
  <si>
    <t>Nurnberg</t>
  </si>
  <si>
    <t>AEG</t>
  </si>
  <si>
    <t>Bruger P.</t>
  </si>
  <si>
    <t>Directional Mf antennas using self-supporting towers with driven wire cages</t>
  </si>
  <si>
    <t>10.1109/11.30834</t>
  </si>
  <si>
    <t>2-s2.0-0024681308</t>
  </si>
  <si>
    <t>['underlying soil', 'point impedance', 'paper examines', 'operating frequency', 'nominal value', 'mounted system', 'mounted antenna', 'modest height', 'input impedance', 'elevated antenna', 'electrical characteristics', 'conventional ground', 'also investigated', '3 ].', '2 ],']</t>
  </si>
  <si>
    <t>Recent computer modeling studies indicate that an elevated vertical monopole with four elevated horizontal radials may outperform a conventional ground-mounted antenna with 120 buried radials [1, 2], when situated at a modest height above the earth. This paper examines the variations in feed-point impedance which occur in an elevated antenna system due to changes in the electrical characteristics of the underlying soil. The bandwidth of such antennas is also investigated by looking at deviations in the input impedance as the operating frequency is varied about its nominal value. In all cases, results for the elevated antenna are compared with those of the conventional ground-mounted system. The computer program used for this work was NEC (Numerical Electromagnetics Code), a method of moments software package which was developed at Lawrence Livermore National Laboratory [3]. ¬© 1989 IEEE</t>
  </si>
  <si>
    <t>167-171</t>
  </si>
  <si>
    <t>60032784;60011132</t>
  </si>
  <si>
    <t>7003514705;7003656248</t>
  </si>
  <si>
    <t>Christman, Al;Radcliff, Roger</t>
  </si>
  <si>
    <t>Grove City;Athens</t>
  </si>
  <si>
    <t>Grove City College;Ohio University</t>
  </si>
  <si>
    <t>Christman A.</t>
  </si>
  <si>
    <t>Impedance stability and bandwidth considerations for elevated-radial antenna systems</t>
  </si>
  <si>
    <t>10.1109/11.30829</t>
  </si>
  <si>
    <t>2-s2.0-0024681338</t>
  </si>
  <si>
    <t>['wide variation', 'time behavior', 'sunspot cycle', 'south paths', 'skywave transmission', 'signal strengths', 'signal strength', 'selective receiver', 'selected stations', 'selected standard', 'northern tier', 'modified top', 'magnetic storm', 'long north', 'latitudinal location', 'late 1981', 'correct frequencies', 'broadcasting stations', 'better understand', 'auroral oval', '106 ft']</t>
  </si>
  <si>
    <t>Skywave transmission from selected standard AM broadcasting stations in the northern tier of the contiguous United States, Alaska and Canada were monitored near Fairbanks, Alaska from late 1981 to 1987. This project was funded by the Federal Communications Commission (FCC) and the Alaska Public Broadcasting Commission (APBC) in an effort to better understand, among other things, the effect of latitude on MF skywave propagation. A modern, stable and selective receiver was electronically scanned continuously through 12 preselected frequencies in a five-minute cycle including a calibration. Frequent aural monitoring insured that the correct frequencies were being monitored. The main antenna used during this program was a 106 ft (35 m) vertical with modified top-hat and a 30-radial ground system. The daily, seasonal and magnetic storm-time behavior of signal strength from selected stations was monitored over one-half of sunspot cycle 21. The latitudinal location of the auroral oval in the E-region in respect to the ionospheric reflection points on the propagation paths created profound variations of signal strength. There was also a very wide variation in signal strengths on long north-south paths as a function of sunspot cycle. Results from these studies have been reported in a series of reports to the FCC and APBC and in several conference proceedings. ¬© 1989 IEEE</t>
  </si>
  <si>
    <t>218-222</t>
  </si>
  <si>
    <t>60011976;60011976;60010003</t>
  </si>
  <si>
    <t>6603033627;6505572664;7701329890</t>
  </si>
  <si>
    <t>Hunsucker, Robert D.;Delana, Brett S.;Wang, John C.H.</t>
  </si>
  <si>
    <t>Fairbanks;Washington, D.C.</t>
  </si>
  <si>
    <t>University of Alaska Fairbanks;Federal Communications Commission</t>
  </si>
  <si>
    <t>60011976;60010003</t>
  </si>
  <si>
    <t>Hunsucker R.D.</t>
  </si>
  <si>
    <t>Medium-frequency skywave propagation at high latitudes: Results of a five-year study</t>
  </si>
  <si>
    <t>10.1109/11.30838</t>
  </si>
  <si>
    <t>2-s2.0-0024681339</t>
  </si>
  <si>
    <t>['uniformly valid', 'spectral integral', 'prescribed order', 'one corresponds', 'many applications', 'intrinsic modes', 'intrinsic mode', 'infinite number', 'given structure', 'exact solution', 'every cross', 'crosspolar radiation', 'boundary conditions', 'approximates asymptotically']</t>
  </si>
  <si>
    <t>The application of the concept of intrinsic modes to the theory of propagation in conical corrugated horns is developed. An intrinsic mode is an exact solution of source-free Maxwell equations which satisfies the boundary conditions to a prescribed order of accuracy as the flare angle Œ± becomes small. There exists an infinite number of intrinsic modes for a given structure and each one corresponds with a fixed local normal mode at every cross-section, to which it approximates asymptotically as Œ± ‚Üí 0. An intrinsic mode is given by a Fourier-like spectral integral which is uniformly valid, including the regions where the corresponding local normal mode is evanescent or in transition from propagating to evanescent. This spectral integral can be generated from knowledge of only one local normal mode at each cross-section, and numerical calculations show that the intrinsic mode based on the HE11 local normal mode is sufficient for many applications, including the calculation of crosspolar radiation.</t>
  </si>
  <si>
    <t>250-256</t>
  </si>
  <si>
    <t>Jun</t>
  </si>
  <si>
    <t>60001490;60001490</t>
  </si>
  <si>
    <t>7403060413;6602432967</t>
  </si>
  <si>
    <t>Arnold, J. M.;Dendane, A.</t>
  </si>
  <si>
    <t>Glasgow</t>
  </si>
  <si>
    <t>University of Glasgow</t>
  </si>
  <si>
    <t>Arnold J.</t>
  </si>
  <si>
    <t>Intrinsic mode theory of conical corrugated horns</t>
  </si>
  <si>
    <t>10.1049/ip-h-2.1989.0046</t>
  </si>
  <si>
    <t>2-s2.0-0024681353</t>
  </si>
  <si>
    <t>['refractive media', 'ray within', 'priori conditions', 'parameter used', 'paper demonstrates', 'obtaining agreement', 'internal segment', 'internal geometry', 'fundamental parameter', 'dielectric antennas', 'axis bifocality', 'amplitude distribution']</t>
  </si>
  <si>
    <t>The paper demonstrates the method of generic curve series to obtain the profiles of dielectric antennas, with design conditions either for the specification of the aperture-amplitude distribution from a given source distribution, or for agreement with the Abbe sine condition. The method has already proved successful in the design of dual reflector antennas, and the extension to refractive media is shown to be straightforward. The method basically involves obtaining two equivalent expressions for a fundamental parameter from the usual optical equations and internal geometry of the lens, and obtaining agreement between them by a computational optimization procedure using the series of curves. The parameter used in the paper is the internal segment of the ray within the lens. The method applies equally well to lenses with other a priori conditions such as afocal linear magnification or off-axis bifocality.</t>
  </si>
  <si>
    <t>276-279</t>
  </si>
  <si>
    <t>60016618;60016618;60016618</t>
  </si>
  <si>
    <t>35608826600;7004675477;7201843865</t>
  </si>
  <si>
    <t>Bishay, Samira;Cornbleet, S.;Hilton, J.</t>
  </si>
  <si>
    <t>Egypt</t>
  </si>
  <si>
    <t>Cairo</t>
  </si>
  <si>
    <t>Ain Shams University</t>
  </si>
  <si>
    <t>Bishay S.</t>
  </si>
  <si>
    <t>Lens antennas with amplitude shaping or sine condition</t>
  </si>
  <si>
    <t>10.1049/ip-h-2.1989.0051</t>
  </si>
  <si>
    <t>2-s2.0-0024681354</t>
  </si>
  <si>
    <t>['waveguide medium', 'unknown material', 'standard materials', 'space method', 'space measurements', 'relatively compact', 'reflection coefficients', 'pvc ).', 'planar slabs', 'network analyzer', 'microwave frequencies', 'measurement system', 'loss tangents', 'lens antenna', 'key components', 'fused quartz', 'frequency range', 'error function', 'dielectric properties', 'dielectric constants', 'composite materials', 'calibration technique', 'also measured', '5 ghz']</t>
  </si>
  <si>
    <t>For measurements of dielectric properties of planar slabs of ceramic and composite materials, we have developed a free-space measurement system in the frequency range of 14.5-17.5 GHz. The key components of the measurement system are a pair of spot-focusing horn lens antennas, the network analyzer, and the computer. Because of the farfield focusing ability of horn lens antennas, the free-space measurements can be made at microwave frequencies in a relatively compact and simple measurement setup. The inaccuracies in free-space measurements due to diffraction from the sample were minimized by satisfying the condition D Óê° 3d, where D and d are the minimum transverse dimension of the plate and the beamwidth of the antennas at the focus. The time-domain gating feature of the network analyzer and the thru, reflect, and line (TRL) calibration technique were used to eliminate the effects of undesirable multiple reflections. The complex reflection coefficients were measured by inserting a perfectly conducting plate behind the plate of unknown material at the focus of the lens antenna. By implementing an algorithm which finds the zeros of the error function, the dielectric constants and loss tangents were calculated from the reflection coefficients. The dielectric constants and loss tangents were measured for standard materials such as fused quartz, Teflon, and polyvinyl-chloride (PVC). Dielectric properties for Teflon and PVC were also measured in a waveguide medium for purposes of comparison with the free-space method. ¬© 1989 IEEE</t>
  </si>
  <si>
    <t>789-793</t>
  </si>
  <si>
    <t>60001439;60001439;60001439</t>
  </si>
  <si>
    <t>6603132150;7202350150;36039583900</t>
  </si>
  <si>
    <t>Ghodgaonkar, Deepak K.;Varadan, Vasundara V.;Varadan, Vijay K.</t>
  </si>
  <si>
    <t>University Park</t>
  </si>
  <si>
    <t>Pennsylvania State University</t>
  </si>
  <si>
    <t>Ghodgaonkar D.K.</t>
  </si>
  <si>
    <t>A Free-Space Method for Measurement of Dielectric Constants and Loss Tangents at Microwave Frequencies</t>
  </si>
  <si>
    <t>10.1109/19.32194</t>
  </si>
  <si>
    <t>2-s2.0-0024681561</t>
  </si>
  <si>
    <t>['selective editing', 'reflector antenna', 'reconstructed image', 'radiated far', 'polarization discrimination', 'fourier domain', 'field hemisphere', 'current distribution', 'antenna currents']</t>
  </si>
  <si>
    <t>A procedure for imaging antenna currents is presented which uses a relationship between the radiated far-field hemisphere and the Fourier transform domain of the source current density distribution. The technique is applied to an array of two orthogonal waveguides, a slotted waveguide array, and a reflector antenna. In each case the radiated far-field hemisphere is inverted to produce a high resolution volumetric image of the antenna currents. Polarization discrimination is demonstrated as is the ability of the technique to ‚Äúsee behind‚Äù blockages by defocusing the foreground. It is shown that accurate quantitative information about the phase of the antenna current distribution is available from the reconstructed image. Selective editing of the Fourier domain of the current distribution is performed in order to suppress unwanted artifacts in the reconstruction. ¬© 1989 IEEE</t>
  </si>
  <si>
    <t>768-779</t>
  </si>
  <si>
    <t>60001881;60001881;60001881;60001881</t>
  </si>
  <si>
    <t>55328764600;56838923500;7004945432;7404251432</t>
  </si>
  <si>
    <t>Cook, Gregory G.;Andreson, Alan P.;Whitaker, Anthony J.T.;Bennett, John C.</t>
  </si>
  <si>
    <t>Cook G.G.</t>
  </si>
  <si>
    <t>High Resolution Three-Dimensional Microwave Imaging of Antennas</t>
  </si>
  <si>
    <t>10.1109/8.29364</t>
  </si>
  <si>
    <t>2-s2.0-0024681567</t>
  </si>
  <si>
    <t>['transmitting antenna', 'test data', 'radiation pattern', 'phase measurements', 'novel scheme', 'major advantage', 'large lens', 'focal plane', 'direct plot']</t>
  </si>
  <si>
    <t>A novel scheme has been investigated by which the radiation pattern of a test reflector antenna is determined by rescaling a plot of the electric field distribution in the focal plane of a large lens or in the offset focal plane of a large offset reflector placed in front of the transmitting antenna under test. The major advantage of the technique is that it permits a direct plot of the desired radiation pattern from near-field amplitude data without requiring any phase measurements and makes the test scheme simpler and the test data more accurate than previous test schemes. ¬© 1989 IEEE</t>
  </si>
  <si>
    <t>794-796</t>
  </si>
  <si>
    <t>60022144;60022144;60022144</t>
  </si>
  <si>
    <t>7201819541;35465847700;7103051886</t>
  </si>
  <si>
    <t>Yin, Shanxian;Christodoulou, Christos G.;Hamid, Michael</t>
  </si>
  <si>
    <t>Orlando</t>
  </si>
  <si>
    <t>University of Central Florida</t>
  </si>
  <si>
    <t>Yin S.</t>
  </si>
  <si>
    <t>Radiation Pattern of a Test Reflector Antenna from Near-Field Measurements Over Focal Region of a Coupled Lens or Offset Reflector</t>
  </si>
  <si>
    <t>10.1109/8.29367</t>
  </si>
  <si>
    <t>2-s2.0-0024681568</t>
  </si>
  <si>
    <t>['principal features', 'optimum values', 'excitation efficiency', 'envelope taper', 'discrete analogue', 'direct synthesis', 'correct perturbation', 'chebyshev distribution']</t>
  </si>
  <si>
    <t>In this paper a generalized Villeneuve type linear array distribution is developed, which permits the direct synthesis of discrete array distributions for high efficiency sum patterns of arbitrary sidelobe level and envelope taper. With the Dolph-Chebyshev distribution as the parent space factor, and the correct perturbation of these space factor zeros, the excitation efficiency and beamwidths are kept as close to their optimum values as is possible under the given sidelobe ratio and envelope taper conditions. The method is the discrete analogue of the generalized Taylor nÃÑ-distribution, used for continuous line source synthesis. Examples are given to illustrate the principal features of the distribution.</t>
  </si>
  <si>
    <t>245-249</t>
  </si>
  <si>
    <t>McNamara, D. A.</t>
  </si>
  <si>
    <t>McNamara D.</t>
  </si>
  <si>
    <t>Generalised Villeneuve nÃÑ distribution</t>
  </si>
  <si>
    <t>10.1049/ip-h-2.1989.0045</t>
  </si>
  <si>
    <t>2-s2.0-0024681584</t>
  </si>
  <si>
    <t>['two antennas', 'surface diagnosis', 'radiation integral', 'polar grid', 'polar geometry', 'polar facility', 'polar data', 'numerical algorithm', 'microwave antennas', 'measured plane', 'interpolated data', 'geometries used', 'field uses', 'field patterns', 'fast algorithm', 'direct result', 'cross correlation', 'cartesian grid', 'antenna metrology']</t>
  </si>
  <si>
    <t>Among the geometries used for acquiring the near-fields of microwave antennas, the plane-polar geometry is the most recent. This contribution describes far-field predictions obtained on a recently built plane-polar facility. The procedure for the transformation of the near-field to the far-field uses a fast algorithm for the calculation of the radiation integral and is presented in the form of a cross correlation which is carried out using the fast Fourier transform. Predictions of the far-field patterns of two antennas are shown. A numerical algorithm for the interpolation of the near-field from the plane-polar grid to the cartesian grid is derived and the interpolated data is used to predict the far-field patterns of the two antennas. A direct result of the interpolation to a cartesian grid is the adaptability of the near-field to processing for antenna metrology, enabling the surface diagnosis of antennas under test from measured plane-polar data.</t>
  </si>
  <si>
    <t>202-208</t>
  </si>
  <si>
    <t>60001881;60001881</t>
  </si>
  <si>
    <t>7404251432;6603759531</t>
  </si>
  <si>
    <t>Bennett, J. C.;Farhat, K. S.</t>
  </si>
  <si>
    <t>Bennett J.</t>
  </si>
  <si>
    <t>Near-field measurements on plane-polar facility</t>
  </si>
  <si>
    <t>10.1049/ip-h-2.1989.0038</t>
  </si>
  <si>
    <t>2-s2.0-0024682086</t>
  </si>
  <si>
    <t>['theoretical predictions', 'readily applied', 'radiation characteristics', 'measurements performed', 'input vswr', 'good agreement', 'dimensional version']</t>
  </si>
  <si>
    <t>In this paper, the method of moments is utilized to investigate the radiation characteristics of the two-dimensional version of a short backfire antenna excited by an input TEM mode. The theoretical predictions of the far field patterns and the input VSWR are in very good agreement with measurements performed on an actual prototype designed for the X-band. The technique has the virtue that it can be readily applied to the more useful rectangular geometry.</t>
  </si>
  <si>
    <t>263-268</t>
  </si>
  <si>
    <t>60017161;60017161;60017161;60017161</t>
  </si>
  <si>
    <t>7102006113;35581072400;7409545610;7102523120</t>
  </si>
  <si>
    <t>Leong, M. S.;Kooi, P. S.;Chandra, ;Yeo, T. S.</t>
  </si>
  <si>
    <t>Singapore</t>
  </si>
  <si>
    <t>Singapore City</t>
  </si>
  <si>
    <t>National University of Singapore</t>
  </si>
  <si>
    <t>Leong M.</t>
  </si>
  <si>
    <t>Theoretical and experimental investigations of two-dimensional waveguide-excited short backfire antenna structure</t>
  </si>
  <si>
    <t>10.1049/ip-h-2.1989.0049</t>
  </si>
  <si>
    <t>2-s2.0-0024682088</t>
  </si>
  <si>
    <t>['top loaded', 'radiation resistance', 'insulated counterpoise', 'far field', 'explore ways', 'coupling unit', 'antenna system']</t>
  </si>
  <si>
    <t>The purpose of this paper is to explore ways to improve the performance of a relatively small transmitting or receiving AM antenna system. Short vertical towers can be top loaded to increase the radiation resistance and lower the base input capacitive-reactance. An insulated counterpoise is connected to the coupling unit and to ground through an inductance which is tuned so as to maximize the field strength radiated in the far field. ¬© 1989 IEEE</t>
  </si>
  <si>
    <t>237-240</t>
  </si>
  <si>
    <t>Smith, Carl E.</t>
  </si>
  <si>
    <t>Smith C.</t>
  </si>
  <si>
    <t>Short low loss am antenna</t>
  </si>
  <si>
    <t>10.1109/11.30841</t>
  </si>
  <si>
    <t>2-s2.0-0024682104</t>
  </si>
  <si>
    <t>['works well', 'wkb approach', 'two techniques', 'turning points', 'turning point', 'pyramidal horns', 'often used', 'mutual coupling', 'important limitation', 'finite sum', 'different technique', 'cutoff problems', 'cutoff point', 'aperture impedances', 'aperture fields', 'aperture antennas']</t>
  </si>
  <si>
    <t>The method of moments is often used when solving for the mutual coupling in arrays of aperture antennas. For elements that are waveguides or gradually flared horns the aperture fields can be approximated by a finite sum of waveguide modal functions. To solve for the flared horn case an approximation for the aperture impedances of the modes in the horn is needed. The WKB approach can be used to find these impedances, but this technique has an important limitation. It is known to fail in the vicinity of its turning points. The turning point is the cutoff point of the mode being considered. To overcome this limitation a different technique, the spherical model approach, is discussed. This approach has no cutoff problems and works well for conical and pyramidal horns. Comparisons between the impedances and the resulting dominant mode reflection coefficient found using the two techniques are presented to illustrate this point.</t>
  </si>
  <si>
    <t>235-240</t>
  </si>
  <si>
    <t>60000305;60000305</t>
  </si>
  <si>
    <t>6701429640;7007033594</t>
  </si>
  <si>
    <t>Silvestro, J. W.;Collin, R. E.</t>
  </si>
  <si>
    <t>Cleveland</t>
  </si>
  <si>
    <t>Case Western Reserve University</t>
  </si>
  <si>
    <t>Silvestro J.</t>
  </si>
  <si>
    <t>Aperture impedance of flared horns</t>
  </si>
  <si>
    <t>10.1049/ip-h-2.1989.0043</t>
  </si>
  <si>
    <t>2-s2.0-0024682122</t>
  </si>
  <si>
    <t>['generated using', 'array length']</t>
  </si>
  <si>
    <t>Efficient superdirective array functions can be generated using an optimized polynomial technique. Methods for the generation of these functions are investigated and the effects of changing the number of element and array length on the difference array parameters are studied. ¬© 1989 IEEE</t>
  </si>
  <si>
    <t>796-800</t>
  </si>
  <si>
    <t>60009506;60009506</t>
  </si>
  <si>
    <t>36182437100;57203737489</t>
  </si>
  <si>
    <t>Dawoud, Mahmoud M.;Hassan, Mohamed A.</t>
  </si>
  <si>
    <t>Saudi Arabia</t>
  </si>
  <si>
    <t>Dhahran</t>
  </si>
  <si>
    <t>King Fahd University of Petroleum and Minerals</t>
  </si>
  <si>
    <t>Dawoud M.M.</t>
  </si>
  <si>
    <t>Design of Superdirective Endfire Antenna Arrays</t>
  </si>
  <si>
    <t>10.1109/8.29368</t>
  </si>
  <si>
    <t>2-s2.0-0024682272</t>
  </si>
  <si>
    <t>['wanted height', 'velocity factor', 'top charges', 'terminal section', 'sinusoidal one', 'schelkunoff one', 'results achieved', 'report deals', 'real current', 'problem relevant', 'obtained keeping', 'mean factor', 'mathematical terms', 'innovative since', 'height near', 'half wave', 'frequency varies', 'distribution different', 'direct consequence', 'assumed distribution', 'antenna height', 'also varies']</t>
  </si>
  <si>
    <t>This report deals with the results of a study which allows the design of the mechanical element implementing the wanted height, once the optimum electrical height of an antenna for Medium-Wave is determined. The problem relevant to how to determine the velocity factor is complex and not yet completely solved in mathematical terms, particularly as regards nonresonant antennas and having a height near to the half wave. The mean factor of velocity is obtained keeping into account both the termination effect caused by top charges on the terminal section of the antenna and the mean phase velocity for a distribution different from the sinusoidal one, but of the real current. The assumed distribution of the current is a Schelkunoff one and the results achieved are a direct consequence of this kind of distribution. These results are innovative since the mean factor of velocity, calculated in this way, has a value which not only depends on the height-to-radius-ratio of the tower, i.e. this value is not constant with respect to such a ratio, as usually it is assumed for the sake of simplicity, but it also varies when the antenna height or the frequency varies, namely as a decrease towards resonance. In other words, for a fixed electrical height, the tower should be shortened as much as lower this ratio is and the more the nearer to the resonance the height of the antenna is. ¬© 1989 IEEE</t>
  </si>
  <si>
    <t>241-247</t>
  </si>
  <si>
    <t>Pacini, Giulio Paolo</t>
  </si>
  <si>
    <t>Pacini G.</t>
  </si>
  <si>
    <t>Relationship between the electrical height of medium-wave antenna and its mechanical dimensions</t>
  </si>
  <si>
    <t>10.1109/11.30842</t>
  </si>
  <si>
    <t>2-s2.0-0024682275</t>
  </si>
  <si>
    <t>['radiation behavior', 'quantitative measure', 'partly filled', 'elliptical waveguide', 'approximate analysis', 'also establish']</t>
  </si>
  <si>
    <t>The propagation and radiation behavior from a partly filled (with dielectric) elliptical waveguide is considered. From an approximate analysis we investigate the potential of such a waveguide for radiating a pure circularly polarized shaped beam. We also establish a quantitative measure of the deterioration in linear cross polarization performance of a balanced hybrid mode with loss of circularity.</t>
  </si>
  <si>
    <t>195-201</t>
  </si>
  <si>
    <t>James, G. L.</t>
  </si>
  <si>
    <t>Melbourne</t>
  </si>
  <si>
    <t>Commonwealth Scientific and Industrial Research Organization</t>
  </si>
  <si>
    <t>James G.</t>
  </si>
  <si>
    <t>Propagation and radiation from partly filled elliptical waveguide</t>
  </si>
  <si>
    <t>10.1049/ip-h-2.1989.0037</t>
  </si>
  <si>
    <t>2-s2.0-0024682295</t>
  </si>
  <si>
    <t>['subarrays required', 'source matrix', 'ri ),', 'rank r', 'r subarrays', 'q directions', 'permutation matrix', 'nonzero components', 'direction finding', 'diagonal matrix', 'diagonal blocks', 'another bound', 'also shown']</t>
  </si>
  <si>
    <t>In this correspondence, bounds for the number of subarrays required by the spatial smoothing technique for direction finding are discussed. It is proved that for a source matrix of rank r, q directions can be resolved with M &gt; q - r subarrays. It is also shown that when the source matrix is similar to a block-diagonal matrix through a permutation matrix, this bound can be further reduced to the largest rank deficiency presented by the diagonal blocks: M &gt; max (ni - ri), where ni and ri are, respectively, the dimension and the rank of the ith diagonal block. Another bound for M is derived, which relates to the number of nonzero components in the eigenvectors of the source covariance matrix. ¬© 1989 IEEE</t>
  </si>
  <si>
    <t>949-952</t>
  </si>
  <si>
    <t>60004956;60027950</t>
  </si>
  <si>
    <t>7003902962;7102993409</t>
  </si>
  <si>
    <t>Rendas, M. J.D.;Moura, J. M.F.</t>
  </si>
  <si>
    <t>United States;Portugal</t>
  </si>
  <si>
    <t>Pittsburgh;Lisbon</t>
  </si>
  <si>
    <t>Carnegie Mellon University;Instituto Superior T√©cnico</t>
  </si>
  <si>
    <t>60027950;60004956</t>
  </si>
  <si>
    <t>Rendas M.</t>
  </si>
  <si>
    <t>Alternate Bounds on the Resolvability Constraints of Spatial Smoothing</t>
  </si>
  <si>
    <t>10.1109/ASSP.1989.28068</t>
  </si>
  <si>
    <t>2-s2.0-0024682373</t>
  </si>
  <si>
    <t>['vast areas', 'satisfy requirements', 'paper describes', 'middle east', 'higher levels', 'high power', 'broadcast transmitters']</t>
  </si>
  <si>
    <t>Over the years, the power of AM broadcast transmitters has been progressing toward higher and higher levels. This paper describes the one and two megawatt transmitters developed, built and installed in the Middle East to satisfy requirements that provide for coverage of vast areas that can best be reached with high power AM transmissions. ¬© 1989 IEEE</t>
  </si>
  <si>
    <t>121-130</t>
  </si>
  <si>
    <t>117744661;117744661</t>
  </si>
  <si>
    <t>7003942112;6602219616</t>
  </si>
  <si>
    <t>Mina, Adil;Parry, Fred</t>
  </si>
  <si>
    <t>Dallas</t>
  </si>
  <si>
    <t>A Division Of Varian Associates, Inc.</t>
  </si>
  <si>
    <t>Mina A.</t>
  </si>
  <si>
    <t>Broadcasting with megawatts of power the modern era of efficient powerful transmitters in the middle east</t>
  </si>
  <si>
    <t>10.1109/11.30823</t>
  </si>
  <si>
    <t>2-s2.0-0024682382</t>
  </si>
  <si>
    <t>Stichting voor de Technische Wetenschappen</t>
  </si>
  <si>
    <t>STW</t>
  </si>
  <si>
    <t>['realized amplifier', 'noise figure', 'new type', 'frequencies well', 'especially intended', 'distortion termination', 'balanced amplifier', '3 db', '100 mhz']</t>
  </si>
  <si>
    <t>The design and performance of a new type of balanced amplifier with a dual differential feedback loop in a high-frequency BIFET process (fT ‚âÖ3 GHz) is presented. By means of this dual feedback loop, a linear, accurately known input impedance is obtained, combined with a high output impedance. The noise figure of the realized amplifier is lower than 3 dB. The amplifier is especially intended for low-noise, low-distortion termination of antennas, cables, or filters and for driving bipolar switching mixers up to frequencies well above 100 MHz. ¬© 1989 IEEE</t>
  </si>
  <si>
    <t>646-650</t>
  </si>
  <si>
    <t>1558173X</t>
  </si>
  <si>
    <t>IEEE Journal of Solid-State Circuits</t>
  </si>
  <si>
    <t>Van Zeijl, Paul T.M.</t>
  </si>
  <si>
    <t>Delft</t>
  </si>
  <si>
    <t>Delft University of Technology</t>
  </si>
  <si>
    <t>Van Zeijl P.</t>
  </si>
  <si>
    <t>A New High-Dynamic Range Dual-Loop Power-to-Current Amplifier</t>
  </si>
  <si>
    <t>10.1109/4.32021</t>
  </si>
  <si>
    <t>2-s2.0-0024682669</t>
  </si>
  <si>
    <t>['useful quantity', 'since accuracy', 'properly account', 'key importance', 'illuminated area', 'functional agreement', 'exact answer', 'compute accurately', 'computational problems', 'asymptotic solution', 'asymptotic approximation', 'also developed']</t>
  </si>
  <si>
    <t>The flat surface impulse response (FSIR) is a very useful quantity in computing the mean return power for near-nadir oriented short pulse radar altimeters. However, for very small antenna beamwidths and relatively large pointing angles, previous analytical descriptions become very difficult to compute accurately. An asymptotic approximation is developed in this paper to overcome these computational problems. Since accuracy is of key importance, a condition is also developed under which this solution is within 2 percent of the exact answer. Finally, the asymptotic solution is shown to be in functional agreement with a conventional ‚Äúclutter‚Äù power result and gives a 1.25 dB correction to this formula to properly account for the antenna pattern variation over the illuminated area. ¬© 1989 IEEE</t>
  </si>
  <si>
    <t>764-767</t>
  </si>
  <si>
    <t>Brown, Gary S.</t>
  </si>
  <si>
    <t>Brown G.S.</t>
  </si>
  <si>
    <t>A Useful Approximation for the Flat Surface Impulse Response</t>
  </si>
  <si>
    <t>10.1109/8.29363</t>
  </si>
  <si>
    <t>2-s2.0-0024682751</t>
  </si>
  <si>
    <t>['receiving loop', 'new theory', 'new method', 'hf frequencies', 'electromagnetic interference', 'circular waveguide', '150 mhz', '1 db']</t>
  </si>
  <si>
    <t>In order to minimize the effect of electromagnetic interference and the surrounding conductive materials in the calibration of small loop antennas used above HF frequencies, a new method for generating a standard magnetic field in a circular waveguide is proposed. A new theory to obtain the average magnetic field strength incident on a receiving loop is derived by placing the radiating and receiving circular loop antennas within a circular waveguide operated below the cutoff frequency region. Experiments were carried out and the theoretical and experimental values agree within 0.1 dB between 10 and 150 MHz. ¬© 1989 IEEE</t>
  </si>
  <si>
    <t>785-788</t>
  </si>
  <si>
    <t>60025141;60025141;60031701</t>
  </si>
  <si>
    <t>14320555700;7102497816;35576883400</t>
  </si>
  <si>
    <t>Nakane, Hiroshi;Omori, Shunichi;Yokoshima, Ichiro</t>
  </si>
  <si>
    <t>Tsukuba;Tokyo</t>
  </si>
  <si>
    <t>Electrotechnical Laboratory;Tokyo University of Science</t>
  </si>
  <si>
    <t>60031701;60025141</t>
  </si>
  <si>
    <t>Nakane H.</t>
  </si>
  <si>
    <t>A Method for Generating a Standard Magnetic Field in a Circular Waveguide</t>
  </si>
  <si>
    <t>10.1109/19.32193</t>
  </si>
  <si>
    <t>2-s2.0-0024682922</t>
  </si>
  <si>
    <t>['suitable modifications', 'spherical radome', 'reflection coefficient', 'radome configurations', 'particular choice', 'paraboloidal radome', 'geometry agrees', 'general reflector']</t>
  </si>
  <si>
    <t>A previously derived asymptotic expression for the reflection coefficient at the feed of a paraboloidal reflector antenna covered with a paraboloidal radome is shown to be valid, with suitable modifications, for general reflector-radome configurations. This generalization is illustrated through the particular choice of a paraboloidal reflector covered with a spherical radome. The generalized asymptotic expression for this geometry agrees very well with the numerically calculated integral expression obtained by the power coupling theorem.</t>
  </si>
  <si>
    <t>241-244</t>
  </si>
  <si>
    <t>7007155351;35614064400;6505577361</t>
  </si>
  <si>
    <t>Cory, H.;Einziger, P. D.;Sover, R.</t>
  </si>
  <si>
    <t>Cory H.</t>
  </si>
  <si>
    <t>Reflection coefficient at the feed of a randome-covered reflector antenna: a geometrical optics approach</t>
  </si>
  <si>
    <t>10.1049/ip-h-2.1989.0044</t>
  </si>
  <si>
    <t>2-s2.0-0024682950</t>
  </si>
  <si>
    <t>['work well', 'various thicknesses', 'resonant frequency', 'monolithic fabrication', 'measured data', 'input impedance', 'increasing interest', 'high permittivity', 'future models', 'cases many', 'analysis techniques']</t>
  </si>
  <si>
    <t>Most of the work to date on microstrip antenna theory and design has assumed electrically thin, low-‚àär substrates. With increasing interest in millimeter wave systems and monolithic fabrication, however, electrically thicker substrates with high permittivity are being used. For such cases many of the analysis techniques that work well for thin substrates fail to accurately predict either the resonant frequency or input impedance, or both. The purpose of this paper is to provide a set of measured data for rectangular microstrip antennas on low and high permittivity substrates of various thicknesses, and to compare these results with some of the popular theoretical models. In this way, the range of validity of the models can begin to be ascertained, and a database of experimental data made available for the testing of future models. ¬© 1989 IEEE</t>
  </si>
  <si>
    <t>677-682</t>
  </si>
  <si>
    <t>60014313;60014313;60014313</t>
  </si>
  <si>
    <t>7006791463;7006061921;6701837486</t>
  </si>
  <si>
    <t>Schaubert, Daniel H.;Pozar, David M.;Adrian, Andrew</t>
  </si>
  <si>
    <t>Schaubert D.H.</t>
  </si>
  <si>
    <t>Effect of Microstrip Antenna Substrate Thickness and Permittivity: Comparison of Theories with Experiment</t>
  </si>
  <si>
    <t>10.1109/8.29353</t>
  </si>
  <si>
    <t>2-s2.0-0024682960</t>
  </si>
  <si>
    <t>['simple low', 'scanned conditions', 'reflector antenna', 'order polynomials', 'optics integration', 'numerical integration', 'migrating feed', 'expressions involve', 'efficient algorithms', 'blocking algorithms']</t>
  </si>
  <si>
    <t>Efficient algorithms are presented which can be incorporated in a physical-optics integration to account for migrating feed and observation-point-dependent geometrical shadows caused by obstacles in the aperture of a reflector antenna with the feed under focused or scanned conditions. The expressions involve only addition and multiplication of simple low-order polynomials and hence do not introduce expensive overhead into the numerical integration. Obstacle shapes considered are disks, polygons, cylinders, and polyhedrons. Some appropriate diffraction corrections are presented which are compatible with the blocking algorithms. ¬© 1989 IEEE</t>
  </si>
  <si>
    <t>690-697</t>
  </si>
  <si>
    <t>60029311;60029311;60025209</t>
  </si>
  <si>
    <t>7005574913;7101765018;7004461117</t>
  </si>
  <si>
    <t>Rusch, Willard V.T.;Welch, Lloyd R.;Mires, George E.</t>
  </si>
  <si>
    <t>Los Angeles;Los Angeles</t>
  </si>
  <si>
    <t>University of Southern California;Northrop Grumman corporation</t>
  </si>
  <si>
    <t>60029311;60025209</t>
  </si>
  <si>
    <t>Rusch W.V.T.</t>
  </si>
  <si>
    <t>Observation-Point-Dependent Blocking Shadows on a Reflector Antenna</t>
  </si>
  <si>
    <t>10.1109/8.29355</t>
  </si>
  <si>
    <t>2-s2.0-0024683098</t>
  </si>
  <si>
    <t>['zero shifts', 'vertical radiation', 'tower exists', 'result obtained', 'pattern corresponding', 'omnidirectional arrangements', 'null filling', 'noticeable changes', 'negligible effect', 'mechanical shift', 'main beam', 'interesting results', 'forementioned conditions', 'forementioned cares', 'final effects', 'electrical case', 'different conditions', 'current phase', 'beam tilt', 'beam pattern', 'asymmetric arrangements']</t>
  </si>
  <si>
    <t>A GW Basic computer program has been developed in this paper in order to analyze any azimuth vertical radiation pattern of a dipole panel array antenna, fixed on a square tower structure, under different conditions of horizontal progressive quadrature current phase shifting, mechanical panel displacement, beam tilt, feeding current coefficients (null filling) and asymmetric arrangements with and without panel centering. The final effects are singled out by comparing vertical radiation pattern diagrams corresponding to each of the forementioned cares. The result obtained in regard to simultaneous horizontal progressive current phase and mechanical shift show appreciable variations in the vertical radiation patterns, corresponding to arrays of one or two dipole per tower face (omnidirectional arrangement), while for more elements there is a negligible effect on the main beam, but noticeable changes on the sidelobes. On the other hand, for any omnidirectional arrangements, under the forementioned conditions of current phase and mechanical shift, almost no vertical radiation at 8=0 degrees along the tower exists (compensation effect). It has also been demonstrated that for an array with binomial current coefficients, almost no changes on the beam pattern has been observed. So far as beam tilt is concerned, drastic pattern displacement appear for mechanical panel tilt, while the effect is softer in the electrical case (current phase shift). In relation with the feeding current coefficient variations, zero shifts in vertical radiation pattern can be accomplished in case null filling or elimination of sidelobes are required. Finally, some interesting results have been obtained with respect to asymmetric dipole arrangements on square tower structures. The V-pattern corresponding to the shortest array shows ripple due to adjacent face panels interaction. ¬© 1989 IEEE</t>
  </si>
  <si>
    <t>227-236</t>
  </si>
  <si>
    <t>60026438;115604822</t>
  </si>
  <si>
    <t>6507441082;56838194200</t>
  </si>
  <si>
    <t>Pantsios Markhauser, C.;Pantsios Markhauser, F.</t>
  </si>
  <si>
    <t>Venezuela;Venezuela</t>
  </si>
  <si>
    <t>Caracas;</t>
  </si>
  <si>
    <t>Universidad Sim√≥n Bol√≠var;Caracas</t>
  </si>
  <si>
    <t>Pantsios Markhauser C.</t>
  </si>
  <si>
    <t>Computer analysis of vertical radiation patterns of dipole panel array antennas</t>
  </si>
  <si>
    <t>10.1109/11.30840</t>
  </si>
  <si>
    <t>2-s2.0-0024683251</t>
  </si>
  <si>
    <t>223-226</t>
  </si>
  <si>
    <t>Wilson, Robert C.</t>
  </si>
  <si>
    <t>Wilson R.</t>
  </si>
  <si>
    <t>Medium wave skywave beams</t>
  </si>
  <si>
    <t>10.1109/11.30839</t>
  </si>
  <si>
    <t>2-s2.0-0024683679</t>
  </si>
  <si>
    <t>['varied slightly', 'resonant frequency', 'dielectric cover', 'decreased considerably']</t>
  </si>
  <si>
    <t>The spectral domain analysis is applied to study the effects of dielectric cover on a circular microstrip patch antenna. Numerical examples indicate that the resonant frequency of the patch is decreased considerably while the bandwidth is varied slightly.</t>
  </si>
  <si>
    <t>261-262</t>
  </si>
  <si>
    <t>60002798;60002798;60002798</t>
  </si>
  <si>
    <t>55510527400;55650871700;7101665561</t>
  </si>
  <si>
    <t>Luk, K. M.;Tam, W. Y.;Yip, C. L.</t>
  </si>
  <si>
    <t>Hong Kong</t>
  </si>
  <si>
    <t>Chinese University of Hong Kong</t>
  </si>
  <si>
    <t>Analysis of circular microstrip antennas with superstrate</t>
  </si>
  <si>
    <t>10.1049/ip-h-2.1989.0048</t>
  </si>
  <si>
    <t>2-s2.0-0024683699</t>
  </si>
  <si>
    <t>['sum pattern', 'increased bandwidth', 'half backward', 'controlled sidelobes', 'array forward', '25 degrees']</t>
  </si>
  <si>
    <t>Two pattern synthesis procedures have been developed for a traveling wave linear array, fed at its center, with half the array forward-firing, the other half backward-firing, and with the total array required to produce a squinted main beam and controlled sidelobes. The procedure is illustrated by the case of a 36-element slot array, designed to create a sum pattern with a -30 dB sidelobe level and the main beam tilted 2.25 degrees off broadside. Center-fed traveling wave arrays offer the potential of increased bandwidth and a frequency-independent squint angle. ¬© 1989 IEEE</t>
  </si>
  <si>
    <t>721-727</t>
  </si>
  <si>
    <t>60027550;60027550;60027550</t>
  </si>
  <si>
    <t>56838918000;7410200582;57220065537</t>
  </si>
  <si>
    <t>Oloughlin, William R.;Kim, Yong uk;Elliott, Robert S.</t>
  </si>
  <si>
    <t>Oloughlin W.R.</t>
  </si>
  <si>
    <t>Pattern Synthesis for a Forward-Fire/ Backward-Fire Linear Array</t>
  </si>
  <si>
    <t>10.1109/8.29358</t>
  </si>
  <si>
    <t>2-s2.0-0024683837</t>
  </si>
  <si>
    <t>['one run', 'iterative processes', 'field ratios', 'exist matrices', 'exact solution', 'directional array', 'base voltages', 'base current']</t>
  </si>
  <si>
    <t>It was shown that there exist matrices that relate base currents and base voltages to the field ratios of a directional array. As a moment method program is running, the field and base current for each tower is recorded. Matrices, that relate base currents to field ratios, can be extracted from this data or by inverting a matrix. This method is an exact solution and requires only one run of the moment method program. For this reason, it is superior to other iterative processes. ¬© 1989 IEEE</t>
  </si>
  <si>
    <t>172-175</t>
  </si>
  <si>
    <t>Westberg, Jerry M.</t>
  </si>
  <si>
    <t>Westberg J.</t>
  </si>
  <si>
    <t>Matrix method for relating base current ratios to field ratios of am directional stations</t>
  </si>
  <si>
    <t>10.1109/11.30830</t>
  </si>
  <si>
    <t>2-s2.0-0024684026</t>
  </si>
  <si>
    <t>['tests run', 'rectangular waveguides', 'mutual coupling', 'much smaller', 'modified program', 'little effect', 'little affect', 'include coupling', 'hole widths', 'ground plane', 'dominant mode', 'different sizes', 'cutoff width', 'cutoff size']</t>
  </si>
  <si>
    <t>The mutual coupling in a finite planar array with interelement holes present was considered. A computer program designed to study mutual coupling between rectangular waveguides was modified to include coupling between elements of different sizes. This modified program was used to study the problem of widely spaced rectangular waveguides that form smaller rectangular holes in the ground plane. Comparisons against experimental data confirmed the validity of the model. Tests run at various hole sizes showed that holes which are much smaller then their cutoff size have little affect on the coupling. For the rectangular hole case run here hole widths of less than half the cutoff width of the dominant mode had little effect. ¬© 1989 IEEE</t>
  </si>
  <si>
    <t>791-794</t>
  </si>
  <si>
    <t>Silvestro, John W.</t>
  </si>
  <si>
    <t>Clemson</t>
  </si>
  <si>
    <t>Clemson University</t>
  </si>
  <si>
    <t>Silvestro J.W.</t>
  </si>
  <si>
    <t>Mutual Coupling in a Finite Planar Array with Interelement Holes Present</t>
  </si>
  <si>
    <t>10.1109/8.29366</t>
  </si>
  <si>
    <t>2-s2.0-0024684103</t>
  </si>
  <si>
    <t>['reflector surfaces', 'radiation patterns', 'gain loss', 'conductor junctions', 'clearly identified']</t>
  </si>
  <si>
    <t>The E-field integral equation is applied to rotationally symmetric reflector antennas with struts. Current is allowed to flow on all the reflector surfaces and continuity is enforced at the conductor junctions. Radiation patterns are presented for a small paraboloid antenna, and the effects of the struts are clearly identified. These include the strut cone radiation, pattern asymmetries introduced by the struts, and gain loss and sidelobe level changes. ¬© 1989 IEEE</t>
  </si>
  <si>
    <t>683-689</t>
  </si>
  <si>
    <t>60005304;60029311</t>
  </si>
  <si>
    <t>7004276659;7005574913</t>
  </si>
  <si>
    <t>Jenn, David C.;Rusch, Willard V.T.</t>
  </si>
  <si>
    <t>Los Angeles;Waltham</t>
  </si>
  <si>
    <t>University of Southern California;Raytheon</t>
  </si>
  <si>
    <t>60029311;60005304</t>
  </si>
  <si>
    <t>Jenn D.C.</t>
  </si>
  <si>
    <t>An E-Field Integral Equation Solution for the Radiation from Reflector Antennas with Struts</t>
  </si>
  <si>
    <t>10.1109/8.29354</t>
  </si>
  <si>
    <t>2-s2.0-0024684259</t>
  </si>
  <si>
    <t>['shaped reflector', 'rf performance', 'rf loss', 'reflector shape', 'physical optics', 'optimization method', 'one way', 'feed network', 'design example', 'coverage beam', 'antenna system']</t>
  </si>
  <si>
    <t>Eliminating the corporate feed network in shaped contour beam antennas will reduce the expense, weight, and RF loss of the antenna system. One way of producing a shaped contour beam without using a feed network is to use a single shaped reflector with a single feed element. For a prescribed contour beam and feed, an optimization method for designing the reflector shape is given. As a design example, a shaped reflector is designed to produce a continental United States (CONUS) coverage beam. The RF performance of the shaped reflector is then verified by physical optics. ¬© 1989 IEEE</t>
  </si>
  <si>
    <t>698-706</t>
  </si>
  <si>
    <t>60005304;60000745;60026717</t>
  </si>
  <si>
    <t>6603619592;7601396617;7006577375</t>
  </si>
  <si>
    <t>Cherrette, Alan R.;Lee, Shung Wu;Acosta, Roberto J.</t>
  </si>
  <si>
    <t>Cleveland;Waltham;Urbana</t>
  </si>
  <si>
    <t>NASA Glenn Research Center;Raytheon;University of Illinois Urbana-Champaign</t>
  </si>
  <si>
    <t>60026717;60005304;60000745</t>
  </si>
  <si>
    <t>Cherrette A.R.</t>
  </si>
  <si>
    <t>A Method for Producing a Shaped Contour Radiation Pattern Using a Single Shaped Reflector and a Single Feed</t>
  </si>
  <si>
    <t>10.1109/8.29356</t>
  </si>
  <si>
    <t>2-s2.0-0024684385</t>
  </si>
  <si>
    <t>107-112</t>
  </si>
  <si>
    <t>Measurement Techniques</t>
  </si>
  <si>
    <t>Vasenkov, L. V.</t>
  </si>
  <si>
    <t>Vasenkov L.</t>
  </si>
  <si>
    <t>Method for calibrating a matched, screened, frame antenna</t>
  </si>
  <si>
    <t>10.1007/BF00863651</t>
  </si>
  <si>
    <t>2-s2.0-0024686022</t>
  </si>
  <si>
    <t>['wide variety', 'technique based', 'scattered field', 'numerical results', 'low frequencies', 'lossy medium', 'loop carrying', 'investigated analytically', 'electromagnetic sources', 'electromagnetic response', 'dyadic green', 'coated object']</t>
  </si>
  <si>
    <t>The electromagnetic response of a circular loop antenna in the vicinity of a two-layer dielectric spherical object located in a lossy medium is investigated analytically. For a loop carrying an azimuthally dependent current distribution, a technique based on the dyadic Green's functions is employed to determine the fields in all regions. The formulation is general and can be applied to a wide variety of electromagnetic sources. Numerical results are presented in the near field zone and at low frequencies to determine the effect of the coating on the scattered field and its influence on the degree of detectability of a coated object.</t>
  </si>
  <si>
    <t>617-623</t>
  </si>
  <si>
    <t>Canadian journal of physics</t>
  </si>
  <si>
    <t>7005104207;8092251400</t>
  </si>
  <si>
    <t>Sebak, A.;Shafai, L.</t>
  </si>
  <si>
    <t>Sebak A.</t>
  </si>
  <si>
    <t>Scattering by a two-layer spherical dielectric object in a lossy medium illuminated by a loop carrying an arbitrary azimuthal mode</t>
  </si>
  <si>
    <t>10.1139/p89-113</t>
  </si>
  <si>
    <t>2-s2.0-0024686358</t>
  </si>
  <si>
    <t>['recent developments', 'product reliability', 'patient using', 'patient used', 'implanted receiver', 'high level', 'growing children', 'externally switched', 'external transmitter', 'external components', 'early scoliosis', 'early devices', 'coupled units', '95 percent', '2 ].', '1 ],']</t>
  </si>
  <si>
    <t>More than ten years ago, we began the night time treatment of early scoliosis in growing children with implanted muscle stimulators [1], [2]. The early devices were radio-frequency (RF) coupled units with an implanted receiver and external transmitter-antenna which the patient used at night to power and activate the implant. Compliance with this treatment was 95 percent. Recent developments have led to the use of a new, totally implantable stimulator for the treatment of single scoliotic curves. The unit has no external components, is programmed and interrogated by telemetry, and is externally switched by the patient using a magnet. Compliance with it continues at a high level, product reliability to date has been perfect, and the clinical results continue good. ¬© 1989 IEEE</t>
  </si>
  <si>
    <t>801-802</t>
  </si>
  <si>
    <t>113036827;113036827</t>
  </si>
  <si>
    <t>57209111231;6604030553</t>
  </si>
  <si>
    <t>Herbert, M. A.;Bobechko, W. P.</t>
  </si>
  <si>
    <t>Medical City Hospital</t>
  </si>
  <si>
    <t>Herbert M.A.</t>
  </si>
  <si>
    <t>Scoliosis Treatment in Children Using a Programmable, Totally Implantable Muscle Stimulator (ESI)</t>
  </si>
  <si>
    <t>10.1109/10.32114</t>
  </si>
  <si>
    <t>2-s2.0-0024698655</t>
  </si>
  <si>
    <t>['well suited', 'used experimentally', 'theory associated', 'test array', 'spaceborne applications', 'source arrangements', 'results obtained', 'radiation patterns', 'ground testing', 'good agreement', 'field sources', 'field measurements', 'conventional far', 'array patterns', 'array elements', 'array calibration']</t>
  </si>
  <si>
    <t>Large phased array antennas are commonly tested using far field or near-field sources. While these source arrangements are well suited to ground testing, they may be difficult to implement in airborne or spaceborne applications. A technique which utilizes the inherent mutual coupling in an array to both calibrate and predict the radiation patterns of a phased array antenna is investigated. The only restriction of the technique is that the ability to transmit and receive with pairs of the array elements is required. The theory associated with array mutual coupling and its relationship to both array calibration and array patterns is discussed. The design of a test bed phased array antenna is covered. The mutual coupling technique (MCT) is used experimentally to calibrate the test array as well as to predict the array radiation patterns. It is shown that the results obtained by MCT are in good agreement with conventional far-field measurements. ¬© 1989 IEEE</t>
  </si>
  <si>
    <t>844-850</t>
  </si>
  <si>
    <t>60022195;60022195;60022195</t>
  </si>
  <si>
    <t>7004932214;7005553277;6603292257</t>
  </si>
  <si>
    <t>Aumann, Herbert M.;Fenn, Alan J.;Willwerth, Frank G.</t>
  </si>
  <si>
    <t>Aumann H.M.</t>
  </si>
  <si>
    <t>Phased Array Antenna Calibration and Pattern Prediction Using Mutual Coupling Measurements</t>
  </si>
  <si>
    <t>10.1109/8.29378</t>
  </si>
  <si>
    <t>2-s2.0-0024699071</t>
  </si>
  <si>
    <t>['wiley company', 'studied experimentally', 'resonant frequency', 'presented showing', 'included und', 'inc .,', 'h planes', 'aspect ratio']</t>
  </si>
  <si>
    <t>Cross polarization | microstrip | patch untenna</t>
  </si>
  <si>
    <t>The cross polarization characteristics of rectangular patch antennas are studied experimentally. Data are presented showing the dependence of the copolarization to cross‚Äêpolarization ratio on the aspect ratio in both the E and H planes. Three substrate thicknesses are included und the variation with resonant frequency is examined. Copyright ¬© 1989 Wiley Periodicals, Inc., A Wiley Company</t>
  </si>
  <si>
    <t>247-249</t>
  </si>
  <si>
    <t>60026717;60032143;60021624</t>
  </si>
  <si>
    <t>24522606100;7101890953;57191004338</t>
  </si>
  <si>
    <t>Lee, R. Q.;Huynh, T.;Leo, K. F.</t>
  </si>
  <si>
    <t>Akron;Cleveland;Toledo</t>
  </si>
  <si>
    <t>University of Akron;NASA Glenn Research Center;The University of Toledo</t>
  </si>
  <si>
    <t>60032143;60026717;60021624</t>
  </si>
  <si>
    <t>Lee R.</t>
  </si>
  <si>
    <t>Experimental Study Of The Cross‚ÄêPolarization Characteristics Of Rectangular Microstrip Antennas</t>
  </si>
  <si>
    <t>10.1002/mop.4650020706</t>
  </si>
  <si>
    <t>2-s2.0-0024699372</t>
  </si>
  <si>
    <t>['synthesis problem', 'step procedure', 'primary illumination', 'mathematical framework', 'given far', 'difficulties relate', 'corresponding algorithms', 'best fit']</t>
  </si>
  <si>
    <t>A general and computationally efficient procedure is developed for synthesizing the primary illumination of a focusing reflector antenna, in order to obtain the best fit (in the mean square sense) to a given far-field amplitude pattern. The mathematical framework of the synthesis problem is discussed in some detail in order to reveal the difficulties relate to its ill-posedness and to the nonuniqueness of the solutions. The advantage of a two-step procedure is then shown, and the corresponding algorithms are developed. The effectiveness and flexibility of the procedure are discussed and illustrated with examples. ¬© 1989 IEEE</t>
  </si>
  <si>
    <t>875-883</t>
  </si>
  <si>
    <t>60017293;60007061;60007061</t>
  </si>
  <si>
    <t>7006499276;56361551200;56963446400</t>
  </si>
  <si>
    <t>Bucci, Ovidio M.;Delia, Giuseppe;Leone, Giovanni</t>
  </si>
  <si>
    <t>Naples;Salerno</t>
  </si>
  <si>
    <t>Universit√† degli Studi di Napoli Federico II;Universit√† degli Studi di Salerno</t>
  </si>
  <si>
    <t>60017293;60007061</t>
  </si>
  <si>
    <t>Bucci O.M.</t>
  </si>
  <si>
    <t>Reflector Antenna Power Pattern Synthesis: A General and Efficient Approach</t>
  </si>
  <si>
    <t>10.1109/8.29382</t>
  </si>
  <si>
    <t>2-s2.0-0024699811</t>
  </si>
  <si>
    <t>['torus reflector', 'showed 1', 'pattern features', 'numerical results', 'imperfection enhancement', 'horizontal oversize', 'experimental 1', 'beam scanning', 'azimuthal plane', '22 ghz']</t>
  </si>
  <si>
    <t>General radiation pattern formulas for a torus reflector antenna have been developed using physical optics. These expressions are valid at arbitrary feed locations not only within the primary focal arc but also for beam scanning with squinted feed horn illuminations. Numerical results were obtained at 22 GHz for an experimental 1.25m x 2.5 m torus reflector in both elevational beam scanning and extended azimuthal scanning outside the primary ¬±15¬∞ field of view. An elevation scanning range of 7¬∞ showed only 1 dB gain reduction. The 20¬∞ azimuth beam (i.e., 5¬∞ extended azimuth scanning) showed 1.4 dB gain reduction. Comparison between calculated and measured patterns showed agreement in beamwidth and most pattern features. The discrepancy between calculated and measured sidelobe levels in the azimuthal plane can be attributed to imperfection enhancement by the horizontal oversize of the reflector. ¬© 1989 IEEE</t>
  </si>
  <si>
    <t>865-874</t>
  </si>
  <si>
    <t>7401775859;7005865065</t>
  </si>
  <si>
    <t>Chu, Ta Shing;Iannone, Patrick P.</t>
  </si>
  <si>
    <t>Chu T.S.</t>
  </si>
  <si>
    <t>Radiation Properties of a Parabolic Torus Reflector</t>
  </si>
  <si>
    <t>10.1109/8.29381</t>
  </si>
  <si>
    <t>2-s2.0-0024700177</t>
  </si>
  <si>
    <t>['weight vector', 'spatial smoothing', 'relative power', 'output signal', 'noise ratio', 'first obtained', 'desired signal', 'coherent interference', 'bearing estimations', 'angle separation', 'adaptive arrays', 'adaptive array']</t>
  </si>
  <si>
    <t>The approach of spatial smoothing, which was originated for bearing estimations, has recently been applied to adaptive arrays to suppress coherent interference. The behavior of such an adaptive array is examined. An expression for the weight vector is first obtained. Using that expression the output signal-to-noise ratio (SNR) is derived. It shows that the performance of a spatially smoothing adaptive array depends on the number of the subarrays, the angle separation, relative power and initial phase difference between the desired signal and the coherent interference. Computer simulations confirm the analysis. ¬© 1989 IEEE</t>
  </si>
  <si>
    <t>851-857</t>
  </si>
  <si>
    <t>7401672122;7202290560;7202463605</t>
  </si>
  <si>
    <t>Yeh, Chien Chung;Chiu, Sun Chien;Pei, Soo Chang</t>
  </si>
  <si>
    <t>On the Coherent Interference Suppression Using a Spatially Smoothing Adaptive Array</t>
  </si>
  <si>
    <t>10.1109/8.29379</t>
  </si>
  <si>
    <t>2-s2.0-0024700232</t>
  </si>
  <si>
    <t>['wall thicknesses', 'wall thickness', 'selected results', 'radiation field', 'presented graphically', 'polarization tends', 'polarization level', 'polarization depends', 'polar pattern', 'phase centre', 'peak cross', 'obtained numerically', 'level calculated', 'good agreement', 'francis ltd', 'finite length', 'computed data', 'circular waveguides', '6 wavelengths']</t>
  </si>
  <si>
    <t>For circular waveguides of finite length the radiation field is obtained numerically. For different waveguide radii the beamwidths of the co-polar pattern, the cross-polarization level and the location of the phase centre are determined and presented graphically. It is found that the level of peak cross-polarization depends on the wall thickness, and approaches the level calculated by the aperture field method when the wall thickness increases. In particular, the peak cross-polarization tends to be minimum, for all wall thicknesses, when the waveguide is about 0.6 wavelengths in radius. Very good agreement between the measured and computed data of selected results is obtained. ¬© 1989 Taylor &amp; Francis Ltd.</t>
  </si>
  <si>
    <t>101-110</t>
  </si>
  <si>
    <t>60010491-60009697</t>
  </si>
  <si>
    <t>Kishk, Ahmed A.</t>
  </si>
  <si>
    <t>United States;Canada</t>
  </si>
  <si>
    <t>University;Winnipeg</t>
  </si>
  <si>
    <t>University of Mississippi;University of Manitoba</t>
  </si>
  <si>
    <t>60010491;60009697</t>
  </si>
  <si>
    <t>Kishk A.</t>
  </si>
  <si>
    <t>Accurate design data for circular waveguide antennas</t>
  </si>
  <si>
    <t>10.1080/00207218908921060</t>
  </si>
  <si>
    <t>2-s2.0-0024700312</t>
  </si>
  <si>
    <t>['waves canalized', 'thin antennae', 'stability region', 'rarified beams', 'francis ltd', 'electrons moving', 'electrons approach', 'born approximation', 'betatron oscillations', 'asymptotic behaviour']</t>
  </si>
  <si>
    <t>A method from the theory of thin antennae and the Born approximation are used to investigate the asymptotic behaviour of waves canalized by rarified beams of excited classical electron oscillators. In the case of electrons moving in a periodic magnetostatic field, the canalized wave increment is shown to increase if the betatron oscillations of the electrons approach the boundary of the stability region. ¬© 1989 Taylor &amp; Francis Ltd.</t>
  </si>
  <si>
    <t>131-136</t>
  </si>
  <si>
    <t>Petelin, M. I.</t>
  </si>
  <si>
    <t>Russian Federation</t>
  </si>
  <si>
    <t>Nizhny Novgorod</t>
  </si>
  <si>
    <t>Institute of Applied Physics of the Russian Academy of Sciences</t>
  </si>
  <si>
    <t>Petelin M.I.</t>
  </si>
  <si>
    <t>Eigenmodes of a thin beam of excited electron oscillators</t>
  </si>
  <si>
    <t>10.1080/00207218908921062</t>
  </si>
  <si>
    <t>2-s2.0-0024700313</t>
  </si>
  <si>
    <t>['two methods', 'provides comprehension', 'band limitations']</t>
  </si>
  <si>
    <t>Two methods are presented for the analysis of slot array performance as a function of frequency, taking mutual coupling into account. This analysis permits prediction of the bandwidth and provides comprehension of broad-band limitations. The two examples presented show good agreement between theory and measurement. ¬© 1989 IEEE</t>
  </si>
  <si>
    <t>817-823</t>
  </si>
  <si>
    <t>Hamadallah, Mazen</t>
  </si>
  <si>
    <t>Hamadallah M.</t>
  </si>
  <si>
    <t>Frequency Limitations on Broad-Band Performance of Shunt Slot Arrays</t>
  </si>
  <si>
    <t>10.1109/8.29375</t>
  </si>
  <si>
    <t>2-s2.0-0024700488</t>
  </si>
  <si>
    <t>['small compared', 'simple correction', 'simple approximations', 'galerkin method', 'equivalent radius', 'electromagnetic penetration', 'correction allows', 'also given']</t>
  </si>
  <si>
    <t>The problem of electromagnetic penetration of a narrow slot aperture in a thick, perfectly conducting plane is reduced to the solution of Hallen‚Äôs integral equation with an equivalent antenna radius. The depth and width of the slot are assumed to be small compared to both the length of the slot and the wavelength. The equivalent radius is evaluated in terms of the solution to the transverse static problem. Simple approximations for the equivalent radius are also given. Hallen‚Äôs integral equation is solved by the Galerkin method with piecewise sinusoidal basis functions. Large slot depth-to-width ratios give rise to vanishingly small equivalent radii and thus large antenna resonance quality factors. A simple correction to the static field distribution in the slot is also given. This correction allows the depth to become somewhat larger relative to the wavelength. ¬© 1989 IEEE</t>
  </si>
  <si>
    <t>824-834</t>
  </si>
  <si>
    <t>60007843;60007843</t>
  </si>
  <si>
    <t>7003397779;7410237435</t>
  </si>
  <si>
    <t>Warne, Larry K.;Chen, Kenneth C.</t>
  </si>
  <si>
    <t>Warne L.K.</t>
  </si>
  <si>
    <t>Equivalent Antenna Radius for Narrow Slot Apertures Having Depth</t>
  </si>
  <si>
    <t>10.1109/8.29376</t>
  </si>
  <si>
    <t>2-s2.0-0024700489</t>
  </si>
  <si>
    <t>['thus minimizing', 'thus achieved', 'technique uses', 'steepest descent', 'received signal', 'problem consists', 'l2 norm', 'jammer components', 'finite number', 'direction constraint', 'arbitrary look', 'antenna array', 'algorithmic complexity', 'adaptively adjusting', 'actual one']</t>
  </si>
  <si>
    <t>The problem consists of adaptively adjusting the weights of an antenna array to eliminate unwanted interference sources (jammers) with an arbitrary look-direction constraint. The technique uses the adaptive conjugate gradient method instead of the popularly used method of steepest descent to eliminate the jammer components, thus minimizing the error between the received signal and the actual one. This iterative method minimizes the L2 norm, or the mean square error, and is guaranteed to converge in a finite number of steps which is not available for the present techniques utilized to solve this problem. Improvement in rate of convergence is thus achieved at the expense of algorithmic complexity. ¬© 1989 IEEE</t>
  </si>
  <si>
    <t>940-944</t>
  </si>
  <si>
    <t>60030551;60030551</t>
  </si>
  <si>
    <t>55650323300;6506767791</t>
  </si>
  <si>
    <t>Sarkar, Tapan K.;Sangruji, Norachet</t>
  </si>
  <si>
    <t>Syracuse</t>
  </si>
  <si>
    <t>Syracuse University</t>
  </si>
  <si>
    <t>Sarkar T.K.</t>
  </si>
  <si>
    <t>An Adaptive Nulling System for a Narrow-Band Signal with a Look-Direction Constraint Utilizing the Conjugate Gradient Method</t>
  </si>
  <si>
    <t>10.1109/8.29389</t>
  </si>
  <si>
    <t>2-s2.0-0024700490</t>
  </si>
  <si>
    <t>['wiley company', 'large apertures', 'inc .,', 'circular coordinates', 'arbitrary amplitude']</t>
  </si>
  <si>
    <t>Aperture antenna | horn antenna | numerical method radiation pattern</t>
  </si>
  <si>
    <t>A numerically efficient algorithm to calculate the for‚Äêfield radiation patterns of large plane aperture antenna, based on the vector Kirchhoff‚ÄêHuygens method is presented. Arbitrary amplitude and phase distributions may be specified on the apertures wing either rectangular or circular coordinates. In most cares, modest computer resources ore required even for very large apertures. Copyright ¬© 1989 Wiley Periodicals, Inc., A Wiley Company</t>
  </si>
  <si>
    <t>260-264</t>
  </si>
  <si>
    <t>Salema, Carlos</t>
  </si>
  <si>
    <t>Portugal</t>
  </si>
  <si>
    <t>Lisbon</t>
  </si>
  <si>
    <t>Instituto Superior T√©cnico</t>
  </si>
  <si>
    <t>Salema C.</t>
  </si>
  <si>
    <t>A Numerically Efficient Algorithm To Compute Radiation Patterns Of Large Aperture Antennas</t>
  </si>
  <si>
    <t>10.1002/mop.4650020710</t>
  </si>
  <si>
    <t>2-s2.0-0024700727</t>
  </si>
  <si>
    <t>['special case', 'receive antenna', 'quantitative examples', 'exact expression']</t>
  </si>
  <si>
    <t>An exact expression for the bistatic resolution cell area (ab) has been developed for the special case in which either the transmit or receive antenna has a broad azimuth beamwidth or is omnidirectional. Quantitative examples are presented to illustrate the variation of AB with location. A comparison is made with the performance of a commonly used approximation formula. ¬© 1989 IEEE</t>
  </si>
  <si>
    <t>584-587</t>
  </si>
  <si>
    <t>7004416801;7402338546;6507490204</t>
  </si>
  <si>
    <t>Moyer, L. R.;Morgan, C. J.;Rugger, D. A.</t>
  </si>
  <si>
    <t>Moyer L.</t>
  </si>
  <si>
    <t>An Exact Expression for Resolution Cell Area in Special Case of Bistatic Radar Systems</t>
  </si>
  <si>
    <t>10.1109/7.32092</t>
  </si>
  <si>
    <t>2-s2.0-0024700848</t>
  </si>
  <si>
    <t>['various sizes', 'significant improvements', 'procedure involves', 'numerical results', 'material plates', 'current representation', 'convergence rate', 'conducting strips', 'cgfft method']</t>
  </si>
  <si>
    <t>A technique to improve the convergence rate of the conjugate gradient fast Fourier transform (CGFFT) method is presented. The procedure involves the incorporation of subdomain basis functions associated with the current representation of linear and planar radiating elements. It is shown that significant improvements are achieved in the convergence of the CGFFT method when using sinusoidal basis functions. Numerical results are presented for thin cylindrical dipoles, conducting strips and material plates of various sizes. In all cases, an increase in the rate of convergence by a factor of two or better was observed. ¬© 1989 IEEE</t>
  </si>
  <si>
    <t>893-900</t>
  </si>
  <si>
    <t>60025778;60025778</t>
  </si>
  <si>
    <t>6603691726;7102576479</t>
  </si>
  <si>
    <t>Barkeshli, Kasra;Volakis, John L.</t>
  </si>
  <si>
    <t>Barkeshli K.</t>
  </si>
  <si>
    <t>Improving the Convergence Rate of the Conjugate Gradient FFT Method Using Subdomain Basis Functions</t>
  </si>
  <si>
    <t>10.1109/8.29384</t>
  </si>
  <si>
    <t>2-s2.0-0024701464</t>
  </si>
  <si>
    <t>['unified framework', 'tutorial manner', 'slc approach', 'scattered sources', 'paper include', 'ongoing area', 'mapping orthogonalization', 'individually addressed', 'excessive degrees', 'exact least', 'efficient implementation', 'concepts presented', 'complex weights', 'based algorithm', 'auxiliary weights', 'auxiliary channels', 'another goal', 'also address', 'aforementioned concepts']</t>
  </si>
  <si>
    <t>The literature on the well-known sidelobe cancellation (SLC) approach for suppressing sidelobe interference signals in radar is extensive and still an ongoing area of investigation. We focus on various important issues of the SLC approach that are critical to the performance and efficient implementation of adaptive sidelobe cancellers. The concepts presented in a tutorial manner in this paper include: 1) formulating the calculation of the complex weights for the auxiliary channels as an exact least-squares (LS) problem, 2) computing the LS weights using orthogonal transformation for improved numerical accuracy, and 3) mapping orthogonalization-based algorithms onto systolic arrays. We also address the problem of excessive degrees of freedom (EDOF) associated with employing too many auxiliary elements when a relatively small number of jammers are present. Furthermore, we present a new divisionless orthogonalization-based algorithm for the computation of the auxiliary weights. Many of the above issues were either implicitly stated or only individually addressed in scattered sources by a number of researchers. Besides showing simulation results and the new divisionless procedure for obtaining the final auxiliary weights, another goal is to present all of the aforementioned concepts in a coherent and unified framework. ¬© 1989 IEEE</t>
  </si>
  <si>
    <t>459-472</t>
  </si>
  <si>
    <t>Yuen, Stanley M.</t>
  </si>
  <si>
    <t>Cincinnati</t>
  </si>
  <si>
    <t>GE Aviation</t>
  </si>
  <si>
    <t>Yuen S.</t>
  </si>
  <si>
    <t>Algorithmic, Architectural, and Beam Pattern Issues of Sidelobe Cancellation</t>
  </si>
  <si>
    <t>10.1109/7.32078</t>
  </si>
  <si>
    <t>2-s2.0-0024701485</t>
  </si>
  <si>
    <t>['uniquely localized', 'unique localization', 'present conditions', 'narrowband sources', 'maximum number', 'general array', 'correlation matrix', 'conditions specify']</t>
  </si>
  <si>
    <t>We present conditions for unique localization of narrowband sources having the same known center frequency by passive sensor arrays. The conditions specify the maximum number of sources that can be uniquely localized by a general array that satisfies some mild geometrical constraints. The conditions are in terms of the number of sensors and the rank of the correlation matrix of the sources. ¬© 1989 IEEE</t>
  </si>
  <si>
    <t>996-1000</t>
  </si>
  <si>
    <t>60026340;60026340</t>
  </si>
  <si>
    <t>35569493400;6603428063</t>
  </si>
  <si>
    <t>Wax, Mati;Ziskind, Ilan</t>
  </si>
  <si>
    <t>RAFAEL Armament Development Authority Ltd.</t>
  </si>
  <si>
    <t>Wax M.</t>
  </si>
  <si>
    <t>On Unique Localization of Multiple Sources by Passive Sensor Arrays</t>
  </si>
  <si>
    <t>10.1109/29.32277</t>
  </si>
  <si>
    <t>2-s2.0-0024701599</t>
  </si>
  <si>
    <t>['traditional approximation', 'total current', 'theoretical expressions', 'dimensional case', 'detailed results', 'currents excited', 'considerable error', 'conjugate gradient', 'bottom surfaces']</t>
  </si>
  <si>
    <t>Theoretical expressions for the currents excited on the top and bottom surfaces of a coaxial probe fed patch antenna have been derived. In addition exact expressions for the far zone field in terms of the total current on the patch have been found. This analysis is specialized to a two-dimensional case. Detailed results for currents, far zone fields, and radiating aperture admittance have been computed for this two dimensional antenna model using the conjugate gradient-fast Fourier transform (FFT) technique. It has been found for a thick substrate antenna that the upper surface current on the patch is significant. Under this condition the traditional approximation of the total current by the bottom surface current alone may be in considerable error. ¬© 1989 IEEE</t>
  </si>
  <si>
    <t>810-816</t>
  </si>
  <si>
    <t>60025778;60006963</t>
  </si>
  <si>
    <t>7005643564;56721541500</t>
  </si>
  <si>
    <t>Willis, Thomas M.;Sengupta, Dipak L.</t>
  </si>
  <si>
    <t>Ann Arbor;Detroit</t>
  </si>
  <si>
    <t>University of Michigan, Ann Arbor;University of Detroit Mercy</t>
  </si>
  <si>
    <t>Willis T.M.</t>
  </si>
  <si>
    <t>Spectral Analysis of Microstrip Antennas with CG FFT: Two-Dimensional Results</t>
  </si>
  <si>
    <t>10.1109/8.29374</t>
  </si>
  <si>
    <t>2-s2.0-0024701607</t>
  </si>
  <si>
    <t>['thus reduced', 'several examples', 'practical considerations', 'possible uses', 'point source', 'moment method', 'known methods', 'form similar']</t>
  </si>
  <si>
    <t>A simplification of the synthesis of parallel wire antenna arrays is discussed. By the moment method, the wire antenna array pattern is expressed in a form similar to that of a point source. The synthesis is thus reduced to the well-known methods. Several examples for possible uses and some practical considerations are included. ¬© 1989 IEEE</t>
  </si>
  <si>
    <t>936-940</t>
  </si>
  <si>
    <t>60015331;60015331</t>
  </si>
  <si>
    <t>35070366800;7005683394</t>
  </si>
  <si>
    <t>Siakavara, K.;SAhalos, J. N.</t>
  </si>
  <si>
    <t>Thessaloniki</t>
  </si>
  <si>
    <t>Aristotle University of Thessaloniki</t>
  </si>
  <si>
    <t>Siakavara K.</t>
  </si>
  <si>
    <t>A Simplification of the Synthesis of Parallel Wire Antenna Arrays</t>
  </si>
  <si>
    <t>10.1109/8.29388</t>
  </si>
  <si>
    <t>2-s2.0-0024702015</t>
  </si>
  <si>
    <t>['mutual admittance', 'fourier transform', 'eigenfunction data', 'circumferential slots', 'circular cylinders', 'axial slots']</t>
  </si>
  <si>
    <t>A numerical formulation involving the Fourier transform and the combined-field integral equation is presented to calculate the mutual admittance between axial slots or circumferential slots in arbitrarily shaped cylinders. The accuracy of the procedure is demonstrated by comparison with eigenfunction data for circular cylinders. ¬© 1989 IEEE</t>
  </si>
  <si>
    <t>858-864</t>
  </si>
  <si>
    <t>7202081356;55197051100</t>
  </si>
  <si>
    <t>Peterson, Andrew F.;Mittra, Raj</t>
  </si>
  <si>
    <t>Peterson A.F.</t>
  </si>
  <si>
    <t>Mutual Admittance Between Slots in Cylinders of Arbitrary Shape</t>
  </si>
  <si>
    <t>10.1109/8.29380</t>
  </si>
  <si>
    <t>2-s2.0-0024702182</t>
  </si>
  <si>
    <t>['u ).', 'tandem mirror', 'one antenna', 'neutral gas', 'modelled using', 'midplane fuelling', 'iteration procedure', 'ions striking', 'ich antenna', 'experimental value', 'energy confinement', 'coulomb collisions', 'centre cell', 'axial profile']</t>
  </si>
  <si>
    <t>Particle and energy confinement of ions during ion cyclotron heating (ICH) in the centre cell of a tandem mirror is simulated by a Monte Carlo code. The interaction of the ion cyclotron wave with the ions is calculated using reduced equations of motion, and Coulomb collisions are modelled using a Monte Carlo algorithm. An axial electrostatic potential profile is generated by an iteration procedure, assuming Maxwellian electrons. The axial profile of neutral gas which fuels the ions from a localized gas box is determined from a neutral particle Monte Carlo code. Steady state calculations are reported for the Tandem Mirror Experiment Upgrade (TMX-U). The calculated energy confinement time rE is about twice that measured for off-midplane fuelling. The calculated rE can be decreased to the experimental value by either introducing extra gas at the ICH antenna to model the effect of ions striking the antenna or assuming anomalous radial loss. However, the enhanced radial loss also increases the end loss current well above that measured. Experimental and calculated TE agree more closely for midplane fuelling with heating from one antenna. ¬© 1989 IOP Publishing Ltd.</t>
  </si>
  <si>
    <t>1125-1138</t>
  </si>
  <si>
    <t>60026175;60026175-60025209;60026175;60026175</t>
  </si>
  <si>
    <t>7004959174;57198747503;7003877589;57196697014</t>
  </si>
  <si>
    <t>Rognlien, T. D.;Campbell, R. B.;Dimonte, G.;Kaiser, T. B.</t>
  </si>
  <si>
    <t>Livermore;Los Angeles</t>
  </si>
  <si>
    <t>Lawrence Livermore National Laboratory;Northrop Grumman corporation</t>
  </si>
  <si>
    <t>60026175;60025209</t>
  </si>
  <si>
    <t>Rognlien T.D.</t>
  </si>
  <si>
    <t>Simulation of ion confinement during ion cyclotron heating in the tmx-u tandem mirror</t>
  </si>
  <si>
    <t>10.1088/0029-5515/29/7/005</t>
  </si>
  <si>
    <t>2-s2.0-0024702408</t>
  </si>
  <si>
    <t>['two configurations', 'single source', 'series feed', 'reactive loads', 'radiation pattern', 'parallel feed', 'input impedance', 'general enough']</t>
  </si>
  <si>
    <t>A feed network design for an array antenna fed by a single source is presented. A specified radiation pattern from the array, with a set of known terminal voltages, can be synthesized by choosing the appropriate characteristic impedance and length of feed transmission line sections and reactive loads at the terminals of each element. Two configurations, a series feed and a parallel feed, are described. As an example, this method is applied to the feed network design of a singly fed linear dipole array, but the method is general enough to be applied to any type of array which can be characterized by a multiport terminal admittance matrix. Some results are shown for the bandwidth of the radiation pattern and input impedance. ¬© 1989 IEEE</t>
  </si>
  <si>
    <t>835-843</t>
  </si>
  <si>
    <t>60015623;60014313</t>
  </si>
  <si>
    <t>56423929500;7006061921</t>
  </si>
  <si>
    <t>Kang, Yoon Won;Pozar, David M.</t>
  </si>
  <si>
    <t>Boston;Amherst MA</t>
  </si>
  <si>
    <t>General Electric Company;University of Massachusetts Amherst</t>
  </si>
  <si>
    <t>Kang Y.W.</t>
  </si>
  <si>
    <t>Pattern Synthesis Using Reactive Loads and Transmission Line Sections for a Singly Fed Array</t>
  </si>
  <si>
    <t>10.1109/8.29377</t>
  </si>
  <si>
    <t>2-s2.0-0024702638</t>
  </si>
  <si>
    <t>NSC78-0404-E002-04</t>
  </si>
  <si>
    <t>['input impedances', 'coaxial line', 'also shown']</t>
  </si>
  <si>
    <t>The moment method solution for a rectangular microstrip antenna fed by a coaxial line is presented. Both the probe electric current and the coaxial aperture field are taken into consideration. Comparisons between input impedances of the microstrip antenna calculated with and without the coaxial aperture field are presented. Comparisons with measurements are also shown. The influence of the coaxial aperture field on the evaluation of input impedances is noted. ¬© 1989 IEEE</t>
  </si>
  <si>
    <t>3058-3060</t>
  </si>
  <si>
    <t>60005429;60005429</t>
  </si>
  <si>
    <t>57195219573;7202048581</t>
  </si>
  <si>
    <t>Huang, Chang Hsiu;Hsu, Powen</t>
  </si>
  <si>
    <t>Huang C.H.</t>
  </si>
  <si>
    <t>Effect of feed modeling on the evaluation of input impedance of microstrip antennas</t>
  </si>
  <si>
    <t>10.1109/20.34368</t>
  </si>
  <si>
    <t>2-s2.0-0024702955</t>
  </si>
  <si>
    <t>['¬© 1989', 'wide range', 'various devices', 'used solution', 'tunnel tests', 'tests confirmed', 'significant results', 'remarkable stability', 'new configuration', 'maximum torque', 'flow suggested', 'first tested', 'fins added', 'design parameters', 'aerodynamic loads']</t>
  </si>
  <si>
    <t>modelling | rotating radar antenna | wind-tunnel tests</t>
  </si>
  <si>
    <t>Wind-tunnel tests on a model of a rotating radar antenna are described. The purpose of the tests was to establish the effectiveness of various devices in reducing the variation of torque, during a revolution, caused by aerodynamic loads when the antenna is immersed in a stream. A widely-used solution-fins added to the back of the antenna, the drag of which is utilized to reduce the variation of torque-was first tested, but visualization of the flow suggested the idea that lifting fins could be more efficient. Tests confirmed that significant results in the reduction of maximum torque and its gradient can be obtained with this new configuration, together with a flow of remarkable stability and the possibility of choosing a wide range of design parameters. ¬© 1989.</t>
  </si>
  <si>
    <t>134-138</t>
  </si>
  <si>
    <t>Engineering Structures</t>
  </si>
  <si>
    <t>Lombardi, G.</t>
  </si>
  <si>
    <t>Pisa</t>
  </si>
  <si>
    <t>Universit√† di Pisa</t>
  </si>
  <si>
    <t>Lombardi G.</t>
  </si>
  <si>
    <t>Wind-tunnel tests on a model antenna with different fin configurations</t>
  </si>
  <si>
    <t>10.1016/0141-0296(89)90001-1</t>
  </si>
  <si>
    <t>2-s2.0-0024703302</t>
  </si>
  <si>
    <t>['¬© 1989', 'whisker length', 'w0 œª', 'thereby obtained', 'standard far', 'spaced closer', 'shorter whiskers', 'radiation resistance', 'radiation impedance', 'present calculations', 'orientation relative', 'one physical', 'namely l', 'modification increases', 'four traveling', 'cube dihedral', 'cube antennas', 'coupling efficiency', 'conventional prescription', 'antenna length', '78 %,', '65œ ©.', '5 db', '17 ¬∞),', '12 ¬∞)']</t>
  </si>
  <si>
    <t>We present calculations of a number of experimentally useful properties of the far-field of 90¬∞ corner-cube antennas. These are the orientation relative to the whisker and the waistsize of the best-matched fundamental Gaussian beam, the coupling efficiency to this beam, and the radiation resistance. Each of these is computed as a function of whisker length, L, and spacing from the corner-cube dihedral, d, using the standard far-field pattern obtained from an array of four traveling-wave current distributions, (one physical and three images). It is found that the conventional prescription for antenna length, L = 4Œª, and spacing, d = 1.2Œª, does not yield optimal coupling. This is obtained from shorter whiskers, spaced closer to the dihedral, namely L = 1.35Œª, d = 0.9Œª. An improvement of 1.5 dB in coupling efficiency, from 55% to 78%, is thereby obtained. This modification increases the width of the best fit Gaussian beam from W0 Œª = 1.82 (FWHM = 12¬∞) to w0 Œª = 1.24 (FWHM = 17¬∞), and reduces the radiation impedance from 130 to 65Œ©. ¬© 1989.</t>
  </si>
  <si>
    <t>875-885</t>
  </si>
  <si>
    <t>Grossman, Erich N.</t>
  </si>
  <si>
    <t>Grossman E.</t>
  </si>
  <si>
    <t>The coupling of submillimeter corner-cube antennas to Gaussian beams</t>
  </si>
  <si>
    <t>0020-0891(89)90036-5</t>
  </si>
  <si>
    <t>10.1016/0020-0891(89)90036-5</t>
  </si>
  <si>
    <t>2-s2.0-0024703564</t>
  </si>
  <si>
    <t>['xpd vary', 'xpd degradation', 'wiley company', 'unwanted variations', 'tracking operation', 'tracking interval', 'tracked automatically', 'satellite channel', 'pointing error', 'performed periodically', 'measured values', 'location variation', 'inc .,', 'estimated accuracy', 'azimuth angles', 'antenna pattern', 'antenna gain', '40 db']</t>
  </si>
  <si>
    <t>The problems in measurement of the beacon wave XPD are pointed out when the satellite is tracked automatically by the step tracking method in the CS‚Äê2 operation test station. Since the antenna is driven on a trial‚Äêand‚Äêerror basis in the step tracking system so that the beacon receiving level always increases, measured values of the beacon receiving level and the XPD vary during the tracking operation. If the tracking operation is performed periodically at a constant time interval to avoid these unwanted variations, the pointing error of the ground station antenna to the satellite during this interval causes degradation of the antenna gain and the XPD. In this paper, the antenna pattern of the ground station antenna is measured. In addition, the characteristics of the location variation of the satellite on the elevation and azimuth angles are determined. The reduction of the maximum beacon receiving level and the XPD degradation are computed which are likely to occur if the tracking interval is 10 ‚Äê 210 min. It is pointed out that the satellite tracking must be done at least once every 50 ‚Äì 90 min to perform the on‚Äêpropagation‚Äêpath XPD measurement in the satellite channel with an estimated accuracy of about 40 dB. Copyright ¬© 1989 Wiley Periodicals, Inc., A Wiley Company</t>
  </si>
  <si>
    <t>27-33</t>
  </si>
  <si>
    <t>60000886;60000886;60000886;116002164</t>
  </si>
  <si>
    <t>7101995790;57214924764;36865776300;7102162649</t>
  </si>
  <si>
    <t>Maekawa, Yasuyuki;Chang, Nion Sock;Miyazaki, Akira;Segawa, Tetsuro</t>
  </si>
  <si>
    <t>Neyagawa;Tokyo</t>
  </si>
  <si>
    <t>Osaka Electro-Communication University;Computer Services Corp.</t>
  </si>
  <si>
    <t>60000886;116002164</t>
  </si>
  <si>
    <t>Maekawa Y.</t>
  </si>
  <si>
    <t>Accuracy of XPD measurement at the CS‚Äê2 experimental earth station related to satellite tracking systems</t>
  </si>
  <si>
    <t>10.1002/ecja.4410720704</t>
  </si>
  <si>
    <t>2-s2.0-0024703749</t>
  </si>
  <si>
    <t>W-7405-Eng-48</t>
  </si>
  <si>
    <t>['unknown coefficients', 'transfer functions', 'resulting models', 'numerically obtained', 'model parameters', 'method solution', 'functional behavior', 'derivative data', 'compact representation', 'accurately computed']</t>
  </si>
  <si>
    <t>Model-based parameter estimation (MBPE) involves fitting physically motivated approximations (the model) to accurately computed or measured electromagnetic quantities from which unknown coefficients (the model parameters) are numerically obtained. The model can then provide a simple, compact representation of the functional behavior of the quantity of interest that can be used for interpolation, extrapolation or other purposes. We examine here approximation of transfer functions from both frequency and frequency-derivative data and applications of the resulting models. Also, a scheme for obtaining frequency derivative information from a Moment-Method solution is outlined. ¬© 1989 IEEE</t>
  </si>
  <si>
    <t>2807-2809</t>
  </si>
  <si>
    <t>60026175-60076690-60015457;60015457</t>
  </si>
  <si>
    <t>7203060346;7005740358</t>
  </si>
  <si>
    <t>Burke, G. J.;Demarest, K.</t>
  </si>
  <si>
    <t>Santa Barbara;Livermore;Lawrence</t>
  </si>
  <si>
    <t>General Research Corporation;Lawrence Livermore National Laboratory;University of Kansas</t>
  </si>
  <si>
    <t>60076690;60026175;60015457</t>
  </si>
  <si>
    <t>Burke G.J.</t>
  </si>
  <si>
    <t>Using model-based parameter estimation to increase the efficiency of computing electromagnetic transfer functions</t>
  </si>
  <si>
    <t>10.1109/20.34291</t>
  </si>
  <si>
    <t>2-s2.0-0024704069</t>
  </si>
  <si>
    <t>['wiley company', 'waveguide applicator', 'wave reflected', 'various parts', 'reflected wave', 'radiation power', 'radiation characteristics', 'muscle placed', 'lossy medium', 'input impedance', 'inc .,', 'imaginary part', 'hyperthermia applicator', 'human body', 'generally larger', 'excitation post', 'equivalent problem', 'distanced somewhat', 'continuity condition', 'certain distance', 'case without', 'approximate evaluation', 'antenna aperture', 'also found']</t>
  </si>
  <si>
    <t>This paper is a detailed theoretical study of the basic radiation characteristics of a cutoff‚Äêwaveguide aperture antenna excited by a post when it is used as a hyperthermia applicator for heating tumors located deep inside the human body. The effect of the wave reflected from the body on the radiation characteristics is considered by an approximate evaluation of the reflected wave from a semi‚Äêinfinite lossy medium with electrical constants equivalent to those of a muscle placed in front of the antenna aperture. In the analysis, an equivalent problem is considered in which the aperture is closed by a conductor and unknown magnetic current sources are placed on both sides of this conductor. The integral equation derived from the continuity condition of the tangential magnetic field components at the aperture is solved by Galerkin's method. Extensive numerical data are presented for the relationship of the radiation power and the input impedance to the location of the lossy medium and the dimensions of various parts of the waveguide applicator. It is found that although the radiation power is generally larger if the distance between the lossy medium and the aperture is smaller, for a certain distance the radiation power can be smaller than the case without a lossy medium. It is also found that if the location of the excitation post is distanced somewhat from the aperture, the imaginary part of the input impedance is not affected by the location of the lossy medium. Copyright ¬© 1989 Wiley Periodicals, Inc., A Wiley Company</t>
  </si>
  <si>
    <t>65-75</t>
  </si>
  <si>
    <t>60024322-108272851;60024322;60024322</t>
  </si>
  <si>
    <t>56659548600;7203027902;35567682900</t>
  </si>
  <si>
    <t>Sen, Atsurou;Morita, Nagayoshi;Kumagai, Nobuaki</t>
  </si>
  <si>
    <t>Suita;Osaka</t>
  </si>
  <si>
    <t>Osaka University;Osaka Gas</t>
  </si>
  <si>
    <t>60024322;108272851</t>
  </si>
  <si>
    <t>Sen A.</t>
  </si>
  <si>
    <t>Radiation characteristics of cutoff‚Äêwaveguide applicators for hyperthermia</t>
  </si>
  <si>
    <t>10.1002/ecja.4410720708</t>
  </si>
  <si>
    <t>2-s2.0-0024704173</t>
  </si>
  <si>
    <t>['sweep curves', 'space environment', 'scattering matrix', 'qualitative features', 'planewave scattering', 'maximum response', 'matrix method', 'horizontal direction', 'general theory', 'experimental curve', 'earth interface', 'detector height', 'born approximation']</t>
  </si>
  <si>
    <t>The planewave scattering-matrix method is used to compute the response of a detector to a buried dielectric scatterer. The Born approximation is used to derive the scattering matrix for scatterers of small dielectric contrast, but the general theory is not limited to such cases. Specific numerical results are generated for a UHF dipole detector swept over a buried dielectric cube. The maximum response is obtained when the detector is located at the air-earth interface, and the response decays rapidly with detector height. The sweep curves are symmetrical in the horizontal direction and have a null when the detector is directly over the object. An experimental curve for a free-space environment has the same qualitative features. ¬© 1989 IEEE</t>
  </si>
  <si>
    <t>364-368</t>
  </si>
  <si>
    <t>Hill, David A.</t>
  </si>
  <si>
    <t>National Institute of Standards and Technology</t>
  </si>
  <si>
    <t>Hill D.</t>
  </si>
  <si>
    <t>Near-Field Detection of Buried Dielectric Objects</t>
  </si>
  <si>
    <t>10.1109/36.29555</t>
  </si>
  <si>
    <t>2-s2.0-0024704723</t>
  </si>
  <si>
    <t>['wiley company', 'spatial domain', 'propagation constant', 'poynting vectors', 'paper analyzed', 'nrd lines', 'nrd guide', 'millimeter wavebands', 'integrated circuits', 'instantaneous waveforms', 'individual modes', 'inc .,', 'geometry becomes', 'electromagnetic fields', 'conducted recently', 'characteristic variations', 'bergeron method', 'asymmetrical structure', 'active researches']</t>
  </si>
  <si>
    <t>Active researches have been conducted recently on NRD lines which have low loss properties in millimeter wavebands and are suitable for integrated circuits. As an example for them, an asymmetrical structure has been proposed for an NRD guide which may be used for a leaky wave antenna. This paper analyzed such a guide for its three‚Äêdimensional spatial‚Äêtime responses based on the Bergeron method. We made vectorial analyses on the instantaneous waveforms for all components of the electromagnetic fields and applied Fourier transform on the instantaneous waveforms in the spatial domain. From the wave number spectra thus obtained, we identified the existence of two leaky waveforms for individual modes. We obtained the propagation constant for each mode. Based on characteristic variations of the propagation constant for the dominant leaky mode as a function of the width of a longitudinal conducting plate and on the Poynting vectors, we showed that an NRD guide of such geometry becomes a leaky wave antenna. Copyright ¬© 1989 Wiley Periodicals, Inc., A Wiley Company</t>
  </si>
  <si>
    <t>7102481164;7403004870;57214925937</t>
  </si>
  <si>
    <t>Terashima, Kouji;Yoshida, Norinobu;Fukai, Ichiro</t>
  </si>
  <si>
    <t>Terashima K.</t>
  </si>
  <si>
    <t>Three‚Äêdimensional analysis of electromagnetic fields for NRD guide with air gap and finite‚Äêmetal plane width</t>
  </si>
  <si>
    <t>10.1002/ecjb.4420720701</t>
  </si>
  <si>
    <t>2-s2.0-0024704734</t>
  </si>
  <si>
    <t>['wiley company', 'shown numerically', 'reflector twice', 'reflector surfaces', 'reflector surface', 'radiation characteristics', 'periodic errors', 'outer portion', 'mechanical errors', 'mechanical error', 'interior portion', 'inc .,', 'gain reduction', 'effective error', 'diameters larger', 'deployable antenna', 'basic structure', 'approximating triangles', 'also clarified', 'additional 0', '30 percent', '18 db', '1 db']</t>
  </si>
  <si>
    <t>There is a need for large deployable antennas with diameters larger than 10 m for space‚ÄêVLBI satellites and mobile communication satellites. Several deployment mechanisms have been proposed, each of which uses determined lines and points on a smooth prototype reflector surface. The basic structure is to use the reflector surfaces which are located between them as meshes or films. This paper examines types of mechanical errors of a deployable antenna and its relation with the radiation characteristics. Its effects on the radiation characteristics are shown numerically. As a result, it is shown that the gain reduction is less than 0.18 dB by subdividing the reflector surfaces by equilateral triangles whose side is about one‚Äêeighth the radius for a 2‚ÄêGHz band tension‚Äêtruss type antenna of 15 m diameter. With a penalty of an additional 0.1 dB, the number of approximating triangles can be reduced by about 30 percent by subdividing the outer portion of the reflector twice as roughly as the interior portion. However, it is important to add phase offsets. It is shown that grating lobes appear in the sidelobe characteristics due to the periodic errors. The relationship between mechanical error and the effective error of the reflector surface is also clarified. Copyright ¬© 1989 Wiley Periodicals, Inc., A Wiley Company</t>
  </si>
  <si>
    <t>55-64</t>
  </si>
  <si>
    <t>100340532;100340532</t>
  </si>
  <si>
    <t>7402167894;7103128151</t>
  </si>
  <si>
    <t>Takano, Tadashi;Ui, Masaaki</t>
  </si>
  <si>
    <t>Sagamihara</t>
  </si>
  <si>
    <t>Inst. of Space and Aero. Science</t>
  </si>
  <si>
    <t>Takano T.</t>
  </si>
  <si>
    <t>Reflector error of large deployable antennas and its effects on radiation characteristics</t>
  </si>
  <si>
    <t>10.1002/ecja.4410720707</t>
  </si>
  <si>
    <t>2-s2.0-0024705548</t>
  </si>
  <si>
    <t>['two examples', 'radio held', 'multiple multipole', 'method applied', 'hereafter discussed', 'close nearfield']</t>
  </si>
  <si>
    <t>The advantages and limits of the Multiple MultiPole (MMP) method applied to problems of antennae with lossy scattering objects in the very close nearfield are hereafter discussed. The capabilty of the program is shown by two examples: a simulation of a radio held by man and of an antenna which is embedded into lossy brain tissue. ¬© 1989 IEEE</t>
  </si>
  <si>
    <t>2881-2883</t>
  </si>
  <si>
    <t>60025858;60025858</t>
  </si>
  <si>
    <t>7003283774;6506038278</t>
  </si>
  <si>
    <t>Kuster, Niels;Ballisti, Ray</t>
  </si>
  <si>
    <t>Switzerland</t>
  </si>
  <si>
    <t>Zurich ZH,</t>
  </si>
  <si>
    <t>ETH Zurich</t>
  </si>
  <si>
    <t>Kuster N.</t>
  </si>
  <si>
    <t>MMP Method Simulation of Antennae with Scattering Objects in the Closer Nearfield</t>
  </si>
  <si>
    <t>10.1109/20.34313</t>
  </si>
  <si>
    <t>2-s2.0-0024705566</t>
  </si>
  <si>
    <t>['wiley company', 'vector form', 'vector analysis', 'thus obtained', 'temporal evolution', 'taking advantage', 'systematic analysis', 'rectangular patch', 'radiation characteristics', 'poynting vector', 'patch system', 'patch antennas', 'patch antenna', 'near field', 'medium conditions', 'inc .,', 'fundamental treatment', 'fundamental characteristics', 'fourier transform', 'far field', 'extensive efforts', 'efficiently deriving', 'circular polarizations', 'bergeron method', 'basic form', 'aperture distribution', 'antenna element', 'analytical solutions']</t>
  </si>
  <si>
    <t>Recently, extensive efforts have been expended in research and development of patch antennas which are small in size, lightweight and not very thick. In these antennas, the effect of the near field on the far field characteristics cannot be ignored. The former is affected in turn not only by the antenna element but also by the shape of the structure on which the antenna is installed. This near field has a complex field distribution which is dependent on the three‚Äêdimensional structure and the medium conditions of the system. A systematic analysis in which the three‚Äêdimensional structure and the medium conditions of the system are given rigorous consideration is indispensable. In this paper, a rectangular patch which is a basic form of the patch antenna is analyzed by the Bergeron method in terms of the three‚Äêdimensional time response of the near field. Based on the aperture distribution of the electric field thus obtained, the far field is computed by Fourier transform. A method is proposed for efficiently deriving the far field in the Bergeron method. By comparison with analytical solutions, the validity of the fundamental treatment is verified. Further, by taking advantage of vector analysis, the electric field near the patch is expressed in a vector form for both the linear and circular polarizations. The spatial and temporal evolution of the field and the change from the near field to the far field are exhibited. Also, by means of the representation of the Poynting vector, the energy flow important for understanding the radiation characteristics of the antenna is depicted. The fundamental characteristics of the patch system are thus obtained. Copyright ¬© 1989 Wiley Periodicals, Inc., A Wiley Company</t>
  </si>
  <si>
    <t>44-54</t>
  </si>
  <si>
    <t>60014652;60014652;60014652;60007951</t>
  </si>
  <si>
    <t>55574713100;7403004870;57214925937;35614982400</t>
  </si>
  <si>
    <t>Kashiwa, Tatsuya;Yoshida, Norinobu;Fukai, Ichiro;Koike, Shoichi</t>
  </si>
  <si>
    <t>Sapporo;Minato</t>
  </si>
  <si>
    <t>Hokkaido University;Fujitsu Ltd.</t>
  </si>
  <si>
    <t>60014652;60007951</t>
  </si>
  <si>
    <t>Kashiwa T.</t>
  </si>
  <si>
    <t>Three‚Äêdimensional analysis of patch antenna by bergeron's method</t>
  </si>
  <si>
    <t>10.1002/ecja.4410720706</t>
  </si>
  <si>
    <t>2-s2.0-0024705769</t>
  </si>
  <si>
    <t>['within 0', 'target signal', 'statistical coefficient', 'sar imagery', 'radiometric calibration', 'predicted relative', 'incidence angles', 'imagery collected', 'greatest influence', 'estimated uncertainties', 'error model', 'based upon', 'actual errors', '6 db', '3 db', '20 ¬∞']</t>
  </si>
  <si>
    <t>A model is presented which estimates a relative error bound for the radiometric calibration of synthetic aperture radar (SAR) imagery. This model is based upon a statistical Coefficient of Variation of Error Model which produces a relative error bound by propagating the measured or estimated uncertainties in the radar system parameters utilized to correct digitally processed SAR image intensity values. Using this model, algorithms are generated for absolute and relative radiometric calibration of SAR imagery. These algorithms are parametrically exercised using radar system parameters from an existing airborne SAR system to determine their impact on the relative error bound. It is found that the antenna gain pattern [G(*, Œ¶)] has the greatest influence on the relative error bound. When incidence angles of less than 20¬∞ were encountered or the target signal-to-radar system noise ratio was less than 6 dB, significant increases (‚â• 1 dB) in the relative error bound also occur. Model-predicted relative, within-scene error bounds are compared to actual errors found within a set of imagery collected by an airborne SAR system. In all cases, the actual errors are within 0.3 dB of the model predicted errors. ¬© 1989 IEEE</t>
  </si>
  <si>
    <t>416-427</t>
  </si>
  <si>
    <t>60023201;60025778</t>
  </si>
  <si>
    <t>7005227707;55393395600</t>
  </si>
  <si>
    <t>Kasischke, Eric S.;Fowler, Gary W.</t>
  </si>
  <si>
    <t>Ann Arbor;Ann Arbor</t>
  </si>
  <si>
    <t>University of Michigan, Ann Arbor;Altarum Institute</t>
  </si>
  <si>
    <t>60025778;60023201</t>
  </si>
  <si>
    <t>Kasischke E.S.</t>
  </si>
  <si>
    <t>A Statistical Approach for Determining Radiometric Precisions and Accuracies in the Calibration of Synthetic Aperture Radar Imagery</t>
  </si>
  <si>
    <t>10.1109/36.29561</t>
  </si>
  <si>
    <t>2-s2.0-0024706198</t>
  </si>
  <si>
    <t>DCM 8409014</t>
  </si>
  <si>
    <t>['¬© 1989', 'using time', 'type ps', 'two strains', 'two components', 'spectral properties', 'spectral characteristics', 'second showing', 'rights reserved', 'representative distribution', 'ps decay', 'pigment stoichiometries', 'peripheral antennae', 'p700 ).', 'mutant strains', 'fluorescence decay', 'fast ps', 'fast 75', 'excited states', 'decay indicate', 'core complex', 'core antenna', 'chlamydomonas reinhardtii', 'biophysical society', 'apparent reduction', '60 chlorophyll', '45 ps', '120 chlorophyll']</t>
  </si>
  <si>
    <t>Using time-resolved single photon counting, fluorescence decay in photosystem I (PS I) was analyzed in mutant strains of Chlamydomonas reinhardtii that lack photosystem II. Two strains are compared: one with a wild-type PS I core antenna (120 chlorophyll a/P700) and a second showing an apparent reduction in core antenna size (60 chlorophyll a/P700). These data were calculated from the lifetimes of core antenna excited states (75 and 45 ps, respectively) and from pigment stoichiometries. Fluorescence decay in wild type PS I is composed of two components: a fast 75-ps decay that represents the photochemically limited lifetime of excited states in the core antenna, and a minor (less than 10%) 300‚Äì800 ps component that has spectral characteristics of both peripheral and core antenna pigments. Temporal and spectral properties of the fast PS I decay indicate that (a) excitations are nearly equilibrated among the range of spectral forms present in the PS I core antenna, (b) an average excitation visits a representative distribution of core antenna spectral forms on all pigment-binding subunits regardless of the origin of the excitation, (c) reduction in core antenna size does not alter the range of antenna spectral forms present, and (d) transfer from peripheral antennae to the PS I core complex is rapid (less than 5 ps). ¬© 1989, The Biophysical Society. All rights reserved.</t>
  </si>
  <si>
    <t>95-106</t>
  </si>
  <si>
    <t>Biophysical Journal</t>
  </si>
  <si>
    <t>60029278;60029278;60029278;60029278;60029278</t>
  </si>
  <si>
    <t>57213437301;7402908281;6701820953;7004218113;36936627600</t>
  </si>
  <si>
    <t>Owens, T. G.;Webb, S. P.;Mets, L.;Alberte, R. S.;Fleming, G. R.</t>
  </si>
  <si>
    <t>The University of Chicago</t>
  </si>
  <si>
    <t>Owens T.G.</t>
  </si>
  <si>
    <t>Antenna structure and excitation dynamics in photosystem I. II. Studies with mutants of Chlamydomonas reinhardtii lacking photosystem II</t>
  </si>
  <si>
    <t>S0006349589826542</t>
  </si>
  <si>
    <t>10.1016/S0006-3495(89)82654-2</t>
  </si>
  <si>
    <t>2-s2.0-0024707005</t>
  </si>
  <si>
    <t>R01GM027068</t>
  </si>
  <si>
    <t>['sister chromosomes', 'single chromosome', 'sequences placed', 'recombination within', 'recombinant types', 'recombinant observed', 'reciprocal exchange', 'particular inversions', 'one explanation', 'nonpermissive sites', 'lac operon', 'inversion formation', 'inverse order', 'interact recombinationally', 'information appears', 'extensive homology', 'essential sequences', 'direct order', 'detect inversion', 'antenna sequences', 'another explanation']</t>
  </si>
  <si>
    <t>Sequences placed in inverse order at particular chromosome sites (permissive) recombine to generate an inversion; the same sequences, placed at other sites (nonpermissive) interact recombinationally but do not form the expected inversion recombinants. We have investigated the events that occur between sequences at nonpermissive sites. Genetically marked lac operons in inverse order were placed at nonpermissive sites in a single chromosome and Lac+ recombinants were selected. No inversions were formed. The Lac+ recombinants recovered include double-recombinant types in which information appears to have undergone a nonreciprocal information exchange; one mutant copy is repaired with no alteration of the other copy. Recombination within the lac operon is stimulated more than 100-fold by the presence of extensive homology (antenna sequences) outside of the region for which recombination is selected. Sequences placed in direct order at the ends of the same noninvertible chromosome segment recombine to form all the expected recombinant types including those in which a reciprocal exchange has generated a duplication. All the detected recombinant types can be accounted for by recombination between sister chromosomes. These results are discussed in terms of two alternative models. One explanation of the failure to detect inversion of some intervals is that particular inversions are lethal, despite the fact that no essential sequences are disrupted. Another explanation is that chromosome topology prevents sequences at nonpermissive sites in a single chromosome from engaging in the direct interaction required for inversion formation, but allows the sister strand exchanges that can generate the recombinant observed.</t>
  </si>
  <si>
    <t>737-747</t>
  </si>
  <si>
    <t>Genetics</t>
  </si>
  <si>
    <t>7102843928;7404379284</t>
  </si>
  <si>
    <t>Segall, A. M.;Roth, J. R.</t>
  </si>
  <si>
    <t>Segall A.</t>
  </si>
  <si>
    <t>Recombination between homologies in direct and inverse orientation in the chromosome of Salmonella: intervals which are nonpermissive for inversion formation.</t>
  </si>
  <si>
    <t>2-s2.0-0024713651</t>
  </si>
  <si>
    <t>['used directly', 'th derivative', 'significantly faster', 'signal transformation', 'quadrature signals', 'paper presents', 'one group', 'null directions', 'new algorithm', 'maximally flat', 'lms algorithm', 'frequency response', 'first transformed', 'array elements', 'adaptively processed', '2 real', '(‚ ñì']</t>
  </si>
  <si>
    <t>The paper presents and investigates a new LMS based algorithm for a broadband power inversion array using tapped delay line processing. In this algorithm, the signals from each L-tap delay line are first transformed and separated into L/2 real-and-quadrature signals, with the ‚Ñìth signal determining the (‚Ñì-1)th derivative of the frequency response of the array. Rejection of jammers is then obtained by using the LMS algorithm to update the processing for the first transformed signals from all the array elements, while the processing for the other signals is adjusted to constrain the frequency response of the array to be maximally flat at the null directions. Since this latter adjustment needs to be performed only sparingly and the signal transformation is simple and straightforward, the complexity of the new algorithm is comparable to that when the LMS algorithm is used directly. However, because there is now only one group of real-and-quadrature signals that needs to be adaptively processed, the new algorithm can be significantly faster then the LMS algorithm.</t>
  </si>
  <si>
    <t>161-167</t>
  </si>
  <si>
    <t>Aug</t>
  </si>
  <si>
    <t>Ko, C. C.</t>
  </si>
  <si>
    <t>Ko C.C.</t>
  </si>
  <si>
    <t>Broadband power inversion array with maximally flat response at null directions</t>
  </si>
  <si>
    <t>10.1049/ip-f-2.1989.0027</t>
  </si>
  <si>
    <t>2-s2.0-0024714316</t>
  </si>
  <si>
    <t>['quasistatic condition', 'paper presents', 'optimal structure', 'numerical results', 'low frequency']</t>
  </si>
  <si>
    <t>Electromagnetic susceptibility | magnetic field generating source | radiated magnetic field susceptibility | uniform magnetic field</t>
  </si>
  <si>
    <t>This paper presents a uniform magnetic field generating source (UMFGS) comprising two orthogonal sheet current loops. As a magnetic (H-) field generating source at low frequency, the H-field distribution inside the UMFGS is studied under the quasistatic condition. Experimental data show good agreement with numerical results. More properties of the UMFGS are predicted in theory so as to achieve an optimal structure. With the aid of a computer, optimum design equations are obtained and presented in this paper. ¬© 1989 IEEE</t>
  </si>
  <si>
    <t>209-217</t>
  </si>
  <si>
    <t>Cai, Xiaoding</t>
  </si>
  <si>
    <t>Cai X.</t>
  </si>
  <si>
    <t>Uniform Magnetic Field Generated by Two Orthogonal Sheet Current Loops</t>
  </si>
  <si>
    <t>10.1109/15.30906</t>
  </si>
  <si>
    <t>2-s2.0-0024714560</t>
  </si>
  <si>
    <t>['time variation', 'slope pattern', 'resolution angle', 'rectangular pulse', 'nonsinusoidal waves', 'frequency bandwidth', 'different signal', 'circular array', 'array radius']</t>
  </si>
  <si>
    <t>113c/d/g | angular resolution | circular array | Nonsinusoidal wave</t>
  </si>
  <si>
    <t>In this paper, the theory of circular array antenna based on nonsinusoidal waves, with the time variation of a rectangular pulse, is developed. Different antenna patterns such as peak-amplitude, peak-power, energy, and slope pattern are derived and plotted. The antenna patterns yield the resolution angle for the circular array as a function of array radius and frequency bandwidth. The effect of additive Gaussian noise on the angular resolution capability of the circular array is analyzed. The analysis is based on calculating slope patterns by using linear regression algorithm for different signal-to-noise power ratios. ¬© 1989 IEEE</t>
  </si>
  <si>
    <t>254-261</t>
  </si>
  <si>
    <t>60038812;60038812</t>
  </si>
  <si>
    <t>7801528107;56222659200</t>
  </si>
  <si>
    <t>Al-Halabi, Maha M.;Hussain, Malek G.M.</t>
  </si>
  <si>
    <t>Kuwait</t>
  </si>
  <si>
    <t>Kuwait City</t>
  </si>
  <si>
    <t>Al-Halabi M.M.</t>
  </si>
  <si>
    <t>Circular Array and Nonsinusoidal Waves</t>
  </si>
  <si>
    <t>10.1109/15.30912</t>
  </si>
  <si>
    <t>2-s2.0-0024714561</t>
  </si>
  <si>
    <t>['radiation properties']</t>
  </si>
  <si>
    <t>The impedance and radiation properties of a square microstrip antenna microstrip antennas are derived.</t>
  </si>
  <si>
    <t>338-342</t>
  </si>
  <si>
    <t>60020825;60020825;60020825;60020825</t>
  </si>
  <si>
    <t>7102557021;6506384529;6701556104;56366712800</t>
  </si>
  <si>
    <t>Bhattacharjee, A. K.;Bhadra Chaudhuri, S. R.;Poddar, D. R.;Chowdhury, S. K.</t>
  </si>
  <si>
    <t>Kolkata</t>
  </si>
  <si>
    <t>Jadavpur University</t>
  </si>
  <si>
    <t>Bhattacharjee A.</t>
  </si>
  <si>
    <t>Equivalence of impedance and radiation properties of square and circular microstrip patch antennas</t>
  </si>
  <si>
    <t>10.1049/ip-h-2.1989.0061</t>
  </si>
  <si>
    <t>2-s2.0-0024714602</t>
  </si>
  <si>
    <t>['theoretical work', 'spatial smoothing', 'desired signal', 'coherent jammers']</t>
  </si>
  <si>
    <t>Adaptive beam forming using spatial smoothing has been proposed to combat coherent jammers. Recently, it has been found that this adaptive beam forming technique cannot avoid signal cancellation phenomena while also rejecting coherent jammers. In the paper, an approach is presented to eliminate the interaction between the desired signal and coherent jammers during the adaption of spatial smoothing. As a result, the proposed beam former can effectively null coherent jammers without signal cancellation. Moreover, the resulting output signal-to-noise ratio provides the information about the existence of the desired signal. Computer simulations confirm the theoretical work.</t>
  </si>
  <si>
    <t>169-173</t>
  </si>
  <si>
    <t>123058954;123058954</t>
  </si>
  <si>
    <t>22333961100;57206990453</t>
  </si>
  <si>
    <t>Lee, J. H.;Wu, J. F.</t>
  </si>
  <si>
    <t>Taiwan University</t>
  </si>
  <si>
    <t>Lee J.H.</t>
  </si>
  <si>
    <t>Adaptive beam forming without signal cancellation in the presence of coherent jammers</t>
  </si>
  <si>
    <t>10.1049/ip-f-2.1989.0028</t>
  </si>
  <si>
    <t>2-s2.0-0024714882</t>
  </si>
  <si>
    <t>ECS-8307032</t>
  </si>
  <si>
    <t>['volume heated', 'two sections', 'tumor volume', 'theoretical predictions', 'symmetrical dipoles', 'sar distributions', 'resonant half', 'resonant dipoles', 'power deposition', 'outer conductor', 'nonresonant dipoles', 'maximum sar', 'longer half', 'insertion point', 'inner conductor', 'experimental measurements', 'expanded extension', 'equal length', 'equal amplitude', 'diameter antennas', 'array volume', 'array center', 'antenna surfaces', 'antenna configurations', 'also compared', 'absolute length', '25 percent']</t>
  </si>
  <si>
    <t>Theoretical predictions and experimental measurements of power deposition in muscle tissue phantoms from arrays of microwave dipole antennas used for hyperthermia cancer therapy are compared. The antennas are linear coaxial dipoles, constructed from coaxial cable approximately 1 mm in diameter, which are inserted into small nylon catheters implanted in the tumor volume. The antennas have a tip section consisting of an expanded extension of the inner conductor, and a second section consisting of the outer conductor and extending from the tip section back to the insertion point into the tissue or phantom. In this work these two sections have equal length; i.e. the antennas are symmetrical dipoles. The specific absorption rate (SAR, W/kg) patterns for a 2 cm square array of four 915 MHz antennas are presented for both resonant and nonresonant dipoles. Arrays of dipoles with lengths much shorter than the resonant half-wavelength have a far more reactive input impedance and a much smaller absolute SAR magnitude in the array center than is seen for arrays of resonant dipoles, and the maximum SAR shifts from the array center to the antenna surfaces. The absolute length of the volume heated by the small-diameter antennas with the longer half-wavelength was longer than that for the larger diameter antennas. SAR distributions for 4 cm square arrays of eight and nine antennas fed with equal amplitude and phase are also compared. It is found that much of the array volume has a power deposition less than 25 percent of the maximum SAR and that the distribution is nonuniform for both the eight-and nine-antenna configurations. ¬© 1989 IEEE</t>
  </si>
  <si>
    <t>1200-1209</t>
  </si>
  <si>
    <t>60077760;60030443;60030443;60030443</t>
  </si>
  <si>
    <t>55471810700;6602167161;7005534211;7003830659</t>
  </si>
  <si>
    <t>Jones, Kenneth M.;Mechling, Joyce A.;Strohbehn, John W.;Trembly, B. Stuart</t>
  </si>
  <si>
    <t>Norwood;Hanover</t>
  </si>
  <si>
    <t>LTX Corporation;Thayer School of Engineering at Dartmouth</t>
  </si>
  <si>
    <t>60077760;60030443</t>
  </si>
  <si>
    <t>Jones K.</t>
  </si>
  <si>
    <t>Theoretical and Experimental SAR Distributions for Interstitial Dipole Antenna Arrays Used in Hyperthermia</t>
  </si>
  <si>
    <t>10.1109/22.31079</t>
  </si>
  <si>
    <t>2-s2.0-0024714897</t>
  </si>
  <si>
    <t>['mutual coupling', 'magnetic source', 'loop source', 'loop sensor', 'incurred error', 'error relationships', 'error incurred', 'effects due', 'coplanar arrangement', 'coaxial arrangement', 'center .)', 'analyses indicate', 'actually exists']</t>
  </si>
  <si>
    <t>H-field | loop probes | magnetic field | measurement accuracy | measurement errors | measurements | Nearfields</t>
  </si>
  <si>
    <t>In a Nearfield electromagnetic environment, measurement of magnetic field strengths is subject to a potentially large error due to the extremely nonuniform spatial variation of the near electromagnetic field components. Recognizing this, we have derived a pair of error relationships that describe the sign and magnitude of the error incurred in the measurement of the near magnetic field strengths of an elementary magnetic source. Results of the analyses indicate that in the case of a coaxial arrangement of small-loop source and small-loop sensor, the incurred error is negative (i.e., measured magnetic field strength is lower than that which actually exists at the loop sensor's center.) For a coplanar arrangement of the magnetic source and small-loop sensor, a positive measurement error is incurred. It has also been shown that effects due to mutual coupling between the source and small-loop sensor are minimal. ¬© 1989 IEEE</t>
  </si>
  <si>
    <t>306-311</t>
  </si>
  <si>
    <t>60021095;60021095</t>
  </si>
  <si>
    <t>54984859600;7004746139</t>
  </si>
  <si>
    <t>Iskra, Steven;Macfarlane, Ian P.</t>
  </si>
  <si>
    <t>Telecom Australia Research Lab</t>
  </si>
  <si>
    <t>Iskra S.</t>
  </si>
  <si>
    <t>H-Field Sensor Measurement Errors in the Nearfield of a Magnetic Dipole Source</t>
  </si>
  <si>
    <t>10.1109/15.30917</t>
  </si>
  <si>
    <t>2-s2.0-0024714905</t>
  </si>
  <si>
    <t>DAAG-29-85-K-0116</t>
  </si>
  <si>
    <t>['unknown covariance', 'unknown channel', 'spectrum signals', 'simulation results', 'optimum estimators', 'ml procedure', 'maximum likelihood', 'either known', 'data demodulation', 'constant data', 'antenna array', 'also described']</t>
  </si>
  <si>
    <t>This paper discusses discrete-time processing techniques for the acquisition of direct-sequence-spread-spectrum signals by an antenna array. Both constant data and random data modulating the code are considered. The maximum likelihood (ML) procedures for estimating the received code lag are described, assuming an unknown channel and interference of either known or unknown covariance. Analytic and simulation results for performance of the optimum estimators are presented. The ML procedure for data demodulation is also described. ¬© 1989 IEEE</t>
  </si>
  <si>
    <t>1253-1270</t>
  </si>
  <si>
    <t>60025209;60029311</t>
  </si>
  <si>
    <t>6603899708;7006391731</t>
  </si>
  <si>
    <t>Dlugos, Duncan M.;Scholtz, Robert A.</t>
  </si>
  <si>
    <t>Dlugos D.</t>
  </si>
  <si>
    <t>Acquisition of Spread Spectrum Signals by an Adaptive Array</t>
  </si>
  <si>
    <t>10.1109/29.31273</t>
  </si>
  <si>
    <t>2-s2.0-0024714931</t>
  </si>
  <si>
    <t>['radiating elements', 'radiated uniformly', 'power supplied', 'planar arrangement', 'periodic array', 'order zero', 'optical frequencies', 'free space', 'brillouin zone', 'array elements', '55 percent', '2 ].']</t>
  </si>
  <si>
    <t>-we describe a periodic array of radiating elements with nearly ideal radiation characteristics. The array is composed of a planar arrangement of coupled dielectric waveguides radiating into free space. Most of the power supplied to any of the array elements is radiated uniformly in the Brillouin zone of order zero. An application, anN x N star coupler realized at optical frequencies with an efficiency of 55 percent is described in [2]. ¬© 1989 IEEE</t>
  </si>
  <si>
    <t>238-240</t>
  </si>
  <si>
    <t>IEEE Photonics Technology Letters</t>
  </si>
  <si>
    <t>Dragone, C.</t>
  </si>
  <si>
    <t>Dragone C.</t>
  </si>
  <si>
    <t>Efficiency of a Periodic Array with Nearly Ideal Element Pattern</t>
  </si>
  <si>
    <t>10.1109/68.36054</t>
  </si>
  <si>
    <t>2-s2.0-0024714961</t>
  </si>
  <si>
    <t>['well known', 'unwanted reflections', 'small enclosures', 'results show', 'radiation pattern', 'practical implementation', 'noise levels', 'larger enclosure', 'gating error', 'frequency domain', 'error criteria', 'antenna using']</t>
  </si>
  <si>
    <t>Although relatively new, the principle of measuring the radiation pattern of an antenna using the time domain rather than frequency domain is well known and relies on gating out unwanted reflections. Time domain measurements on horn and spiral antennas illustrate the need for error criteria and in this paper the nature of the gating error, and its relationship to the anti-interference enclosure size and the antenna frequency response, are investigated by both analytical and computer simulation methods. The results show that a lower frequency antenna can be expected to require a larger enclosure for a given gating error and that, for small enclosures, the time domain method has advantages over the conventional frequency domain method. The practical implementation of time domain measurement involves other factors such as the effects of aliasing, the need for a high quality reference channel for calibration, matching and noise levels.</t>
  </si>
  <si>
    <t>311-320</t>
  </si>
  <si>
    <t>60009658;60009658;60009658;60009658</t>
  </si>
  <si>
    <t>7403098104;7403018268;6603691406;57195975290</t>
  </si>
  <si>
    <t>Henderson, A.;James, J. R.;Newham, P.;Morris, G.</t>
  </si>
  <si>
    <t>Swindon</t>
  </si>
  <si>
    <t>Defence College of Management and Technology</t>
  </si>
  <si>
    <t>Henderson A.</t>
  </si>
  <si>
    <t>Analysis of gating errors in time domain antenna measurements</t>
  </si>
  <si>
    <t>10.1049/ip-h-2.1989.0058</t>
  </si>
  <si>
    <t>2-s2.0-0024715073</t>
  </si>
  <si>
    <t>['wide range', 'wave technique', 'wave ratio', 'shaped absorber', 'scattering characteristics', 'scattering angles', 'oblique incidence', 'equal amplitude', 'electric fields', 'easily measured', 'complicated procedures']</t>
  </si>
  <si>
    <t>absorber | measurement | reflection | scattering angle | Scattering coefficient | standing wave</t>
  </si>
  <si>
    <t>A free-space, standing-wave technique at oblique incidence is studied as a method of measuring the scattering characteristics of a pyramidal or wedge-shaped absorber. Using this method, the standing-wave ratio in front of the sample from waves with electric fields of equal amplitude are scattered in three different directions, and their scattering angles can be easily measured over a wide range of frequencies and angles of incidence. No special measuring apparatus or complicated procedures are required with this method. ¬© 1989 IEEE</t>
  </si>
  <si>
    <t>312-316</t>
  </si>
  <si>
    <t>60016074;60016074;60016074</t>
  </si>
  <si>
    <t>7403148159;7201367455;7201826305</t>
  </si>
  <si>
    <t>Ono, Mitsuhiro;Shibuya, Toru;Hsieh, Kou Chang</t>
  </si>
  <si>
    <t>Yamagata</t>
  </si>
  <si>
    <t>Yamagata University</t>
  </si>
  <si>
    <t>Ono M.</t>
  </si>
  <si>
    <t>Short Papers: A Practical Method of Measuring Scattering Characteristics of a Pyramidal Absorber</t>
  </si>
  <si>
    <t>10.1109/15.30918</t>
  </si>
  <si>
    <t>2-s2.0-0024715154</t>
  </si>
  <si>
    <t>['nonsinusoidal currents', 'analytic solutions']</t>
  </si>
  <si>
    <t>13c/d | Analytic solutions | time-domain | traveling-wave antennas</t>
  </si>
  <si>
    <t>Analytic solutions of traveling-wave antennas excited by nonsinusoidal currents are derived in the time-domain by using a simple new method. The solutions are explicit closed expressions. ¬© 1989 IEEE</t>
  </si>
  <si>
    <t>328-330</t>
  </si>
  <si>
    <t>60016930;</t>
  </si>
  <si>
    <t>35910936100;7202497998</t>
  </si>
  <si>
    <t>Zhan, Jun;Qin, Qi Ling</t>
  </si>
  <si>
    <t>Beijing</t>
  </si>
  <si>
    <t>Beijing University of Posts and Telecommunications</t>
  </si>
  <si>
    <t>Zhan J.</t>
  </si>
  <si>
    <t>Analytic Solutions of Traveling-Wave Antennas Excited by Nonsinusoidal Currents</t>
  </si>
  <si>
    <t>10.1109/15.30922</t>
  </si>
  <si>
    <t>2-s2.0-0024715155</t>
  </si>
  <si>
    <t>DAAL03-88-K-005</t>
  </si>
  <si>
    <t>['wave systems', 'wave stopband', 'radiating element', 'planar oscillators', 'optical source', 'microwave frequencies', 'integrated quasi', 'high vswr', 'design procedure', 'antennas considered', 'antenna may', '5 ghz']</t>
  </si>
  <si>
    <t>Planar oscillators in which periodic microstrip antennas are integrated with FET negative resistance elements to form an integrated quasi-optical source are described. The antennas considered here are periodic microstrip patch arrays operated in the leaky-wave stopband. Because of the high VSWR in this case, this type of antenna may be used as both a resonant and a radiating element. Such circuits are suitable for use in Millimeter-wave systems as well as at microwave frequencies. A design procedure is given and the performance of X-band prototype circuits is reported. Prototype circuits showed 9 dB isotropic conversion gain and 40 MHz tuning range at 9.5 GHz. ¬© 1989 IEEE</t>
  </si>
  <si>
    <t>1232-1236</t>
  </si>
  <si>
    <t>60013372;60013372</t>
  </si>
  <si>
    <t>7005227226;36041035600</t>
  </si>
  <si>
    <t>Birkeland, Joel;Itoh, Tatsuo</t>
  </si>
  <si>
    <t>Birkeland J.</t>
  </si>
  <si>
    <t>Planar FET Oscillators Using Periodic Microstrip Patch Antennas</t>
  </si>
  <si>
    <t>10.1109/22.31084</t>
  </si>
  <si>
    <t>2-s2.0-0024715256</t>
  </si>
  <si>
    <t>['type junction', 'results may', 'radiating system', 'product interference', 'nonlinear function', 'nonlinear diode', 'applied readily', 'analytical technique']</t>
  </si>
  <si>
    <t>An analytical technique for estimating the absolute signal strength of externally generated intermodulation (IM) product interference is given; actual signal levels are calculated for a canonic case involving a parasitic, center-fed dipole terminated in a nonlinear diode-type junction. The results may be applied readily to any nonlinear function and radiating system. ¬© 1989 IEEE</t>
  </si>
  <si>
    <t>316-319</t>
  </si>
  <si>
    <t>Chamberlin, Kent</t>
  </si>
  <si>
    <t>Durham</t>
  </si>
  <si>
    <t>University of New Hampshire Durham</t>
  </si>
  <si>
    <t>Chamberlin K.</t>
  </si>
  <si>
    <t>Quantitative Analysis of Intermodulation Product Interference</t>
  </si>
  <si>
    <t>10.1109/15.30919</t>
  </si>
  <si>
    <t>2-s2.0-0024715560</t>
  </si>
  <si>
    <t>['surface deviations', 'suitable choice', 'suitable algorithm', 'reflector surface', 'radial part', 'polar scan', 'polar near', 'one uses', 'metrology technique', 'measurement wavelength', 'linear array', 'latter case', 'field phase', 'experiments using', 'conventional plane', '5 mm', '40 khz', '35 ghz', '1 mm']</t>
  </si>
  <si>
    <t>The measurement of reflector antenna surface profiles using a phase-only metrology technique is presented. By measuring the near-field phase of a pencil beam antenna and the use of a suitable algorithm, deviations from the desired reflector aperture phase can be related to distortions on the reflector surface. By a suitable choice of measurement wavelength, quite high accuracies can be achieved. Experiments using a wavelength of 8.5 mm have shown that surface deviations as small as 0.1 mm can be detected. Two experimental techniques for obtaining this near-field phase data have been investigated. One uses a conventional plane-polar near-field measurement range employing electromagnetic waves at 35 GHz. The other uses a linear array of ultrasonic receivers operating at 40 kHz, again in a plane-polar measurement configuration. In this latter case the radial part of the plane-polar scan is performed electronically using the linear array, providing a very rapid scanning system.</t>
  </si>
  <si>
    <t>343-349</t>
  </si>
  <si>
    <t>60022109;60022109;60022109</t>
  </si>
  <si>
    <t>7005244140;7202626090;7006192058</t>
  </si>
  <si>
    <t>Parini, C. G.;Lau, A. K.K.;Clarricoats, P. J.B.</t>
  </si>
  <si>
    <t>Queen Mary University of London</t>
  </si>
  <si>
    <t>Parini C.</t>
  </si>
  <si>
    <t>Phase-only reflector antenna metrology</t>
  </si>
  <si>
    <t>10.1049/ip-h-2.1989.0062</t>
  </si>
  <si>
    <t>2-s2.0-0024715613</t>
  </si>
  <si>
    <t>Natural Sciences and Engineering Research Council of Canada</t>
  </si>
  <si>
    <t>36100-6-4291/01-ST</t>
  </si>
  <si>
    <t>NSERC</t>
  </si>
  <si>
    <t>['transmitter intermodulation', 'square areas', 'square 96', 'spectrum managers', 'side 32', 'receiver intermodulation', 'presently done', 'part ii', 'nonuniform strategies', 'noninterference conditions', 'new city', 'multiple assignments', 'model shows', 'km city', 'generate interference', 'changing rules', 'basic theory', 'base stations', 'adjacent channels', '96 km', '1 ]).']</t>
  </si>
  <si>
    <t>A new mathematical method using linear algebra has been developed to generate interference-free simplex channel assignment grids for base stations in the VHF land mobile band for large urban areas. The frequency assignment model checks for interference from adjacent channels, desensitization, transmitter intermodulation, and receiver intermodulation. Both single- and multiple-frequency assignment strategies are presented. Starting with a new city and an unused frequency band, this model shows that it is possible to make frequency assignments in a much more spectrally efficient manner than is presently done by spectrum managers, who have used a variety of changing rules over the past several decades. Examples are given of grids for a square 96-km city with several different concentrations of assignments. Part I contains the basic theory, which includes the noninterference conditions and single- (no sharing) and multiple- (sharing) frequency assignment strategies. Part II describes the construction of highdensity grids using uniform and nonuniform strategies with single and multiple assignments in square areas of side 32 and 96 km. The definitions and the list of symbols are given in Part I (cf. [1]). They will not be repeated in Part II. ¬© 1989 IEEE</t>
  </si>
  <si>
    <t>293-305</t>
  </si>
  <si>
    <t>60009507;</t>
  </si>
  <si>
    <t>7006843193;6506835421</t>
  </si>
  <si>
    <t>Delfour, Michel C.;De Couvreur, Gilbert A.</t>
  </si>
  <si>
    <t>Montreal</t>
  </si>
  <si>
    <t>University of Montreal</t>
  </si>
  <si>
    <t>Delfour M.C.</t>
  </si>
  <si>
    <t>Interference-Free Assignment Grids-Part II: Uniform and Nonuniform Strategies</t>
  </si>
  <si>
    <t>10.1109/15.30916</t>
  </si>
  <si>
    <t>2-s2.0-0024715908</t>
  </si>
  <si>
    <t>['wire arrays', 'sem ).', 'scattering object', 'planar array', 'intermodulation effects', 'curves illustrating']</t>
  </si>
  <si>
    <t>Intermodulation | planar array | scattering | singularity expansion method</t>
  </si>
  <si>
    <t>A planar array of parallel thin wires is analyzed as a scattering object. The transient current induced on the individual wires comprising the array exhibits inherent intermodulation effects. These intermodulation effects are explained and discussed through the use of the singularity expansion method (SEM). Tables and curves illustrating the pertinent parameters determining these intermodulation effects are presented for one-, two-, three-, four-, and five-wire arrays. ¬© 1989 IEEE</t>
  </si>
  <si>
    <t>60011754;60011754;60011754</t>
  </si>
  <si>
    <t>7201527985;7005985707;57218185325</t>
  </si>
  <si>
    <t>Lindsey, John M.;Riggs, Lloyd S.;Shumpert, Thomas H.</t>
  </si>
  <si>
    <t>Auburn</t>
  </si>
  <si>
    <t>Auburn University</t>
  </si>
  <si>
    <t>Lindsey J.M.</t>
  </si>
  <si>
    <t>Intermodulation Effects Induced on Parallel Wires by Transient Excitation</t>
  </si>
  <si>
    <t>10.1109/15.30907</t>
  </si>
  <si>
    <t>2-s2.0-0024716427</t>
  </si>
  <si>
    <t>['solution matrix', 'rights reserved', 'results obtained', 'obtained independently', 'modal parameters', 'inc .,', 'frequency range', 'eigensolution determined', 'drastically reduced', 'analytical method']</t>
  </si>
  <si>
    <t>A method for substructure modal synthesis to determine the modal parameters of a structure is investigated. The order of the solution matrix does not depend on the number of substructure modes used. Instead, it depends only on the number of connections between substructures. The eigensolution determined by this method is exact. Since the system dynamic matrix equation is not needed in this method, numerical computations required for the solution are drastically reduced. The eigensolutions of the system in any frequency range can be obtained independently. Computation is reduced because lower or higher eigensolutions outside the interested frequency range are not required to be calculated. The results obtained by this technique and the analytical method are compared, and they are identical. ¬© 1989 American Institute of Aeronautics and Astronautics, Inc., All rights reserved.</t>
  </si>
  <si>
    <t>1083-1088</t>
  </si>
  <si>
    <t>60025152-117814164;60025152</t>
  </si>
  <si>
    <t>7005518502;7003313961</t>
  </si>
  <si>
    <t>Yee, Eric K.L.;Tsuei, Y. G.</t>
  </si>
  <si>
    <t>Cincinnati;</t>
  </si>
  <si>
    <t>University of Cincinnati;System Engineering and Standardization Department</t>
  </si>
  <si>
    <t>60025152;117814164</t>
  </si>
  <si>
    <t>Yee E.</t>
  </si>
  <si>
    <t>Direct component modal synthesis technique for system dynamic analysis</t>
  </si>
  <si>
    <t>10.2514/3.10225</t>
  </si>
  <si>
    <t>2-s2.0-0024716634</t>
  </si>
  <si>
    <t>['shaped reflectors', 'produce errors', 'geometrical theory', 'computed fields']</t>
  </si>
  <si>
    <t>Three techniques used to efficiently compute fields diffracted by a subreflector that has been shaped by geometrical optics synthesis are examined. It is found that these techniques, which are based on the geometrical theory of diffraction, produce errors in the computed fields that are specific to shaped reflectors. These errors are examined for a reflector system shaped to produce maximum gain from a tapered feed illumination. ¬© 1989 IEEE</t>
  </si>
  <si>
    <t>979-983</t>
  </si>
  <si>
    <t>60009037;60013141</t>
  </si>
  <si>
    <t>7004364211;7101988263</t>
  </si>
  <si>
    <t>Cwik, Tom A.;Kildal, Per Simon</t>
  </si>
  <si>
    <t>Norway;United States</t>
  </si>
  <si>
    <t>Trondheim;Pasadena</t>
  </si>
  <si>
    <t>Norges Teknisk-Naturvitenskapelige Universitet;Jet Propulsion Laboratory</t>
  </si>
  <si>
    <t>60013141;60009037</t>
  </si>
  <si>
    <t>Cwik T.A.</t>
  </si>
  <si>
    <t>A Study of Three Techniques Used in the Diffraction Analysis of Shaped Dual-Reflector Antennas</t>
  </si>
  <si>
    <t>10.1109/8.34133</t>
  </si>
  <si>
    <t>2-s2.0-0024717096</t>
  </si>
  <si>
    <t>['unknown currents', 'patch antenna', 'microstrip feed', 'layer substrates', 'integral equation', 'galerkin method', 'experimental data', 'computed results', 'boundary conditions']</t>
  </si>
  <si>
    <t>A circular patch antenna excited by a microstrip transmission line is analyzed. Boundary conditions are enforced on a portion of the microstrip feed-line as well as the patch antenna. The integral equation for the unknown currents on the antenna and the feed is solved by applying the Galerkin method of moments in the Fourier transform domain. The validity of the solution is tested by comparison of computed results with experimental data. The theoretical treatment proves to be applicable to the two most common feeding arrangements, namely the direct edge feed and the proximity coupling excitation. In the case of the latter, two-layer substrates having distinct dielectric constants are considered. ¬© 1989 IEEE</t>
  </si>
  <si>
    <t>949-958</t>
  </si>
  <si>
    <t>60029445;60000745</t>
  </si>
  <si>
    <t>8083786100;7401934487</t>
  </si>
  <si>
    <t>Davidovitz, Marat;Lo, Yuen Tze</t>
  </si>
  <si>
    <t>Minneapolis;Urbana</t>
  </si>
  <si>
    <t>University of Minnesota Twin Cities;University of Illinois Urbana-Champaign</t>
  </si>
  <si>
    <t>Davidovitz M.</t>
  </si>
  <si>
    <t>Rigorous Analysis of a Circular Patch Antenna Excited by a Microstrip Transmission Line</t>
  </si>
  <si>
    <t>10.1109/8.34130</t>
  </si>
  <si>
    <t>2-s2.0-0024717292</t>
  </si>
  <si>
    <t>['transmission gratings', 'theoretical results', 'theoretical analysis', 'single dipoles', 'principle used', 'presented showing', 'periodic arrays', 'optimum blazing', 'incident wave', 'grating structures', 'grating structure', 'frequency scanning', 'experimental results', 'elements investigated', 'e .,', 'diffracted wave', 'crossed dipoles']</t>
  </si>
  <si>
    <t>Frequency-scanned gratings consisting of periodic arrays of thin conducting elements are investigated. The principle used is to let the first higher order diffracted wave propagate and serve as the frequency scanned beam. The grating structures are designed for optimum blazing to the desired diffracted wave, i.e., for optimal power conversion from the incident wave to the diffracted wave, by the use of an iterative optimization process. Both reflection and transmission gratings are considered. The elements investigated are single dipoles and crossed dipoles. The theoretical analysis is based on Floquet‚Äôs theorem and the method of moments. Several numerical examples are presented showing that this type of grating structure has a high blazing efficiency and is suitable for frequency scanning. The theoretical results are verified by comparison with experimental results. ¬© 1989 IEEE</t>
  </si>
  <si>
    <t>996-1002</t>
  </si>
  <si>
    <t>Johansson, F. Stefan</t>
  </si>
  <si>
    <t>Johansson F.S.</t>
  </si>
  <si>
    <t>Frequency-Scanned Gratings Consisting of Photo-Etched Arrays</t>
  </si>
  <si>
    <t>10.1109/8.34136</t>
  </si>
  <si>
    <t>2-s2.0-0024717293</t>
  </si>
  <si>
    <t>['surface distortion', 'structural reasons', 'high gain', 'distorted due', 'dimensional stability', 'array feed', 'antenna performance', 'also studied', 'allows determination']</t>
  </si>
  <si>
    <t>The dimensional stability of the surface of a large reflector antenna is important when high gain/low sidelobe performance is desired. If the surface is distorted due to thermal or structural reasons, antenna performance can be improved through the use of an array feed. The design of the array feed and its relation to the surface distortion are examined. The sensitivity of antenna performance to changing surface parameters for fixed feed array geometries is also studied. This allows determination of the limits of usefulness for feed array compensation. ¬© 1989 IEEE</t>
  </si>
  <si>
    <t>966-978</t>
  </si>
  <si>
    <t>60005304;60026717;;60000745</t>
  </si>
  <si>
    <t>6603619592;7006577375;7202365940;7601396617</t>
  </si>
  <si>
    <t>Cherrette, Alan R.;Acosta, Roberto J.;Lam, Peter T.;Lee, Shung Wu</t>
  </si>
  <si>
    <t>Compensation of Reflector Antenna Surface Distortion Using an Array Feed</t>
  </si>
  <si>
    <t>10.1109/8.34132</t>
  </si>
  <si>
    <t>2-s2.0-0024717382</t>
  </si>
  <si>
    <t>['wiley company', 'transmission lines', 'transmission component', 'terminal part', 'storage component', 'radiation mechanism', 'radiated gradually', 'paper proposes', 'moment method', 'meandering lines', 'linear antenna', 'inc .,', 'handled separately', 'entire part', 'entire antenna', 'effective power', 'dominant radiation', 'conductor based', 'calculated results']</t>
  </si>
  <si>
    <t>This paper proposes a new analysis method for a linear antenna by obtaining its equivalent nonuniform line. Based on the theory of transmission lines, the radiation mechanism of the linear antenna was clarified. The traveling‚Äêwave mode method which was effective for the analysis of meandering lines was extended. Its equivalent distributed constants are complex variables depending on frequency and position. The calculated results for various antenna characteristics agreed with those by the moment method, providing a proof of the effectiveness of the present analysis method. The effective power on the conductor based on the equivalent nonuniform line for the antenna thus obtained was determined. The radiation mechanism of the antenna through the attenuation of the power was examined. As a result, in a standing‚Äêwave type antenna, it was shown that the transmission component which was radiated gradually from the entire part of the antenna and the storage component which radiated at the terminal part, could be handled separately. In a traveling‚Äêwave type antenna, the transmission component radiated from the entire antenna. However, a dominant radiation in the vicinity of the bending when the angle of bending becomes large was clarified. Copyright ¬© 1989 Wiley Subscription Services, Inc., A Wiley Company</t>
  </si>
  <si>
    <t>85-94</t>
  </si>
  <si>
    <t>60018429;60018429;60018429</t>
  </si>
  <si>
    <t>56036522400;36850824900;7003674455</t>
  </si>
  <si>
    <t>Nakamura, Takashi;Oda, Keisuke;Yokokawa, Senji</t>
  </si>
  <si>
    <t>Gifu</t>
  </si>
  <si>
    <t>Gifu University</t>
  </si>
  <si>
    <t>Nakamura T.</t>
  </si>
  <si>
    <t>Equivalent transmission lines of wire antennas and the radiation mechanism</t>
  </si>
  <si>
    <t>10.1002/ecja.4410720809</t>
  </si>
  <si>
    <t>2-s2.0-0024717498</t>
  </si>
  <si>
    <t>['¬± 1', 'wave ratio', 'theoretical results', 'submillimeter waves', 'scaled model', 'reaction integrals', 'new method', 'mean gain', 'lowest frequency', 'least 20', 'frequency range', 'antenna version', '7 dbi', '25 db', '18 ghz']</t>
  </si>
  <si>
    <t>A new method is established to synthesize the geometry of extremely Broad Band tapered wire antennas. Being part of a Broad Band spectrometer, for millimeter and submillimeter waves, the antenna should have a nearly constant gain and a low voltage standing-wave ratio (VSWR) over a bandwidth of at least 20:1. After the synthesis, the characteristics of the antenna are analyzed by the moment method using a system of reaction integrals as described by Richmond. An antenna version with resistively loaded ends of the wires has a mean gain of 5.7 dBi and a maximum gain variation of ¬±1.25 dB. The VSWR is equal to 1.7 over almost the entire frequency range, only peaking to 2.6 at the lowest frequency. These theoretical results are verified by measurements in the frequency range from 1 to 18 GHz with a scaled model of the tapered wire antenna. ¬© 1989 IEEE</t>
  </si>
  <si>
    <t>959-965</t>
  </si>
  <si>
    <t>60007902;60007902</t>
  </si>
  <si>
    <t>7006227073;7004644092</t>
  </si>
  <si>
    <t>Vollmer, Eckhard;Hinken, Johann H.</t>
  </si>
  <si>
    <t>Braunschweig</t>
  </si>
  <si>
    <t>Technische Universit√§t Braunschweig</t>
  </si>
  <si>
    <t>Vollmer E.</t>
  </si>
  <si>
    <t>Synthesis Method for Broad Band Tapered Wire Antennas and Its Experimental Verification</t>
  </si>
  <si>
    <t>10.1109/8.34131</t>
  </si>
  <si>
    <t>2-s2.0-0024717976</t>
  </si>
  <si>
    <t>['suppressing interference', 'pattern synthesis', 'noise ratio', 'noise minimization', 'adaptive arrays']</t>
  </si>
  <si>
    <t>Pattern synthesis based on optimization of signal-to-noise ratio, or noise minimization, is developed. The connection between adaptive arrays and adapted pattern shape is exploited in synthesizing linear array patterns with freedom to adjust both amplitude and phase. Phase only pattern synthesis is described in connection with suppressing interference or clutter in portions of space. A planar array example applied to a constant amplitude solid-state phased array is discussed. ¬© 1989 IEEE</t>
  </si>
  <si>
    <t>1011-1018</t>
  </si>
  <si>
    <t>Dufort, Edward C.</t>
  </si>
  <si>
    <t>Dufort E.C.</t>
  </si>
  <si>
    <t>Pattern Synthesis Based on Adaptive Array Theory</t>
  </si>
  <si>
    <t>10.1109/8.34138</t>
  </si>
  <si>
    <t>2-s2.0-0024717977</t>
  </si>
  <si>
    <t>['time domain', 'sommerfeld wave', 'propagation velocity', 'perfectly conducting', 'multiply diffracts', 'lossy wire', 'individually examined', 'analytic expressions']</t>
  </si>
  <si>
    <t>The traveling wave energy which multiply diffracts on a straight thin wire is represented as a sum of terms which can be individually examined in the time domain, each with a distinct physical meaning. These analytic expressions can be extended to lossy wire with a simple approximate modification using the propagation velocity on the wire as derived from the Sommerfeld wave on a straight lossy wire. Both the perfectly conducting and lossy wire solutions are compared to moment method results. ¬© 1989 IEEE</t>
  </si>
  <si>
    <t>1019-1025</t>
  </si>
  <si>
    <t>6602540630;7202838408;6603046815</t>
  </si>
  <si>
    <t>Shamansky, Harry T.;Peters, Leon;Dominek, Allen K.</t>
  </si>
  <si>
    <t>Shamansky H.T.</t>
  </si>
  <si>
    <t>Electromagnetic Scattering by a Straight Thin Wire</t>
  </si>
  <si>
    <t>10.1109/8.34139</t>
  </si>
  <si>
    <t>2-s2.0-0024718686</t>
  </si>
  <si>
    <t>['scanned beam', 'principle considered', 'optimum blazing', 'line source', 'line focus', 'incident wave', 'ground plane', 'grating geometry', 'experimental results', 'e .,', 'dipoles placed', 'dipole grating', 'diffracted wave', 'cylindrical reflector', 'analytical solution']</t>
  </si>
  <si>
    <t>Theoretical and experimental results for a frequency scanned antenna composed of a line source and a frequency-scanned reflection grating that is shaped to a cylindrical reflector are presented. The principle considered is to select the grating geometry such that the first higher order diffracted wave propagates and serves as the frequency-scanned beam. An analytical solution for the cylindrical reflector geometry that gives a line focus is presented. The grating structure considered consists of an array of dipoles placed over a ground plane. The design of the dipole grating for optimum blazing, i.e., for optimal power conversion from the incident wave to the diffracted wave, is discussed. For the theoretical analysis Floquet‚Äôs theorem and the method of moments is used. ¬© 1989 IEEE</t>
  </si>
  <si>
    <t>984-989</t>
  </si>
  <si>
    <t>60000990;60000502;60000502</t>
  </si>
  <si>
    <t>57188535248;7006000195;6507846593</t>
  </si>
  <si>
    <t>Johansson, F. Stefan;Josefsson, Lars G.;Lorentzon, Torlid</t>
  </si>
  <si>
    <t>Sweden;Sweden</t>
  </si>
  <si>
    <t>Gothenburg;Stockholm</t>
  </si>
  <si>
    <t>Chalmers University of Technology;Ericsson Radio Systems AB</t>
  </si>
  <si>
    <t>60000990;60000502</t>
  </si>
  <si>
    <t>A Novel Frequency-Scanned Reflector Antenna</t>
  </si>
  <si>
    <t>10.1109/8.34134</t>
  </si>
  <si>
    <t>2-s2.0-0024718939</t>
  </si>
  <si>
    <t>['specific far', 'measurement distance', 'field parameter', 'experimental results', 'aperture distribution', 'also reported']</t>
  </si>
  <si>
    <t>The measurement distance requirements for both symmetrical and antisymmetrical circular aperture antennas are investigated. Universal curves giving the main lobe reduction and the first sidelobe level change versus the measurement distance are furnished for various aperture distributions. Some experimental results are also reported. The widely used 2D 2/Œª distance criterion is shown to be unsatisfactory, since the minimum measurement distance depends both on the aperture distribution and on the specific far-field parameter under measurement. ¬© 1989 IEEE</t>
  </si>
  <si>
    <t>990-995</t>
  </si>
  <si>
    <t>126745109;60010146;60031624</t>
  </si>
  <si>
    <t>7006318221;7102694227;7003785247</t>
  </si>
  <si>
    <t>Corona, Paolo;Ferara, G.;Gennarelli, Claudio</t>
  </si>
  <si>
    <t>Italy;Italy;Italy</t>
  </si>
  <si>
    <t>Ancona;Catania;Acton</t>
  </si>
  <si>
    <t>Universit√† Politecnica delle Marche;Universit√† degli Studi di Catania;Istituto di Teoria e Tecnica delle Onde Elettromagnetiche, Istituto Universitario Navale</t>
  </si>
  <si>
    <t>60031624;60010146;126745109</t>
  </si>
  <si>
    <t>Corona P.</t>
  </si>
  <si>
    <t>Measurement Distance Requirements for Both Symmetrical and Antisymmetrical Aperture Antennas</t>
  </si>
  <si>
    <t>10.1109/8.34135</t>
  </si>
  <si>
    <t>2-s2.0-0024718979</t>
  </si>
  <si>
    <t>['time shared', 'target capability', 'single small', 'roadway targets', 'return signals', 'relatively inexpensive', 'range rate', 'radar measures', 'proposed forward', 'highway environment', 'foreseen uses', 'existing highways', 'driver convenience', 'closing speed', 'carrying capacity', 'bearing information', 'bearing angle', 'automated highways', 'aperture antenna']</t>
  </si>
  <si>
    <t>A proposed forward-looking, relatively inexpensive, onboard automotive radar is described that senses the highway environment of the vehicle. The radar measures the range, range rate, and bearing angle of roadway targets. The radar has a proposed angular spread of approximately 17¬∞ and a range of 5‚Äì100 m. It uses a unique front end, designed to provide maximum information from a single small-aperture antenna. The antenna is time shared between three different driving waveguide modes, modes with quite different radiation patterns. Return signals are separated by mode and continuously parallel processed. Individual mode returns yield target signature characteristics, range, closing speed, and some bearing information. Cross-mode returns yield target bearing and hence transverse speed. It has some multiple- and extended-target capability both on straightaways and on curves. Foreseen uses of the system include increasing safety by providing driver information, a smart cruise control for driver convenience, and direct longitudinal control of the vehicle on automated highways. These uses may help to increase the traffic-carrying capacity of existing highways. Although the radar was designed as an onboard automotive system and is discussed here as such, it may have other applications as well. ¬© 1989 IEEE</t>
  </si>
  <si>
    <t>123-131</t>
  </si>
  <si>
    <t>7202271239;7102762205</t>
  </si>
  <si>
    <t>Grimes, Dale M.;Grimes, Craig A.</t>
  </si>
  <si>
    <t>Grimes D.</t>
  </si>
  <si>
    <t>Cradar‚ÄîAn Open-Loop Extended-Monopulse Automotive Radar</t>
  </si>
  <si>
    <t>10.1109/25.45465</t>
  </si>
  <si>
    <t>2-s2.0-0024719186</t>
  </si>
  <si>
    <t>['unknown variables', 'two versions', 'survey technique', 'survey process', 'multilateration technique', 'modified phase', 'mathematical properties', 'mathematical equations', 'loosely known', 'individual version', 'form identical', 'element locations', 'digital beamforming', 'corresponding equations', 'complex reference', 'broadcast reference', 'better performance', 'beacon signal', 'beacon locations', 'automatic calibration', 'array element', 'accurately known']</t>
  </si>
  <si>
    <t>A modified phase-multilateration technique is proposed for calibrating the element locations of a flexible phased array. The technique requires several auxiliary beacons. The calibrating system measures the phase, relative to a broadcast reference, of each beacon signal at each array element. Automatic calibration of the differential phase delay in each antenna element signal path is included in the self-survey process. Digital beamforming is used for array signal processing. The advantage of this technique over the previous cabled reference self-survey technique is that the long RF cables and the complex reference-signal distributing network are not required. This advantage permits flexibility and convenience in designing very large array systems. The beacon locations can be accurately known or loosely known. For the system with loosely known beacon locations, an additional baseline measurement is required and the beacon locations are treated as unknown variables. It is shown that a simple variable transformation can transform the mathematical equations of this technique into a form identical to the corresponding equations of the previous cabled reference systems. The mathematical properties of the algorithm and its associated tolerance analysis are therefore readily available. A combination of the two versions of this technique (one with accurately known beacon locations, the other with loosely known beacon locations) is shown to have better performance than the individual version. ¬© 1989 IEEE</t>
  </si>
  <si>
    <t>1003-1010</t>
  </si>
  <si>
    <t>60011688;60102562</t>
  </si>
  <si>
    <t>7406967738;6603267176</t>
  </si>
  <si>
    <t>Lee, Eu An;Dorny, C. Nelson</t>
  </si>
  <si>
    <t>Philadelphia;Palo Alto</t>
  </si>
  <si>
    <t>School of Engineering and Applied Science;Space Systems Loral</t>
  </si>
  <si>
    <t>60102562;60011688</t>
  </si>
  <si>
    <t>Lee E.A.</t>
  </si>
  <si>
    <t>A Broadcast Reference Technique for Self-Calibrating of Large Antenna Phased Arrays</t>
  </si>
  <si>
    <t>10.1109/8.34137</t>
  </si>
  <si>
    <t>2-s2.0-0024719224</t>
  </si>
  <si>
    <t>Tokyo Denki University</t>
  </si>
  <si>
    <t>TDU</t>
  </si>
  <si>
    <t>['superconducting wire', 'simple method', 'francis ltd', 'critical temperature']</t>
  </si>
  <si>
    <t>A simple method is introduced of making Y1Ba2Cu3O7 ‚àí x ceramic superconducting wire of 1¬∑5mm diameter having highly stable characteristics: 88K. critical temperature and 12 A cm‚àí2critical current density. A trial receiving superconducting dipole antenna using 120mm of this superconducting wire is made. ¬© 1989 Taylor &amp; Francis Ltd.</t>
  </si>
  <si>
    <t>60003414;60003414;60003414;60003414;60003414</t>
  </si>
  <si>
    <t>6603396533;7403961908;7403938200;7006176622;7102553252</t>
  </si>
  <si>
    <t>Fujinaka, Masaharu;Ishida, Tadayuki;Goto, Tomoyuki;Tabei, Kazuhiko;Maehara, Takateru</t>
  </si>
  <si>
    <t>Fujinaka M.</t>
  </si>
  <si>
    <t>Trial manufacture of dipole antenna using Y&lt;inf&gt;1&lt;/inf&gt;Ba&lt;inf&gt;2&lt;/inf&gt;Cu&lt;inf&gt;3&lt;/inf&gt;O&lt;inf&gt;7&lt;/inf&gt;&lt;inf&gt;‚àíx&lt;/inf&gt; ceramic wire</t>
  </si>
  <si>
    <t>10.1080/00207218908921077</t>
  </si>
  <si>
    <t>2-s2.0-0024719720</t>
  </si>
  <si>
    <t>['wiley company', 'unpredictable manner', 'tv interference', 'transmitting stations', 'results show', 'propagation direction', 'polarization characteristics', 'neighboring countries', 'inc .,', 'fm stations', 'es propagation']</t>
  </si>
  <si>
    <t>The ionospheric sporadic‚ÄêE (Es) layer has a high electron concentration and is capable of reflecting VHF radiowaves. It shows up mainly in summer in an unpredictable manner. The problem of TV interference by Es propagation waves has become increasingly severe with the increase in TV and FM stations between neighboring countries. Measurements have been made of the polarization characteristics of Es propagation waves in an attempt to find possible techniques to counteract this interference. In the summer of 1985, 1986, and 1987, observations were made of several VHF waves from known transmitting stations using log‚Äêperiodic antennas placed horizontally and vertically, and the ratios of horizontally and vertically polarized signals were measured. The results show that Es propagation waves have the same strength between two received signals, independent of propagation direction. Horizontally polarized signals are used in transmitting stations, showing that the polarization is rotated during Es propagation. Copyright ¬© 1989 Wiley Subscription Services, Inc., A Wiley Company</t>
  </si>
  <si>
    <t>75-84</t>
  </si>
  <si>
    <t>Watari, Shin‚ÄêIchi ‚ÄêI</t>
  </si>
  <si>
    <t>Ministry of Posts and Telecommunications, Japan</t>
  </si>
  <si>
    <t>Watari S.</t>
  </si>
  <si>
    <t>TV interference from foreign transmitters and the polarization characteristics of Es‚Äêpropagation wave</t>
  </si>
  <si>
    <t>10.1002/ecja.4410720808</t>
  </si>
  <si>
    <t>2-s2.0-0024719749</t>
  </si>
  <si>
    <t>['total bandwidth', 'time bandwidth', 'time averaging', 'spectrum analyzer', 'small signals', 'sensitive receiver', 'receiver output', 'radio observatory', 'presented concerning', 'new results', 'fft processors', 'fft processor', 'establish direction', 'dynamic range', 'available circuitry', 'analyzer uses', '8 bits', '5 mhz', '40 db', '4 mhz', '20 mhz']</t>
  </si>
  <si>
    <t>fast Fourier transform (FFT) | Radio frequency interference (RFI) | real-time spectrum analysis</t>
  </si>
  <si>
    <t>A system is described which uses a real-time fast Fourier transform (FFT) spectrum analyzer to monitor radio interference near 408 MHz occurring at a radio observatory. Direction of arrival, frequency, intensity, and time of occurrence are recorded under the control of a microcomputer. A sensitive receiver can be connected to any one of eight directional antennas to establish direction of arrival. The receiver output is digitized to 8 bits, and analyzed by the FFT spectrum analyzer which has a real-time bandwidth of 0.5 MHz. A total bandwidth of 20 MHz is analyzed in segments of 0.4 MHz. The analyzer uses the modified periodogram method developed by Welch, and a Kaiser-Bessel windowing function is applied to ensure low sidelobes. Dynamic range is 40 dB, and the interference monitor obtains high sensitivity to very weak interfering signals by time averaging. The long integration times demand special consideration in the design of the FFT processor. Also, as in many other circumstances, the bandwidth of the FFT processor is limited by the speed of available circuitry. We elucidate several general design principles which arise out of these constraints. Some new results are presented concerning the detectability of small signals by FFT processors. ¬© 1989 IEEE</t>
  </si>
  <si>
    <t>882-891</t>
  </si>
  <si>
    <t>;60009839;60010365;60009839</t>
  </si>
  <si>
    <t>6506011041;7004094699;56401357900;7003557448</t>
  </si>
  <si>
    <t>Romalo, David N.;Dewdney, Peter E.;Ito, Mabo R.;Landecker, Thomas L.</t>
  </si>
  <si>
    <t>Canada;Canada</t>
  </si>
  <si>
    <t>Vancouver;Ottawa ON,</t>
  </si>
  <si>
    <t>The University of British Columbia;National Research Council Canada</t>
  </si>
  <si>
    <t>60010365;60009839</t>
  </si>
  <si>
    <t>Romalo D.N.</t>
  </si>
  <si>
    <t>An Interference Monitor with Real-Time FFT Spectral Analysis for a Radio Observatory</t>
  </si>
  <si>
    <t>10.1109/19.31008</t>
  </si>
  <si>
    <t>2-s2.0-0024720031</t>
  </si>
  <si>
    <t>['shanghai observatory', 'recent developments', 'paper presents']</t>
  </si>
  <si>
    <t>This paper presents an overview of recent developments on VLBI at the Shanghai Observatory. The Shanghai Radio Station equipped with a 25-m antenna and other facilities became operational last year. The VLBI data processing system has been set up recently. It includes an S-2 VLBI data processor and a series of post-correlation processing programs for astronomy as well as geodesy. There are now two VLBI groups in Shanghai Observatory working on astronomy and geodynamics. ¬© 1989 IEEE</t>
  </si>
  <si>
    <t>929-931</t>
  </si>
  <si>
    <t>Liang, Shiguang</t>
  </si>
  <si>
    <t>Chinese Academy of Sciences</t>
  </si>
  <si>
    <t>Liang S.</t>
  </si>
  <si>
    <t>Progress in VLBI at Shanghai Observatory</t>
  </si>
  <si>
    <t>10.1109/19.31019</t>
  </si>
  <si>
    <t>2-s2.0-0024720032</t>
  </si>
  <si>
    <t>['solar oven', 'ruled facets', 'revolution may', 'reflecting paraboloid', 'parabolic reflector', 'parabolic cylinder', 'note shows', 'may serve', 'dish antenna', 'calculus students', 'applied mathematics']</t>
  </si>
  <si>
    <t>A reflecting paraboloid of revolution may be approximated by ruled facets having the shape of a planar leaf bent onto a parabolic cylinder. As an attempt to convey some of the ideas of applied mathematics to calculus students, this note shows how to design planar panels that may be bent and assembled into a parabolic reflector, which may serve as a dish antenna or as a solar oven.</t>
  </si>
  <si>
    <t>490-492</t>
  </si>
  <si>
    <t>SIAM Review</t>
  </si>
  <si>
    <t>Sep</t>
  </si>
  <si>
    <t>Nievergelt, Yves</t>
  </si>
  <si>
    <t>Cheney</t>
  </si>
  <si>
    <t>Eastern Washington University</t>
  </si>
  <si>
    <t>Nievergelt Y.</t>
  </si>
  <si>
    <t>Mathematics of a home-made parabolic reflector</t>
  </si>
  <si>
    <t>10.1137/1031095</t>
  </si>
  <si>
    <t>2-s2.0-0024732401</t>
  </si>
  <si>
    <t>['two cases', 'slot radiators', 'simplest form', 'radiation patterns', 'radiation characteristics', 'plasma layer', 'plasma covers', 'namely 1', 'line source', 'direction parallel', 'derived earlier', 'changes created', 'change significantly', 'case 1', 'aperture plane', 'also investigated', 'admittance properties', '1 ),']</t>
  </si>
  <si>
    <t>The changes created by the motion of a plasma layer on the radiation characteristics of a planar rectangular aperture are discussed. The plasma covers the aperture and moves in a direction parallel to the aperture plane. Only the simplest form of plasma is considered; i.e., lossless, isotropic, and homogeneous. Radiation patterns were computed for two cases, namely 1) plasma motion normal to the H-plane aperture axis, and 2) parallel to it. These results compare well with those derived earlier for line source and slot radiators. The admittance properties of the aperture for case 1) were also investigated and were found to change significantly for small plasma speeds (0 &lt; 0.1), when the plasma layer is thin and when operating near plasma resonance. ¬© 1989 IEEE</t>
  </si>
  <si>
    <t>1130-1139</t>
  </si>
  <si>
    <t>Weil, Claude M.</t>
  </si>
  <si>
    <t>Weil C.M.</t>
  </si>
  <si>
    <t>Radiation Characteristics of Planar Rectangular Apertures Covered by a Layer of Moving Cold Plasma</t>
  </si>
  <si>
    <t>10.1109/8.35793</t>
  </si>
  <si>
    <t>2-s2.0-0024733004</t>
  </si>
  <si>
    <t>['tested extensively', 'system concepts', 'flight procedures', 'coded signals', 'carrier landings', 'airborne reception']</t>
  </si>
  <si>
    <t>A microwave Scanning beam landing system from the 1950s and 1960s is still operating routinely. It depends on airborne reception of pulse-coded signals from mechanically scanned antennas. Military versions include the United States Navy‚Äôs C-Scan, for carrier landings, and the Tactical Instrument Landing System (TILS) used in Sweden. Other sets, called Microwave Scanning Beam Landing System (MSBLS), serve Space Shuttle Orbiters. System concepts and functional hardware requirements were tested extensively by on-ground and flight procedures. Both the United States Navy and Sweden purchased operational equipments in 1969. ¬© 1989 IEEE</t>
  </si>
  <si>
    <t>775-781</t>
  </si>
  <si>
    <t>56731766000;6505588349;7201777921</t>
  </si>
  <si>
    <t>Battle, F. H.;Tatz, A.;Woodward, J. E.</t>
  </si>
  <si>
    <t>Battle F.</t>
  </si>
  <si>
    <t>Some Early Achievements in Landing Guidance using Mechanically Scanned Pulse-Encoded Beams</t>
  </si>
  <si>
    <t>10.1109/7.42094</t>
  </si>
  <si>
    <t>2-s2.0-0024733034</t>
  </si>
  <si>
    <t>Naval Air Systems Command</t>
  </si>
  <si>
    <t>N00019-85-C-0119</t>
  </si>
  <si>
    <t>NAVAIR</t>
  </si>
  <si>
    <t>['symbol predictions', 'reference signal', 'paper presents', 'new technique', 'experimental system', 'adaptive arrays']</t>
  </si>
  <si>
    <t>This paper presents a new technique for reference signal generation in adaptive arrays and shows how it may be used in a binary FSK communication system. In this technique the reference signal is obtained from symbol predictions in a Markov symbol stream. The performance of FSK system based on this concept is analyzed, and an experimental system is described. ¬© 1989 IEEE</t>
  </si>
  <si>
    <t>975-983</t>
  </si>
  <si>
    <t>60024592;60003500</t>
  </si>
  <si>
    <t>7005826279;35611381200</t>
  </si>
  <si>
    <t>Ganz, Matthew W.;Compton, R. T.</t>
  </si>
  <si>
    <t>Lexington;Columbus</t>
  </si>
  <si>
    <t>Lincoln Laboratory;The Ohio State University</t>
  </si>
  <si>
    <t>Ganz M.W.</t>
  </si>
  <si>
    <t>A Data-Derived Reference Signal Technique for Adaptive Arrays</t>
  </si>
  <si>
    <t>10.1109/26.35378</t>
  </si>
  <si>
    <t>2-s2.0-0024733250</t>
  </si>
  <si>
    <t>['waveguide dimensions', 'tilt angles', 'significant applications', 'results presented', 'resonant slots', 'rectangular waveguide', 'phase variability', 'numerical results', 'longitudinal axis', 'field using', 'center line']</t>
  </si>
  <si>
    <t>An analysis is presented of the characteristics of a broad wall radiating slot, offset from the center line and tilted with respect to the longitudinal axis of a rectangular waveguide. Pertinent integral equations are developed, taking into account finite wall thickness, and are solved for the slot aperture E-field using the method of moments. Compound slot characteristics are then deduced, including resonant length, and dominant mode scattering. Numerical results for the scattering from resonant slots are presented over a range of offsets, tilt angles, frequencies, and waveguide dimensions. For resonant compound slots, offset and tilt are shown to control the aperture electric field amplitude with a phase variability of 360. Results presented in this paper have significant applications in the design of compound slot arrays. ¬© 1989 IEEE</t>
  </si>
  <si>
    <t>1116-1123</t>
  </si>
  <si>
    <t>Northridge</t>
  </si>
  <si>
    <t>California State University, Northridge</t>
  </si>
  <si>
    <t>Compound Radiating Slots in a Broad Wall of a Rectangular Waveguide</t>
  </si>
  <si>
    <t>10.1109/8.35791</t>
  </si>
  <si>
    <t>2-s2.0-0024733535</t>
  </si>
  <si>
    <t>['sawr filters', 'satisfy almost', 'rejection level', 'realization processes', 'power filter', 'physical dimensions', 'performance filter', 'new 800', 'mhz wide', 'mhz models', 'insertion loss', 'initial specifications', 'also investigated', '50 db', '5 db', '20 db', '2 db']</t>
  </si>
  <si>
    <t>Several new technologies are developed to achieve broader band SAW filters for portable telephones used in new 800-MHz wide-band (25-MHz) cellular radio system used in the U.S.A. The design and realization processes for a transmitter final stage filter (high-power filter) and a prefilter (high-performance filter) are examined from initial specifications to final device operations. An insertion loss of less than 2 dB and a rejection level of more than 20 dB are achieved for the final stage filter, and an insertion loss of less than 5 dB and a rejection level of more than 50 dB are achieved for the prefilter. Two integrated SAW modules have been developed‚Äîan antenna duplexer and a high-power amplifier‚Äîwhich include the above SAWr filters and satisfy almost all requirements for wide-band cellular radio. Their physical dimensions are the same as those of previously developed 20-MHz models. New SAW electrode materials (A1 + Ni, A1 + Cu + Ni) are also investigated to improve the power handling characteristics of the transmitter final stage filter. ¬© 1989 IEEE</t>
  </si>
  <si>
    <t>531-539</t>
  </si>
  <si>
    <t>60003381;60003381;60003381;;</t>
  </si>
  <si>
    <t>7102360893;7203077672;56838203200;7402606009;55725792300</t>
  </si>
  <si>
    <t>Hikita, Mitsutaka;Kurosawa, Kazuhito;Tabuch, Toyoji;Ishida, Yoshikatsu;Hamada, Kunihiro</t>
  </si>
  <si>
    <t>Hitachi, Ltd.</t>
  </si>
  <si>
    <t>SAW Integrated Modules for 800-MHz Cellular Radio Portable Telephones with New Frequency Allocations</t>
  </si>
  <si>
    <t>10.1109/58.31797</t>
  </si>
  <si>
    <t>2-s2.0-0024733790</t>
  </si>
  <si>
    <t>['propagating line', 'noninfinite conductivity', 'imperfect conductor', 'arbitrary number', 'anisotropic medium', 'anisotropic impedance', 'also derived']</t>
  </si>
  <si>
    <t>The Green‚Äôs function spectral dyadic that characterizes a perfectly conducting patch antenna or propagating line can be modified to account for noninfinite conductivity. This is done through a relationship for a single planar interface imbedded in an anisotropic medium. A relationship for an arbitrary number of planar interfaces imbedded in an anisotropic medium is also derived. The imperfect conductor is represented by an anisotropic impedance. ¬© 1989 IEEE.</t>
  </si>
  <si>
    <t>1207-1211</t>
  </si>
  <si>
    <t>Krowne, Clifford M.</t>
  </si>
  <si>
    <t>Krowne C.M.</t>
  </si>
  <si>
    <t>Relationships for Green‚Äôs Function Spectral Dyadics Involving Anisotropic Imperfect Conductors Imbedded in Layered Anisotropic Media</t>
  </si>
  <si>
    <t>10.1109/8.35802</t>
  </si>
  <si>
    <t>2-s2.0-0024733890</t>
  </si>
  <si>
    <t>['radiation efficiency', 'radiation conductance', 'plasma media', 'electromagnetic waves']</t>
  </si>
  <si>
    <t>Microstrip antenna immersed in an isotropic plasma media radiates electroacoustic waves in addition to the electromagnetic waves. Using linearised hydrodynamic theory, effect of plasma media on radiation conductance and radiation efficiency of a two element microstrip array is observed in this paper.</t>
  </si>
  <si>
    <t>304-307</t>
  </si>
  <si>
    <t>Sep-Oct</t>
  </si>
  <si>
    <t xml:space="preserve">Anon, </t>
  </si>
  <si>
    <t xml:space="preserve">Anon </t>
  </si>
  <si>
    <t>Effect of generation of electroacoustic waves on radiation conductance and radiation efficiency of two element microstrip array</t>
  </si>
  <si>
    <t>10.1080/03772063.1989.11436832</t>
  </si>
  <si>
    <t>2-s2.0-0024734023</t>
  </si>
  <si>
    <t>['transceiver elements', 'transceiver circuits', 'signal sources', 'received signal', 'quite simple', 'push mode', 'pull mode', 'power combining', 'planar fet', 'oscillating mixers', 'optical sources', 'frequency doubling', 'fet quasi', 'fet frequency', 'based quasi', 'balanced transmitter', 'balanced sources', '7 ghz', '6 dbm', '10 ghz']</t>
  </si>
  <si>
    <t>We describe the design and construction of planar FET-based quasi-optical sources and transceivers. The circuits are quite simple in construction and exhibit isotropic conversion gain. Both single-device and balanced transmitter and transceiver circuits are described. Balanced sources are reported which may be operated in push-pull mode for power combining or in push-push mode for frequency doubling. A single-FET quasi-optical oscillator circuit using a microstrip patch linear array is reported with an effective radiated power of 31.6 dBm at 10 GHz. A dual-FET frequency-doubling oscillator circuit using a coupled rampart line antenna is reported with an effective radiated power of 21.6 dBm at 19.7 GHz. Quasi-optical transceiver elements are reported which use the FETs as both signal sources and self-oscillating mixers for down-conversion of the received signal. The application of these transceiver elements to Doppler motion detection is reported. ¬© 1989 IEEE</t>
  </si>
  <si>
    <t>1452-1459</t>
  </si>
  <si>
    <t>Birkeland, Joel;Itoh, Tasuo</t>
  </si>
  <si>
    <t>FET-Based Planar Circuits for Quasi-Optical Sources and Transceivers</t>
  </si>
  <si>
    <t>10.1109/22.32230</t>
  </si>
  <si>
    <t>2-s2.0-0024734132</t>
  </si>
  <si>
    <t>['worth preserving', 'readily obtained', 'quadrature formulae']</t>
  </si>
  <si>
    <t>Numerical quadratures encountered in solving integral equations and in finite element analysis often involve singular integrands, or integrands with very rapid local variation whose numerical stability resembles that of singularities. It is shown that specialized quadrature formulae of Gauss‚ÄìChristoffel type can be generated for such integrands, using a recursive procedure based on the properties of the underlying orthogonal polynomials. Quadrature formulae of moderately high degree can be computed rapidly enough to allow them to be constructed as needed. An algorithm for generating quadrature formulae is given in detail. Singular or near ‚Äêsingular functions encountered in finite element analysis typically require three ‚Äêpoint or four ‚Äêpoint quadratures; such formulae are readily obtained, to seven ‚Äêfigure accuracy, in computing times short enough to regard the formulae as disposable and not worth preserving in tables. Copyright ¬© 1989 John Wiley &amp; Sons, Ltd</t>
  </si>
  <si>
    <t>131-142</t>
  </si>
  <si>
    <t>International Journal of Numerical Modelling: Electronic Networks, Devices and Fields</t>
  </si>
  <si>
    <t>Silvester, Peter P.</t>
  </si>
  <si>
    <t>Universit√© McGill</t>
  </si>
  <si>
    <t>Silvester P.</t>
  </si>
  <si>
    <t>Weighted Gaussian quadratures for singular and near ‚Äêsingular integrands</t>
  </si>
  <si>
    <t>10.1002/jnm.1660020304</t>
  </si>
  <si>
    <t>2-s2.0-0024734649</t>
  </si>
  <si>
    <t>['ttc support', 'ttc function', 'technical features', 'paper discusses', 'mission requirement', 'irs ).', 'ground station', 'evaluated extensively']</t>
  </si>
  <si>
    <t>S-Band TTC Ground Station at Lucknow is established to meet the mission requirement of Indian Remote Sensing Satellite (IRS). The Station is evaluated extensively before extending the TTC support. This paper discusses the requirement for the technical features of Ground Station, TTC function, Station, engineering and performance.</t>
  </si>
  <si>
    <t>380-386</t>
  </si>
  <si>
    <t>7801667051;7202115180</t>
  </si>
  <si>
    <t>Gage, V. K.;Sharma, C. D.</t>
  </si>
  <si>
    <t>Gage V.K.</t>
  </si>
  <si>
    <t>Engineering and performance evaluation of TCC Ground Station</t>
  </si>
  <si>
    <t>10.1080/02564602.1989.11438529</t>
  </si>
  <si>
    <t>2-s2.0-0024734928</t>
  </si>
  <si>
    <t>['take account', 'proposed method', 'numerical method', 'moment method', 'lossy dielectric', 'human body', 'experimental results', 'combined method', 'calculation model', 'calculated results']</t>
  </si>
  <si>
    <t>A numerical method which can take account of lossy dielectrics near the antenna has to be developed for the design of the radio frequency antenna in magnetic resonance imaging, because the human body is a lossy dielectric. In this paper, a combined method of the moment method and the boundary element method is proposed. For the verification of the proposed method, a helical antenna loaded with cylinder was chosen as a calculation model, and the calculated results were compared with the experimental results. ¬© 1989 IEEE</t>
  </si>
  <si>
    <t>3602-3604</t>
  </si>
  <si>
    <t>60023147;60023147;60103375</t>
  </si>
  <si>
    <t>35451628800;55628565614;7403991238</t>
  </si>
  <si>
    <t>Tsuboi, H.;Tanaka, H.;Fujita, M.</t>
  </si>
  <si>
    <t>Tokyo;Okayama</t>
  </si>
  <si>
    <t>Fuji Electric Co., Ltd.;Okayama University</t>
  </si>
  <si>
    <t>60103375;60023147</t>
  </si>
  <si>
    <t>Tsuboi H.</t>
  </si>
  <si>
    <t>Electromagnetic Field Analysis of the Wire Antenna in the Presence of a Dielectric with Three-Dimensional Shape</t>
  </si>
  <si>
    <t>10.1109/20.42376</t>
  </si>
  <si>
    <t>2-s2.0-0024735228</t>
  </si>
  <si>
    <t>['testing functions', 'fourier transform', 'differential operator']</t>
  </si>
  <si>
    <t>The method of moments is used to solve Pocklington‚Äôs equation encountered in slot aperture problems. The Fourier transform is applied to eliminate the differential operator as well as the singularity of the kernel, resulting in a simple and numerically efficient expression for the moments matrix elements. The effect of using the reduced kernel approximation and also various subdomain basis and testing functions on the form of these elements is discussed. Finally, validity of the method is demonstrated for typical slot aperture examples. ¬© 1989 IEEE</t>
  </si>
  <si>
    <t>1124-1129</t>
  </si>
  <si>
    <t>Hadidi, Abdolmajid</t>
  </si>
  <si>
    <t>A Novel Treatment of Pocklington‚Äôs Equation Applied to Slot Apertures</t>
  </si>
  <si>
    <t>10.1109/8.35792</t>
  </si>
  <si>
    <t>2-s2.0-0024735294</t>
  </si>
  <si>
    <t>['stratified medium', 'standoff thickness', 'spectral domain', 'integral equation', 'finite extent', 'electrode surface', 'electrode mounted', 'electric properties', 'also considered']</t>
  </si>
  <si>
    <t>The quasistatic fields generated by an electrode mounted on a perfectly conducting pad of finite extent and embedded in a planar stratified medium are analyzed. An integral equation in the spectral domain is derived for the outflowing current density distribution on the pad-electrode surface. The method of moments is then applied to solve the integral equation. The effects of the electric properties of the stratified medium and the standoff thickness on the total electrode current are investigated. Several conductivity profiles modeling different practical measurement environments are also considered. ¬© 1989 IEEE</t>
  </si>
  <si>
    <t>1140-1149</t>
  </si>
  <si>
    <t>60022195-60077590;60022195</t>
  </si>
  <si>
    <t>7005862569;7202290923</t>
  </si>
  <si>
    <t>Kiang, Jean Fu;Kong, Jin Au</t>
  </si>
  <si>
    <t>Cambridge;Cambridge</t>
  </si>
  <si>
    <t>Schlumberger-Doll Research Center;Massachusetts Institute of Technology</t>
  </si>
  <si>
    <t>60077590;60022195</t>
  </si>
  <si>
    <t>Kiang J.F.</t>
  </si>
  <si>
    <t>Electrostatic Fields Due to an Electrode Mounted on a Conduting Pad of Finite Extent in a Planar Stratified Medium</t>
  </si>
  <si>
    <t>10.1109/8.35794</t>
  </si>
  <si>
    <t>2-s2.0-0024735668</t>
  </si>
  <si>
    <t>['widely used', 'transmission lines', 'rf power', 'rf heating', 'relevant concerns', 'reactor environment', 'paper reviews', 'lower hybrid', 'ion cyclotron', 'information needed', 'fusion devices']</t>
  </si>
  <si>
    <t>RF power is widely used as an auxiliary heating method in fusion devices. This paper reviews the relevant theoretical considerations for the ion cyclotron, lower hybrid and electron cyclotron ranges of frequency, and presents the history, the state of the art, and the plans and prospects for antennas and transmission lines for RF heating. Reactor-relevant concerns are discussed, and the information needed to develop realistic antenna designs for a reactor environment is assessed. ¬© 1989 IOP Publishing Ltd.</t>
  </si>
  <si>
    <t>1527-1633</t>
  </si>
  <si>
    <t>60024266;60032179;60011754;60022195;60018020</t>
  </si>
  <si>
    <t>35371212800;6602871378;7003875030;7006050699;57202528890</t>
  </si>
  <si>
    <t>England, A. C.;Eldridge, O. C.;Knowlton, S. F.;Porkolab, M.;Wilson, J. R.</t>
  </si>
  <si>
    <t>United States;United States;United States;United States;United States</t>
  </si>
  <si>
    <t>Madison;Oak Ridge;Cambridge;Princeton;Auburn</t>
  </si>
  <si>
    <t>University of Wisconsin-Madison;Oak Ridge National Laboratory;Massachusetts Institute of Technology;Princeton Plasma Physics Laboratory;Auburn University</t>
  </si>
  <si>
    <t>60032179;60024266;60022195;60018020;60011754</t>
  </si>
  <si>
    <t>England A.C.</t>
  </si>
  <si>
    <t>Power transmission and coupling for radiofrequency heating of plasmas</t>
  </si>
  <si>
    <t>10.1088/0029-5515/29/9/011</t>
  </si>
  <si>
    <t>2-s2.0-0024735781</t>
  </si>
  <si>
    <t>['wave potential', 'transmission line', 'present theory', 'isotropic plasma', 'frequency range', 'feeding point', 'element 2', 'element 1', 'copyright 1989']</t>
  </si>
  <si>
    <t>A short, coil‚Äêloaded two‚Äêelement ring antenna including a transmission line, immersed in a warm, isotropic plasma, is investigated as a boundary value problem in the frequency range where electron plasma waves exist. The wave potential of electron plasma waves launched from a two‚Äêelement ring antenna has been enhanced by a factor of 4‚Äì6 in comparison with the case of an unloaded one‚Äêelement ring antenna, when a suitable inductive load is inserted at the feeding point of element 2, and the distance between element 1 and element 2 is chosen as an optimum element spacing. Theory is substantiated by the experiments. In addition, the unidirectional radiation patterns of the antenna for electron plasma waves are predicted by the present theory. Copyright 1989 by the American Geophysical Union.</t>
  </si>
  <si>
    <t>619-628</t>
  </si>
  <si>
    <t>September-October 1989</t>
  </si>
  <si>
    <t>7402316805;35608208100;57194673278</t>
  </si>
  <si>
    <t>Morita, Y.;Egashira, S.;Honjoh, M.</t>
  </si>
  <si>
    <t>Morita Y.</t>
  </si>
  <si>
    <t>Loaded two‚Äêelement ring antenna for electron plasma waves</t>
  </si>
  <si>
    <t>10.1029/RS024i005p00619</t>
  </si>
  <si>
    <t>2-s2.0-0024736103</t>
  </si>
  <si>
    <t>['various signals', 'steering vector', 'sidelobe canceller', 'reference signal', 'desired signal', 'degradation depends', 'continually present', 'communication system', 'angular resolution']</t>
  </si>
  <si>
    <t>The performance of a sidelobe canceller is studied in a communication system where the desired signal is continually present and its amplitude in the auxiliary antennas may be large (above thermal noise). In such a system, to avoid the cancellation of the desired signal, one may use a reference signal and adjust the auxiliary antenna weights to minimize the error between the reference signal and the sidelobe canceller output or one may use a steering vector. It is shown that in spite of the reference signal or a steering vector, the presence of the desired signal in the auxiliary antennas degrades the interference suppression provided by a sidelobe canceller. The amount of degradation depends on the number of degrees of freedom, the strength of the various signals and the angular resolution of the auxiliary antenna array. Signal scenarios involving a single interfering signal as well as those involving multiple interfering signals are considered. ¬© 1989 IEEE</t>
  </si>
  <si>
    <t>1109-1115</t>
  </si>
  <si>
    <t>60003500;60003500</t>
  </si>
  <si>
    <t>7102202358;16141609500</t>
  </si>
  <si>
    <t>Gupta, Inder J.;Ward, James</t>
  </si>
  <si>
    <t>Gupta I.J.</t>
  </si>
  <si>
    <t>Effects of Desired Signal on the Performance of a Sidelobe Canceller</t>
  </si>
  <si>
    <t>10.1109/8.35790</t>
  </si>
  <si>
    <t>2-s2.0-0024736421</t>
  </si>
  <si>
    <t>['subreflectors away', 'similar problem', 'present case', 'po integration', 'physical optics', 'paraxial focus', 'lower frequencies', 'line feeds', 'latter calculations', 'higher ones', 'geometrical optic', 'copyright 1989', 'central region', 'another work', 'also show']</t>
  </si>
  <si>
    <t>A proposed dual‚Äêreflector feed for the spherical reflector antenna in Arecibo is presented. This is analyzed over a large frequency range: at the lower frequencies by physical optics (PO) integration, and at the higher ones by a geometrical optic (GO) ray tracing technique described in another work. The latter calculations are extended with the transition region theory (TRT) to include edge diffraction. The results clearly demonstrate the usefulness of the time efficient TRT method. However, they also show that PO integration is important, as this has detected an underillumination of the central region of the aperture. This effect is related to a similar problem with the line feeds, but can in the present case be reduced by moving the subreflectors away from the paraxial focus. Copyright 1989 by the American Geophysical Union.</t>
  </si>
  <si>
    <t>601-617</t>
  </si>
  <si>
    <t>7101988263;6507529267</t>
  </si>
  <si>
    <t>Kildal, Per‚ÄêSimon ‚ÄêS;Skyttemyr, Svein Andreas</t>
  </si>
  <si>
    <t>Kildal P.</t>
  </si>
  <si>
    <t>Diffraction analysis of a proposed dual‚Äêreflector feed for the spherical reflector antenna of the Arecibo Observatory</t>
  </si>
  <si>
    <t>10.1029/RS024i005p00601</t>
  </si>
  <si>
    <t>2-s2.0-0024736914</t>
  </si>
  <si>
    <t>['theoretical results', 'structure effects', 'radiation characteristics', 'computer analysis']</t>
  </si>
  <si>
    <t>The computer analysis of dual-offset reflector antennas based on an accurate feed model is described. Near-field, thermal-paint, and CFRP-structure effects are included in order to simulate realistic design scenario and predict their impact on the radiation characteristics. The theoretical results have been verified by experiment for a near-field illuminated offset Gregory antenna. ¬© 1989 IEEE</t>
  </si>
  <si>
    <t>1093-1101</t>
  </si>
  <si>
    <t>60072501;60072501</t>
  </si>
  <si>
    <t>7101932815;7202647526</t>
  </si>
  <si>
    <t>Hombach, Volker;K√úHN, Eberhard</t>
  </si>
  <si>
    <t>Hombach V.</t>
  </si>
  <si>
    <t>Complete Dual-Offset Reflector Antenna Analysis Including Near-Field, Paint-Layer and CFRP-Structure Effects</t>
  </si>
  <si>
    <t>10.1109/8.35788</t>
  </si>
  <si>
    <t>2-s2.0-0024737732</t>
  </si>
  <si>
    <t>['true time', 'suggested recently', 'steered beam', 'small group', 'signal paths', 'shifter inaccuracies', 'quadratic programming', 'phase shifters', 'performance criterion', 'optimal solution', 'optimal architecture', 'necessary time', 'different architectures', 'delay device', 'compare favorably', 'architectures arise', 'alternative procedures']</t>
  </si>
  <si>
    <t>Uniform linear phased arrays where many radiating elements share a relatively small number of phase shifters are investigated. Such architectures arise in arrays which derive the time-delays in the signal paths from a small group of independent phase shifters. In particular, a true time-delay device which has been suggested recently for optically controlled arrays is used as the basic phase shifter. Different architectures, viz. alternative procedures of deriving the necessary time-delay for each antenna in the face of phase-shifter inaccuracies are examined. The variance of the steered beam's direction is used as the performance criterion. The direction-optimal architecture is obtained by means of quadratic programming, and is shown to be not unique. The nonuniqueness of the optimal architecture is exploited to improve other characteristics of the array‚Äôs beam shape, and the optimal solution is shown to compare favorably with a suboptimal interleaved solution which is easier to implement. ¬© 1989 IEEE</t>
  </si>
  <si>
    <t>1102-1108</t>
  </si>
  <si>
    <t>60014662;60014662</t>
  </si>
  <si>
    <t>7005569608;24463325600</t>
  </si>
  <si>
    <t>Kam, Moshe;Herczfeld, Peter R.</t>
  </si>
  <si>
    <t>Drexel University</t>
  </si>
  <si>
    <t>Kam M.</t>
  </si>
  <si>
    <t>Design for Steering Accuracy in Antenna Arrays Using Shared Optical Phase Shifters</t>
  </si>
  <si>
    <t>10.1109/8.35789</t>
  </si>
  <si>
    <t>2-s2.0-0024738001</t>
  </si>
  <si>
    <t>['width case', 'various characteristics', 'transverse slit', 'transverse electromagnetic', 'previous model', 'plate waveguide', 'narrow slit', 'improved model', 'edge representation', 'critical look', 'centerline representation']</t>
  </si>
  <si>
    <t>An investigation on the equivalent x circuit representation for the transverse slit in the wall of a transverse electromagnetic (TEM) parallel-plate waveguide is presented. For the narrow slit, approximate analytic expressions for the equivalent circuit parameters are given in terms of the centerline representation and, for the arbitrary width slit, the equivalent circuit parameters are considered by the method of moments in terms of both the centerline representation and edge representation, and various characteristics of the equivalent pi admittance circuit representation are discussed. A critical look is taken at the validity of the previous model of the E-plane gap coupling between two rectangular microstrip patch antennas and the improved model is considered for the narrow slit (gap) width case. ¬© 1989 IEEE</t>
  </si>
  <si>
    <t>1193-1200</t>
  </si>
  <si>
    <t>Cho, Young Ki</t>
  </si>
  <si>
    <t>South Korea</t>
  </si>
  <si>
    <t>Daegu</t>
  </si>
  <si>
    <t>Kyungpook National University</t>
  </si>
  <si>
    <t>Cho Y.K.</t>
  </si>
  <si>
    <t>On the Equivalent Circuit Representation of the Slitted Parallel-Plate Waveguide Filled with a Dielectric</t>
  </si>
  <si>
    <t>10.1109/8.35800</t>
  </si>
  <si>
    <t>2-s2.0-0024738002</t>
  </si>
  <si>
    <t>['triangular cylinders', 'suitably combined', 'spectral extension', 'smoothly reduce', 'slope diffraction', 'scalar problems', 'respective regions', 'recently obtained', 'proper discontinuities', 'proper combination', 'plane wave', 'obtain closed', 'observation aspects', 'numerical results', 'grazing illumination', 'frequency solution', 'form expressions', 'far zone', 'expressions exhibit', 'directly applying']</t>
  </si>
  <si>
    <t>The application of a high-frequency solution for the field doubly diffracted in the far zone from a pair of parallel wedges illuminated by a plane wave is described. It is shown how a spectral extension of the uniform geometrical theory of diffraction (GTD) is used to obtain closed-form expressions for the field that are valid at any incidence and observation aspects. These expressions exhibit the proper discontinuities and singularities so that they can be suitably combined with the other singly diffracted fields to provide a uniformly valid ray description of the scattering in the far zone by an obstacle which is illuminated by a plane wave. They smoothly reduce both to those derived by directly applying the uniform GTD solution for single diffraction augmented by slope diffraction and to those recently obtained for grazing illumination of the edges, in their respective regions of validity. The solutions to the scalar problems are then used to construct a dyadic diffraction coefficient for the doubly diffracted field, in the ray-fixed coordinate system. Examples of triangular cylinders are considered and numerical results are presented, both to demonstrate the accuracy of the solution and to illustrate the proper combination of the singular diffracted field contributions. ¬© 1989 IEEE</t>
  </si>
  <si>
    <t>1172-1180</t>
  </si>
  <si>
    <t>60021859-60028868-60003500</t>
  </si>
  <si>
    <t>Tiberio, Roberto</t>
  </si>
  <si>
    <t>Italy;Italy;United States</t>
  </si>
  <si>
    <t>Pisa;Florence;Columbus</t>
  </si>
  <si>
    <t>Universit√† di Pisa;Universit√† degli Studi di Firenze;The Ohio State University</t>
  </si>
  <si>
    <t>60028868;60021859;60003500</t>
  </si>
  <si>
    <t>Tiberio R.</t>
  </si>
  <si>
    <t>High-Frequency Electromagnetic Scattering of Plane Waves from Double Wedges</t>
  </si>
  <si>
    <t>10.1109/8.35798</t>
  </si>
  <si>
    <t>2-s2.0-0024738592</t>
  </si>
  <si>
    <t>['theoretical results', 'ten slots', 'single slot', 'resonant length', 'rectangular waveguide', 'pattern synthesis', 'experimental results', 'centre line', 'broader wall', 'array environment', 'active admittance']</t>
  </si>
  <si>
    <t>An improved design procedure of small resonant array comprising of longitudinally displaced shunt slots on the broader wall of the rectangular waveguide has been described. The theory has been presented for the self and active admittance of the slot and consequently the resonant length has been computed. The external mutual coupling has been taken into account for characterising the slot in the array environment. The array has been designed by adjusting the lengths and the displacements of the slots from the centre line of the broadwall in order to realize the conductance distribution corresponding to the aperture distribution obtained through pattern synthesis. Finally, the experimental results of single slot and an end fed resonant array of ten slots have been presented and compared with the theoretical results.</t>
  </si>
  <si>
    <t>290-298</t>
  </si>
  <si>
    <t>Design of small linear resonant array of broadwall shunt slots</t>
  </si>
  <si>
    <t>10.1080/03772063.1989.11436830</t>
  </si>
  <si>
    <t>2-s2.0-0024739177</t>
  </si>
  <si>
    <t>['special case', 'results obtained', 'rectangular lattice', 'rectangular grid', 'radiating elements', 'quadrature technique', 'present investigation', 'polar transformation', 'obtained interms', 'numerical evaluation', 'mutual impedance', 'mutual coupling', 'microstrip antenna', 'good agreement', 'general formulation', 'cavity model']</t>
  </si>
  <si>
    <t>A general formulation for mutual impedance between radiating elements of a microstrip planar array with rectangular lattice has been obtained interms of pattern space factors in the wave number plane. Appropriate Greens functions and an electric surface current based on cavity model for the microstrip antenna have been used to express the pattern space factor. All operations have been done in Fourier transform domain. The special case of two rectangular microstrip radiating elements in a rectangular grid has been investigated for mutual coupling in E-and H-planes. Polar transformation and use of quadrature technique for numerical evaluation of integrals assure fast convergence. There is a good agreement between results obtained from the present investigation and those available from others.</t>
  </si>
  <si>
    <t>286-289</t>
  </si>
  <si>
    <t>60023311;60023311</t>
  </si>
  <si>
    <t>7103209391;6603283674</t>
  </si>
  <si>
    <t>Sarma, R. Sadasiva;Sarap, B. K.</t>
  </si>
  <si>
    <t>Hyderabad</t>
  </si>
  <si>
    <t>Osmania University</t>
  </si>
  <si>
    <t>Sarma R.</t>
  </si>
  <si>
    <t>Mutual coupling between radiating elements of a microstrip rectangular array</t>
  </si>
  <si>
    <t>10.1080/03772063.1989.11436829</t>
  </si>
  <si>
    <t>2-s2.0-0024739442</t>
  </si>
  <si>
    <t>['two semi', 'suppressing sidelobes', 'significant increase', 'sidelobe ratio', 'sidelobe levels', 'resulting e', 'radiating fields', 'radiating apertures', 'radiating aperture', 'novel technique', 'mainlobe level', 'h planes', 'h plane', 'francis ltd', 'e plane', 'diffracting edge', 'decreased significantly', 'circular apertures', 'also obtained', 'almost identical']</t>
  </si>
  <si>
    <t>A novel technique for suppressing sidelobes as well as increasing the mainlobe level of radiating apertures is presented. The technique involves placing a separately excited wire along the diffracting edge of the aperture so as to enhance the mainlobe and to suppress the sidelobes of the radiating aperture. The beamwidths of the resulting E and H planes of a circular waveguide loaded by an active wire loop are found to be almost identical in a particular experimental case. Furthermore, the E and H plane patterns approach each other since the sidelobe levels are decreased significantly in the E plane and by about the same amount as they are increased in the H plane. A significant increase in the main-to-sidelobe ratio is also obtained when this technique is applied to radiating fields from circular apertures in a full conducting plane and to the diffraction from apertures between two semi-infinite conducting wedges. ¬© 1989 Taylor &amp; Francis Ltd.</t>
  </si>
  <si>
    <t>617-622</t>
  </si>
  <si>
    <t>60009697-60022144;60010491;60009697;60009697;60009697</t>
  </si>
  <si>
    <t>7103051886;7005949569;6602321844;57199312005;6603611857</t>
  </si>
  <si>
    <t>Hamid, M.;Elsherbeni, A. Z.;Chamma, W. A.;Edwards, D.;Lockhart, K.</t>
  </si>
  <si>
    <t>United States;United States;Canada</t>
  </si>
  <si>
    <t>Orlando;University;Winnipeg</t>
  </si>
  <si>
    <t>University of Central Florida;University of Mississippi;University of Manitoba</t>
  </si>
  <si>
    <t>60022144;60010491;60009697</t>
  </si>
  <si>
    <t>Hamid M.</t>
  </si>
  <si>
    <t>Active minimization of the sidelobes of radiating apertures</t>
  </si>
  <si>
    <t>10.1080/00207218908921114</t>
  </si>
  <si>
    <t>2-s2.0-0024746504</t>
  </si>
  <si>
    <t>['rectangular waveguide', 'radiate fields', 'plane sidelobe', 'moment method', 'horn pattern', 'horn antennas', 'highly desirable', 'hence isolating', 'francis ltd', 'fields incident', 'edge fields', 'design provides', 'attaching elliptic', 'aperture edges', 'active sources', '160 ¬∞']</t>
  </si>
  <si>
    <t>A numerical technique based on the moment method is used to study different schemes for reducing the E-plane sidelobe and backlobe power levels of waveguides and horn antennas by attaching elliptic and spiral shaped flanges to the aperture edges of these antennas. It is shown that a flared spiral flange attached to the edges of a rectangular waveguide can produce a very wide half power beam-width of 160¬∞ and backlobes as low as ‚àí 30dB which is highly desirable for compact range applications. A second horn design is also investigated whereby the aperture edges of the horn are shielded by a specially designed metallic cap, hence isolating the edge diffracted fields and minimizing their interference. A reduction in some sidelobes of more than 20dB is achieved by the so called ‚Äòcapped-edge‚Äô horn. The final design investigated deals with introducing an active source placed at an optimum position inside the horn and having a particular phase excitation relative to the edge fields. These active sources, which are simulated by magnetic line sources, radiate fields that interfere with the fields incident from the feed wave guide on the edges of the horn. Such a design provides more than 18 dB sidelobe reduction as well as flexibility in shaping the horn pattern. ¬© 1989 Taylor &amp; Francis Ltd.</t>
  </si>
  <si>
    <t>623-643</t>
  </si>
  <si>
    <t>60009697;60009697-60022144</t>
  </si>
  <si>
    <t>6602321844;7103051886</t>
  </si>
  <si>
    <t>Chamma, W. A.;Hamid, M.</t>
  </si>
  <si>
    <t>Orlando;Winnipeg</t>
  </si>
  <si>
    <t>University of Central Florida;University of Manitoba</t>
  </si>
  <si>
    <t>60022144;60009697</t>
  </si>
  <si>
    <t>Chamma W.</t>
  </si>
  <si>
    <t>Novel schemes for sidelobe reduction in horn antennas</t>
  </si>
  <si>
    <t>10.1080/00207218908921115</t>
  </si>
  <si>
    <t>2-s2.0-0024747364</t>
  </si>
  <si>
    <t>['weighted rms', 'various types', 'statistical properties', 'statistical analysis', 'shape errors', 'paper suggests', 'high cost', 'exact calculation', 'discrete nature', 'corrected shape', 'corrected distortion', 'continuum approximation', 'comparison indicates', 'actuators placed', 'actuator locations']</t>
  </si>
  <si>
    <t>Manufacturing errors may result in unacceptably high shape errors in some large space truss structures such as large antenna structures. Such shape errors will be corrected by various types of actuators placed on the structures. The optimization of actuator locations is hampered by the high cost of calculating the statistics of the corrected distortion and by the discrete nature of available actuator positions. The paper suggests a continuum approximation to the statistical analysis as a solution to the above problem. First, a continuum approximation to the calculation of statistical properties of the distorted and corrected shape of a statically determinate planar truss beam is compared to the exact calculation. The comparison indicates that the continuum approximation is very good. Next the locations of the actuators are optimized to minimize the weighted rms of the distortion.</t>
  </si>
  <si>
    <t>1406-1411</t>
  </si>
  <si>
    <t>AIAA journal</t>
  </si>
  <si>
    <t>Oct</t>
  </si>
  <si>
    <t>7003507805;7102367440</t>
  </si>
  <si>
    <t>Burdisso, Ricardo A.;Haftka, Raphael T.</t>
  </si>
  <si>
    <t>Burdisso R.</t>
  </si>
  <si>
    <t>Optimal location of actuators for correcting distortions in large truss structures</t>
  </si>
  <si>
    <t>10.2514/3.10278</t>
  </si>
  <si>
    <t>2-s2.0-0024748536</t>
  </si>
  <si>
    <t>['wiley company', 'theoretical designs', 'slot positions', 'inc .,', 'experimental results', 'electric field', 'cavity modes']</t>
  </si>
  <si>
    <t>circular polarization | Microstrip antennas | rectangular slots</t>
  </si>
  <si>
    <t>Using the cavity model theory, simple design formulas are developed for double‚Äêslot‚Äêfed circularly polarized microstrip antennas. Equivalent magnetic current sources are assumed at the slot positions and then the electric field distribution under the patch is obtained in terms of cavity modes. By applying the circular polarization conditions to the far‚Äêfield components of the electric field, the loci of the positions of the slots for the circular polarization operations are found. Experimental results are successfully demonstrated based on the theoretical designs. Copyright ¬© 1989 Wiley Periodicals, Inc., A Wiley Company</t>
  </si>
  <si>
    <t>343-346</t>
  </si>
  <si>
    <t>60000745;60000745;60000745;60000745</t>
  </si>
  <si>
    <t>7003949001;57192239879;7202515804;7401934487</t>
  </si>
  <si>
    <t>Aksun, M. I.;Wang, Z. H.;Chuang, S. L.;Lo, Y. T.</t>
  </si>
  <si>
    <t>Aksun M.</t>
  </si>
  <si>
    <t>Double‚Äêslot‚Äêfed microstrip antennas for circular polarization operation</t>
  </si>
  <si>
    <t>10.1002/mop.4650021002</t>
  </si>
  <si>
    <t>2-s2.0-0024749155</t>
  </si>
  <si>
    <t>['uniqueness properties', 'synthesis hinges', 'source treatments', 'real sources', 'previous point', 'possible applications', 'phase distributions', 'output aperture', 'geometrical optics', 'formulation shows', 'distributed source', 'ampere equation']</t>
  </si>
  <si>
    <t>The problem of synthesising a dual offset reflector antenna system when illuminated by a distributed source, to satisfy prespecified conditions on power and phase distributions over the output aperture are examined under the assumptions of geometrical optics. The formulation shows that the synthesis hinges on solving a system of two coupled nonlinear partial differential equations, one of which is the Monge-Ampere equation. The relationship of this study with previous point-source treatments is examined in detail. Uniqueness properties of the design are extracted from the equations and new features introduced by the distributed source are indicated. Possible applications to contoured-beam reflector antennas fed by real sources are envisaged.</t>
  </si>
  <si>
    <t>261-366</t>
  </si>
  <si>
    <t>60025225;60025225</t>
  </si>
  <si>
    <t>7004261323;6602206040</t>
  </si>
  <si>
    <t>Westcott, B. S.;Brickell, F.</t>
  </si>
  <si>
    <t>Southampton</t>
  </si>
  <si>
    <t>University of Southampton</t>
  </si>
  <si>
    <t>Westcott B.S.</t>
  </si>
  <si>
    <t>Geometric-optic synthesis of dual-reflector antennas with distributed sources</t>
  </si>
  <si>
    <t>10.1049/ip-h-2.1989.0065</t>
  </si>
  <si>
    <t>2-s2.0-0024749249</t>
  </si>
  <si>
    <t>['whole cells', 'transfer sequence', 'streak camera', 'energy flow', 'emission arising', 'decay time', 'data characterize', 'cytoplasmic membrane', 'chlorosome baseplate', 'bchl c', 'baseplate pigment', 'bacteriochlorophyll c', 'antenna complex', '3 ps', '16 ps']</t>
  </si>
  <si>
    <t>Energy flow in whole cells of the thermophilic green photosynthetic bacterium Chloroflexus aurantiacus was studied by measurements of time-resolved fluorescence spectra in the picosecond time range, detected by both streak camera and single-photon counting methods. These data characterize the energy-transfer sequence from bacteriochlorophyll c (BChl c), found in membrane-associated antenna structures called chlorosomes, to BChl a in the chlorosome baseplate, then to a BChl a antenna complex in the cytoplasmic membrane, and finally to the photochemical reaction center. Upon selective excitation of BChl c in chlorosomes, the decay time of the emission arising from BChl c was 16 ps. The apparent rise time of the emission from the baseplate pigment was &lt;3 ps.</t>
  </si>
  <si>
    <t>7503-7509</t>
  </si>
  <si>
    <t>Journal of physical chemistry</t>
  </si>
  <si>
    <t>60028586;60028586;60028586;60028586;60028586;60028586;60028586;60028586;60028586;60028586</t>
  </si>
  <si>
    <t>7006461138;7103347251;7006772993;35556033100;24586425300;7407162691;7202010339;6602436920;7005522646;57203046340</t>
  </si>
  <si>
    <t>Mimuro, Mamoru;Nozawa, Tsunenori;Tamai, Naoto;Shimada, Keizou;Yamazaki, Iwao;Lin, Su;Knox, Robert S.;Wittmershaus, Bruce P.;Brune, Daniel C.;Blankenship, Robert E.</t>
  </si>
  <si>
    <t>Okazaki</t>
  </si>
  <si>
    <t>National Institutes of Natural Sciences - National Institute for Basic Biology</t>
  </si>
  <si>
    <t>Mimuro M.</t>
  </si>
  <si>
    <t>Excitation energy flow in chlorosome antennas of green photosynthetic bacteria</t>
  </si>
  <si>
    <t>10.1021/j100358a047</t>
  </si>
  <si>
    <t>2-s2.0-0024749455</t>
  </si>
  <si>
    <t>['transverse magnetic', 'transverse electric', 'testing functions', 'space regions', 'space region', 'radiation properties', 'numerical results', 'mathieu functions', 'graphical form', 'exterior free', 'dielectric coating']</t>
  </si>
  <si>
    <t>The radiation properties are investigated for an axial slot antenna on a conducting elliptic cylinder with a homogeneous dielectric coating. In the dielectric coating and in the exterior free-space region, the field is expanded in elliptic waves via the Mathieu functions. The Mathieu angular functions are employed as basis and testing functions to enforce the boundary conditions via Galerkin‚Äôs method at the interface between the dielectric and the free-space regions. Numerical results are presented in graphical form for the transverse electric (TE) and transverse magnetic (TM) polarizations to illustrate the far-field radiation patterns, the gain versus coating thickness, and the aperture conductance versus coating thickness. ¬© 1989 IEEE</t>
  </si>
  <si>
    <t>1235-1241</t>
  </si>
  <si>
    <t>Richmond, Jack H.</t>
  </si>
  <si>
    <t>Richmond J.H.</t>
  </si>
  <si>
    <t>Axial Slot Antenna on Dielectric-Coated Elliptic Cylinder</t>
  </si>
  <si>
    <t>10.1109/8.43531</t>
  </si>
  <si>
    <t>2-s2.0-0024749666</t>
  </si>
  <si>
    <t>['wave distribution', 'wave antennas', 'resistive loading', 'parallel traveling', 'mutual impedances', 'input impedance', 'current may', 'coupling effects', 'array element', 'array applications']</t>
  </si>
  <si>
    <t>A traveling-wave distribution of current may be produced on a conventional linear antenna, such as a dipole, through resistive loading. The self- and mutual impedances of parallel traveling-wave linear antennas are measured and compared with those of the corresponding conventional linear antennas. A discussion of the coupling effects on the input impedance of an array element is presented, and it is shown that these effects are much less pronounced for traveling-wave antennas, which may be advantageous for some array applications. ¬© 1989 IEEE.</t>
  </si>
  <si>
    <t>1312-1316</t>
  </si>
  <si>
    <t>Altshuler, Edward E.</t>
  </si>
  <si>
    <t>Hanscom AFB</t>
  </si>
  <si>
    <t>Altshuler E.E.</t>
  </si>
  <si>
    <t>Self- and Mutual Impedances of Traveling-Wave Linear Antennas</t>
  </si>
  <si>
    <t>10.1109/8.43541</t>
  </si>
  <si>
    <t>2-s2.0-0024749667</t>
  </si>
  <si>
    <t>['wiley company', 'olympus satellite', 'inc .,', '30 ghz']</t>
  </si>
  <si>
    <t>corrugated horns | multifrequency antenna systems | reflector antennas | Satellite communications</t>
  </si>
  <si>
    <t>A multifrequency antenna system for future propagation experiments, at 12.5, 20, and 30 GHz with the Olympus satellite, is described. This antenna system consists of a 5.5 m Cassegrain reflector antenna and a multifrequency feed system. Copyright ¬© 1989 Wiley Periodicals, Inc., A Wiley Company</t>
  </si>
  <si>
    <t>368-370</t>
  </si>
  <si>
    <t>60032882;60032882;60032882;60032882</t>
  </si>
  <si>
    <t>7003821814;7003592642;6504560296;6603929918</t>
  </si>
  <si>
    <t>Herben, M. H.A.J.;de Maagt, P. J.I.;van de Goor, W. A.;Casper, A. C.A.</t>
  </si>
  <si>
    <t>Eindhoven</t>
  </si>
  <si>
    <t>Technische Universiteit Eindhoven</t>
  </si>
  <si>
    <t>Herben M.</t>
  </si>
  <si>
    <t>Multifrequency antenna system for propagation experiments at 12.5, 20, and 30 GHZ</t>
  </si>
  <si>
    <t>10.1002/mop.4650021009</t>
  </si>
  <si>
    <t>2-s2.0-0024749810</t>
  </si>
  <si>
    <t>Arizona Research Institute for Solar Energy</t>
  </si>
  <si>
    <t>970-ERER-ER-87</t>
  </si>
  <si>
    <t>AzRISE</t>
  </si>
  <si>
    <t>['¬© 1989', 'technique consists', 'specially built', 'room temperature', 'microwave reflection', 'magnetoresistance measurements', 'magnetic field', 'insulating gaas', 'important parameters', 'diffusion constant', 'calibrated antenna']</t>
  </si>
  <si>
    <t>A non-destructive microwave technique has been developed and implemented for measuring the most important parameters in solar cell materials: resistivity, mobility and minority carrier lifetime. The technique consists in observing the change in microwave reflection when the sample is placed in front of a specially built and well-calibrated antenna. Use of a d.c. magnetic field and of a pulse of light allows measurement of the majority carrier mobility and minority carrier lifetime. Application of these techniques to simple structures makes possible the measurement of interface recombination velocity and diffusion constant. Magnetoresistance measurements have been made to determine electron mobility in semi-insulating GaAs at room temperature. ¬© 1989.</t>
  </si>
  <si>
    <t>437-444</t>
  </si>
  <si>
    <t>Solar Cells</t>
  </si>
  <si>
    <t>October 1989/December 1989</t>
  </si>
  <si>
    <t>60025534;60025534;60025534</t>
  </si>
  <si>
    <t>6603770426;7103195129;7004403135</t>
  </si>
  <si>
    <t>Bothra, S.;Borrego, J. M.;Ghandhi, S. K.</t>
  </si>
  <si>
    <t>Troy</t>
  </si>
  <si>
    <t>Rensselaer Polytechnic Institute</t>
  </si>
  <si>
    <t>Bothra S.</t>
  </si>
  <si>
    <t>Evaluation of solar cell material parameters using a non-destructive microwave technique</t>
  </si>
  <si>
    <t>10.1016/0379-6787(89)90053-7</t>
  </si>
  <si>
    <t>2-s2.0-0024749861</t>
  </si>
  <si>
    <t>['¬© 1989', 'widely applied', 'sinusoid thin', 'richmond code', 'paper describes', 'later use', 'graphical form', 'geometrical data', 'existing datafiles', 'entered graphically', 'electromagnetic scattering', 'easily edited', 'automatic segmentation', 'also included']</t>
  </si>
  <si>
    <t>The method of moments, in the form of a boundary element method, has been widely applied to problems of electromagnetic scattering and radiation. The piecewise-sinusoid thin-wire antenna code developed by Richmond is reliable, efficient, and well-tested. This paper describes a personal-computer-based interactive pre- and post-processor code developed by the authors, which can be used to easily prepare data required for use with the Richmond code. All geometrical data is entered graphically, automatic segmentation of the structure is possible, datafiles can be stored for later use, existing datafiles (geometries) can be easily edited to create new geometries, and all numerical output data can be obtained in graphical form. The Richmond code is also included, for convenience, with the permission of its originator. ¬© 1989.</t>
  </si>
  <si>
    <t>457-461</t>
  </si>
  <si>
    <t>Computer Physics Communications</t>
  </si>
  <si>
    <t>60021902;60021902</t>
  </si>
  <si>
    <t>57225321613;57203176700</t>
  </si>
  <si>
    <t>Van Rensburg, D. J.Janse;McNamara, D. A.</t>
  </si>
  <si>
    <t>Van Rensburg D.J.J.</t>
  </si>
  <si>
    <t>An interactive computer-graphics-based processor for boundary element modelling of electromagnetic scattering by thin conducting wires</t>
  </si>
  <si>
    <t>10.1016/0010-4655(89)90137-9</t>
  </si>
  <si>
    <t>2-s2.0-0024749948</t>
  </si>
  <si>
    <t>['wiley company', 'wide angle', 'two points', 'transmission line', 'switched easily', 'studied extensively', 'simple construction', 'radiation pattern', 'radiating element', 'present principle', 'phase difference', 'paper proposes', 'orthogonal mode', 'numerical calculations', 'load terminals', 'input impedance', 'inc .,', 'current distribution', 'circular polarization', 'circular loop', '90 ¬∞']</t>
  </si>
  <si>
    <t>Recently, electromagnetically coupled microstrip antennas have been studied extensively. This paper proposes a new microstrip circularly polarized antenna in which an orthogonal mode with a phase difference of 90¬∞ is generated on a radiating element via the path length difference of the traveling wave currents on the strip transmission line coupled electromagnetically at two points with the radiating element. By experiments and numerical calculations, the operations of the circular loop and square patch circularly polarized antennas based on the present principle are confirmed. The radiation pattern, input impedance and current distribution are studied. The proposed circularly polarized antenna employing electromagnetic coupling has less spurious radiation from the transmission line than the direct coupled two‚Äêpoint fed structure and is enabled to provide an excellent circular polarization with a simple construction. Circular polarization can be obtained in a wide angle. If the input and load terminals are interchanged, the direction of the circular polarization can be switched easily. Copyright ¬© 1989 Wiley Periodicals, Inc., A Wiley Company</t>
  </si>
  <si>
    <t>86-93</t>
  </si>
  <si>
    <t>60008107;60008107;60008107;60008107</t>
  </si>
  <si>
    <t>7003938202;55432556100;6603667170;6701865440</t>
  </si>
  <si>
    <t>Kominami, Masanobu;Yasuda, Hirohiko;Uchibori, Takuji;Rokushima, Katsu</t>
  </si>
  <si>
    <t>Sakai</t>
  </si>
  <si>
    <t>Osaka Prefecture University</t>
  </si>
  <si>
    <t>Kominami M.</t>
  </si>
  <si>
    <t>Electromagnetically coupled microstrip antennas with circular polarization</t>
  </si>
  <si>
    <t>10.1002/ecja.4410721010</t>
  </si>
  <si>
    <t>2-s2.0-0024750387</t>
  </si>
  <si>
    <t>['wiley company', 'quantitative information', 'phase shifters', 'inc .,', 'design formulas', 'design examples']</t>
  </si>
  <si>
    <t>Circularly polarized antennas | microstrip antennas | Q‚Äêfactors</t>
  </si>
  <si>
    <t>This paper discusses simple designs for circularly polarized antennas without the need of phase shifters and power dividing networks. In particular, design formulas of several commonly used microstrip antennas are derived and quantitative information on the antenna Q‚Äêfactor is presented to facilitate the design. Design examples are given to illustrate the proposed design procedure. Copyright ¬© 1989 Wiley Periodicals, Inc., A Wiley Company</t>
  </si>
  <si>
    <t>357-361</t>
  </si>
  <si>
    <t>60000745;60000745;60000745</t>
  </si>
  <si>
    <t>7408120000;7401934487;26643168800</t>
  </si>
  <si>
    <t>Choi, S. J.;Lo, Y. T.;Chew, W. C.</t>
  </si>
  <si>
    <t>Choi S.</t>
  </si>
  <si>
    <t>Q‚Äêfactors and designs of CP microstrip antennas</t>
  </si>
  <si>
    <t>10.1002/mop.4650021006</t>
  </si>
  <si>
    <t>2-s2.0-0024750661</t>
  </si>
  <si>
    <t>['loaded patch', 'input impedance', 'experimental data', 'equivalent network', 'design procedure', 'computed results']</t>
  </si>
  <si>
    <t>The moment method solution to the problem of a reactively loaded circular patch is presented. Using the reaction integral equation in conjunction with the method of moments, parameters of the Thevenin's equivalent network for the loaded patch are obtained. From the equivalent network parameters an expression for the input impedance of the loaded patch is derived. A design procedure for a circularly polarised disk antenna is presented. Computed results are compared with the experimental data.</t>
  </si>
  <si>
    <t>417-419</t>
  </si>
  <si>
    <t>60000854;60000854</t>
  </si>
  <si>
    <t>7102211143;56526085600</t>
  </si>
  <si>
    <t>Deshpande, M. D.;Rao, Y. R.</t>
  </si>
  <si>
    <t>Deshpande M.D.</t>
  </si>
  <si>
    <t>Analysis of reactively loaded microstrip disk antenna</t>
  </si>
  <si>
    <t>10.1049/ip-h-2.1989.0074</t>
  </si>
  <si>
    <t>2-s2.0-0024750668</t>
  </si>
  <si>
    <t>ECS-8504606</t>
  </si>
  <si>
    <t>['yig film', 'wave propagation', 'variable delays', 'promising applications', 'plane containing', 'paper presents', 'insertion loss', 'good agreement', 'experimental results', 'delay line', 'conductor structure', 'angles corresponding', '300 mhz']</t>
  </si>
  <si>
    <t>This paper presents an investigation of insertion loss and constant variable delays in electronically variable magnetostatic volume wave delay lines. The delay line has a conductor-dielectric-YIG-dielec-tric-conductor structure. Variable delays up to 300 MHz have been obtained in single volume wave delay line by adjusting the direction and magnitude of the biasing dc magnetic field in a plane containing the normal to the YIG film and the direction of wave propagation. Insertion loss as a function of frequency has been obtained for different biasing field angles and also for the angles corresponding to variable constant delays. Comparison of theoretically obtained insertion loss has been made with experimental results, and good agreement is found. Electronically variable magnetostatic wave delay lines have promising applications in broadband phased array antennas at 1-20 GHz frequencies. ¬© 1989 IEEE</t>
  </si>
  <si>
    <t>1529-1535</t>
  </si>
  <si>
    <t>Bajpai, S. N.</t>
  </si>
  <si>
    <t>Bajpai S.</t>
  </si>
  <si>
    <t>Insertion Loss of Electronically Variable Magnetostatic Wave Delay Lines</t>
  </si>
  <si>
    <t>10.1109/22.40997</t>
  </si>
  <si>
    <t>2-s2.0-0024750698</t>
  </si>
  <si>
    <t>['reinforcement costs', 'rational approach', 'occasionally result', 'methodology relies', 'increased probabilities', 'failure attached', 'existing towers', 'economic consequences']</t>
  </si>
  <si>
    <t>There is a need to match guyed telecommunication tower strength requirements to the significance of the structure and the economic consequences of its failure. Uniformly high strength requirements will occasionally result in reinforcement costs that exceed the costs of the risk of failure. In answer to this, a rational approach has been used to develop a set of guidelines for the upgrading of existing towers. This methodology relies on the classification of towers in various reliability classes, having increased probabilities of failure attached, and correspondingly lower load factors for use in the analysis. Results from this research are presented, together with the recommended proposed guidelines.</t>
  </si>
  <si>
    <t>733-742</t>
  </si>
  <si>
    <t>Canadian journal of civil engineering</t>
  </si>
  <si>
    <t>60078994;60078994;60078994</t>
  </si>
  <si>
    <t>7006155362;6505987941;6506194489</t>
  </si>
  <si>
    <t>Bruneau, Michel;Magued, Mohammed H.;Dryburgh, Robert B.</t>
  </si>
  <si>
    <t>Burlington</t>
  </si>
  <si>
    <t>Morrison Hershfield Limited</t>
  </si>
  <si>
    <t>Bruneau M.</t>
  </si>
  <si>
    <t>Recommended guidelines for upgrading existing towers</t>
  </si>
  <si>
    <t>10.1139/l89-108</t>
  </si>
  <si>
    <t>2-s2.0-0024750729</t>
  </si>
  <si>
    <t>['wire grids', 'wiley company', 'relative bandwidth', 'radiation patterns', 'radiation pattern', 'moment method', 'measured data', 'inc .,', 'impedance characteristics', 'feedpoint impedance', 'element values', 'current distributions', 'antenna q']</t>
  </si>
  <si>
    <t>Characteristics of a planar inverted‚ÄêF antenna attached to a rectangular conducting body are analyzed. The rectangular conducting body is modeled by wire grids and the moment method is applied so that the impedance characteristics and the radiation patterns are obtained. They are compared with the measured data. The element values are found for the equivalent circuit using a parallel resonance circuit seen from the feedpoint impedance and the antenna Q is found. The relationship between the relative bandwidth and the variation of the equivalent circuit parameter vs. the dimensions of the rectangular conducting body is investigated. Variations of the current distributions on the body and the radiation pattern are studied. Copyright ¬© 1989 Wiley Periodicals, Inc., A Wiley Company</t>
  </si>
  <si>
    <t>43-51</t>
  </si>
  <si>
    <t>60003416;60003416;60014256;60014256</t>
  </si>
  <si>
    <t>55706119800;37046850700;7403304145;7102376306</t>
  </si>
  <si>
    <t>Sato, Kazuo;Matsumoto, Kazuhiro;Fujimoto, Kyohei;Hirasawa, Kazuhiro</t>
  </si>
  <si>
    <t>Tsukuba;Aichi District</t>
  </si>
  <si>
    <t>University of Tsukuba;Toyota Central Research Development Laboratory Inc</t>
  </si>
  <si>
    <t>60014256;60003416</t>
  </si>
  <si>
    <t>Sato K.</t>
  </si>
  <si>
    <t>Characteristics of a planar inverted‚ÄêF antenna on a rectangular conducting body</t>
  </si>
  <si>
    <t>10.1002/ecja.4410721005</t>
  </si>
  <si>
    <t>2-s2.0-0024750919</t>
  </si>
  <si>
    <t>['wiley company', 'theoretical analysis', 'shown theoretically', 'radiation pattern', 'parasitic elements', 'parasitic element', 'numerical data', 'inc .,', 'horizontal plane', 'excited element', 'calculated results', 'also shown', 'also presented']</t>
  </si>
  <si>
    <t>It is shown theoretically and experimentally that a multifrequency dipole antenna can be realized by placing parasitic elements close to an excited element. Numerical data for two‚Äêfrequency and five‚Äêfrequency operations are presented. In the theoretical analysis, current distribution along both the excited and parasitic elements are calculated, and it is verified that large density current is induced on the parasitic element, as well as on the excited element. It is also shown that the length of a parasitic element should be less than about 1/1.2 of the excited element to realize a new resonant frequency. Calculated results of the radiation pattern in the horizontal plane are also presented. Copyright ¬© 1989 Wiley Periodicals, Inc., A Wiley Company</t>
  </si>
  <si>
    <t>52-58</t>
  </si>
  <si>
    <t>60025555;60025555</t>
  </si>
  <si>
    <t>7004434439;35564404500</t>
  </si>
  <si>
    <t>Ebine, Yoshio;Kagoshima, Kenichi</t>
  </si>
  <si>
    <t>Ebine Y.</t>
  </si>
  <si>
    <t>Multifrequency dipole antenna with closed‚Äêspaced parasitic elements</t>
  </si>
  <si>
    <t>10.1002/ecja.4410721006</t>
  </si>
  <si>
    <t>2-s2.0-0024751042</t>
  </si>
  <si>
    <t>['wiley company', 'wider surface', 'used relating', 'two matrices', 'total array', 'simple algorithm', 'shunt slots', 'rectangular waveguide', 'present analysis', 'output waves', 'mutual coupling', 'inc .,', 'guide axis', 'free space', 'fast convergence', 'experimental measurements', 'excitation distribution', 'design methods', 'array considering', 'antenna elements', 'another matrix']</t>
  </si>
  <si>
    <t>This paper described analysis and design methods for planar array antennas with slotted waveguides consisting of shunt slots as antenna elements which are cut on the wider surface of a rectangular waveguide. A matrix was shown for the mutual coupling among shunt slots. Also, another matrix was used relating the input and output waves at the array feeder point and the input and output waves between the shunt slots and free space. Through these two matrices the input reflection characteristics and excitation distribution of the array considering the mutual coupling of the total array with the feeder system could easily be obtained. Utilizing the variation of the mutual coupling among the shunt slots when sizes and displacements of the shunt slots from the guide axis were varied to be small, a simple algorithm with fast convergence was presented. Through experimental measurements the validity and effectiveness of the present analysis and design methods were confirmed. Copyright ¬© 1989 Wiley Periodicals, Inc., A Wiley Company</t>
  </si>
  <si>
    <t>103-110</t>
  </si>
  <si>
    <t>60101699;60101699;60101699;60101699;60101699</t>
  </si>
  <si>
    <t>7402423697;6603171877;55725563300;7006380481;7004304668</t>
  </si>
  <si>
    <t>Konishi, Yoshihiko;Mizutamari, Hitoshi;Sato, Shin‚ÄêIchi ‚ÄêI;Mano, Seiji;Katagi, Takashi</t>
  </si>
  <si>
    <t>Mitsubishi Electric Corporation</t>
  </si>
  <si>
    <t>Konishi Y.</t>
  </si>
  <si>
    <t>Analysis and design methods of planar array antennas with slotted waveguides taking into account mutual coupling</t>
  </si>
  <si>
    <t>10.1002/ecja.4410721012</t>
  </si>
  <si>
    <t>2-s2.0-0024751102</t>
  </si>
  <si>
    <t>['waves travel', 'waves interacting', 'wave spectrum', 'plasma current', 'phase difference', 'multijunction launcher', 'main waveguide', 'launched waves', 'fast electrons', '2 mw']</t>
  </si>
  <si>
    <t>A multijunction launcher was designed and constructed to improve the directivity of launched waves with a narrow wave number spectrum by dividing each main waveguide into three secondary waveguides. The coupling characteristics agree fairly well with theory, and a power of up to 2 MW was obtained after a few days of conditioning. The dependence of the current drive efficiency Œ∑CD (= neIRFR/PLH) on the wave spectrum was studied by changing the phase difference between the adjacent main waveguides. It was found that high current drive efficiency is obtained by waves interacting with fast electrons as far into the plasma as the waves travel. A maximum current drive efficiency of 2.8 »ï 1019 A∆ÉW‚Äì1∆Ém‚Äì2 was achieved with this launcher at a plasma current of 1 MA. The efficiency of the multijunction launcher was higher by 40% than that of the previous conventional launcher on JT-60. ¬© 1989 IOP Publishing Ltd.</t>
  </si>
  <si>
    <t>1815-1819</t>
  </si>
  <si>
    <t>60012288;60012288;60012288;60012288;60012288;60012288;60012288;60012288;60012288;60012288;60012288;60012288;60012288;60012288;60012288</t>
  </si>
  <si>
    <t>56306963800;7403618682;7004600422;7402040244;57217499063;7004091156;57217766187;22993004600;55884856200;7201460244;22994975000;7103077834;36063470300;7201993686;15728962700</t>
  </si>
  <si>
    <t>Ikeda, Y.;Imai, T.;Ushigusa, K.;Seki, M.;Konishi, K.;Naito, O.;Honda, M.;Kiyono, K.;Maebara, S.;Nagashima, T.;Sawahata, M.;Suganuma, K.;Suzuki, N.;Uehara, K.;Yokokura, K.</t>
  </si>
  <si>
    <t>Ikeda Y.</t>
  </si>
  <si>
    <t>Efficient lower hybrid current drive using a multijunction launcher on JT-60</t>
  </si>
  <si>
    <t>10.1088/0029-5515/29/10/016</t>
  </si>
  <si>
    <t>2-s2.0-0024751343</t>
  </si>
  <si>
    <t>['wider context', 'various properties', 'unwanted effects', 'staggering concepts', 'single patch', 'sequentially rotating', 'sequential technique', 'mutual coupling', 'multiple reflections', 'measurements illustrate', 'main limitation', 'feeder effects', 'feeder connections', 'feed position', 'design principles', 'computations embracing', 'briefly reviewed', 'briefly illustrated']</t>
  </si>
  <si>
    <t>The technique of sequentially rotating the feed position of a microstrip patch antenna to improve the circular polarisation bandwidth of an array of such elements is briefly reviewed in the wider context of other known antenna parameter-staggering concepts. A first order analysis then shows how the sequential technique significantly improves the axial ratio bandwidth in relation to the number of patches in the array and the feeder connections. Unwanted effects such as feeder phase errors, multiple reflections in feeders, the presence of higher order modes and mutual coupling are then considered. Computations embracing these effects and measurements illustrate the various properties and topological options available. Finally, the application of the technique is briefly illustrated for a single patch and an array of patches. In conclusion the design principles are summarised and feeder effects are identified as the main limitation when implementing the sequential technique.</t>
  </si>
  <si>
    <t>381-389</t>
  </si>
  <si>
    <t>60009658;60009658;60009658</t>
  </si>
  <si>
    <t>57213425197;7003504220;7403018268</t>
  </si>
  <si>
    <t>Hall, P. S.;Dahele, J. S.;James, J. R.</t>
  </si>
  <si>
    <t>Hall P.</t>
  </si>
  <si>
    <t>Design principles of sequentially fed, wide bandwidth, circularly polarised microstrip antennas</t>
  </si>
  <si>
    <t>10.1049/ip-h-2.1989.0069</t>
  </si>
  <si>
    <t>2-s2.0-0024751350</t>
  </si>
  <si>
    <t>['two approaches', 'signal component', 'radiation sources', 'perform well', 'first eliminates', 'estimating angles', 'eigenstructure methods', 'covariance matrix', 'antenna array']</t>
  </si>
  <si>
    <t>Estimating angles of arrivals (AOA) of radiation sources using an antenna array with mutual coupling existing between elements is investigated. The presence of mutual coupling distorts phase vectors of radiation sources and the eigenstructure of the covariance matrix. Two approaches are proposed here to counteract that distortion so that eigenstructure methods can perform well. To resolve coherent sources, a method is described which first eliminates the distortion of the signal component of the covariance matrix and then applies spatial smoothing to decorrelate the coherence between sources. Computer simulation results show that the proposed methods successfully counteract mutual coupling. ¬© 1989 IEEE</t>
  </si>
  <si>
    <t>1332-1335</t>
  </si>
  <si>
    <t>60005429-60002873;60005429</t>
  </si>
  <si>
    <t>7401672122;6508088371</t>
  </si>
  <si>
    <t>Yeh, Chien Chung;Leou, Maw Lin</t>
  </si>
  <si>
    <t>Taiwan;United States</t>
  </si>
  <si>
    <t>Taipei;Chicago</t>
  </si>
  <si>
    <t>National Taiwan University;Illinois Institute of Technology</t>
  </si>
  <si>
    <t>60005429;60002873</t>
  </si>
  <si>
    <t>Bearing Estimations with Mutual Coupling Present</t>
  </si>
  <si>
    <t>10.1109/8.43546</t>
  </si>
  <si>
    <t>2-s2.0-0024751490</t>
  </si>
  <si>
    <t>King Abdulaziz University</t>
  </si>
  <si>
    <t>06-509</t>
  </si>
  <si>
    <t>KAU</t>
  </si>
  <si>
    <t>['type codes', 'quadt trial', 'planar arrays', 'omnidirectional linear', 'nonbinary huffman', 'new approach', 'feeding sequences', 'fed arrays', 'easily adapted', 'direct applications', 'correlation function', 'basic theory', 'barker codes', 'antenna arrays']</t>
  </si>
  <si>
    <t>The synthesis of linear and planar arrays of desired omnidirectional intensity patterns is considered. A new approach that utilizes the relation between the array intensity pattern and the correlation function of the used feeding sequence, or code, is adopted. The basic theory of such code-fed arrays is reviewed and it is shown that almost omnidirectional patterns result when codes with sharp autocorrelation functions are used as the feeding sequences. Examples of omnidirectional linear and planar arrays fed with Barker codes, Kuttruff-Quadt trial and error twodimensional binary codes, and nonbinary Huffman-type codes are presented. The results of the paper have direct applications in underwater communication systems, public address systems, and in acoustical imaging systems. They can also be easily adapted to antenna arrays. ¬© 1989 IEEE</t>
  </si>
  <si>
    <t>384-395</t>
  </si>
  <si>
    <t>60004582;60033041;60004582;60004582</t>
  </si>
  <si>
    <t>56036145100;6701856843;56838308000;6505840663</t>
  </si>
  <si>
    <t>El-Khamy, Said E.;Abdel Alim, Onsy A.;Rushdl, Ali M.;Banah, Abdulfattah H.</t>
  </si>
  <si>
    <t>Egypt;Saudi Arabia</t>
  </si>
  <si>
    <t>Alexandria;Jeddah</t>
  </si>
  <si>
    <t>Alexandria University;King Abdulaziz University</t>
  </si>
  <si>
    <t>60033041;60004582</t>
  </si>
  <si>
    <t>El-Khamy S.E.</t>
  </si>
  <si>
    <t>Code-Fed Omnidirectional Arrays</t>
  </si>
  <si>
    <t>10.1109/48.35989</t>
  </si>
  <si>
    <t>2-s2.0-0024751995</t>
  </si>
  <si>
    <t>['¬© 1989', 'total system', 'systematic design', 'strong coupling', 'shown realizable', 'rights reserved', 'reliable mechanism', 'practical use', 'practical applicability', 'mechanical engineers', 'local coordinates', 'japan society', 'graphical synthesis', 'functional sufficiency', 'effective positioning', 'dynamic characteristics', 'design method', 'decoupling characteristics', 'actuator system']</t>
  </si>
  <si>
    <t>Actuator System Synthesis | Antenna Pointing. Broadcasting Satellite | Characteristic Matrix | Decoupling | High-precision Positioning | Magnetic Suspension</t>
  </si>
  <si>
    <t>Graphical synthesis of the actuator system in the magnetically suspended positioning mechanism is realized, and its functional sufficiency is confirmed using linear algebra. Decoupling characteristics in the Cartesian coordinate system in spite of the strong coupling in the local coordinates were shown realizable by a mechanism structural design, that leads to a simple-structured, effective positioning, vibration-free and reliable mechanism. The basic dynamic equation which allows the systematic design of the dynamic characteristics of the total system was formulated. The design method in this report attaches importance to practical applicability, and accordingly, conditions for practical use are taken into consideration. ¬© 1989, The Japan Society of Mechanical Engineers. All rights reserved.</t>
  </si>
  <si>
    <t>2559-2568</t>
  </si>
  <si>
    <t>Transactions of the Japan Society of Mechanical Engineers Series C</t>
  </si>
  <si>
    <t>Shingu, Shitta</t>
  </si>
  <si>
    <t>Shingu S.</t>
  </si>
  <si>
    <t>Design Method of Magnesically Suspended Positioning Mechanism (1st Report, Actuator System Synthesis and Decoupling by Mechanism Structural Design)</t>
  </si>
  <si>
    <t>10.1299/kikaic.55.2559</t>
  </si>
  <si>
    <t>2-s2.0-0024752186</t>
  </si>
  <si>
    <t>['wiley company', 'transmission codes', 'system using', 'reflector site', 'reflected echoes', 'radar site', 'radar reflector', 'probability distribution', 'present authors', 'practical use', 'passive telemetry', 'passive device', 'paper presents', 'outdoor experiments', 'long period', 'inverting effect', 'information including', 'inc .,', 'identification code', 'experimental results', 'evaluated result', 'electrically controlling', 'demodulator device', 'demodulation process', 'controllable reflectivity', 'conducted successfully', 'communication systems', 'also presented', 'acquiring data']</t>
  </si>
  <si>
    <t>A radar reflector with controllable reflectivity has been proposed by one of the present authors. This reflector is capable of electrically controlling its radar cross section. By using this reflector as a target, information including an identification code at a reflector site can be sent to a radar site by the modulation of reflected echoes. Thus, we can build up a passive telemetry system consisting of radar, the reflectors and a demodulator device. Since the reflector is a passive device, it does not interfere with other communication systems. Furthermore, the system at the reflector site uses little power because it has no transmitter. Experiments on the ground and on the sea have been conducted successfully. This paper presents a method of acquiring data in the case of a rotating radar antenna, transmission codes which eliminated the inverting effect of the reflection on the sea, and a type of demodulation process. The evaluated result of this system from outdoor experiments is also presented. The reflector was put into practical use as a traffic monitoring system and tested over a long period. From the experimental results it was discovered that the demodulation method using automatic threshold selection based on the probability distribution was the most successful. Hence, from the foregoing, we are able to conclude that the system using the radar reflector with controllable reflectivity is useful in passive telemetry. Copyright ¬© 1989 Wiley Periodicals, Inc., A Wiley Company</t>
  </si>
  <si>
    <t>32-42</t>
  </si>
  <si>
    <t>60002561;60002561-117293655;60002561;60002561</t>
  </si>
  <si>
    <t>35554356600;7003399665;6504409983;35397626800</t>
  </si>
  <si>
    <t>Hasebe, Nozomu;Hanabusa, Mikio;Kaneita, Akihiro;Takahashi, Yoshihiro</t>
  </si>
  <si>
    <t>Tokyo;</t>
  </si>
  <si>
    <t>Nihon University;Matsushita Communication Co., Ltd</t>
  </si>
  <si>
    <t>60002561;117293655</t>
  </si>
  <si>
    <t>Hasebe N.</t>
  </si>
  <si>
    <t>Passive telemetry using radar reflectors with controllable reflectivity</t>
  </si>
  <si>
    <t>10.1002/ecja.4410721004</t>
  </si>
  <si>
    <t>2-s2.0-0024752530</t>
  </si>
  <si>
    <t>['two surfaces', 'two foci', 'symmetrical lens', 'specified degree', 'solution proposed', 'reflection symmetry', 'plane face', 'obtain results', 'longstanding problem', 'iterative procedure', 'homographic range', 'geometrical interpretation', 'four points', 'focusing reflector', 'first step', 'conducting plane', 'conducting layer', 'central plane', 'asymmetrical one', 'asymmetrical foci', 'astigmatic lens', 'approximation improves']</t>
  </si>
  <si>
    <t>The design of the dielectric coating necessary to convert a conducting plane into a focusing reflector is shown to be identical to that of designing an astigmatic lens with a focus at infinity, which has two surfaces with reflection symmetry about a central plane. The design of such a symmetrical lens with asymmetrical foci is a longstanding problem in optics. The solution proposed is to extend a geometrical interpretation of the completely symmetrical lens to accommodate by inference the asymmetrical. This states that the four points, the two foci, the centre of the lens and the point at which a bisected lens would focus, form an homographic range on the axis. This is true for the symmetrical lens, and gives an extremely good approximation to the asymmetrical one. The approximation improves as the system becomes paraxial, and can be used as the first step in an iterative procedure to obtain results to any specified degree of accuracy. The designed 'half-lens' with a conducting layer over the plane face, then constitutes the corrected plane reflector.</t>
  </si>
  <si>
    <t>377-380</t>
  </si>
  <si>
    <t>Combleet, S.</t>
  </si>
  <si>
    <t>Guildford</t>
  </si>
  <si>
    <t>University of Surrey</t>
  </si>
  <si>
    <t>Combleet S.</t>
  </si>
  <si>
    <t>Dielectric corrected plane reflector: an unusual solution</t>
  </si>
  <si>
    <t>10.1049/ip-h-2.1989.0068</t>
  </si>
  <si>
    <t>2-s2.0-0024752551</t>
  </si>
  <si>
    <t>['upgrading guidelines', 'strength levels', 'standard developments', 'recent edition', 'partly accountable', 'paper proposes', 'paper demonstrates', 'often reviewed', 'new antennas', 'many cases', 'international standards', 'guyed towers', 'general comments', 'failure rate', 'existing towers', 'earlier versions', 'development work', 'canadian standard', 'approach towards', 'also reviewed', 'also examined']</t>
  </si>
  <si>
    <t>This paper demonstrates that the failure rate for guyed towers designed to earlier versions of CAN-CSA-S37 Standard Antennas, Towers and is generally unacceptably high. General comments on standard developments and various design philosophies are presented. The evolution of the Canadian standard for the design of guyed towers is also examined, as deficiencies in earlier versions of S37 are partly accountable for the high observed failure rate. Other international standards for the design and analysis of guyed towers are also reviewed for their approach towards the upgrading of existing towers. Since guyed telecommunication towers are often reviewed for addition of new antennas, upgrading to the strength levels of the most recent edition of the standard - as required in many cases - can be very expensive. Yet, in many cases, much of this expense is unjustified for a variety of reasons. This paper proposes the need for the development of upgrading guidelines and further development work on S37.</t>
  </si>
  <si>
    <t>725-732</t>
  </si>
  <si>
    <t>6505987941;7006155362;6506194489</t>
  </si>
  <si>
    <t>Magued, Mohammed H.;Bruneau, Michel;Dryburgh, Robert B.</t>
  </si>
  <si>
    <t>Magued M.</t>
  </si>
  <si>
    <t>Evolution of design standards and recorded failures of guyed towers in Canada</t>
  </si>
  <si>
    <t>10.1139/l89-107</t>
  </si>
  <si>
    <t>2-s2.0-0024752779</t>
  </si>
  <si>
    <t>['wiley company', 'theoretical analysis', 'realized easily', 'radiation characteristics', 'paper presents', 'offset feed', 'obtained results', 'obtained numerically', 'multiple feed', 'moment method', 'input impedance', 'input characteristics', 'inc .,', 'impedance matching', 'flushmounted antenna', 'diagonal line', 'antenna element']</t>
  </si>
  <si>
    <t>A shallow cavity‚Äêbacked slot antenna has been used as a flushmounted antenna in a high‚Äêspeed moving object since it is resistant to vibration and shock. This paper presents a theoretical analysis for a circularly polarized antenna consisting of a crossed‚Äêslot along the diagonal line on the surface of a rectangular shallow cavity. As a method of analysis, the reaction matching method has been used which was developed by Richmond as a form of the moment method by Harrington. By means of this method, the input impedance can be obtained over a broad frequency range in the case where an offset feed and a multiple feed are used. In this paper, an offset symmetric two‚Äêpoint feed is used so that the impedance matching can be realized easily. The input characteristics and the radiation characteristics of the antenna element are obtained numerically and the obtained results are discussed. Copyright ¬© 1989 Wiley Periodicals, Inc., A Wiley Company</t>
  </si>
  <si>
    <t>94-102</t>
  </si>
  <si>
    <t>60014652;60014652;60014652;60014652</t>
  </si>
  <si>
    <t>7404897527;36905811000;35516180700;36770322000</t>
  </si>
  <si>
    <t>Itoh, Kiyohiko;Iizuka, Hiroshi;Ogawa, Yasutaka;Baba, Hiroshi</t>
  </si>
  <si>
    <t>Itoh K.</t>
  </si>
  <si>
    <t>A crossed‚Äêslot antenna backed by a rectangular cavity</t>
  </si>
  <si>
    <t>10.1002/ecja.4410721011</t>
  </si>
  <si>
    <t>2-s2.0-0024752842</t>
  </si>
  <si>
    <t>['wiley company', 'rectangular mesh', 'previous paper', 'inc .,', 'diplexer based', 'design method', 'complementary principle', 'brick arrangement', 'author proposed', 'also available']</t>
  </si>
  <si>
    <t>This paper investigates theoretically and experimentally a rectangular metallic patch array as a low‚Äêpass quasi‚Äêoptical diplexer. By complementary principle and experiment, it is demonstrated that the brick arrangement of rectangles is also available for broadbanding. In a previous paper the author proposed such an arrangement for high‚Äêpass quasi‚Äêoptical filters by rectangular mesh. Also, the method of analysis for the dielectric multilayered patch array is presented, and the design method for the diplexer based on the analysis is described. The validity of the analysis and the design method are confirmed by experiment. Copyright ¬© 1989 Wiley Periodicals, Inc., A Wiley Company</t>
  </si>
  <si>
    <t>13-22</t>
  </si>
  <si>
    <t>Iwata, Ryuichi</t>
  </si>
  <si>
    <t>NEC Corporation</t>
  </si>
  <si>
    <t>Iwata R.</t>
  </si>
  <si>
    <t>Lowpass type quasi‚Äêoptical diplexer by rectangular metallic patch array</t>
  </si>
  <si>
    <t>10.1002/ecja.4410721002</t>
  </si>
  <si>
    <t>2-s2.0-0024753160</t>
  </si>
  <si>
    <t>['wiley company', 'scanning directions', 'reflector antenna', 'provides guidance', 'primary radiator', 'multibeam antenna', 'inc .,', 'grid plate', 'design method', 'beam scanning']</t>
  </si>
  <si>
    <t>When a multibeam antenna uses a reflector antenna, the effect of blocking for a large feeder system cannot be neglected. An offset type becomes advantageous for such a case. However, the cross‚Äêpolarized waves increase due to asymmetry of the reflector. We considered an antenna in which a grid plate is inserted between the primary radiator and the reflector. We can suppress the components of cross‚Äêpolarized waves by choosing the position of the grid plate and by designing strip patterns. In this paper, we performed a full‚Äêwave analysis for such an antenna. We clarified the cross‚Äêpolarization suppression effects of grids during beam scanning. It provides guidance in designing a multibeam antenna. We showed a design method using geometric optics for strip patterns according to scanning directions. We confirmed the effectiveness of this design method. Copyright ¬© 1989 Wiley Periodicals, Inc., A Wiley Company</t>
  </si>
  <si>
    <t>23-31</t>
  </si>
  <si>
    <t>60031126;60031126</t>
  </si>
  <si>
    <t>6602928797;35495699200</t>
  </si>
  <si>
    <t>Chikara, Sakae;Ando, Makoto</t>
  </si>
  <si>
    <t>Chikara S.</t>
  </si>
  <si>
    <t>Beam‚Äêscanning characteristics of offset reflector antennas with polarization grids</t>
  </si>
  <si>
    <t>10.1002/ecja.4410721003</t>
  </si>
  <si>
    <t>2-s2.0-0024753161</t>
  </si>
  <si>
    <t>['wiley company', 'result indicates', 'inc .,', 'frequency response', 'fiber length']</t>
  </si>
  <si>
    <t>antennas | electric‚Äêfield sensors | Fiber optics</t>
  </si>
  <si>
    <t>An electrically short fiber‚Äêoptic electric‚Äêfield sensor has a sensitivity that is proportional to the fiber length. In this paper an analysis is presented for a sensor with an electrically long fiber. The result indicates that zeros will occur in the frequency response. A sensitivity tapering technique is presented which prevents these zeros from occurring. Copyright ¬© 1989 Wiley Periodicals, Inc., A Wiley Company</t>
  </si>
  <si>
    <t>361-364</t>
  </si>
  <si>
    <t>60018319;60018319</t>
  </si>
  <si>
    <t>7101964419;56989130200</t>
  </si>
  <si>
    <t>Atkinson, Leonard A.;Kruppa, Walter</t>
  </si>
  <si>
    <t>Fairfax</t>
  </si>
  <si>
    <t>George Mason University</t>
  </si>
  <si>
    <t>Atkinson L.</t>
  </si>
  <si>
    <t>Analysis of an electrically long, all‚Äêdielectric, fiber‚Äêoptic electric‚Äêfield sensor</t>
  </si>
  <si>
    <t>10.1002/mop.4650021007</t>
  </si>
  <si>
    <t>2-s2.0-0024753304</t>
  </si>
  <si>
    <t>['source antenna', 'plane perpendicular', 'loss factor', 'field pattern', 'electromagnetic wave', 'dielectric cylinder', 'cylinder axis', 'complex permittivity', 'automated measurement']</t>
  </si>
  <si>
    <t>An electromagnetic wave is scattered by a dielectric cylinder in a manner that is determined by its permittivity. The far-field pattern in the plane perpendicular to the cylinder axis is examined when the dielectric is illuminated by a line-source antenna that is parallel to the axis of the cylinder. An automated measurement of the complex permittivity is compared with a computed result based on theory. When the loss factor is high this method becomes competitive with other techniques. ¬© 1989 IEEE</t>
  </si>
  <si>
    <t>1012-1014</t>
  </si>
  <si>
    <t>Ando, Toshikazu</t>
  </si>
  <si>
    <t>Osaka</t>
  </si>
  <si>
    <t>Osaka Institute of Technology</t>
  </si>
  <si>
    <t>Ando T.</t>
  </si>
  <si>
    <t>Determining Complex Permittivity by Measuring the Scattered Waveform from a Dielectric Circular Cylinder</t>
  </si>
  <si>
    <t>10.1109/19.39048</t>
  </si>
  <si>
    <t>2-s2.0-0024753421</t>
  </si>
  <si>
    <t>ECS-83-11345</t>
  </si>
  <si>
    <t>['solution based', 'radiated field', 'prescribed focus', 'power deposition', 'popular conjugate', 'paper shows', 'optimum solution', 'new variation', 'near field', 'form solution', 'field scheme', 'eigenvalue problem', 'biological tissue', 'arbitrary medium']</t>
  </si>
  <si>
    <t>A new variation of the array gain optimization problem has arisen in the study of microwave arrays used for hyperthermia, the heating of biological tissue. For a given array configuration and arbitrary medium it is desired to maximize the power deposition at a prescribed focus in the near field of the array. This paper shows how the optimum excitation may be found by solving an eigenvalue problem. Our optimum solution is compared with two other solutions, namely a closed-form solution which optimizes the power in one linear polarization of the radiated field, and a solution based on the popular conjugate-field scheme. ¬© 1989 IEEE</t>
  </si>
  <si>
    <t>1629-1635</t>
  </si>
  <si>
    <t>60022774;60000745</t>
  </si>
  <si>
    <t>6601966872;7601396617</t>
  </si>
  <si>
    <t>Loane, Joseph T.;Lee, Shung Wu</t>
  </si>
  <si>
    <t>Boulevard;Urbana</t>
  </si>
  <si>
    <t>Lockheed Martin Space Systems Company;University of Illinois Urbana-Champaign</t>
  </si>
  <si>
    <t>Loane J.</t>
  </si>
  <si>
    <t>Gain Optimization of a Nearfield Focusing Array for Hyperthermia Applications</t>
  </si>
  <si>
    <t>10.1109/22.41011</t>
  </si>
  <si>
    <t>2-s2.0-0024753529</t>
  </si>
  <si>
    <t>['plane array', 'order explanation', 'one mode', 'one cell', 'numerical study', 'method segmentation', 'lpdas shows', 'good first', 'established moment', 'compare favorably', 'characteristic modes', 'asymmetry resonance']</t>
  </si>
  <si>
    <t>The method of characteristic modes is implemented in the form of a general-purpose computer program based on an established moment-method program using piecewise sinusoids. Application of the method to the log-periodic dipole antenna (LPDA) yields characteristic modes that are insensitive to changes in moment-method segmentation and are revealing with regard to parasitic resonance phenomena. The study of the modes on LPDAs shows that the asymmetry resonance is dominated by a mode that is not restricted to one cell, although the single-resonant-cell postulate remains a good first-order explanation. On the other hand, the symmetric termination resonance is shown to involve more than one mode. A numerical study of various antenna deformations shows that only length extensions cause strong asymmetry resonances. The E-plane array is analyzed, and the results are shown to compare favorably with experiment. ¬© 1989 IEEE</t>
  </si>
  <si>
    <t>1224-1234</t>
  </si>
  <si>
    <t>Hilbert, Martin</t>
  </si>
  <si>
    <t>Toronto</t>
  </si>
  <si>
    <t>University of Toronto</t>
  </si>
  <si>
    <t>Hilbert M.</t>
  </si>
  <si>
    <t>Resonance Phenomena of Log-Periodic Antennas: Characteristic-Mode Analysis</t>
  </si>
  <si>
    <t>10.1109/8.43530</t>
  </si>
  <si>
    <t>2-s2.0-0024753703</t>
  </si>
  <si>
    <t>['transmission line', 'numerical calculations', 'experimental results', 'coaxial feeder', 'antenna impedance']</t>
  </si>
  <si>
    <t>Dipole antenna | Fast wave, antenna coupling | Non inductive current drive | Parabolic cylinder function | Plasma heating | Tokamak</t>
  </si>
  <si>
    <t>A simplified fast wave coupling theory for a phased dipole array is described with non zero poloidal wave number for the step-plus-ramp density model, taking boundary conditions of fields into consideration. The coupling property looking from the transmission line is also derived since characteristic impedance of the coaxial feeder is, in general, different from the antenna impedance. The numerical calculations on coupling are carried out and compared with experimental results on the global reflection coefficient. ¬© 1989 IOP Publishing Ltd.</t>
  </si>
  <si>
    <t>2011-2017</t>
  </si>
  <si>
    <t>10 R</t>
  </si>
  <si>
    <t>Japanese Journal of Applied Physics</t>
  </si>
  <si>
    <t>60000264-60016074;60000264-60015970</t>
  </si>
  <si>
    <t>55471188200;57082283400</t>
  </si>
  <si>
    <t>Matsumoto, Kazunori;Ohkubo, Kunizo</t>
  </si>
  <si>
    <t>Yamagata;Toki;Nagoya</t>
  </si>
  <si>
    <t>Yamagata University;National Institutes of Natural Sciences - National Institute for Fusion Science;Nagoya University</t>
  </si>
  <si>
    <t>60016074;60015970;60000264</t>
  </si>
  <si>
    <t>Matsumoto K.</t>
  </si>
  <si>
    <t>Coupling to the fast wave by the phased dipole array antenna near the lower hybrid frequency</t>
  </si>
  <si>
    <t>10.1143/JJAP.28.2011</t>
  </si>
  <si>
    <t>2-s2.0-0024753769</t>
  </si>
  <si>
    <t>['weak compared', 'quantization error', 'problems involved', 'probe antenna', 'output signal', 'noise floor', 'microwave scanning', 'measure electric', 'magnetic fields', 'incident fields', 'ended dielectric', 'dielectric cylinder']</t>
  </si>
  <si>
    <t>MSCAN (Microwave SCANning) is a computer-controlled system designed to measure electric and magnetic fields in a liquid ambient medium. A two-axis positioning system moves a probe antenna, and the probe's output signal is measured by a Hewlett-Packard 8410B automatic network analyzer. The fields are normalized to a selected reference point. An analysis of the quantization error in the HP8410B has been made in order to estimate a bound on the accuracy of the system. MSCAN has been used to measure the normalized electric field radiated by an open-ended dielectric-filled waveguide antenna in a water ambient medium at approximately 3 GHz. Normalized scattered fields, found from the difference between total and incident fields, were measured from a dielectric cylinder. However, the results were poor when fields were weak compared to the noise floor of the HP8410B. The problems involved in performing such measurements are discussed. ¬© 1989 IEEE</t>
  </si>
  <si>
    <t>948-953</t>
  </si>
  <si>
    <t>60028897;60028897;60028897</t>
  </si>
  <si>
    <t>57198106772;56803516700;7004837460</t>
  </si>
  <si>
    <t>Kozlowski, A. James;Stuchly, Stanislaw S.;Ney, Michel M.</t>
  </si>
  <si>
    <t>University of Ottawa</t>
  </si>
  <si>
    <t>Kozlowski A.J.</t>
  </si>
  <si>
    <t>MSCAN-A Microwave Field Scanning System</t>
  </si>
  <si>
    <t>10.1109/19.39035</t>
  </si>
  <si>
    <t>2-s2.0-0024753879</t>
  </si>
  <si>
    <t>['various values', 'tm13mode radiates', 'theoretical analysis', 'surface waves', 'obtained separately', 'layered medium', 'integral equation']</t>
  </si>
  <si>
    <t>A theoretical analysis of the excitation of surface waves on a microstrip ring antenna is presented. The problem is formulated using dyadic Green‚Äôs functions in a layered medium with magnetic-type equivalent current sources. The integral equation for the fields is solved in the wave number complex plane, such that the fields from space and surface waves are obtained separately. The space wave radiation efficiency is calculated for the TM11, TM12, and TM,13modes, for various values of the normalized dielectric substrate thickness, It is noted that the TM13mode radiates more efficiently than the TM11 and TM12modes. The results are of importance in the design of these antennas. ¬© 1989 IEEE</t>
  </si>
  <si>
    <t>1310-1312</t>
  </si>
  <si>
    <t>60024989;60024989-60029570</t>
  </si>
  <si>
    <t>35617724800;56838568300</t>
  </si>
  <si>
    <t>Soares, Ant√¥nio Jos√© Martins;De Assis, S√ârgio Barroso</t>
  </si>
  <si>
    <t>Brazil;Brazil</t>
  </si>
  <si>
    <t>Campinas;Brasilia</t>
  </si>
  <si>
    <t>Universidade Estadual de Campinas;Universidade de Bras√≠lia</t>
  </si>
  <si>
    <t>60029570;60024989</t>
  </si>
  <si>
    <t>Soares A.J.M.</t>
  </si>
  <si>
    <t>Surface Wave Excitation on a Microstrip Ring Antenna</t>
  </si>
  <si>
    <t>10.1109/8.43540</t>
  </si>
  <si>
    <t>2-s2.0-0024753963</t>
  </si>
  <si>
    <t>['pyramidal horns', 'polar gain', 'dissipative material', 'cross polarization', 'corresponding loss', '7 db', '1 db']</t>
  </si>
  <si>
    <t>A reduction of 7 dB in cross polarization in pyramidal horns is achieved by covering the walls of the horn with a dissipative material. The corresponding loss in co-polar gain is found to be less than 1 dB. The effect of dissipative material is to reduce wall surface currents and hence cross polarization. ¬© 1989 IEEE</t>
  </si>
  <si>
    <t>1316-1317</t>
  </si>
  <si>
    <t>60071723;60071723</t>
  </si>
  <si>
    <t>7003896782;6508168497</t>
  </si>
  <si>
    <t>Ghobrial, Samir I.;Sharobim, H. R.</t>
  </si>
  <si>
    <t>Sudan</t>
  </si>
  <si>
    <t>Khartoum</t>
  </si>
  <si>
    <t>Khartoum University</t>
  </si>
  <si>
    <t>Ghobrial S.I.</t>
  </si>
  <si>
    <t>Radiation Patterns of a Paraboloidal Reflector Fed by a Pyramidal Horn with Lossy Walls</t>
  </si>
  <si>
    <t>10.1109/8.43542</t>
  </si>
  <si>
    <t>2-s2.0-0024753964</t>
  </si>
  <si>
    <t>['weight vector', 'null constraint', 'incoherent interference', 'coherent interferes', 'coherent interferers', 'coherent interference', 'bearing estimation', 'arrival angles', 'array performance', 'array output', 'arbitrary geometry', 'approach requires', 'approach constructs']</t>
  </si>
  <si>
    <t>In this work, an approach is investigated that can be applied to an array of arbitrary geometry for coherent and incoherent interference suppression. This approach constructs a weight vector which minimizes the array output power subject to null constraint in directions of the coherent interferes. In this way, the coherent interference is suppressed by the null constraint and the incoherent interference is suppressed by minimizing the array output. This approach requires the estimation of arrival angles of coherent interferers. A simple bearing estimation method is described, which can be applied to the scenario of one coherent interferer. The effect of error in bearing estimation on the array performance is discussed. Using a high-order null constraint to counteract that error is discussed. ¬© 1989 IEEE.</t>
  </si>
  <si>
    <t>1317-1322</t>
  </si>
  <si>
    <t>7401672122;7501753591</t>
  </si>
  <si>
    <t>Yeh, Chien Chung;Wang, Wun Der</t>
  </si>
  <si>
    <t>Coherent Interference Suppression by an Antenna Array of Arbitrary Geometry</t>
  </si>
  <si>
    <t>10.1109/8.43543</t>
  </si>
  <si>
    <t>2-s2.0-0024753965</t>
  </si>
  <si>
    <t>['submerged submarine', 'required sensitivity', 'representative calculations', 'relative orders', 'one hand', 'method parallels', 'material media', 'major changes', 'important improvement', 'fields involved', 'earlier study', 'conductor buried', 'also incorporated']</t>
  </si>
  <si>
    <t>The properties of lateral electromagnetic waves on the one hand and antennas in material media on the other are applied to the problem of locating a submerged submarine from measurements of the scattered field observed on the surface of the sea. The method parallels an earlier study on the locating of a conductor buried in the earth. However, major changes are required because of the quite different properties of the media and the consequent very much lower frequencies. An important improvement is also incorporated in the use of circularly polarized lateral waves. Representative calculations are made to illustrate the relative orders of magnitude of the dimensions and fields involved and the required sensitivity of a receiver. ¬© 1989 IEEE</t>
  </si>
  <si>
    <t>1250-1255</t>
  </si>
  <si>
    <t>Lateral Electromagnetic Waves from a Horizontal Antenna for Remote Sensing in the Ocean</t>
  </si>
  <si>
    <t>10.1109/8.43533</t>
  </si>
  <si>
    <t>2-s2.0-0024754005</t>
  </si>
  <si>
    <t>['wiley company', 'small antenna', 'radiation efficiency', 'new method', 'measurement site', 'inc .,', 'human body', 'electric gear', 'ddd value', 'also proposed']</t>
  </si>
  <si>
    <t>The indoor random field measurement (RFM) method is useful for measuring the radiation efficiency of a small built‚Äêin antenna operating in the vicinity of electric gear and the human body. In this paper we report on the first experimental check of the accuracy of the indoor RFM method. We introduce the DDD value as a figure of merit for the measurement site. A new method of using radiowave scatterers is also proposed to improve the accuracy of the measurement. We find that the new indoor RFM method is effective for measuring the radiation efficiency of a small antenna. Copyright ¬© 1989 Wiley Periodicals, Inc., A Wiley Company</t>
  </si>
  <si>
    <t>60018735;60018735</t>
  </si>
  <si>
    <t>7404540549;7005899861</t>
  </si>
  <si>
    <t>Maeda, Tadahiko;Morooka, Tasuku</t>
  </si>
  <si>
    <t>Toshiba Corporation</t>
  </si>
  <si>
    <t>Experimental studies and improvements on the accuracy of the indoor random field measurement method for obtaining the radiation efficiency of electrically small antennas</t>
  </si>
  <si>
    <t>10.1002/ecja.4410721007</t>
  </si>
  <si>
    <t>2-s2.0-0024754082</t>
  </si>
  <si>
    <t>['stochastic ionosphere', 'realistic case', 'polar regions', 'layer model', 'ionospheric fluctuations', 'influenced essentially', 'ground field', 'geostationary satellites', 'electromagnetic waves', 'electrically anisotropic', 'earth space', 'dimensional three', 'carrier wave', 'anisotropic media']</t>
  </si>
  <si>
    <t>The propagation of electromagnetic waves from satellites to the earth is influenced essentially by the electrically anisotropic behavior of the ionosphere. Fluctuating ionospheric parameters cause perturbations in the signal. The ground field of arbitrarily shaped linear antennas of geostationary satellites for polar regions is calculated. For this the passage of a carrier wave through a homogeneous, electrically anisotropic as well as stochastic ionosphere, imbedded in a two-dimensional three-layer model (near-earth space, ionosphere, atmosphere) is considered. To take into account perturbations due to the ionospheric fluctuations we use Uscinski‚Äôs multiple scatter theory, which has been extended to anisotropic media. Finally, the theory of Arbel and Felsen is applied to derive field representations for the more realistic case of a homogeneously stratified anisotropic ionosphere. ¬© 1989 IEEE</t>
  </si>
  <si>
    <t>1256-1264</t>
  </si>
  <si>
    <t>60019663;60019663</t>
  </si>
  <si>
    <t>6701770697;56455084900</t>
  </si>
  <si>
    <t>Ledinegg, Ernst;Sch√ºrrer, Ferdin</t>
  </si>
  <si>
    <t>Austria</t>
  </si>
  <si>
    <t>Graz</t>
  </si>
  <si>
    <t>Technische Universitat Graz</t>
  </si>
  <si>
    <t>Ledinegg E.</t>
  </si>
  <si>
    <t>The Ground Field of Arbitrarily Shaped Linear Antennas of Geostationary Satellites in Polar Regions Taking into Account a Stochastic and Anisotropic Ionosphere</t>
  </si>
  <si>
    <t>10.1109/8.43534</t>
  </si>
  <si>
    <t>2-s2.0-0024754252</t>
  </si>
  <si>
    <t>['wider bandwidths', 'substantially wider', 'sequential rotation', 'patch arrays', 'overall bandwidth', 'microstrip arrays', 'maximum bandwidth', 'input vswr', 'gain loss', 'detailed analysis', 'currently possible', 'computed results', 'best performance', 'axial ratio', 'allow use']</t>
  </si>
  <si>
    <t>Sequentially rotated feeding of circularly polarized microstrip arrays gives substantial improvements in performance and is an important new technique finding application in several current systems. Here, the application to microstrip arrays is examined. A detailed analysis of patch arrays with corporate feed networks incorporating non isolating splitters is described. Computed results for input VSWR and axial ratio for various array configurations show that, for best performance, the isolated patch VSWR and ellipticity on resonance should be optimised and that maximum bandwidth is obtained for clusters of three circularly polarised patches. Gain loss is found to be a significant bandwidth constraint resulting in an overall bandwidth not substantially wider than that of linearly polarised patches. It is concluded, however, that sequential rotation will allow use of lower Q patches leading to good array ellipticity and match over wider bandwidths than currently possible.</t>
  </si>
  <si>
    <t>390-398</t>
  </si>
  <si>
    <t>Hall, P. S.</t>
  </si>
  <si>
    <t>Application of sequential feeding to wide bandwidth, circularly polarised microstrip patch arrays</t>
  </si>
  <si>
    <t>10.1049/ip-h-2.1989.0070</t>
  </si>
  <si>
    <t>2-s2.0-0024754357</t>
  </si>
  <si>
    <t>['wide range', 'resonant techniques', 'resonant behavior', 'graph covering', 'given demonstrating', 'broadband microstrip', 'alumina substrates']</t>
  </si>
  <si>
    <t>Resonant techniques have been employed in order to determine the equivalent normalized reactance of slotiine planar short circuits and open circuits realized on alumina substrates. Data for slotiine short circuits are presented in a graph covering a wide range of normalized slot widths. Characteristics of several slotiine open circuits are given demonstrating their resonant behavior and the resulting bandwidth limitation. As an example of an application, the design of broadband microstrip-slotline transitions employing experimentally characterized slotline open circuits is outlined. ¬© 1989 IEEE</t>
  </si>
  <si>
    <t>1638-1641</t>
  </si>
  <si>
    <t>Chramiec, Jerzy</t>
  </si>
  <si>
    <t>Poland</t>
  </si>
  <si>
    <t>Gdansk</t>
  </si>
  <si>
    <t>Gda≈Ñsk University of Technology</t>
  </si>
  <si>
    <t>Chramiec J.</t>
  </si>
  <si>
    <t>Reactances of Slotiine Short and Open Circuits on Alumina Substrate</t>
  </si>
  <si>
    <t>10.1109/22.41015</t>
  </si>
  <si>
    <t>2-s2.0-0024754460</t>
  </si>
  <si>
    <t>['wiley company', 'wide angles', 'rectangular œª', 'performance observed', 'paper investigates', 'mobile antenna', 'inc .,', 'element antenna', 'confrimed experimentally', 'circular œª', 'circular structures', 'circular polarization', 'boresight direction', 'axial ratio', '60 degrees', '2 db']</t>
  </si>
  <si>
    <t>In mobile communication using a satellite, it is required to use a mobile antenna which has a circular polarization with a good axial ratio over wide angles. If a conventional microstrip antenna is used as an element antenna, it is difficult to improve the axial ratio over a broad angle even if a good axial ratio is obtained in the boresight direction. This paper investigates a circularly polarized microstrip antenna with a good axial ratio over wide angles. A method is proposed in which a combination of Œª/4 short‚Äêcircuit microstrip antennas and the principle of operation is confrimed experimentally. First, it is shown that a good axial ratio cannot in principle be obtained over wide angles, since the directivity is restricted by the permittivity in a conventional microstrip antenna. Next, configurations and characteristics are presented for combinations of rectangular Œª/4 short‚Äêcircuit microstrip antennas and circular Œª/4 short‚Äêcircuit microstrip antennas suitable for obtaining a good circular polarization over wide angles. Conditions for a good axial ratio over wide angles are presented for both rectangular and circular structures. Further, experiments have been carried out for combinations of circular Œª/4 short‚Äêcircuit microstrip antennas. Performance observed is the axial ratio less than 2 dB over wide angles of $60 degrees. Copyright ¬© 1989 Wiley Periodicals, Inc., A Wiley Company</t>
  </si>
  <si>
    <t>78-85</t>
  </si>
  <si>
    <t>60092258-117293568;60092258-101479009</t>
  </si>
  <si>
    <t>7006680804;7004285304</t>
  </si>
  <si>
    <t>Chujo, Wataru;Teshirogi, Tasuku</t>
  </si>
  <si>
    <t>Japan;;Japan</t>
  </si>
  <si>
    <t>Koganei;;Nakaminato</t>
  </si>
  <si>
    <t>Ministry of Posts and Telecommunications, Japan;Atr Optical and Radio Communications Research Laboratories;Communications Research Laboratory</t>
  </si>
  <si>
    <t>60092258;117293568;101479009</t>
  </si>
  <si>
    <t>Chujo W.</t>
  </si>
  <si>
    <t>A microstrip antenna of circular polarization over wide angles using Œª/4 short‚Äêcircuit patches</t>
  </si>
  <si>
    <t>10.1002/ecja.4410721009</t>
  </si>
  <si>
    <t>2-s2.0-0024754531</t>
  </si>
  <si>
    <t>['transmission line', 'simple procedure', 'mininec software', 'antenna simulation']</t>
  </si>
  <si>
    <t>The method of moments is used in the form of the MININEC software to analyse thin wire antenna with lumped lossy loading. As an exercise in antenna simulation or modelling it complements very effectively a simple procedure where the antenna is treated as an opened-out transmission line.</t>
  </si>
  <si>
    <t>355-366</t>
  </si>
  <si>
    <t>International Journal of Electrical Engineering Education</t>
  </si>
  <si>
    <t>Austin, B. A.</t>
  </si>
  <si>
    <t>Liverpool</t>
  </si>
  <si>
    <t>University of Liverpool</t>
  </si>
  <si>
    <t>Austin B.</t>
  </si>
  <si>
    <t>Simulation exercise in antenna analysis using MININEC</t>
  </si>
  <si>
    <t>10.1177/002072098902600408</t>
  </si>
  <si>
    <t>2-s2.0-0024754746</t>
  </si>
  <si>
    <t>210-220</t>
  </si>
  <si>
    <t>60031581;60031581;60031581</t>
  </si>
  <si>
    <t>56277448200;6603222618;56251804200</t>
  </si>
  <si>
    <t>Ji, C.;Hoctor, R. T.;Kassam, S. A.</t>
  </si>
  <si>
    <t>California Institute of Technology</t>
  </si>
  <si>
    <t>Ji C.</t>
  </si>
  <si>
    <t>Elliptical boundary arrays for coherent and incoherent imaging</t>
  </si>
  <si>
    <t>10.1049/ip-f-2.1989.0034</t>
  </si>
  <si>
    <t>2-s2.0-0024754820</t>
  </si>
  <si>
    <t>['zone pattern', 'undesired effect', 'two 8', 'significant mechanisms', 'range results', 'radiated fields', 'radar applications', 'obtain cross', 'numerical simulation', 'diagnostic technique', 'coherent processing']</t>
  </si>
  <si>
    <t>A diagnostic technique to obtain cross-range radiation centers based on antenna radiation patterns is presented. This method is similar to the synthetic aperture processing of scattered fields normally associated with radar applications; however, in this case, it is applied to evaluate antenna radiation pattern performance. Coherent processing of the radiated fields is used to determine the various radiation centers associated with the far-zone pattern of an antenna for a given radiation direction. This technique can be used to identify an unexpected radiation center that creates an undesired effect in a pattern; on the other hand, it can improve a numerical simulation of the pattern by identifying other significant mechanisms. Cross-range results for two 8-ft diameter reflector antennas are presented to illustrate as well as validate this technique. ¬© 1989 IEEE</t>
  </si>
  <si>
    <t>1242-1249</t>
  </si>
  <si>
    <t>8362621300;7004270570</t>
  </si>
  <si>
    <t>Lee, Teh Hong;Burnside, Walter D.</t>
  </si>
  <si>
    <t>Lee T.H.</t>
  </si>
  <si>
    <t>A Diagnostic Technique Used to Obtain Cross-Range Radiation Centers from Antenna Patterns</t>
  </si>
  <si>
    <t>10.1109/8.43532</t>
  </si>
  <si>
    <t>2-s2.0-0024754969</t>
  </si>
  <si>
    <t>['rvwf ).', 'reaction concept', 'mutual coupling', 'excellent agreement', 'element predicted', 'electric field', 'cavity model', 'calculated results', 'antenna elements']</t>
  </si>
  <si>
    <t>Each microstrip antenna element in the array is replaced by an equivalent magnetic current source distribution over a grounded dielectric slab derived from the electric field on the walls of the element predicted by the cavity model. A dyadic Green‚Äôs function is developed for a grounded dielectric slab, using the rectangular vector wave functions (RVWF). This dyadic Green‚Äôs function is then used to calculate the magnetic field due to the magnetic current distributions. The formula for mutual impedance based on the reaction concept is used to calculate the mutual coupling in arrays of antenna elements. Some measurements have been conducted for mutual coupling between two rectangular patches in the C-band. Calculated results are in excellent agreement with measurements, including those of other authors. ¬© 1989 IEEE</t>
  </si>
  <si>
    <t>1217-1223</t>
  </si>
  <si>
    <t>60006371-60003480-60009512</t>
  </si>
  <si>
    <t>Mohammadian, Alireza H.</t>
  </si>
  <si>
    <t>Australia;United States;Australia</t>
  </si>
  <si>
    <t>Adelaide;Dearborn;Edinburgh</t>
  </si>
  <si>
    <t>The University of Adelaide;University of Michigan-Dearborn;Defence Science and Technology Group</t>
  </si>
  <si>
    <t>60009512;60006371;60003480</t>
  </si>
  <si>
    <t>Mohammadian A.H.</t>
  </si>
  <si>
    <t>A Theoretical and Experimental Study of Mutual Coupling in Microstrip Antenna Arrays</t>
  </si>
  <si>
    <t>10.1109/8.43529</t>
  </si>
  <si>
    <t>2-s2.0-0024755289</t>
  </si>
  <si>
    <t>['¬© 1989', 'rights reserved']</t>
  </si>
  <si>
    <t>Orthpgonalentwicklung nach Eigenfunktion wird zur L√∂sung der Randwertprobleme in rechteckkoaxialen Leitungen und Strukturen mit sprunghafter Breiten√§nderung angewandt. Entsprechende Programme sind getestet und erfolgreich zum Entwurf von mehreren TEM-Branch-Line-Kopplern eingesetzt worden. Die gemessenen Kopplercharakteristiken stimmen gut mit den theoretischen Voraussagen √ºberein. ¬© 1989, Walter de Gruyter. All rights reserved.</t>
  </si>
  <si>
    <t>271-276</t>
  </si>
  <si>
    <t>Frequenz</t>
  </si>
  <si>
    <t>Chang, Wulu</t>
  </si>
  <si>
    <t>MBB Space Communications and</t>
  </si>
  <si>
    <t>Chang W.</t>
  </si>
  <si>
    <t>Accurate Analysis Method for Rectangular-Coaxial Line Components</t>
  </si>
  <si>
    <t>10.1515/FREQ.1989.43.10.271</t>
  </si>
  <si>
    <t>2-s2.0-0024755389</t>
  </si>
  <si>
    <t>['wiley company', 'triangular meshes', 'transmission lines', 'radiation patterns', 'moment method', 'microstrip antenna', 'measured data', 'interior region', 'inc .,', 'four types', 'electric currents', 'easily done', 'circuit element']</t>
  </si>
  <si>
    <t>A microstrip antenna is divided into an interior region and an aperture region contributing to the radiation. The structure is then analyzed by applying the transmission line model to the interior and the magnetic and electric currents are assumed at the aperture where the moment method is used. In the interior, transmission lines are combined into triangular meshes so that the loading of a circuit element is easily done, and the method can be applied to an arbitrarily shaped microstrip antenna. At the aperture, the magnetic current distribution is obtained by the moment method so that the effect of the external electromagnetic field can be taken into account. Computations are carried out for four types of antennas on an infinitely large ground plane. For the input impedance characteristics, magnetic current distributions and radiation patterns, the computed results agree well with measured data. Copyright ¬© 1989 Wiley Periodicals, Inc., A Wiley Company</t>
  </si>
  <si>
    <t>68-77</t>
  </si>
  <si>
    <t>60014256;60014256;60014256</t>
  </si>
  <si>
    <t>35595653100;7102376306;7403304145</t>
  </si>
  <si>
    <t>Morishita, Hisashi;Hirasawa, Kazuhiro;Fujimoto, Kyohei</t>
  </si>
  <si>
    <t>University of Tsukuba</t>
  </si>
  <si>
    <t>Morishita H.</t>
  </si>
  <si>
    <t>Analysis of microstrip antenna</t>
  </si>
  <si>
    <t>10.1002/ecja.4410721008</t>
  </si>
  <si>
    <t>2-s2.0-0024755533</t>
  </si>
  <si>
    <t>['uniform time', 'thereby achieving', 'surrounding tissue', 'square array', 'spherical tumors', 'special case', 'since tumors', 'shown promise', 'seated tumors', 'relative phase', 'relative amplitude', 'power deposition', 'phase lead', 'one antenna', 'mie solution', 'large tumors', 'interstitial arrays', 'interstitial antennas', 'insulated antennas', 'incident fields', 'imbedded tumor', 'homogeneous media', 'good comparison', 'electrical properties', 'electrical characteristics', 'dimensional model', 'calculated based', 'available formulation', 'array elements', 'antenna arrays', '90 ¬∞']</t>
  </si>
  <si>
    <t>Interstitial arrays of insulated antennas have shown promise for microwave hyperthermia treatment of deep-seated tumors. Available analytical techniques for predicting the electromagnetic (EM) power deposition of these antennas have been limited to the case of a homogeneous conductive medium surrounding the array. Since tumors and host tissue may differ in their electrical characteristics, it is necessary to consider the impact of this variation in electrical properties and the geometry of the tumor in the calculation of the EM field distribution and power deposition pattern when modeling interstitial antennas. In this paper a three-dimensional model of a tumor of arbitrary shape subjected to the fields of an interstitial antenna array is developed to predict the EM power deposition in an inhomogeneous tumortissue medium. The volume integral equation for the imbedded tumor is developed and solved by method of moments. The incident fields are calculated based on the available formulation of interstitial antennas in homogeneous media. The accuracy of the developed computer code was checked by comparing the results from the volume integral approach with the Mie solution for the special case of spherical tumors. Good comparison was obtained for tumors with properties approuimately 25 percent different from those of the surrounding tissue. Comparisons of results from models of antenna arrays with and without imbedded tumors show significant differences in their predictions of the EM power deposition in the tumor. Hyperthermia protocols generally specify uniform temperature distribution within the tumor. The developed inhomogeneous model was used to examine the feasibility of controlling the uniformity of the power deposition pattern in large tumors by adjusting the amplitude or relative phase between the array elements. Results are presented to show that a phase lead of +90¬∞ or relative amplitude of 4.0 on one antenna in a square array of four antennas could be used to shift the power deposition pattern to sequentially heat outer portions of a 2 cm diameter tumor, thereby achieving a more uniform time-averaged temperature distribution in the tumor. ¬© 1989 IEEE</t>
  </si>
  <si>
    <t>977-986</t>
  </si>
  <si>
    <t>7003923643;34769915200</t>
  </si>
  <si>
    <t>Furse, Cynthia M.;Iskander, Magdy F.</t>
  </si>
  <si>
    <t>Furse C.M.</t>
  </si>
  <si>
    <t>Three-Dimensional Electromagnetic Power Deposition in Tumors Using Interstitial Antenna Arrays</t>
  </si>
  <si>
    <t>10.1109/10.40798</t>
  </si>
  <si>
    <t>2-s2.0-0024755548</t>
  </si>
  <si>
    <t>R01GM036259</t>
  </si>
  <si>
    <t>['surface receptors', 'subunit cdna', 'situ hybridization', 'second chromosome', 'protein alpha', 'position 47a', 'optic lobes', 'one class', 'one cdna', 'nucleotide sequence', 'neuronal expression', 'mediate signals', 'guanine nucleotide', 'g proteins', 'drosophila genomic', 'drosophila extracts', 'central brain', 'cellular effectors', 'cdna libraries', 'bovine g', 'binding proteins', 'antibodies raised', 'also detected', 'alpha subunit', 'activated cell', 'abundantly expressed', 'abdominal ganglia']</t>
  </si>
  <si>
    <t>Guanine nucleotide-binding proteins (G proteins) mediate signals between activated cell-surface receptors and cellular effectors. A bovine G-protein alpha-subunit cDNA has been used to isolate similar sequences from Drosophila genomic and cDNA libraries. One class, which we call DG alpha 0, hybridized to position 47A on the second chromosome of Drosophila. The nucleotide sequence of the protein coding region of one cDNA has been determined, revealing an alpha subunit that is 81% identical with rat alpha 0. The cDNA hybridizes strongly to a 3.8 kb mRNA and weakly with a 5.3 kb message. Antibodies raised against a trp-E-DG alpha 0 fusion protein recognized a 39,000 Da protein in Drosophila extracts. In situ hybridization to adult Drosophila sections combined with immunohistochemical studies revealed expression throughout the optic lobes and central brain and in the thoracic and abdominal ganglia. DG alpha 0 message and protein were also detected in the antennae, oocytes, and ovarian nurse cells. The neuronal expression of this gene is similar to mammalian alpha 0, which is most abundantly expressed in the brain.</t>
  </si>
  <si>
    <t>125-134</t>
  </si>
  <si>
    <t>Cell regulation</t>
  </si>
  <si>
    <t>60016782;60016782;60016782;60016782</t>
  </si>
  <si>
    <t>55553731304;7801629044;36848471100;7005043060</t>
  </si>
  <si>
    <t>Schmidt, C. J.;Garen-Fazio, S.;Chow, Y. K.;Neer, E. J.</t>
  </si>
  <si>
    <t>Brigham and Women's Hospital</t>
  </si>
  <si>
    <t>Schmidt C.J.</t>
  </si>
  <si>
    <t>Neuronal expression of a newly identified Drosophila melanogaster G protein alpha 0 subunit.</t>
  </si>
  <si>
    <t>10.1091/mbc.1.1.125</t>
  </si>
  <si>
    <t>2-s2.0-0024755725</t>
  </si>
  <si>
    <t>['usual subdivision', 'thermoreceptors known', 'strongly reminiscent', 'speculate whether', 'small diameter', 'six neurons', 'second dendrite', 'outer segments', 'outer segment', 'often coupled', 'mechanoreceptive functions', 'located proximally', 'highly lamellated', 'hemolymph space', 'formerly postulated', 'first dendrite', 'fine structure', 'dipteran antennae', 'characteristic appendage', 'cell membrane', 'calliphora ).', 'aristal shaft', 'aristal nerve']</t>
  </si>
  <si>
    <t>Antennae | Calliphora erythrocephala (Insecta) | Drosophila melanogaster | Musca domestica | Sensory cells | Thermoreceptors</t>
  </si>
  <si>
    <t>The arista, a characteristic appendage of dipteran antennae, consists of 2 short segments at the base and a long distal shaft. A small sensory ganglion, from which arises the aristal nerve, is located proximally in the shaft. The fine structure of the aristal sensory organ was studied in detail in the fruitfly (Drosophila) and for comparison in the housefly (Musca) and the blowfly (Calliphora). In Drosophila, the aristal sense organ consists of 3 identical sensilla that terminate in the hemolymph space of the aristal shaft, and not in an external cuticular apparatus. Each sensillum comprises 2 bipolar neurons and 2 sheath cells; a third sheath cell envelops the somata of all six neurons of the ganglion. The neurons have long slender dendrites with the usual subdivision into an inner and an outer segment. One of the outer segments is highly lamellated and bears small particles (BOSS-structures) on the outside of its cell membrane; the other outer segment is unbranched and has a small diameter. The fine structure of the first dendrite is strongly reminiscent of thermoreceptors known from the antennae of other insects. These thermoreceptors are often coupled with hygroreceptors; however, we can only speculate whether the second dendrite of the aristal organ also has this function. Our present results argue against mechanoreceptive functions, as formerly postulated. The aristal sense organs in Musca and Calliphora are similar to those in Drosophila, but contain more sensilla (12 in Musca, 18 in Calliphora). ¬© 1989 Springer-Verlag.</t>
  </si>
  <si>
    <t>277-287</t>
  </si>
  <si>
    <t>0302766X</t>
  </si>
  <si>
    <t>Cell and Tissue Research</t>
  </si>
  <si>
    <t>125851885;125851885;60005460</t>
  </si>
  <si>
    <t>6701838955;7103138484;7003953871</t>
  </si>
  <si>
    <t>Foelix, R. F.;Stocker, R. F.;Steinbrecht, R. A.</t>
  </si>
  <si>
    <t>Germany;Switzerland</t>
  </si>
  <si>
    <t>Pocking;Freiburg im Breisgau</t>
  </si>
  <si>
    <t>Max Planck Institute for Ornithology;Physiologischen Institut der Universit√§t</t>
  </si>
  <si>
    <t>60005460;125851885</t>
  </si>
  <si>
    <t>Foelix R.F.</t>
  </si>
  <si>
    <t>Fine structure of a sensory organ in the arista of Drosophila melanogaster and some other dipterans</t>
  </si>
  <si>
    <t>10.1007/BF00239448</t>
  </si>
  <si>
    <t>2-s2.0-0024757041</t>
  </si>
  <si>
    <t>['whole field', 'transducer surface', 'results provide', 'radial distance', 'paraxial approximation', 'obliquity factor', 'nonuniform aperture', 'lensed transducer', 'impulse responses', 'impulse response', 'imaging field', 'form solution', 'focusing delay', 'focusing characteristics', 'effective means', 'derived without', 'array elements']</t>
  </si>
  <si>
    <t>A closed-form transient field response under the paraxial approximation for an impulse wave excited by a circularly symmetric ultrasonic transducer is derived. The analysis is based on linear transform techniques to obtain the impulse response of a planar or a lensed transducer such as a disk and an annulus in the whole field of view. Also a closed-form solution is obtained for the focal plane response of a nonuniform aperture with an apodizing function represented by a polynomial of the radial distance on the transducer surface. Moreover a closed-form impulse response for a planar annular array is derived without the paraxial approximation and taking into account the obliquity factor. For a phased annular array, the impulse responses of array elements are convolved with the delayed excitation pulse, and then summed to get the resultant field disturbance of the array. These results provide an effective means of studying the focusing characteristics of a phased annular array, including its focusing delay and apodizing quantization error effects and in the design of an optimally focused annular array system with enhanced lateral resolution along the depth of imaging field. ¬© 1989 IEEE</t>
  </si>
  <si>
    <t>661-671</t>
  </si>
  <si>
    <t>60032144;60032144</t>
  </si>
  <si>
    <t>7202363960;7501833766</t>
  </si>
  <si>
    <t>Song, Tai Kyong;Park, Song Bai</t>
  </si>
  <si>
    <t>Daejeon</t>
  </si>
  <si>
    <t>Korea Advanced Institute of Science and Technology</t>
  </si>
  <si>
    <t>Song T.</t>
  </si>
  <si>
    <t>A Closed-Form Field Analysis of a Broad-Band Annular Array</t>
  </si>
  <si>
    <t>10.1109/58.39117</t>
  </si>
  <si>
    <t>2-s2.0-0024764684</t>
  </si>
  <si>
    <t>NAGW-IlOl</t>
  </si>
  <si>
    <t>['various types', 'system imperfections', 'spatial variation', 'simple model', 'sensing capabilities', 'promising remote', 'polarization channels', 'phase error', 'phase centers', 'phase calibration', 'jpl dc', 'imaging radar', 'horizontal antennas', 'fully exploit', 'erim p', 'distributed targets', 'channel leakage', 'certain constraints', 'also illustrated', '8 sar']</t>
  </si>
  <si>
    <t>The problem of phase calibration between polarization channels of an imaging radar is addressed in this paper. The causes of various types of phase errors due to the radar system architecture and system imperfections are examined. A simple model is introduced which can explain the spatial variation in phase error as being due to a displacement between the phase centers of the vertical and horizontal antennas. It is also illustrated that channel leakage can cause a spatial variation in phase error. Phase calibration using both point and distributed ground targets is discussed and a method for calibrating phase using only distributed targets is verified, subject to certain constraints. Experimental measurements using the NADC/ERIM P-3 SAR system and NASA/JPL DC-8 SAR are presented. Both of these systems are multifrequency, polarimetric, airborne, Synthetic Aperture Radar (SAR) systems. Good polarimetric calibration is required to fully exploit the promising remote-sensing capabilities of these instruments. ¬© 1989 IEEE</t>
  </si>
  <si>
    <t>719-731</t>
  </si>
  <si>
    <t>60009037;60009037;60023201</t>
  </si>
  <si>
    <t>7007061693;7401887715;7005227707</t>
  </si>
  <si>
    <t>Sheen, Dan R.;Freeman, Anthony;Kasischke, Eric S.</t>
  </si>
  <si>
    <t>Ann Arbor;Pasadena</t>
  </si>
  <si>
    <t>Altarum Institute;Jet Propulsion Laboratory</t>
  </si>
  <si>
    <t>60023201;60009037</t>
  </si>
  <si>
    <t>Sheen D.</t>
  </si>
  <si>
    <t>Phase calibration of polarimetric radar images</t>
  </si>
  <si>
    <t>10.1109/36.35960</t>
  </si>
  <si>
    <t>2-s2.0-0024764762</t>
  </si>
  <si>
    <t>DAAL03-89-C-0001</t>
  </si>
  <si>
    <t>['using galerkin', 'rigorous analysis', 'perturbation approach', 'modes suitable', 'integral equations', 'edge singularity', 'computed using', 'antenna applications']</t>
  </si>
  <si>
    <t>A rigorous analysis of the resonance frequency problem of both the cylindrical-rectangular and the wraparound microstrip structure is presented. The problem is formulated in terms of a set of vector integral equations. Using Galerkin's method to solve the integral equations, the complex resonance frequencies are studied with sinusoidal basis functions which incorporate the edge singularity. Furthermore, the complex resonance frequencies are computed using a perturbation approach. Modes suitable for resonator or antenna applications are investigated. ¬© 1989 IEEE</t>
  </si>
  <si>
    <t>1773-1783</t>
  </si>
  <si>
    <t>60022195;60077590;60022195;60022195</t>
  </si>
  <si>
    <t>7403094093;7004110635;7005862569;7202290923</t>
  </si>
  <si>
    <t>Ali, Sami M.;Habashy, Tarek M.;Kiang, Jean Fu;Kong, Jin Au</t>
  </si>
  <si>
    <t>Ali S.</t>
  </si>
  <si>
    <t>Resonance in Cylindrical‚ÄîRectangular and Wraparound Microstrip Structures</t>
  </si>
  <si>
    <t>10.1109/22.41044</t>
  </si>
  <si>
    <t>2-s2.0-0024764792</t>
  </si>
  <si>
    <t>['wiley company', 'multiflare section', 'measurements demonstrate', 'inc .,', 'design considerations']</t>
  </si>
  <si>
    <t>Horn antennas | mode matching analysis</t>
  </si>
  <si>
    <t>The analysis and low‚Äêpower testing of a square miltiflare horn designed‚Äêfor 1‚Äêmegawatt CW operation is described. Design considerations for the five‚Äêport input section are discussed. The required aperture modes are determined from radiation pattern considerations, and analysis of the multiflare section is carried out using mode matching. Measurements demonstrate that a circularly symmetric beam is produced with relatively low sidelobes. Copyright ¬© 1989 Wiley Periodicals, Inc., A Wiley Company</t>
  </si>
  <si>
    <t>400-404</t>
  </si>
  <si>
    <t>Hoppe, Dan</t>
  </si>
  <si>
    <t>Hoppe D.</t>
  </si>
  <si>
    <t>A square multiflare horn with 1‚Äêmegawatt CW power‚Äêhandling capability</t>
  </si>
  <si>
    <t>10.1002/mop.4650021112</t>
  </si>
  <si>
    <t>2-s2.0-0024765131</t>
  </si>
  <si>
    <t>['‚ äêconversion', 'wiley company', 'vivaldi aerial', 'receiving antenna', 'local oscillator', 'inc .,', 'gaas mesfet', 'combined slotline']</t>
  </si>
  <si>
    <t>Microwave devices and components, receivers, slotline, coplanar line</t>
  </si>
  <si>
    <t>The design and performance of a planar integrated 20 GHz receiver in a combined slotline and coplanar waveguide technique on PTFE substrate material is descirbed. The receiving antenna is performed as a Vivaldi aerial, for down‚Äêconversion a balanced mixer circuitry with silicon low barrier diodes is applied, and the local oscillator is realized in a slotline technique using a GaAs MESFET. Copyright ¬© 1989 Wiley Periodicals, Inc., A Wiley Company</t>
  </si>
  <si>
    <t>404-406</t>
  </si>
  <si>
    <t>G√ºttich, U.</t>
  </si>
  <si>
    <t>Ulm</t>
  </si>
  <si>
    <t>Telefunken System Technik</t>
  </si>
  <si>
    <t>G√ºttich U.</t>
  </si>
  <si>
    <t>Planar integrated 20 GHz receiver in slotline and coplanar waveguide technique</t>
  </si>
  <si>
    <t>10.1002/mop.4650021113</t>
  </si>
  <si>
    <t>2-s2.0-0024765132</t>
  </si>
  <si>
    <t>['stressed conditions', 'signal processing', 'reliable cross', 'presented covering', 'orbiting satellites', 'maximum cross', 'following elements']</t>
  </si>
  <si>
    <t>An overview of a reliable cross-link communication system via multiple low Earth-orbiting satellites is presented covering the following elements: overall network concept, data packet routing, communication techniques including antenna subsystems communications parameters tradeoff, signal processing, and the overall radio design concept definition. Most importantly, the critical issue addressed is the maximum cross-link distance coverage under stressed conditions by utilizing an optimal coding technique for a given prime power of the satellite. ¬© 1989 IEEE</t>
  </si>
  <si>
    <t>879-889</t>
  </si>
  <si>
    <t>Chakraborty, D.</t>
  </si>
  <si>
    <t>Fairchild Space Company</t>
  </si>
  <si>
    <t>Chakraborty D.</t>
  </si>
  <si>
    <t>Survivable Communication Concept Via Multiple Low Earth-Orbiting Satellites</t>
  </si>
  <si>
    <t>10.1109/7.40728</t>
  </si>
  <si>
    <t>2-s2.0-0024765303</t>
  </si>
  <si>
    <t>['usual parameters', 'transient current', 'time domain', 'spatial distribution', 'several examples', 'rigorous treatment', 'resonance modes', 'relevant parameters', 'radiation pattern', 'microstrip lines', 'microstrip antennas', 'input impedance', 'frequency dependence', 'fourier transform', 'found using', 'etc .).', 'directly treated', 'different types', 'appropriate choice']</t>
  </si>
  <si>
    <t>The study of microstrip patch antennas is directly treated in the time domain, using the finite difference time domain (FDTD) method. Modifications have been made on the classical FDTD method in order to study the microstrip antennas. Assuming an appropriate choice of the excitation, the frequency dependence of the relevant parameters can readily be found using the Fourier transform of the transient current. The FDTD method allows a rigorous treatment of one or several dielectric interfaces. Different types of excitation can also be taken into consideration (coaxial, microstrip lines, etc.). Plotting the spatial distribution of the current density gives information about the resonance modes. Finally, the usual parameters that depend on the frequency (input impedance, radiation pattern) are given for several examples. ¬© 1989 IEEE</t>
  </si>
  <si>
    <t>1361-1369</t>
  </si>
  <si>
    <t>60008447;60008447</t>
  </si>
  <si>
    <t>56838766100;7006402070</t>
  </si>
  <si>
    <t>Reinein, Alain;Jecko, Bernard</t>
  </si>
  <si>
    <t>Limoges</t>
  </si>
  <si>
    <t>Universite de Limoges</t>
  </si>
  <si>
    <t>Reinein A.</t>
  </si>
  <si>
    <t>Analysis of Microstrip Patch Antennas Using Finite Difference Time Domain Method</t>
  </si>
  <si>
    <t>10.1109/8.43555</t>
  </si>
  <si>
    <t>2-s2.0-0024766563</t>
  </si>
  <si>
    <t>['transverse electromagnetic', 'point matching', 'numerical convergence', 'moment methods', 'integrodifferential equation', 'electric field', 'efficient algorithms', 'demonstrated via']</t>
  </si>
  <si>
    <t>An integrodifferential equation for the electric field in the aperture of a parallel plate waveguide-fed slot antenna is numerically solved using Galerkin‚Äôs method with a basis of edge-condition weighted Chebyshev polynomials and also using pulse expansion with point matching. Efficient algorithms are obtained for the elements of the reduced matrix equations for both moment methods. The numerical convergence of these techniques is demonstrated via the resultant aperture field distributions and input reflection coefficients for the case of dominant (transverse electromagnetic (TEM)) mode excitation. ¬© 1989 IEEE</t>
  </si>
  <si>
    <t>1415-1426</t>
  </si>
  <si>
    <t>Scharstein, Robert W.</t>
  </si>
  <si>
    <t>Tuscaloosa</t>
  </si>
  <si>
    <t>The University of Alabama</t>
  </si>
  <si>
    <t>Scharstein R.W.</t>
  </si>
  <si>
    <t>Two Numerical Solutions for the Parallel Plate-Fed Slot Antenna</t>
  </si>
  <si>
    <t>10.1109/8.43561</t>
  </si>
  <si>
    <t>2-s2.0-0024767220</t>
  </si>
  <si>
    <t>['resonant behavior', 'radiation pattern', 'prototype network', 'practical structure', 'practical realizations', 'natural solution', 'moderate 10', 'matching required', 'matching network', 'line prototype', 'least 3', 'input impedance', 'gain variations', 'experimental results', 'clearly show']</t>
  </si>
  <si>
    <t>The nature of the inherent narrow bandwidth of conventional microstrip patch antennas is considered. It is observed that, except for single-feed circularly polarized elements, their bandwidth is limited only by the resonant behavior of the input impedance and not by radiation pattern or gain variations, which usually are negligible over a moderate 10 to 20 percent bandwidth. Therefore, broad band impedance-matching is proposed as a natural solution to increase the bandwidth. The maximum obtainable bandwidth is calculated using Fano‚Äôs broadband matching theory. It is found that by using an optimally designed impedance-matching network, the bandwidth can be increased by a factor of at least 3.9, the exact value depending on the degree of matching required. In view of practical realizations, a transmission-line prototype for a proper matching network is developed. Attention is paid to the translation of this prototype network into a practical structure (e.g. a microstrip or stripline circuit). Practical design examples along with experimental results are given which clearly show the validity of the technique. ¬© 1989 IEEE</t>
  </si>
  <si>
    <t>1345-1354</t>
  </si>
  <si>
    <t>115667997;</t>
  </si>
  <si>
    <t>6701605698;7003998197</t>
  </si>
  <si>
    <t>Pues, Hugo F.;Van De Capelle, Antoine R.</t>
  </si>
  <si>
    <t>2431 Westerlo</t>
  </si>
  <si>
    <t>Pues H.F.</t>
  </si>
  <si>
    <t>An Impedance-Matching Technique for Increasing the Bandwidth of Microstrip Antennas</t>
  </si>
  <si>
    <t>10.1109/8.43553</t>
  </si>
  <si>
    <t>2-s2.0-0024767309</t>
  </si>
  <si>
    <t>['special cases', 'power beamwidth', 'perturbational techniques', 'patterns produced', 'main beam', 'lawson methods', 'initial patterns', 'frequency ground', 'fourier series', 'based transmitter']</t>
  </si>
  <si>
    <t>The method of cosine pattern synthesis for single and multiple main beam equispaced linear arrays is introduced. The cosine pattern function is characterized by the position of the main beam in the Œ∏ domain and its half-power beamwidth. The Fourier series and Woodward-Lawson methods are applied to the special cases of single or multiple main beam cosine pattern synthesis. The patterns produced by application of these classical shaped beam synthesis methods can then be used as initial patterns for iterative and perturbational techniques. Examples are presented and discussed, including the use of multiple main beam cosine pattern synthesis to design a high-power, high-frequency ground-based transmitter for the creation of an array of ‚Äúwireless‚Äù ionospheric dipoles. ¬© 1989 IEEE</t>
  </si>
  <si>
    <t>1480-1484</t>
  </si>
  <si>
    <t>60001439;60001439</t>
  </si>
  <si>
    <t>55925714300;7005220941</t>
  </si>
  <si>
    <t>Werner, Douglas H.;Ferraro, Anthony J.</t>
  </si>
  <si>
    <t>Werner D.H.</t>
  </si>
  <si>
    <t>Cosine Pattern Synthesis for Single and Multiple Main Beam Uniformly Spaced Linear Arrays</t>
  </si>
  <si>
    <t>10.1109/8.43568</t>
  </si>
  <si>
    <t>2-s2.0-0024767310</t>
  </si>
  <si>
    <t>['wiley company', 'significant reduction', 'mutual coupling', 'inc .,', 'frequency scaling']</t>
  </si>
  <si>
    <t>frequency scaling | Mutual coupling</t>
  </si>
  <si>
    <t>A significant reduction of mutual coupling between E‚Äêplane coupled rectangular microstrip antennas by frequency scaling is presented. Compactness in the design may also be achieved by this technique. Copyright ¬© 1989 Wiley Periodicals, Inc., A Wiley Company</t>
  </si>
  <si>
    <t>386-387</t>
  </si>
  <si>
    <t>60020825;60020825;60020825;60020825;60020825</t>
  </si>
  <si>
    <t>55109397800;57211297849;57214311665;6701556104;7201666265</t>
  </si>
  <si>
    <t>Gupta, B.;Chaudhuri, S. R.Bhadra;Mukherjee, A.;Poddar, D. R.;Chowdhury, S. K.</t>
  </si>
  <si>
    <t>Gupta B.</t>
  </si>
  <si>
    <t>A technique for reducing mutual coupling between rectangular microstrip antennas by frequency scaling</t>
  </si>
  <si>
    <t>10.1002/mop.4650021107</t>
  </si>
  <si>
    <t>2-s2.0-0024767470</t>
  </si>
  <si>
    <t>['successfully designed', 'much better', 'inner wall', 'he11 mode', 'conical horn', '7 db']</t>
  </si>
  <si>
    <t>The circular magnetic hybrid-mode (MHM) horn, which radiates the HE11 mode by the use of a thin, lossy magnetic coating on the inner wall of a conical horn, has been successfully designed and measured. Its performance is much better than that of a previously designed magnetic horn, and is as good as the corrugated horn except for an ohmic gain loss of 0.8 to 2.7 dB. Its design and fabrication are simple, and have very loose tolerance requirements. ¬© 1989 IEEE</t>
  </si>
  <si>
    <t>1407-1414</t>
  </si>
  <si>
    <t>60015099;60015099</t>
  </si>
  <si>
    <t>57203558701;7003971864</t>
  </si>
  <si>
    <t>Wang, Johnson J.H.;Tripp, Victor K.</t>
  </si>
  <si>
    <t>Georgia Tech Research Institute</t>
  </si>
  <si>
    <t>Wang J.J.H.</t>
  </si>
  <si>
    <t>Design and Performance of the Magnetic Hybrid-Mode Horn</t>
  </si>
  <si>
    <t>10.1109/8.43560</t>
  </si>
  <si>
    <t>2-s2.0-0024767476</t>
  </si>
  <si>
    <t>['receives signals', 'pilot carrier', 'phased system', 'phased array', 'particularly interesting', 'multipath conditions', 'marecs satellite', 'locked loop', 'gain antenna', 'experimental self', 'atlantic ocean', 'array design', 'aircraft requires', 'accurate pointing']</t>
  </si>
  <si>
    <t>Communication with satellites from ships and aircraft requires the accurate pointing from a high-gain antenna. The self-phased array, which performs beam steering automatically by the use of a pilot carrier, offers a number of advantages in this application. The principles and properties of this type of array are outlined, and their implications on array design are discussed. An experimental self-phased system, using a phase-locked loop, is described which receives signals from the Marecs satellite over the Atlantic Ocean, and results are presented for a two-element laboratory prototype to illustrate its performance. The behavior of the self-phased array concept under multipath conditions is particularly interesting and is examined both theoretically and experimentally. ¬© 1989 IEEE</t>
  </si>
  <si>
    <t>1370-1376</t>
  </si>
  <si>
    <t>Brennan, Paul V.</t>
  </si>
  <si>
    <t>An Experimental and Theoretical Study of Self-Phased Arrays in Mobile Satellite Communications</t>
  </si>
  <si>
    <t>10.1109/8.43556</t>
  </si>
  <si>
    <t>2-s2.0-0024767988</t>
  </si>
  <si>
    <t>['requires less', 'paper describes', 'optical interconnects', '305 mbits']</t>
  </si>
  <si>
    <t>Optical interconnects are being considered for control signal distribution in phased array antennas. This paper describes a packaged hybrid GaAs optical controller with a 1:16 demultiplexed output that is suitable for this application. The controller, which was fabricated using enhancement/depletion mode MESFET technology, operates at demultiplexer-limited input data rates up to 305 Mbits/s and requires less than 200 ŒºW optical input power. ¬© 1989 IEEE</t>
  </si>
  <si>
    <t>389-391</t>
  </si>
  <si>
    <t>60000305;60000305;60026717;60032995;60032995;60032995</t>
  </si>
  <si>
    <t>6603757979;7201417483;7006626132;6603165737;7102315949;57198281761</t>
  </si>
  <si>
    <t>Claspy, P. C.;Richard, M.;Bhasin, K. B.;Bendett, M.;Gustafson, G.;Walters, W.</t>
  </si>
  <si>
    <t>Morris Plains;Cleveland;Cleveland</t>
  </si>
  <si>
    <t>Honeywell International Inc.;NASA Glenn Research Center;Case Western Reserve University</t>
  </si>
  <si>
    <t>60032995;60026717;60000305</t>
  </si>
  <si>
    <t>Claspy P.C.</t>
  </si>
  <si>
    <t>A High-Speed GaAs MESFET Optical Controller</t>
  </si>
  <si>
    <t>10.1109/68.43389</t>
  </si>
  <si>
    <t>2-s2.0-0024768631</t>
  </si>
  <si>
    <t>DAAL02-86-K-0116</t>
  </si>
  <si>
    <t>['satellite receivers', 'rights reserved', 'pulsed power', 'preliminary analyses', 'orbital maneuvering', 'orbit continuously', 'narrow beam', 'inexpensive rectennas', 'high power', 'energy onboard', 'chemical energy', 'attractive alternative', 'array antennas']</t>
  </si>
  <si>
    <t>A new space power concept incorporating Earth-to-satellite microwave power transmission coupled to onboard regenerative electrochemical energy storage is proposed for energizing defensive satellite constellations. The system addresses housekeeping, orbital maneuvering, and burst-mode power requirements, and offers an attractive alternative to the nuclear space power systems currently being considered for this application. This energy-conversion system incorporates six steps: 1) generate primary dc power at surface stations along the satellite ground track, 2) convert to microwave (rf) frequencies, 3) transmit in a narrow beam to spacecraft using phased-array antennas that track and lock on to satellite receivers as they pass in range during a fraction of their orbit, 4) receive the energy and convert to dc in space using lightweight and inexpensive rectennas, 5) store the energy onboard as chemical energy by electrolysis of water to oxygen and hydrogen, and 6) recover free energy onboard the spacecraft during the balance of the orbit continuously or on demand as pulsed power with a high power-density fuel cell. Component and overall systems considerations of this scheme are discussed, outstanding research problems are defined, and preliminary analyses are described. ¬© 1989 American Institute of Aeronautics and Astronautics, Inc. All rights reserved.</t>
  </si>
  <si>
    <t>750-758</t>
  </si>
  <si>
    <t>Journal of Propulsion and Power</t>
  </si>
  <si>
    <t>November-December 1989</t>
  </si>
  <si>
    <t>60021784;60021784;60021784;60021784</t>
  </si>
  <si>
    <t>7005409364;57192272761;6508146158;57192276680</t>
  </si>
  <si>
    <t>Hoffert, M. I.;Mille, G.;Kadiramangalam, M.;Ziegle, W.</t>
  </si>
  <si>
    <t>New York</t>
  </si>
  <si>
    <t>New York University</t>
  </si>
  <si>
    <t>Hoffert M.</t>
  </si>
  <si>
    <t>Earth-to-satellite microwave power transmission</t>
  </si>
  <si>
    <t>10.2514/3.23215</t>
  </si>
  <si>
    <t>2-s2.0-0024769645</t>
  </si>
  <si>
    <t>['wiley company', 'switching devices', 'rf circuit', 'paper describes', 'optical power', 'measurements made', 'isolation value', 'insertion losses', 'inc .,', '60 ghz', '49 db', '21 db', '180 w', '1 db']</t>
  </si>
  <si>
    <t>Optical‚Äêmicrowave interactions | PIN | switch</t>
  </si>
  <si>
    <t>This paper describes the use of optically controlled devices at HF (2‚Äê30) (MHz) in a narrow band antenna coupler using high voltage PIN diodes as switching devices and at 60 GHz as an attenuator / switch. PIN devices tested in an rf circuit between 2.5 and 30 MHz yielded isolation between 28 and 49 dB in the off state and insertion losses as low as 0.1 dB when illuminated with 180 W of optical power. Measurements made at 60 GHz have shown a 0.9 dB insertion loss in the on state and an isolation value of better than 21 dB in the off state. Copyright ¬© 1989 Wiley Periodicals, Inc., A Wiley Company</t>
  </si>
  <si>
    <t>374-378</t>
  </si>
  <si>
    <t>60010547;60010547;60010547;60010547;60015623;60015623;60015623</t>
  </si>
  <si>
    <t>7402941842;7004268715;6603467009;6603139793;7801472704;36891103800;7101755559</t>
  </si>
  <si>
    <t>Rosen, A.;Stabile, P.;Janton, W.;Gombar, A.;Delmaster, J.;Basile, P.;Hurwitz, R.</t>
  </si>
  <si>
    <t>Boston;Princeton</t>
  </si>
  <si>
    <t>General Electric Company;Sarnoff Corporation</t>
  </si>
  <si>
    <t>60015623;60010547</t>
  </si>
  <si>
    <t>Rosen A.</t>
  </si>
  <si>
    <t>Optically controlled subsystems at HF and at MM‚Äêwavelengths</t>
  </si>
  <si>
    <t>10.1002/mop.4650021103</t>
  </si>
  <si>
    <t>2-s2.0-0024769713</t>
  </si>
  <si>
    <t>['twodimensional array', 'scan angle', 'patch currents', 'mutual impedances', 'ground plane', 'good agreement', 'experimental data', 'element pattern', 'edge elements', 'dielectric layer', 'coaxial probes', 'calculated using', 'calculated results', 'array elements', 'also presented']</t>
  </si>
  <si>
    <t>A method is presented to analyze a finite planar array of circular microstrip patches fed by coaxial probes. The self and mutual impedances between array elements are calculated using the method of moments with the dyadic Green‚Äôs function for a dielectric layer on a ground plane. The patch currents are determined by using the reaction integral equation. The active input impedance as well as the active element pattern of the array are computed from a knowledge of the resultant patch currents. The calculated results for two-element and eight-element linear arrays are in good agreement with experimental data. The active reflection coefficient and element pattern for the center and edge elements of a twodimensional array as a function of scan angle are also presented. ¬© 1989 IEEE</t>
  </si>
  <si>
    <t>1355-1360</t>
  </si>
  <si>
    <t>60025331;60000854</t>
  </si>
  <si>
    <t>7102211143;7401639390</t>
  </si>
  <si>
    <t>Deshpande, Manohar D.;Bailey, Marion C.</t>
  </si>
  <si>
    <t>Hampton;Hampton</t>
  </si>
  <si>
    <t>ViGYAN, Inc.;NASA Langley Research Center</t>
  </si>
  <si>
    <t>Deshpande M.</t>
  </si>
  <si>
    <t>Analysis of Finite Phased Arrays of Circular Microstrip Patches</t>
  </si>
  <si>
    <t>10.1109/8.43554</t>
  </si>
  <si>
    <t>2-s2.0-0024769833</t>
  </si>
  <si>
    <t>['¬© 1989', 'theoretical results', 'single point', 'several signals', 'performed using', 'particular frequency', 'line acting', 'laser lines', 'incoherent sum', 'energy directivity', 'detected ultrasound', 'desired direction', 'array element', 'acoustic waves']</t>
  </si>
  <si>
    <t>directed ultrasound | laser generated ultrasound | narrow-band ultrasound | ultrasonic array</t>
  </si>
  <si>
    <t>An aluminium hemicylindrical sample has been irradiated with an array of laser lines, with each line acting as a source of acoustic waves. Detection of the generated ultrasonic waves was performed using both a wide-band stabilized Michelson interferometer and a 20 MHz piezoelectric transducer. Experimental and theoretical results are presented which reveal that the use of a spatially modulated laser source produces significant narrow-banding of the detected ultrasound, compared with a single point or single line source case. Additionally, for a given line spacing, ultrasound of a particular frequency can be directed. Owing to the nature of the acoustic signals generated by each individual array element, superposition of several signals does not result in any energy directivity similar to that encountered in phase electromagnetic array antennas. While time or frequency feature enhancement may be obtained in a desired direction, in most cases the far field energy directivity pattern is simply the incoherent sum of the energy directivity of each array element. ¬© 1989.</t>
  </si>
  <si>
    <t>323-330</t>
  </si>
  <si>
    <t>0041624X</t>
  </si>
  <si>
    <t>Ultrasonics</t>
  </si>
  <si>
    <t>60005248;60005248;60005248;60005248-60021211</t>
  </si>
  <si>
    <t>7004494725;7404357195;7103113726;7005624731</t>
  </si>
  <si>
    <t>McKie, A. D.W.;Wagner, J. W.;Spicer, J. B.;Penney, C. M.</t>
  </si>
  <si>
    <t>Niskayuna;Baltimore</t>
  </si>
  <si>
    <t>GE Global Research;Johns Hopkins University</t>
  </si>
  <si>
    <t>60021211;60005248</t>
  </si>
  <si>
    <t>McKie A.</t>
  </si>
  <si>
    <t>Laser generation of narrow-band and directed ultrasound</t>
  </si>
  <si>
    <t>0041624X89900309</t>
  </si>
  <si>
    <t>10.1016/0041-624X(89)90030-9</t>
  </si>
  <si>
    <t>2-s2.0-0024769857</t>
  </si>
  <si>
    <t>['system limitations', 'pattern simulation', 'optical measurement', 'measurements taken', 'good agreement', 'desired response', 'copyright 1989', 'cassegrain geometry', 'cassegrain antenna', 'aperture distribution', '11 ghz']</t>
  </si>
  <si>
    <t>Two signal processing techniques are discussed that improve the accuracy of a microwave holographic measurement by removing unwanted signals from the aperture distribution: pattern simulation and subtraction, and time domain filtering. Pattern simulation and subtraction involves modeling unwanted scattering mechanisms and then removing them from the measured far‚Äêfield data. Time domain gating requires a swept frequency measurement of each far‚Äêfield point to separate undesired scattering mechanisms from the desired response. Measurements taken on a focal point geometry and a Cassegrain geometry at 11 GHz in the Ohio State University ElectroScience Laboratory Compact Range provided excellent amplitude and phase stable data to be processed by the holographic analysis system. Pattern simulation and subtraction was applied to both geometries. Surface deformation profiles generated for the Cassegrain antenna by this system were compared to an optical measurement of the main reflector surface. Good agreement was obtained. Because of system limitations, time domain filtering could not be applied. Copyright 1989 by the American Geophysical Union.</t>
  </si>
  <si>
    <t>763-770</t>
  </si>
  <si>
    <t>7007034841;6603843146</t>
  </si>
  <si>
    <t>Gilmore, Sean W.;Rudduck, Roger C.</t>
  </si>
  <si>
    <t>Gilmore S.</t>
  </si>
  <si>
    <t>Enhanced imaging of reflector antenna surface distortion using microwave holography</t>
  </si>
  <si>
    <t>10.1029/RS024i006p00763</t>
  </si>
  <si>
    <t>2-s2.0-0024770114</t>
  </si>
  <si>
    <t>['¬© 1989', 'vibration isolation', 'strong coupling', 'sensing signals', 'rights reserved', 'numerical analyses', 'mechanostructural design', 'mechanical engineers', 'mechanical characteristics', 'measured using', 'mathematical model', 'magnetic actuators', 'local coordinates', 'japan society', 'high response', 'experimental model', 'dynamic response', 'dynamic analyzer', 'displacement sensors', 'dimensional motion', 'design concept', 'control system', 'contradictional characteristics', 'cartesian coordinates', 'actuating forces']</t>
  </si>
  <si>
    <t>Antenna Pointing | Characteristic Matrix | Control System Synthesis | Decoupling | Dynamic Response | Magnetic Suspension | Satellite</t>
  </si>
  <si>
    <t>The control system of the magnetically supported positioning servomechanism was synthesized using characteristic matrices which describe the mechanical characteristics of displacement sensors and magnetic actuators. An experimental model that embodied the design concept of decoupling the six-dimensional motion in Cartesian coordinates was fabricated by mechanostructural design, in spite of the strong coupling of sensing signals and actuating forces in local coordinates. The contradictional characteristics of high response and vibration isolation are both realizable only by means of decoupling. Dynamic response was measured using a dynamic analyzer, and the results were compared with numerical analyses of the mathematical model of the mechanism. The design method based on the mathematical model was confirmed to be valid. ¬© 1989, The Japan Society of Mechanical Engineers. All rights reserved.</t>
  </si>
  <si>
    <t>2903-2911</t>
  </si>
  <si>
    <t>Design Method of Magnetically Suspended Positioning Mechanisms (2nd Report, Tetrahedron-Type Positioning Mechanism and Its Dynamic Response)</t>
  </si>
  <si>
    <t>10.1299/kikaic.55.2903</t>
  </si>
  <si>
    <t>2-s2.0-0024770309</t>
  </si>
  <si>
    <t>['‚ äî', 'special emphasis', 'small number', 'receiving element', 'ray travel', 'radiating elements', 'particularly suitable', 'part ii', 'oriented form', 'large arrays', 'geometric theory', 'final results', 'efficient variant', 'coupling coefficients', 'concave surfaces', 'canonical problem', 'broad class', 'asymptotic solution', 'array elements']</t>
  </si>
  <si>
    <t>The periodic structure ray method (PSRM) ‚Äî an efficient variant of the geometric theory of diffraction (GTD) for the determination of coupling (scattering) coefficients in large arrays on concave surfaces with slowly varying curvature and (or) periodicity is described. The method is particularly suitable for applications involving low sidelobe lens arrays and feed-through radomes. In such arrays the coupling coefficients between array elements can be evaluated as a superposition of a small number of periodic structure ray contributions. A typical contribution consists of a number of factors, each expressing a specific physical process occurring during the ray travel from the transmitting to the receiving element. The periodic structure ray formalism applies equally well to two and three-dimensional array geometries and to a broad class of radiating elements. Special emphasis is given to the presentation of final results in an application-oriented form. In part II of this paper the method is illustrated by an example of a circular cylindrical concave array of rectangular waveguide elements for which a modal solution also exists. The details of the asymptotic solution to this canonical problem will be presented in a follow-up paper. ¬© 1989 IEEE</t>
  </si>
  <si>
    <t>1377-1385</t>
  </si>
  <si>
    <t>60001247;60108318</t>
  </si>
  <si>
    <t>56838744700;7005831705</t>
  </si>
  <si>
    <t>Asic, Boris Tom;Hessel, Alexander</t>
  </si>
  <si>
    <t>New York;</t>
  </si>
  <si>
    <t>NYU Tandon School of Engineering;Hanscom AFB</t>
  </si>
  <si>
    <t>60108318;60001247</t>
  </si>
  <si>
    <t>Asic B.T.</t>
  </si>
  <si>
    <t>Periodic Structure Ray Method for Analysis of Coupling Coefficients in Large Concave Arrays‚ÄîPart I: Theory</t>
  </si>
  <si>
    <t>10.1109/8.43557</t>
  </si>
  <si>
    <t>2-s2.0-0024770389</t>
  </si>
  <si>
    <t>['ray solutions', 'excellent agreement', 'coupling coefficients']</t>
  </si>
  <si>
    <t>The periodic structure ray method (PSRM) for evaluation of coupling coefficients in large concave array has been developed in part I of this paper. In this part (II) PSRM is illustrated by an example of a circular cylindrical concave array of rectangular waveguide elements for which modal solution also exists. Excellent agreement in amplitude and phase between the modal and the ray solutions is found. ¬© 1989 IEEE</t>
  </si>
  <si>
    <t>1386-1397</t>
  </si>
  <si>
    <t>Periodic Structure Ray Method for Analysis of Coupling Coefficients in Large Concave Arrays‚ÄîPart II: Application</t>
  </si>
  <si>
    <t>10.1109/8.43558</t>
  </si>
  <si>
    <t>2-s2.0-0024770390</t>
  </si>
  <si>
    <t>['variable cross', 'strain energy', 'speed systems', 'spacecraft antennae', 'significant effects', 'shear deformation', 'rotary inertia', 'robot systems', 'rights reserved', 'preceding formulations', 'partial velocity', 'multibody systems', 'modal analysis', 'method presented', 'elastic bodies', 'easily coded', 'dynamic analysis', 'dimensional beams', 'deformation components', 'automatically included', 'also presented']</t>
  </si>
  <si>
    <t>A comprehensive computer algorithm used in the dynamic analysis of multibody systems is presented. The procedures developed combine Kane‚Ä≤s equations, the strain energy, and modal analysis to describe the elastic bodies. The equations of motion are expressed in a form in which their coefficients are based on the partial velocity and partial angular velocity arrays and are easily coded for computers. The nonlinear geometric stiffness matrix is developed for three-dimensional beams that account for the couplings between the deformation components having significant effects in high-speed systems. The method presented in this paper is tailored for structures with variable cross-sectional beam elements such as spacecraft antennae, helicopter rotor blades, robot systems, and mechanisms. The effects of rotary inertia as well as shear deformation are automatically included into the equations of motion. A method for obtaining the shape function matrix consisting of assumed dynamic modes is also presented. In addition, the preceding formulations are used in a simulation of a space-based robotic manipulator, and the results are compared with those obtained by Kane et al. in Ref. 20. ¬© 1989 American Institute of Aeronautics and Astronautics, Inc. All rights reserved.</t>
  </si>
  <si>
    <t>830-837</t>
  </si>
  <si>
    <t>60027561;60027561</t>
  </si>
  <si>
    <t>7003398675;7005928561</t>
  </si>
  <si>
    <t>Ider, S. K.;Amirouche, F. M.L.</t>
  </si>
  <si>
    <t>University of Illinois at Chicago</t>
  </si>
  <si>
    <t>Ider S.K.</t>
  </si>
  <si>
    <t>Influence of geometric nonlinearities in the dynamics of flexible treelike structures</t>
  </si>
  <si>
    <t>10.2514/3.20488</t>
  </si>
  <si>
    <t>2-s2.0-0024770511</t>
  </si>
  <si>
    <t>['specific antenna', 'restricting assumptions', 'receiving properties', 'paper outlines', 'experience reveals', 'effective area', 'direct method', 'better accepted', 'alternative way']</t>
  </si>
  <si>
    <t>This paper outlines an alternative way of presenting the relationship between the transmitting and receiving properties of antennas, which we think is more deductive. We suggest a direct method to calculate the effective area and the polarization mismatch factor without resorting to restricting assumptions or to the use of a specific antenna. This exposition was class-tested several times in our classes on antennas at the Technion. Our experience reveals that this sequence is better accepted in class than the sequences that can be found in existing antenna textbooks. ¬© 1989 IEEE</t>
  </si>
  <si>
    <t>457-458</t>
  </si>
  <si>
    <t>60022403;60022403</t>
  </si>
  <si>
    <t>7004408322;7005691179</t>
  </si>
  <si>
    <t>Schatzberg, Alon;Leviatan, Yehuda</t>
  </si>
  <si>
    <t>Schatzberg A.</t>
  </si>
  <si>
    <t>On the Relationship Between the Transmitting and Receiving Properties of Antennas</t>
  </si>
  <si>
    <t>10.1109/13.42147</t>
  </si>
  <si>
    <t>2-s2.0-0024770692</t>
  </si>
  <si>
    <t>['wiley company', 'two conclusions', 'study develops', 'small aperture', 'proper field', 'minimum gain', 'inc .,', 'directly proportional', 'coverage area', 'circular apertures', 'aperture diameter']</t>
  </si>
  <si>
    <t>Antenna | gain‚Äêarea product | pattern synthesis</t>
  </si>
  <si>
    <t>Circular apertures are synthesized for maximization of the minimum gain over the coverage area. This study develops the gain‚Äêcoverage area product limitation for circular apertures. Two conclusions are: (i) The gain‚Äêcoverage area product is not directly proportional to the aperture diameter, (ii) The in‚Äêphase field is the proper field to use in small aperture. Copyright ¬© 1989 Wiley Periodicals, Inc., A Wiley Company</t>
  </si>
  <si>
    <t>387-390</t>
  </si>
  <si>
    <t>Luh, Howard H.S.</t>
  </si>
  <si>
    <t>Palo Alto</t>
  </si>
  <si>
    <t>Space Systems</t>
  </si>
  <si>
    <t>Luh H.</t>
  </si>
  <si>
    <t>Gain‚Äêarea product limitation of circular aperture</t>
  </si>
  <si>
    <t>10.1002/mop.4650021108</t>
  </si>
  <si>
    <t>2-s2.0-0024771480</t>
  </si>
  <si>
    <t>['surface wave', 'structures consisting', 'slots shorted', 'slot array', 'shown analytically', 'scan compensation', 'pattern null', 'parasitic wires', 'information presented', 'conducting screen', 'clavin elements', 'blind spot']</t>
  </si>
  <si>
    <t>Blind spots observed in structures consisting of a slot array and parasitic straight wire arrays will be investigated. Each blind spot is found to associate with either a pattern null or the excitation of a surface wave on the corrugated structure consisting of the parasitic wires and conducting screen, with the slots shorted. The plane wave expansion technique is used to evaluate the coupling between arrays. Using this technique, it is shown analytically that for structures consisting of a single wire array, the blind spot can exist only at broadside, where there is a pattern null for the parasitic wires. For structures with two wire arrays, such as an array of Clavin elements, a surface wave can be excited at a particular scan angle provided a certain uniformity condition in the structure is satisfied. Information presented will be important for the incorporation of parasitic wire arrays for scan compensation. ¬© 1989 IEEE</t>
  </si>
  <si>
    <t>1398-1406</t>
  </si>
  <si>
    <t>60021918;60003500</t>
  </si>
  <si>
    <t>7403178904;35550481500</t>
  </si>
  <si>
    <t>Ng, Kwong T.;Munk, Benedikt A.</t>
  </si>
  <si>
    <t>Charlottesville;Columbus</t>
  </si>
  <si>
    <t>University of Virginia;The Ohio State University</t>
  </si>
  <si>
    <t>Ng K.T.</t>
  </si>
  <si>
    <t>Surface-Wave Phenomena in Phased Slot Arrays with Parasitic Wire Arrays</t>
  </si>
  <si>
    <t>10.1109/8.43559</t>
  </si>
  <si>
    <t>2-s2.0-0024771986</t>
  </si>
  <si>
    <t>['‚ äù', 'statistical variabilit', 'relatively homogeneous', 'natural vegetation', 'month mission', 'little time', 'known variability', 'instrument parameters', 'future scatterometers', 'cultivation intensity', 'communication noise', 'calibrating scatterometers', 'amazon basin', 'also compare']</t>
  </si>
  <si>
    <t>It has been proposed that the post-launch performance verification for future scatterometers can use extended area land targets to calibrate antenna gain patterns and to verify and monitor deployment configurations. For the Ku-band Seasat Scatterometer, a region of tropical rain forest in the Amazon basin was used as a homogeneous extended area land target. As this region is continuously being deforested, we examine other regions for calibrating scatterometers. The global backscatter coefficients (œÉ0) are compared to classifications of natural vegetation and cultivation intensity and the variability with time during the three-month mission is studied. We also compare the statistical variabilit of œÉ0 with prior estimates resulting from the known variability of the instrument parameters and communication noise. Finally, data from selected forested regions with relatively homogeneous a‚Äù and little time-dependence are presented. ¬© 1989 IEEE</t>
  </si>
  <si>
    <t>779-788</t>
  </si>
  <si>
    <t>57197510431;7406055960</t>
  </si>
  <si>
    <t>Kennett, Rosemary G.;Li, Fuk K.</t>
  </si>
  <si>
    <t>Kennett R.</t>
  </si>
  <si>
    <t>Seasat over-land scatterometer data, part II: Selection of extended area land-target sites for the calibration of spaceborne scatterometers</t>
  </si>
  <si>
    <t>10.1109/36.35967</t>
  </si>
  <si>
    <t>2-s2.0-0024772030</t>
  </si>
  <si>
    <t>['simplified method', 'simple extension', 'sidelobe regions', 'resistive surface', 'reflection coefficients', 'reflecting mesh', 'mesh reflector', 'equivalent resistance']</t>
  </si>
  <si>
    <t>A simplified method of estimating the equivalent surface resistance of a reflecting mesh is presented. The equivalent resistance is obtained from the approximate mesh reflection coefficients, which are based on the method of averaged boundary conditions. This resistance approximation allows for an integral equation solution for the mesh reflector that is a simple extension of the perfectly conducting reflector. Paraboloid radiation patterns using physical optics in conjunction with the reflection coefficients are compared to an E-field integral equation solution for a resistive surface. The agreement is excellent for low-to-moderate resistance values, even in the sidelobe regions. ¬© 1989 IEEE</t>
  </si>
  <si>
    <t>1484-1486</t>
  </si>
  <si>
    <t>60005304;60029311;60029311;60029311</t>
  </si>
  <si>
    <t>7004276659;36884351500;7005574913;7006382310</t>
  </si>
  <si>
    <t>Jenn, David C.;Prata, A.;Rusch, Willard V.T.;Barclay, M. R.</t>
  </si>
  <si>
    <t>A Resistive Sheet Approximation for Mesh Reflector Antennas</t>
  </si>
  <si>
    <t>10.1109/8.43569</t>
  </si>
  <si>
    <t>2-s2.0-0024772064</t>
  </si>
  <si>
    <t>['two schemes', 'systems using', 'system using', 'several researchers', 'results indicate', 'redundancy required', 'hopping frequencies', 'effective method', 'detecting coding', 'correcting coding', 'correcting code', 'combat fading', 'channel reuse', 'channel quality', 'burst error', 'bc scheme', 'antenna diversity', 'also lately']</t>
  </si>
  <si>
    <t>Antenna diversity has been known as an effective method to combat fading for a time-division multiple access (TDMA) digital portable radio communication system. Slow frequency hopping combined with burst-error-correcting coding (SFH/BC) has also lately been proposed by several researchers as a way to combat the fading and improve the channel quality for a TDMA digital portable radio communication system with channel reuse. However, the comparison between the systems using these two schemes has not been reported. The performance of the system using SFH/BC and the performance of the system using antenna diversity and error-detecting coding is studied in this paper. Results indicate that if a burst error-correcting code is chosen such that it can handle complete failure of one of the hopping frequencies, then the system using the SFH/BC scheme can perform as well as the system using two-branch antenna diversity. However, the spectrum efficiency suffers, and it is shown that the redundancy required is not offset by a reduction in channel reuse factor. ¬© 1989 IEEE</t>
  </si>
  <si>
    <t>222-229</t>
  </si>
  <si>
    <t>60023456;60023456</t>
  </si>
  <si>
    <t>7404274924;7103278628</t>
  </si>
  <si>
    <t>Chang, Li Fung;Porter, Philip T.</t>
  </si>
  <si>
    <t>Chang L.F.</t>
  </si>
  <si>
    <t>Performance Comparison of Antenna Diversity and Slow Frequency Hopping for the TDMA Portable Radio Channel</t>
  </si>
  <si>
    <t>10.1109/25.45485</t>
  </si>
  <si>
    <t>2-s2.0-0024772196</t>
  </si>
  <si>
    <t>['vibrations changes', 'vernier thrusters', 'spacecraft version', 'space shuttle', 'slewing motion', 'simultaneously regulating', 'significantly reduced', 'scole ).', 'rights reserved', 'results show', 'repeated simulations', 'regulator performance', 'reflector antenna', 'paper describes', 'numerical simulation', 'nonlinear slew', 'mass actuators', 'linear methods', 'length 39', 'fully coupled', 'flexural amplitude', 'flexible beam', 'controllability methods', 'control effectiveness', 'beam vibration', 'antenna bodies', 'actuator location']</t>
  </si>
  <si>
    <t>This paper describes a flexible-body control methodology for performing a nonlinear slew of a large space structure and simultaneously regulating the associated flexural vibrations by linear methods. Degree of controllability methods are used as guidelines for the positioning of proof-mass actuators on the structure. The goal is to determine the importance of location of the actuators on regulator performance, and the utility of the degree of controllability methods. A numerical simulation is made of a 20 deg slew maneuver of the spacecraft laboratory experiment (SCOLE). The SCOLE model treated here is the spacecraft version. It includes three bodies: the Space Shuttle, a reflector antenna, and a flexible beam of length 39.62 m connecting them. In the simulation, the beam vibration is fully coupled to the dynamics of the slewing motion. Regulation of the beam vibration is addressed by means of proof-mass actuators on the beam, and by vernier thrusters on the Shuttle and antenna bodies. Repeated simulations are made with different actuator placements. The results show that with the actuators placed within a region of strong control effectiveness, damping and flexural amplitude are changed only slightly by changes in actuator location. However, the damping is significantly reduced for actuator location in regions of low-control effectiveness, although the amplitude of the vibrations changes only slightly. ¬© 1989 American Institute of Aeronautics and Astronautics, Inc. All rights reserved.</t>
  </si>
  <si>
    <t>874-879</t>
  </si>
  <si>
    <t>60027271-100423840</t>
  </si>
  <si>
    <t>Fisher, Shalom</t>
  </si>
  <si>
    <t>Washington, D.C.;Washington</t>
  </si>
  <si>
    <t>Naval Research Laboratory;Naval Cent for Space Technology</t>
  </si>
  <si>
    <t>60027271;100423840</t>
  </si>
  <si>
    <t>Fisher S.</t>
  </si>
  <si>
    <t>Application of actuators to control beam flexure in a large space structure</t>
  </si>
  <si>
    <t>10.2514/3.20494</t>
  </si>
  <si>
    <t>2-s2.0-0024772266</t>
  </si>
  <si>
    <t>['¬© taylor', 'wide range', 'various choices', 'straight wire', 'specific configurations', 'shaped wire', 'sem parameters', 'one end', 'nonsyrametrlc tetra', 'nonsymmetrlc trl', 'nonplanar symmetric', 'natural modes', 'natural frequencies', 'investigated previously', 'geometrical configurations', 'general tetra', 'francis group', 'four arbitrarily', 'expressed partially', 'data suggest', 'coupling coefficients', 'arm structure', 'arm scatterer']</t>
  </si>
  <si>
    <t>The Singularity Expansion Method (SEM) parameters (natural frequencies, natural modes, and coupling coefficients) are presented for several different geometries each composed of four arbitrarily-oriented, thin, straight wire scatterers with one end of each of the four straight members connected at a common intersection point. Various choices of the orientations (and lengths) of these four members result In specific configurations which have been investigated previously (perpendicular crossed wires, planar symmetric tri-arm, L-shaped wire, and straight wire) as well as several other configurations which have not (nonplanar symmetric and nonsyrametrlc tetra-arms, nonplanar symmetric and nonsymmetrlc trl-arms, and arbitrarily bent wire). The SEM parameters for the general tetra-arm structure are calculated for a wide range of geometrical configurations. Commonalities which exist between the SEM parameters of the general tetra-arm scatterer and the previously analyzed ‚Äúdipoles‚Äù, ‚Äútripoles‚Äù and ‚Äúcrossed dipoles‚Äù are presented and discussed. These data suggest that the SEM parameters of some of the more complicated scattering structures may be expressed partially as (or decomposed Into) combinations of the SEM parameters of several simpler geometrical configurations. ¬© Taylor &amp; Francis Group, LLC.</t>
  </si>
  <si>
    <t>231-247</t>
  </si>
  <si>
    <t>1532527X</t>
  </si>
  <si>
    <t>Electromagnetics</t>
  </si>
  <si>
    <t>60011754;60011754</t>
  </si>
  <si>
    <t>7005985707;7201527985</t>
  </si>
  <si>
    <t>Riggs, L. S.;Lindsey, J. M.</t>
  </si>
  <si>
    <t>Riggs L.S.</t>
  </si>
  <si>
    <t>Commonalities of the sem parameters of several simple thin wire geometries</t>
  </si>
  <si>
    <t>10.1080/02726348908915236</t>
  </si>
  <si>
    <t>2-s2.0-0024774089</t>
  </si>
  <si>
    <t>['¬© taylor', 'surface fields', 'planes coated', 'numerical technique', 'magnetic materials', 'francis group', 'example results']</t>
  </si>
  <si>
    <t>A numerical technique is presented for computing transverse magnetic (TM) scattering by perfectly conducting wedges and half-planes coated with dielectric and/or magnetic materials. The technique combines finite element method with surface integral equation and physical optics formulations. Example results are presented for surface fields from which the corresponding surface impedances are calculated. ¬© Taylor &amp; Francis Group, LLC.</t>
  </si>
  <si>
    <t>201-213</t>
  </si>
  <si>
    <t>7403588231;7003973853</t>
  </si>
  <si>
    <t>Jin, J. M.;Liepa, V. V.</t>
  </si>
  <si>
    <t>Jin J.M.</t>
  </si>
  <si>
    <t>A numerical technique for computing tm scattering by coated wedges and half-planes</t>
  </si>
  <si>
    <t>10.1080/02726348908915234</t>
  </si>
  <si>
    <t>2-s2.0-0024776459</t>
  </si>
  <si>
    <t>['¬© taylor', 'staggered parallel', 'radiation patterns', 'plate waveguides', 'optical methods', 'long h', 'francis group', 'element array']</t>
  </si>
  <si>
    <t>The radiation patterns of a three-element array of staggered parallel-plate waveguides is calculated by ray-optical methods. Experiments with a long H-plane sectoral horn at about 12GHz show good agreement with the theory. ¬© Taylor &amp; Francis Group, LLC.</t>
  </si>
  <si>
    <t>147-167</t>
  </si>
  <si>
    <t>60003122-60025778</t>
  </si>
  <si>
    <t>Driessen, Peter F.</t>
  </si>
  <si>
    <t>Ann Arbor;Victoria</t>
  </si>
  <si>
    <t>University of Michigan, Ann Arbor;University of Victoria</t>
  </si>
  <si>
    <t>60025778;60003122</t>
  </si>
  <si>
    <t>Driessen P.F.</t>
  </si>
  <si>
    <t>Radiation from staggered parallel-plate waveguides: Ray-optical analysis and experimental results</t>
  </si>
  <si>
    <t>10.1080/02726348908915231</t>
  </si>
  <si>
    <t>2-s2.0-0024776730</t>
  </si>
  <si>
    <t>['vertical polarizations', 'special ways', 'paired data', 'minimum values', 'aft antennas', '40 ¬∞.']</t>
  </si>
  <si>
    <t>Mode 4 data from Seasat representing measurements of the SASS normalized backscatter coefficient that have gone through two prior processings, JPL original data reduction and processing, have now been reorganized and regrouped in special ways. Groups of four backscatter measurements that describe the best data set represent the maximum and minimum values for horizontal and vertical polarizations for the forward and aft antennas, respectively. The paired data for various incidence angles, are compared in six different ways, with emphasis on 40¬∞.</t>
  </si>
  <si>
    <t>2991-2996</t>
  </si>
  <si>
    <t>Digest - International Geoscience and Remote Sensing Symposium (IGARSS)</t>
  </si>
  <si>
    <t>101037811;101037811;101037811</t>
  </si>
  <si>
    <t>6701349297;7102134227;7801624733</t>
  </si>
  <si>
    <t>Sylvester, Winfield B.;Pierson, Willard J.;Breitstein, Steven R.</t>
  </si>
  <si>
    <t>City University</t>
  </si>
  <si>
    <t>Sylvester W.B.</t>
  </si>
  <si>
    <t>Techniques for evaluating the performance of models of radar backscatter from the ocean surface: Suggestions for their improvement</t>
  </si>
  <si>
    <t>10.1109/igarss.1989.575985</t>
  </si>
  <si>
    <t>2-s2.0-0024779551</t>
  </si>
  <si>
    <t>['object reconstruction', 'geometrical horizon', 'fully automated', 'fit paraboloids', 'data flow', 'data aquisition']</t>
  </si>
  <si>
    <t>For the control of parabolic microwave antennas special measurement equipment has been developed, which observes polar elements for a three-dimensional point determination without using a geometrical horizon. The target focussing ensues semi-automatic, whereas the data flow from data aquisition to object reconstruction is fully automated. To solve the data analysis best-fit paraboloids are used, which can be of circular and elliptical shape respectively. -from Authors</t>
  </si>
  <si>
    <t>Allgemeine Vermessungs-Nachrichten (International Edition)</t>
  </si>
  <si>
    <t>60019722;60019722;60019722</t>
  </si>
  <si>
    <t>7006193506;6504634602;7006318994</t>
  </si>
  <si>
    <t>Fritsch, D.;Klennert, H.;Reiser, R.</t>
  </si>
  <si>
    <t>Fritsch D.</t>
  </si>
  <si>
    <t>Development and application of an antenna measurement and evaluation system</t>
  </si>
  <si>
    <t>2-s2.0-0024783112</t>
  </si>
  <si>
    <t>['two images', 'surface motions', 'seismic events', 'sar interferometry', 'residual displacements', 'prevolcanic swelling', 'presented along', 'motion effects', 'method could', 'large swaths', 'including swelling', 'imperial valley', 'imaging site', 'good resolution', 'fault zones', 'experimental results', 'accurate measurements', 'absorbing clays', '50 km', '1 cm']</t>
  </si>
  <si>
    <t>A technique that uses synthetic aperture radar (SAR) images to measure very small (1 cm or less) surface motions with good resolution (10 m) over large swaths (50 km) is presented along with experimental results. The method could be used for accurate measurements of many geophysical phenomena, including swelling and buckling in fault zones, residual displacements from seismic events, and prevolcanic swelling. The method is based on SAR interferometry, where two images are made of a scene by simultaneously flying two physically separated antennas. This method was applied using Seasat data to an imaging site in Imperial Valley, California, where motion effects were observed that were ascribed to the expansion of water-absorbing clays. Phase change images of this area are shown, along with associated ground truth about the presence of water. -from Authors</t>
  </si>
  <si>
    <t>9183-9191</t>
  </si>
  <si>
    <t>B7</t>
  </si>
  <si>
    <t>60009037;60009037;60009037</t>
  </si>
  <si>
    <t>7102063819;7403010679;7005577978</t>
  </si>
  <si>
    <t>Gabriel, A. K.;Goldstein, R. M.;Zebker, H. A.</t>
  </si>
  <si>
    <t>Gabriel A.</t>
  </si>
  <si>
    <t>Mapping small elevation changes over large areas: differential radar interferometry</t>
  </si>
  <si>
    <t>10.1029/JB094iB07p09183</t>
  </si>
  <si>
    <t>2-s2.0-0024785063</t>
  </si>
  <si>
    <t>['¬© 1989', 'never observed', 'honey bee', 'enveloping cells', 'cell contacts', 'antigen positive', 'antennal sensilla', 'additionally present', '1 react']</t>
  </si>
  <si>
    <t>cell adhesion molecules | immunoelectron microscopy | immunofluorescence | Insects | sensilla</t>
  </si>
  <si>
    <t>Data from light- and electronimmunocytochemistry gave evidence that the antibodies to the mammalian adhesion molecule J1/tenascin and its carbohydrate structure L2/ HNK-1 react with immunoreactive structures present in the inner and outer receptor lymph cavities of antennal sensilla of the honey bee. Immunoreactivity was additionally present in the cytoplasm of the enveloping cells surrounding the receptor lymph cavities. Cell contacts between enveloping cells and between dendrites and enveloping cells were never observed to be antigen positive. ¬© 1989.</t>
  </si>
  <si>
    <t>639-645</t>
  </si>
  <si>
    <t>Tissue and Cell</t>
  </si>
  <si>
    <t>Martini, Rudolf</t>
  </si>
  <si>
    <t>Martini R.</t>
  </si>
  <si>
    <t>Antibodies to the mammalian adhesion molecule J1/tenascin and its carbohydrate epitope L2/HNK-1 label the receptor lymph cavities of insect sensilla</t>
  </si>
  <si>
    <t>10.1016/0040-8166(89)90074-8</t>
  </si>
  <si>
    <t>2-s2.0-0024789754</t>
  </si>
  <si>
    <t>['systems receiving', 'rf section', 'merit g', 'medium resolution', 'images radiated', 'high resolution', 'geostationary meteosat', 'best compromise', 'also presented']</t>
  </si>
  <si>
    <t>The specifications are presented of the RF section (antenna, front-end) of ground stations receiving the multispectral images transmitted in VHF and S bands by geostationary Meteosat and polar Tiros meteorological satellites. A procedure is described for determining the figure of merit G/T (antenna gain)/(total system noise temperature) ratio of systems receiving the images radiated in both analog (medium resolution: WEFAX, APT) and digital (high resolution: HR, HRPT) format by these satellites. Some nomograms are also presented. They concern key design parameters for the RF receiving system, which permit rapid determination of the best compromise between the ground antenna gain and receiving system noise figure values. -Author</t>
  </si>
  <si>
    <t>135-142</t>
  </si>
  <si>
    <t>ESA Journal</t>
  </si>
  <si>
    <t>Beni, P.</t>
  </si>
  <si>
    <t>Florence</t>
  </si>
  <si>
    <t>Istituto Di Fisica Applicata Nello Carrara</t>
  </si>
  <si>
    <t>Beni P.</t>
  </si>
  <si>
    <t>Determination of the G/T figure of merit of ground receiving stations for meteorological satellites</t>
  </si>
  <si>
    <t>2-s2.0-0024798503</t>
  </si>
  <si>
    <t>['space telescopes', 'sound background', 'ips ),', 'high frequencies', 'deployable reflectors', 'accurate mechanisms']</t>
  </si>
  <si>
    <t>Deployable reflectors are needed for larger satellite antennas and for space telescopes. Solid panel precision reflectors with diameters up to about 12 m can be launched with existing or near future launch systems and be deployed without requiring extra vehicular activities. Dornier's many years experience in developing and manufacturing highly precise reflectors in fibre reinforced plastics technology as well as accurate mechanisms, e.g. the Instrument Pointing System (IPS), are a sound background for the development of deployable precision reflectors for very high frequencies up to the range of infrared. To give an idea about what can be achieved two projects presently under development at Dornier are presented here. -Author</t>
  </si>
  <si>
    <t>195-200</t>
  </si>
  <si>
    <t>Space Technology: Industrial &amp; Commercial Applications</t>
  </si>
  <si>
    <t>Abt, B.</t>
  </si>
  <si>
    <t>Airbus Group SE</t>
  </si>
  <si>
    <t>Abt B.</t>
  </si>
  <si>
    <t>Deployable precision reflectors</t>
  </si>
  <si>
    <t>2-s2.0-0024800096</t>
  </si>
  <si>
    <t>['various networks', 'vandenberg sites', 'southern california', 'sites included', 'palos verdes', 'orbit determination', 'mojave desert', 'line located', 'line lengths', 'lengths quoted', 'intersite distances', '8000 km', '50 km', '30 km', '223 km', '12 km']</t>
  </si>
  <si>
    <t>The US Geological Survey has been using the Global Positioning System (GPS) to perform repeated surveys of networks of different sizes since January 1986. The intersite distances from these various networks are 223 km for a single line connecting the Palos Verdes and Vandenberg sites in southern California; 30-50 km for a network of three sites south of the San Francisco Bay near Loma Prieta; 9-30 km for a network located near Hebgen Lake, Montana; 7-12 km for a network of sites in the vicinity of Parkfield, California; and 240 m for a line located at the Goldstone antenna complex in the Mojave desert. The lengths quoted do not include the intersite distances for the "fiducial' sites included in the solutions for orbit determination, which can be up to 8000 km. We have attempted to assess the "long-term' precision and accuracy of determinations of relative site position for a range of line lengths. -from Authors</t>
  </si>
  <si>
    <t>B10</t>
  </si>
  <si>
    <t>60017521;60017521;60017521;60017521</t>
  </si>
  <si>
    <t>55740847000;7006580913;7004586669;57225370450</t>
  </si>
  <si>
    <t>Davis, J. L.;Prescott, W. H.;Svarc, J. L.;Wendt, K. J.</t>
  </si>
  <si>
    <t>Menlo Park</t>
  </si>
  <si>
    <t>United States Geological Survey Western Region</t>
  </si>
  <si>
    <t>Davis J.L.</t>
  </si>
  <si>
    <t>Assessment of Global Positioning System measurements for studies of crustal deformation</t>
  </si>
  <si>
    <t>10.1029/jb094ib10p13635</t>
  </si>
  <si>
    <t>2-s2.0-0024800613</t>
  </si>
  <si>
    <t>National Institute of Diabetes and Digestive and Kidney Diseases</t>
  </si>
  <si>
    <t>R01DK025373</t>
  </si>
  <si>
    <t>NIDDK</t>
  </si>
  <si>
    <t>['wide variety', 'uncoupled dlba', 'tissue sites', 'strongly n', 'spectra demonstrated', 'specific proteins', 'soft tissues', 'small chemical', 'single peak', 'similar results', 'shift change', 'saturable receptor', 'residence time', 'reductive amination', 'recognized exclusively', 'rats followed', 'rat liver', 'protein catabolism', 'protein accumulation', 'pronase digestion', 'physiological receptor', 'obtained non', 'novel 19f', 'natural abundance', 'narrower set', 'mediated uptake', 'mediated process', 'longitudinal characterization', 'liver followed', 'labelling compound', 'invasive assessment', 'intravenous administration', 'intracellular half', 'initial accumulation', 'human subjects', 'frequency antenna', 'dlba exhibited', 'dlba comprises', 'dlba ),', 'degradation products', 'contain radioiodide', 'body radio', 'asf ),', '80 h', '2 days']</t>
  </si>
  <si>
    <t>Protein residualizing labels facilitate localization of tissue sites of protein catabolism and the quantification of protein accumulation because of their prolonged intracellular retention times. Radioiodinated residualizing labels have been used to define the metabolism of a wide variety of proteins, but this has necessitated destructive analysis. Here we describe the implementation and validation of a novel 19F-containing residualizing label for protein, NN-dilactitol-3,5-bis(trifluoromethyl)benzylamine (DLBA), that permits the non-invasive assessment of protein accumulation and catabolism by n.m.r. spectroscopy in vivo. DLBA comprises a reporter molecule containing six equivalent 19F atoms. 19F Is strongly n.m.r.-active, has 100% natural abundance, and is present in minimal background concentrations in soft tissues. We validated the use of DLBA as a protein-labelling compound by coupling to asialofetuin (ASF), a protein that is recognized exclusively by hepatic tissue via a saturable receptor-mediated process. Coupling of DLBA to ASF by reductive amination had no effect on the physiological receptor-mediated uptake of the protein in rat liver in vivo. The 19F-n.m.r. spectrum of DLBA exhibited a single peak that was subject to a small chemical-shift change and broadening after coupling to ASF. Pronase digestion of DLBA-ASF was performed to simulate intracellular degradation products, and resulted in a narrower set of resonances, with chemical shifts intermediate between those of uncoupled DLBA and DLBA-ASF. Intravenous administration of DLBA-ASF to rats followed by quantification of 19F in homogenates of liver tissue indicated that the half-life of residence time of degradation products from DLBA-ASF in liver was approx. 2 days. This intracellular half-life was comparable with that described for similar residualizing labels that contain radioiodide as a reporter. Similar results for the half-life of retention were obtained non-destructively and non-invasively in situ with the use of a whole-body radio-frequency antenna to acquire sequential spectra over 80 h after intravenous administration of DLBA-ASF. Quantification of these spectra demonstrated an initial accumulation of DLBA-ASF in liver followed by an expected gradual loss of 19F-labelled degradation products. The approach developed offers promise for the sequential and longitudinal characterization of metabolism of specific proteins in individual experimental animals and ultimately in human subjects.</t>
  </si>
  <si>
    <t>829-835</t>
  </si>
  <si>
    <t>60022756;60022756;60022756;60022756;60022756;60022756;60022756</t>
  </si>
  <si>
    <t>36924112700;7102400028;6604065691;35351382000;55945905800;7005790548;7201888360</t>
  </si>
  <si>
    <t>Daugherty, A.;Becker, N. N.;Scherrer, L. A.;Sobel, B. E.;Ackerman, J. J.H.;Baynes, J. W.;Thorpe, S. R.</t>
  </si>
  <si>
    <t>St. Louis</t>
  </si>
  <si>
    <t>Washington University School of Medicine in St. Louis</t>
  </si>
  <si>
    <t>Daugherty A.</t>
  </si>
  <si>
    <t>Non-invasive detection of protein metabolism in vivo by n.m.r. spectroscopy. Application of a novel &lt;sup&gt;19&lt;/sup&gt;F-containing residualizing label</t>
  </si>
  <si>
    <t>10.1042/bj2640829</t>
  </si>
  <si>
    <t>2-s2.0-0024806005</t>
  </si>
  <si>
    <t>['preliminary attempt', 'one pass', 'measured simultaneously', 'limited number', 'best use', 'authors describe', 'also show']</t>
  </si>
  <si>
    <t>An antenna pattern monitoring system for the MU radar using satellite OHZORA has been put into operation. The authors describe a multi-beam measurement technique, with which about 10 of the various MU radar antenna pattens can be measured simultaneously in one pass of the satellite, to make the best use of the limited number of chances for experiments and also show the results of a preliminary attempt to synthesize a three-dimensional antenna pattern by integrating the data for different satellite passes. -Authors</t>
  </si>
  <si>
    <t>743-751</t>
  </si>
  <si>
    <t>Journal of Geomagnetism &amp; Geoelectricity</t>
  </si>
  <si>
    <t>60011001;60011001;60011001;60011001</t>
  </si>
  <si>
    <t>7403584142;36110916400;55398698300;35425453600</t>
  </si>
  <si>
    <t>Sato, T.;Inooka, Y.;Fukao, S.;Kato, S.</t>
  </si>
  <si>
    <t>Multi-beam pattern measurement of the MU radar antenna by satellite OHZORA</t>
  </si>
  <si>
    <t>10.5636/jgg.41.743</t>
  </si>
  <si>
    <t>2-s2.0-0024815474</t>
  </si>
  <si>
    <t>['œºs mean', 'wave front', 'slow front', 'similar distribution', 'seawater shows', 'radiation waveforms', 'positive return', 'magnetic direction', 'finding system', 'fast transition', 'fast antenna', 'crossing time', 'becomes shorter', '2 œºs']</t>
  </si>
  <si>
    <t>Electric and magnetic field changes associated with lightning return strokes have been observed by waveform recording systems and a magnetic direction-finding system on the coast of the Sea of Japan. Recording system revealed long duration of the slow front, resulting in the 0-100% risetime of 8.6-Œºs mean for negative and 13.2 Œºs for positive return strokes in summer. The risetime for positive return-stroke waveforms shows seasonal variation, and the mean in winter is 21.2 Œºs. Fast transition in the wave front was measured with a fast antenna of 24-ns overall risetime. The 10-90% risetime of the fast transition for positive return-stroke waveforms propagated over seawater shows a similar distribution to that for negative return strokes obtained in Florida. The zero-crossing time for radiation waveforms from return strokes shows seasonal variation in both polarities and becomes shorter in winter. -from Authors</t>
  </si>
  <si>
    <t>D11</t>
  </si>
  <si>
    <t>60180342;60180342</t>
  </si>
  <si>
    <t>55513639500;36892340400</t>
  </si>
  <si>
    <t>Ishii, M.;Hojo, J. I.</t>
  </si>
  <si>
    <t>Institute of Industrial Science</t>
  </si>
  <si>
    <t>Ishii M.</t>
  </si>
  <si>
    <t>Statistics on fine structure of cloud-to-ground lightning field waveforms</t>
  </si>
  <si>
    <t>10.1029/jd094id11p13267</t>
  </si>
  <si>
    <t>2-s2.0-0024823156</t>
  </si>
  <si>
    <t>['technique could', 'syntheis experiment', 'regions beneath', 'radio echoes', 'least five', 'ice surface', 'digitized echoes', 'data sets', 'considerable importance', 'cavity shapes', 'aperture synthesis']</t>
  </si>
  <si>
    <t>An array of radio echoes has been collected on Storglaciaren in Sweden and used in an aperture-syntheis experiment. The digitized echoes were combined in a computer with suitable time shifts to focus on regions beneath the ice surface. The positions of six individual englacial cavities have been found, and the echoes from them isolated for interpretation. By performing the aperture synthesis with data sets from three different antenna configurations, information on the cavity shapes and orientations has been derived. At least five of the cavities are believed to be water-filled, and may be parts of an englacial drainage system. The technique could be applied to the problem of finding the principal water channel(s) in or under a glacier. Successful location would be of considerable importance in the planning of subglacial water intakes for hydro-electric power production. -Author</t>
  </si>
  <si>
    <t>135-139</t>
  </si>
  <si>
    <t>Annals of Glaciology</t>
  </si>
  <si>
    <t>Kennett, M. I.</t>
  </si>
  <si>
    <t>Norway</t>
  </si>
  <si>
    <t>Oslo</t>
  </si>
  <si>
    <t>Glaciology Section</t>
  </si>
  <si>
    <t>Kennett M.I.</t>
  </si>
  <si>
    <t>A possible radio-echo method of locating englacial and subglacial waterways</t>
  </si>
  <si>
    <t>10.1017/s0260305500007771</t>
  </si>
  <si>
    <t>2-s2.0-0024825535</t>
  </si>
  <si>
    <t>DMB 8509590</t>
  </si>
  <si>
    <t>['¬© 1989', 'widely assumed', 'trapping dynamics', 'spectral features', 'simple relation', 'rising components', 'rights reserved', 'resulting time', 'photosynthetic systems', 'limitations imposed', 'fluorescing species', 'exponential components', 'directly related', 'decay amplitudes', 'biophysical society', 'antenna pigments', 'absorption cross']</t>
  </si>
  <si>
    <t>It is widely assumed that the decay of fluorescence in photosynthetic systems can be described as a sum of exponential components and that the amplitude of each component is directly related to the absorption cross-section of the antenna pigments coupled to the fluorescing species. We present exact calculations of excited state decay in two-dimensional regular lattices of different geometries containing multiple spectral forms of antenna pigments. We illustrate by these calculations that there is no simple relation between the decay amplitudes (and resulting time-resolved excitation spectra) and the steady-state absorption spectra. Only in the limit that the electronic excitations reach a rapid equilibrium among all antenna spectral forms does the excitation spectrum depend uniquely on the spectral features of the array. Using the simulations in conjunction with our recent fluorescence studies, we examine excitation transport and trapping dynamics in photosystem I and the limitations imposed by the finite time resolution in single photon counting experiments. In particular, we show that rising components, associated with excitation transfer among different spectral forms, with lifetimes &lt;20 ps would be undetected in a typical photon counting experiment. ¬© 1989, The Biophysical Society. All rights reserved.</t>
  </si>
  <si>
    <t>1203-1215</t>
  </si>
  <si>
    <t>60117872;60117872;60117872;60117872</t>
  </si>
  <si>
    <t>7101826265;56418787900;36936627600;57213437301</t>
  </si>
  <si>
    <t>Jean, John M.;Chan, Chi Kin;Fleming, G. R.;Owens, Thomas G.</t>
  </si>
  <si>
    <t>The James Franck Institute</t>
  </si>
  <si>
    <t>Jean J.M.</t>
  </si>
  <si>
    <t>Excitation transport and trapping on spectrally disordered lattices</t>
  </si>
  <si>
    <t>S0006349589827675</t>
  </si>
  <si>
    <t>10.1016/S0006-3495(89)82767-5</t>
  </si>
  <si>
    <t>2-s2.0-0024827498</t>
  </si>
  <si>
    <t>['¬© 1989', 'yet showed', 'rights reserved', 'reduced samples', 'protein complex', 'primary donor', 'per p800', 'energy transfer', 'differential centrifugation', 'detectable fe', 'decay time', 'core antenna', 'chemical reduction', 'center signal', '9 fe', '4 menaquinones', '25 ps', '14 ms', '0 region']</t>
  </si>
  <si>
    <t>A photoactive reaction center-core antenna complex was isolated from the photosynthetic bacterium Heliobacillus mobilis by extraction of membranes with Deriphat 160c followed by differential centrifugation and sucrose density gradient ultracentrifugation. The purified complex contained a Mr 47000 polypeptide(s) that bound both the primary donor (P800) and approximately 24 antenna bacteriochlorophyllsg. Time-resolved fluorescence emission spectroscopy indicated that the antenna bacteriochlorophylls g are active in energy transfer to P800, exhibiting a decay time of 25 ps. The complex contained 1.4 menaquinones, 9 Fe, and 3 labile S2- per P800. The complex was photoactive with an exponential decay time of 14 ms for P800+ yet showed no EPR-detectable Fe-S center signal in the g ‚â§ 2.0 region, either by chemical reduction to ‚àí600 mV or by illumination of reduced samples. The complex is similar to photosystem I of oxygen-evolving photosynthetic systems in that both the primary donor and a core antenna are bound to the same pigment-protein complex. ¬© 1989, American Chemical Society. All rights reserved.</t>
  </si>
  <si>
    <t>9898-9904</t>
  </si>
  <si>
    <t>Biochemistry</t>
  </si>
  <si>
    <t>60003892;60003892</t>
  </si>
  <si>
    <t>7003624096;57203046340</t>
  </si>
  <si>
    <t>Trost, Jeffrey T.;Blankenship, Robert E.</t>
  </si>
  <si>
    <t>Tempe</t>
  </si>
  <si>
    <t>Arizona State University</t>
  </si>
  <si>
    <t>Trost J.T.</t>
  </si>
  <si>
    <t>Isolation of a Photoactive Photosynthetic Reaction Center-Core Antenna Complex from Heliobacillus mobilis</t>
  </si>
  <si>
    <t>10.1021/bi00452a003</t>
  </si>
  <si>
    <t>2-s2.0-0024844619</t>
  </si>
  <si>
    <t>['small sections', 'radiating edges', 'proposed method', 'microstrip antenna', 'magnetic dipole', 'ground plane', 'francis group', 'fields due', 'edge fields', 'dielectric cover']</t>
  </si>
  <si>
    <t>The fields due to a magnetic dipole on the ground plane with a dielectric cover are derived. Based on this knowledge, the mutual coupling admittance between radiating edges of a microstrip antenna with a dielectric cover layer is obtained by modelling the edge fields as equivalent magnetic currents divided into small sections. Experimental results verifying the proposed method are presented. ¬© 1989 Taylor &amp; Francis Group, LLC.</t>
  </si>
  <si>
    <t>259-271</t>
  </si>
  <si>
    <t>7201525667;7402592343</t>
  </si>
  <si>
    <t>Tu, Yinggang;Gupta, K. C.</t>
  </si>
  <si>
    <t>Tu Y.</t>
  </si>
  <si>
    <t>Mutual coupling between radiating edges of a microstrip patch antenna with a cover layer</t>
  </si>
  <si>
    <t>10.1080/02726348908915238</t>
  </si>
  <si>
    <t>2-s2.0-0024859556</t>
  </si>
  <si>
    <t>['various numbers', 'tm11 modes', 'radiation properties', 'polarized radiation', 'particular emphasis', 'modes used', 'francis group', 'feed dimensions', 'aperture region', 'aperture fields', 'analyzed using']</t>
  </si>
  <si>
    <t>The circular waveguide antenna feed with multiple coaxial cups is analyzed using the method of moments. The radiation properties of this type of prime focus feed are examined with particular emphasis on the level of cross-polarized radiation. It is demonstrated that by optimizing the feed dimensions the cross-polarization can be maintained below¬†‚àí¬†27¬†dB over a 20% bandwidth for a feed with a single coaxial cup. By examining the effects of various numbers of modes used to approximate the aperture fields it is concluded that quite accurate results can be obtained by including only the TE11 and TM11 modes in each aperture region. ¬© 1989 Taylor &amp; Francis Group, LLC.</t>
  </si>
  <si>
    <t>281-311</t>
  </si>
  <si>
    <t>6507736275;7007033594</t>
  </si>
  <si>
    <t>Papathomas, C. J.;Collin, R. E.</t>
  </si>
  <si>
    <t>Papathomas C.</t>
  </si>
  <si>
    <t>Multi-mode analysis of a two coaxial cup prime focus feed with an infinite flange</t>
  </si>
  <si>
    <t>10.1080/02726348908915240</t>
  </si>
  <si>
    <t>2-s2.0-0024860822</t>
  </si>
  <si>
    <t>['¬© 1989', 'transport systems', 'three sections', 'required technologies', 'paper discusses', 'onboard processing', 'key top', 'japanese ets', 'italian italsat', 'briefly describing', 'beam antennas', 'american acts']</t>
  </si>
  <si>
    <t>To be competitive with other modes of information-transport systems, the next-generation communications satellites will use new technologies including multiple-beam antennas, and onboard processing and switching. This paper discusses these technologies and illustrates their use by providing a description of three satellite systems currently under development. The paper is organized in three sections: Section 1 describes advanced architectures for future satellite systems and the required technologies to enable these systems; Section 2 gives examples of such systems by briefly describing the American ACTS, the Japanese ETS-VI, and the Italian ITALSAT; and finally Section 3 provides some simplified design equations that relate some of the key top-level parameters involved in the design of such systems. ¬© 1989.</t>
  </si>
  <si>
    <t>185-195</t>
  </si>
  <si>
    <t>C</t>
  </si>
  <si>
    <t>60016296;60016296</t>
  </si>
  <si>
    <t>36908345400;6603561155</t>
  </si>
  <si>
    <t>Arnold, Ray;Naderi, F. Michael</t>
  </si>
  <si>
    <t>Arnold R.</t>
  </si>
  <si>
    <t>Advanced architectures and the required technologies for next-generation communications satellite systems</t>
  </si>
  <si>
    <t>10.1016/0094-5765(89)90068-4</t>
  </si>
  <si>
    <t>2-s2.0-0024862181</t>
  </si>
  <si>
    <t>['‚ äúadd', 'without inverting', 'storage problems', 'speed advantage', 'small additions', 'partial solution', 'p sources', 'numerical advantages', 'method reconstructs', 'maximum amount', 'matrix partitioning', 'matrix formulation', 'introduced recently', 'gradual manner', 'francis group', 'entire matrix', 'companion formulation', 'clearly shown', 'also seen', '6000 unknowns']</t>
  </si>
  <si>
    <t>For large scatterers whose operator is discretized by a prohibitively large matrix. It may be advisable to build the solution in a gradual manner while relying on previously known information on a portion of the body. In this way, rather than analyzing the large composite body, a succession of calculations of small additions is carried out, starting at the point where the partial solution is known. The ‚ÄúAdd On‚Äù method, introduced recently, has done this successfully for a number of large planar problems. The method reconstructs the matrix solution without building the entire matrix up and without inverting It. A companion formulation, based on matrix partitioning, is used in this work to compare the ‚ÄúAdd-On‚Äù technique with the matrix formulation. It is shown that the two formulations yield the same results. However, the numerical advantages of the ‚ÄúAdd On‚Äù technique are clearly shown, especially with regard to storage problems, since the full N¬†√ó¬†N matrix need not be generated and stored. Instead, the responses to P sources are handled, making the storage requirements similar to an N¬†√ó¬†P matrix, where P is typically much smaller than N. Speed advantage is also seen In this method, where the maximum amount of computations, assuming no previously known Information, is proportional to N2 or N2.5, depending on the problem at hand. Examples with up to 6000 unknowns have been worked out and are presented below. ¬© 1989 Taylor &amp; Francis Group, LLC.</t>
  </si>
  <si>
    <t>331-344</t>
  </si>
  <si>
    <t>Kastner, Raphael</t>
  </si>
  <si>
    <t>Kastner R.</t>
  </si>
  <si>
    <t>On matrix partitioning and the ‚Äúadd-on‚Äù technique</t>
  </si>
  <si>
    <t>10.1080/02726348908915242</t>
  </si>
  <si>
    <t>2-s2.0-0024868435</t>
  </si>
  <si>
    <t>['whistler waves', 'one wavelength', 'generation mechanism', 'electron beams', 'current structure', 'copyright 1989', 'coherent manner', 'closely connected', 'beam width', 'artificial injection', 'acts like']</t>
  </si>
  <si>
    <t>Electromagnetic particle simulations are used to determine the generation mechanism of the whistler waves observed in connection with the artificial injection of electron beams in the ionosphere. The production of the waves is shown to be closely connected with the beam‚Äêplasma interaction, which leads to the formation of a current structure which acts like an antenna and emits the whistler waves in a coherent manner. This process, in contrast to a mechanism involving amplification of radiation by a whistler mode plasma instability within the beam, allows the whistlers to be generated even though the beam width is less than one wavelength. Copyright 1989 by the American Geophysical Union.</t>
  </si>
  <si>
    <t>883-886</t>
  </si>
  <si>
    <t>Geophysical Research Letters</t>
  </si>
  <si>
    <t>60101299;60101299;60101299</t>
  </si>
  <si>
    <t>7004351166;6602637686;57203405230</t>
  </si>
  <si>
    <t>Pritchett, P. L.;Karimabadi, H.;Omidi, N.</t>
  </si>
  <si>
    <t>University of California, Los Angeles, Institute of Geophysics and Planetary Physics</t>
  </si>
  <si>
    <t>Pritchett P.</t>
  </si>
  <si>
    <t>Generation mechanism of whistler waves produced by electron beam injection in space</t>
  </si>
  <si>
    <t>10.1029/GL016i008p00883</t>
  </si>
  <si>
    <t>2-s2.0-0024873389</t>
  </si>
  <si>
    <t>['widely spaced', 'tm01 mode', 'superstrate effects', 'resonant frequency', 'pattern characteristics', 'particular interest', 'impedance bandwidth', 'francis group', 'cuflon substrate', 'closely spaced', 'approximately 10ghz', '17 ),']</t>
  </si>
  <si>
    <t>This paper presents experimental results of parasitic size effects on two and three layer electromagnetic coupled patch (EMCP) antennas and the superstrate effects on the two layer EMCP antenna. The effects on pattern characteristics, resonant frequency, resonant input resistance and impedance bandwidth of the TM01 mode are investigated in detail, both for the broadband (closely spaced) region and for the high-gain (widely spaced) region. The patches are rectangular and are fabricated on Cuflon substrate (Œµr=2.17), with the dimensions of the fed patch fixed at 1.5 x 1.0cm. The resonant frequency of the TM01 mode is approximately 10GHz. Among the many results obtained, the following are of particular interest. ¬© 1989 Taylor &amp; Francis Group, LLC.</t>
  </si>
  <si>
    <t>395-404</t>
  </si>
  <si>
    <t>60026717-60021624</t>
  </si>
  <si>
    <t>Lee, R. Q.</t>
  </si>
  <si>
    <t>Cleveland;Toledo</t>
  </si>
  <si>
    <t>NASA Glenn Research Center;The University of Toledo</t>
  </si>
  <si>
    <t>60026717;60021624</t>
  </si>
  <si>
    <t>Lee R.Q.</t>
  </si>
  <si>
    <t>Parasitic size and superstrate effects on electromagnetic coupled patch antennas</t>
  </si>
  <si>
    <t>10.1080/02726348908915246</t>
  </si>
  <si>
    <t>2-s2.0-0024873641</t>
  </si>
  <si>
    <t>['techniques used', 'statistical analysis', 'mafic components', 'known geology', 'good correspondence', 'correlate well']</t>
  </si>
  <si>
    <t>The Q- mode classification method supplied results that do not show a good correspondence with the known geology. The K-means clustering procedure barely identified the main lithologic features of the area. The G-mode technique produced results that correlate well with the known geology and identified the greenstone belts present in the area by discriminating their ultramafic and mafic components from adjacent felsic rocks. Statistical analysis of aerial Œ≥-ray spectrometer data can be very helpful in mapping geologic units in poorly known areas. It can also be used for mineral exploration purposes if mineralization is known to be associated with lithologies that can be identified by the techniques used in this study. -from Authors</t>
  </si>
  <si>
    <t>1326-1332</t>
  </si>
  <si>
    <t>Geophysics</t>
  </si>
  <si>
    <t>60014965;60014965</t>
  </si>
  <si>
    <t>24295951600;6602907852</t>
  </si>
  <si>
    <t>Pires, A. C.B.;Harthill, N.</t>
  </si>
  <si>
    <t>Golden</t>
  </si>
  <si>
    <t>Colorado School of Mines</t>
  </si>
  <si>
    <t>Pires A.C.B.</t>
  </si>
  <si>
    <t>Statistical analysis of airborne gamma-ray data for geologic mapping purposes: Crixas-Itapaci area, Goias, Brazil</t>
  </si>
  <si>
    <t>10.1190/1.1442592</t>
  </si>
  <si>
    <t>2-s2.0-0024876755</t>
  </si>
  <si>
    <t>['¬© 1989', 'vertical direction', 'small loop', 'perpendicular loops', 'particular cases', 'numerical evaluation', 'form suitable', 'field components', 'expressions presented', 'electromagnetic field', 'dipole approximation', 'arbitrary angle']</t>
  </si>
  <si>
    <t>The electromagnetic field of a current loop buried at an arbitrary angle (with respect to the vertical direction) in a stratified conducting ground is studied. A triple spatial Fourier transform is used in order to find integral representations of the field components. These representations are brought to a form suitable for numerical evaluation. The results formerly obtained for a small loop (dipole approximation) and for the parallel and perpendicular loops are recovered as particular cases from the expressions presented in this paper. ¬© 1989.</t>
  </si>
  <si>
    <t>63-71</t>
  </si>
  <si>
    <t>Journal of the Franklin Institute</t>
  </si>
  <si>
    <t>60026340;60026340;60026340</t>
  </si>
  <si>
    <t>7005017365;55423145600;6602736645</t>
  </si>
  <si>
    <t>Mor, A.;Weinstein, M.;Gavril, S.</t>
  </si>
  <si>
    <t>Mor A.</t>
  </si>
  <si>
    <t>The electromagnetic fields of a current loop buried at an arbitrary angle in a stratified ground</t>
  </si>
  <si>
    <t>10.1016/0016-0032(89)90059-8</t>
  </si>
  <si>
    <t>2-s2.0-0024878173</t>
  </si>
  <si>
    <t>['power amplifiers', 'nasa deep', 'microstrip radiators', 'linear array']</t>
  </si>
  <si>
    <t>A 32 GHz six-element linear transmitter array utilizing MMIC phase shifters and power amplifiers has been designed and tested as part of the development of a spacecraft array feed for NASA deep-space communications applications. Measurements of the performance of individual phase shifters, power amplifiers, and microstrip radiators were carried out and electronic beam steering of the linear array was demonstrated. ¬© 1989 IEEE</t>
  </si>
  <si>
    <t>2165-2168</t>
  </si>
  <si>
    <t>60009037;60009037;60009037;60009037;60009037</t>
  </si>
  <si>
    <t>6602317549;7102277064;7408102852;6603919322;7101839987</t>
  </si>
  <si>
    <t>Rascoe, D. L.;Riley, A. L.;Huang, J. H.;Lubecke, V.;Duffy, L.</t>
  </si>
  <si>
    <t>Rascoe D.</t>
  </si>
  <si>
    <t>Ka-Band MMIC Beam-Steered Transmitter Array</t>
  </si>
  <si>
    <t>10.1109/22.44138</t>
  </si>
  <si>
    <t>2-s2.0-0024878775</t>
  </si>
  <si>
    <t>['variable weights', 'unwanted interference', 'ultimate goal', 'signal subspace', 'robust system', 'pointing error', 'noise subspace', 'desired signal', 'analysis technique', 'algorithm proves', 'adaptively determined', 'adaptive antenna', 'accurate method']</t>
  </si>
  <si>
    <t>It should be the ultimate goal of the adaptive antenna that not only the magnitude of the variable weights but also their number should be adaptively determined. It is shown that the beamspace adaptive antenna system is most appropriate to realise it. Next, the beam weight control based on the eigen/analysis technique is described, together with a simple and accurate method to discriminate the signal subspace from the noise subspace. When the constraint for the desired signal direction contains some pointing error, the conventional system tends to suppress the desired signal, taking it for an unwanted interference, but the authors' algorithm proves to be a robust system which guarantees the protection of the desired signal.</t>
  </si>
  <si>
    <t>439-444</t>
  </si>
  <si>
    <t>Dec</t>
  </si>
  <si>
    <t>60011001;60011001</t>
  </si>
  <si>
    <t>7102188996;55737644100</t>
  </si>
  <si>
    <t>Takao, K.;Uchida, K.</t>
  </si>
  <si>
    <t>Beamspace partially adaptive antenna</t>
  </si>
  <si>
    <t>10.1049/ip-h-2.1989.0080</t>
  </si>
  <si>
    <t>2-s2.0-0024879367</t>
  </si>
  <si>
    <t>['reaction concept', 'mutual coupling', 'mutual admittance', 'formulated using', 'cavity model']</t>
  </si>
  <si>
    <t>Mutual coupling between microstrip patch antennas is formulated using the cavity model and the reaction concept. The method is applied to obtain the mutual admittance of two identical circular patches. Expression for the mutual admittance is used to determine active input impedances of elements in a 19-element hexagonal phased array antenna. Numerical results reveal the importance of mutual coupling effects in the performance of a phased array antenna.</t>
  </si>
  <si>
    <t>117-120</t>
  </si>
  <si>
    <t>Canadian Journal of Electrical and Computer Engineering</t>
  </si>
  <si>
    <t>7402673635;8092251400</t>
  </si>
  <si>
    <t>Bhattacharyya, A. K.;Shafai, L.</t>
  </si>
  <si>
    <t>Bhattacharyya A.</t>
  </si>
  <si>
    <t>Effect of mutual coupling on the input impedance of microstrip arrays</t>
  </si>
  <si>
    <t>10.1109/CJECE.1989.6592953</t>
  </si>
  <si>
    <t>2-s2.0-0024879955</t>
  </si>
  <si>
    <t>['velocity space', 'strong shift', 'strong gradients', 'steady state', 'significant difference', 'rftrans code', 'results indicate', 'radial location', 'radial diffusion', 'power profiles', 'planck code', 'perpendicular wavelength', 'magnetic axis', 'kinetic level', 'includes real', 'icrf ).', 'ibw absorption', 'hydrogen minority', 'hot plasmas', 'fw absorption', 'fast wave', 'electric fields', 'doppler shift', 'distribution function', 'dimensional full', 'cylindrical geometry', 'combined effects', 'auxiliary heating', 'antenna structure', 'absorption profiles']</t>
  </si>
  <si>
    <t>A steady state, three-dimensional, Fokker-Planck code, RFTRANS, has been developed that includes real-space radial diffusion at the kinetic level as well as models of auxiliary heating. The RFTRANS code has been coupled with the one-dimensional full-wave code ORION-S which calculates the electric fields and power absorption profiles for waves in hot plasmas in the ion cyclotron range of frequencies (ICRF). The differences between fast wave (FW) absorption and ion Bernstein wave (IBW) absorption by a minority plasma species have been studied, using simple models to map the ORION-S power profiles into cylindrical geometry. The effects of the absorbed ICRF power are calculated by the RFTRANS code, and the resulting minority distribution function is decomposed into two Maxwellian distribution functions at each radial location for input into the dispersion relation used by the ORION-S code. The process is iterated until convergence is reached. There is a significant difference between the effects of FW absorption and the effects of IBW absorption in velocity space which is due to the differences in perpendicular wavelength. When a simple kinetic real-space diffusion coefficient is used, the strong gradients in the heated minority distribution function are relaxed and the absorption profiles are affected. The results indicate that the application of high power fast waves launched from the low field side into a hydrogen minority/deuterium majority plasma can cause a strong shift of the radial absorption peak towards the antenna structure. Thus, at high power levels, the absorption becomes peaked near the magnetic axis when the ion cyclotron resonance is on the high field side of the magnetic axis; this is due to the combined effects of the radial diffusion of the hot tail components of the distribution function and the Doppler shift of the resonance. ¬© 1989 IOP Publishing Ltd.</t>
  </si>
  <si>
    <t>2141-2154</t>
  </si>
  <si>
    <t>60024266;60024266;60024266</t>
  </si>
  <si>
    <t>35371543400;7005521707;7006526034</t>
  </si>
  <si>
    <t>Carter, M. D.;Jaeger, E. F.;Batchelor, D. B.</t>
  </si>
  <si>
    <t>Carter M.</t>
  </si>
  <si>
    <t>Non-linear core plasma response to ICRF heating with transport</t>
  </si>
  <si>
    <t>10.1088/0029-5515/29/12/007</t>
  </si>
  <si>
    <t>2-s2.0-0024880003</t>
  </si>
  <si>
    <t>['sample performance', 'results demonstrate', 'original method', 'new algorithm', 'music algorithm', 'correlated signals', 'asymptotic performance']</t>
  </si>
  <si>
    <t>A generalisation of the MUSIC algorithm is derived. It is shown that the new algorithm has a much better performance than the original method. Results demonstrate that the small-sample performance, the effect of correlated signals, and the sensitivity to noise are all improved. The paper also shows that the asymptotic performance is identical to that of MUSIC.</t>
  </si>
  <si>
    <t>Farrier, D. R.</t>
  </si>
  <si>
    <t>Farrier D.R.</t>
  </si>
  <si>
    <t>High-performance signal subspace beamformer</t>
  </si>
  <si>
    <t>10.1049/ip-f-2.1989.0043</t>
  </si>
  <si>
    <t>2-s2.0-0024880079</t>
  </si>
  <si>
    <t>['microstrip elements', 'highly accurate', 'functional behavior', 'francis group', 'field characteristics', 'described analytically', 'cylindrical substrates', 'cylindrical green']</t>
  </si>
  <si>
    <t>A highly accurate and efficient numerical algorithm for the computation of the near-field characteristics of microstrip elements on cylindrical substrates is presented in this paper. The algorithm is applicable for any homogeneous, isotropic, and linear substrate material, including lossy materials of arbitrary substrate thickness. The numerical and mathematical limiting cases, such as the low or high frequency limits, are described analytically and numerically to illustrate the functional behavior of the cylindrical Green's function. ¬© 1989 Taylor &amp; Francis Group, LLC.</t>
  </si>
  <si>
    <t>405-426</t>
  </si>
  <si>
    <t>115569186-60027550</t>
  </si>
  <si>
    <t>Nakatani, Akifumi</t>
  </si>
  <si>
    <t>Los Angeles;Santa Monica</t>
  </si>
  <si>
    <t>University of California, Los Angeles;Phraxos Research and Development Inc</t>
  </si>
  <si>
    <t>60027550;115569186</t>
  </si>
  <si>
    <t>Nakatani A.</t>
  </si>
  <si>
    <t>Microstrip elements on cylindrical substrates-general algorithm and numerical results-invited paper</t>
  </si>
  <si>
    <t>10.1080/02726348908915247</t>
  </si>
  <si>
    <t>2-s2.0-0024880730</t>
  </si>
  <si>
    <t>['wavelength dipole', 'resistive loading', 'graphs could', 'given length', 'frequency variations', 'diameter ratio', 'design curves', 'current distributions', 'conventional dipole', 'compatible dipole', 'also plotted']</t>
  </si>
  <si>
    <t>A wideband, semiconductor-compatible dipole, derived from the conventional metallic half-wavelength dipole is described. This dipole is resistively loaded along its length, producing a travelling wave current distribution that is insensitive to frequency variations. The resistive loading, however, produces a reduction in efficiency but an increase in bandwidth. Graphs are presented which relate the resistive loading, with efficiency and bandwidth for a given length to diameter ratio of the dipole. These graphs could be useful as design curves in the tradeoff between bandwidth and efficiency. The current distributions along the length of the dipole under various resistive loading conditions are also plotted, as well as the radiation patterns due to these current distributions. The resistive loading for a conventional dipole can be achieved by varying the thickness of the resistive material coating along the length of the dipole.</t>
  </si>
  <si>
    <t>455-461</t>
  </si>
  <si>
    <t>Patel, P. D.</t>
  </si>
  <si>
    <t>Buffalo</t>
  </si>
  <si>
    <t>Bell Aerospace Textron</t>
  </si>
  <si>
    <t>Patel P.</t>
  </si>
  <si>
    <t>Semiconductor dipole. Possible radiating element for microwave/millimetre-wave monolithic integrated circuits (MIMICs)</t>
  </si>
  <si>
    <t>10.1049/ip-h-2.1989.0082</t>
  </si>
  <si>
    <t>2-s2.0-0024881661</t>
  </si>
  <si>
    <t>['radiation pattern', 'radiation characteristics', 'particularly accurate', 'numerical results', 'experimental results', 'electrically thin', 'earlier theory', 'antennas etched']</t>
  </si>
  <si>
    <t>A moment method model is presented for the radiation characteristics of the tapered slot antenna. It overcomes the shortcoming of an earlier theory. The method is rigorous for the air dielectric antennas. For dielectric supported antennas, the method is approximate, but accurate. The method is particularly accurate for antennas etched on substrates that are electrically thin or those having a low dielectric constant, within the limits of (‚àär ‚Äì 1) d/Œª&lt;inf&gt;0&lt;/inf&gt;&lt;&lt;inf&gt;0.1&lt;/inf&gt;. Numerical results are presented for the radiation pattern and compared with experimental results to validate the model. ¬© 1989 IEEE</t>
  </si>
  <si>
    <t>1523-1528</t>
  </si>
  <si>
    <t>Janaswamy, Ramakrishna</t>
  </si>
  <si>
    <t>Monterey</t>
  </si>
  <si>
    <t>Naval Postgraduate School</t>
  </si>
  <si>
    <t>Janaswamy R.</t>
  </si>
  <si>
    <t>An Accurate Moment Method Model for the Tapered Slot Antenna</t>
  </si>
  <si>
    <t>10.1109/8.45093</t>
  </si>
  <si>
    <t>2-s2.0-0024882561</t>
  </si>
  <si>
    <t>['wiley company', 'unwanted polarization', 'theoretical analysis', 'reflection level', 'practical grid', 'polarization diplexing', 'optimum parameter', 'operating bandwidth', 'numerical results', 'metal grid', 'insertion loss', 'inc .,', 'honeycomb structures', 'grid plate', 'equivalent circuit', 'desired wave', 'design method', 'analysis based']</t>
  </si>
  <si>
    <t>Polarization diplexing is possible by means of a grid plate and hence a frequency reuse antenna can be realized. Usually, the characteristics of a grid plate can be evaluated by an analysis based on an equivalent circuit. However, for a practical grid with a support mechanism made of dielectric or honeycomb structures, the reflection level of the unwanted polarization at the time for transmission of the desired wave is larger than the value for the metal grid only and hence the results are different from those by the equivalent circuit analysis. In this paper, the characteristics of the grid with a dielectric support layer are analyzed by means of full‚Äêwave analysis so that the relationship between the thickness of the dielectric support layer and the reflection level of the unwanted polarization is detected. Next, a method is proposed for suppression of this unwanted polarization in a grid with a dielectric support layer. The validity was confirmed by theoretical analysis and experiments. Further, the design method and the numerical results are presented for a low‚Äêloss polarization diplexing grid used in a frequency reuse antenna. It is pointed out that there exists an optimum parameter that minimizes the insertion loss in the operating bandwidth. Copyright ¬© 1989 Wiley Periodicals, Inc., A Wiley Company</t>
  </si>
  <si>
    <t>69-78</t>
  </si>
  <si>
    <t>57206124011;35564404500</t>
  </si>
  <si>
    <t>Kondo, Akira;Kagoshima, Kenichi</t>
  </si>
  <si>
    <t>Kondo A.</t>
  </si>
  <si>
    <t>Design and characteristics of low‚Äêloss polarization grid</t>
  </si>
  <si>
    <t>10.1002/ecja.4410721207</t>
  </si>
  <si>
    <t>2-s2.0-0024884157</t>
  </si>
  <si>
    <t>['tuning capacitor', 'tuned stubs', 'tuned stub', 'tower body', 'thus increasing', 'stub wire', 'stub significantly', 'stub length', 'stub designs', 'stub design', 'standing structures', 'significantly filled', 'scattered field', 'run parallel', 'resonant system', 'radio station', 'one end', 'often required', 'large increase', 'energy loss', 'directional pattern', 'detuner may', 'comparable performance', 'compact design', 'better performance', 'base impedance', 'avoid interference', 'antenna array']</t>
  </si>
  <si>
    <t>The antenna array for a ‚Äústandard broadcast‚Äù AM radio station is often required to maintain a directional pattern, to avoid interference with stations on the same frequency in other cities. Free-standing structures such as towers can scatter the array's signal sufficiently strongly that the directional pattern's minima are significantly filled in. This paper presents several ‚Äúdetuner‚Äù designs for installation on a tower for the suppression of the scattered field. The emphasis is on the assessment of the bandwidth over which scattering is suppressed, and on how the detuner may be modified to increase the bandwidth. The performance of detuners is studied in this paper by computing the scattered field from a type VlS power line tower using the ‚ÄúNumerical Electromagnetics Code‚Äù. The wellknown ‚Äúdetuning skirt‚Äù or ‚Äúdetuning stub‚Äù is investigated. A rod or wire is run parallel to the tower, shorted to the tower at one end and tuned with a capacitance at the other. It is shown that the bandwidth can be improved by increasing the stub length, as in the ‚Äúelbow stub‚Äù design. It is shown that a large increase in bandwidth can be achieved by separating the stub significantly from the tower, thus increasing the energy loss in the resonant system. Stub designs not requiring a tuning capacitor are investigated. The ‚Äúskywire stub‚Äù provides wideband detuning. The ‚Äúhorizontal wire‚Äù stub offers performance superior to the capacitively-tuned stubs. The ‚Äúwrapped stub‚Äù is a compact design with comparable performance to the capacitively-tuned stubs. The effectiveness of the stub designs proposed is investigated by the measurement of the base impedance of the scale model tower ‚Äúdetuned‚Äù with each stub design. The measured impedances bear out the conclusions that the bandwidth of a capacitively-tuned stub is improved by increasing the stub length, that the bandwidth of a stub can be increased by separating the stub wire from the tower body, and that the wire stub designs offer as good or better performance than do the capacitively-tuned stub designs. ¬© 1989 IEEE</t>
  </si>
  <si>
    <t>325-338</t>
  </si>
  <si>
    <t>60033154;60033154;60033154</t>
  </si>
  <si>
    <t>7006097946;6507173023;6701413096</t>
  </si>
  <si>
    <t>Trueman, C. W.;Roobroeck, T. M.;Kubina, S. J.</t>
  </si>
  <si>
    <t>Concordia University</t>
  </si>
  <si>
    <t>Trueman C.W.</t>
  </si>
  <si>
    <t>Stub Detuners for Free-Standing Towers</t>
  </si>
  <si>
    <t>10.1109/11.40833</t>
  </si>
  <si>
    <t>2-s2.0-0024884691</t>
  </si>
  <si>
    <t>['wave dipole', 'rigorously analyzed', 'input admittances', 'gap width', 'free space', 'feed gap', 'estimated using', 'enclosed system', 'dipoles radiating', 'dipole admittance', 'different thicknesses', 'different lengths', 'decreasing amplitudes', 'circular waveguide', 'analysis begins', 'also examined']</t>
  </si>
  <si>
    <t>A center-fed solid circular cylindrical dipole of radius a with feed gap of width 2d radiating in a circular waveguide of radius b terminated in infinite ground planes, is rigorously analyzed by applying both the conservation of complex power technique and the multiple reflections technique. The analysis begins with this enclosed system by studying the dependence of the dipole admittance on its feed gap width 2d and on its length 2/, as well as on b, with ka (k = 2œÄ/Œª is the wavenumber) as a parameter. from the decreasing amplitudes of the almost periodic oscillations of these input admittances as b/Œª is increased, the input admittances of dipoles radiating in free space (b‚Üí‚àû) are estimated using a variable bound approach. The effect of gap width (d/a ‚â§5) for different lengths of dipoles (0.2‚â§2l/Œª‚â§ 1) in free space and for different thicknesses (ka ‚â§ 0.2) is then established. The feed gap dependence for a half-wave dipole is also examined in detail with d/a ‚â§ 10 and ka ‚â§0.14. ¬© 1989 IEEE</t>
  </si>
  <si>
    <t>1545-1553</t>
  </si>
  <si>
    <t>60014171;60014171</t>
  </si>
  <si>
    <t>7004488643;7005164716</t>
  </si>
  <si>
    <t>Do-Nhat, Tam;Macphie, Robert H.</t>
  </si>
  <si>
    <t>Waterloo</t>
  </si>
  <si>
    <t>University of Waterloo</t>
  </si>
  <si>
    <t>Do-Nhat T.</t>
  </si>
  <si>
    <t>On the Effect of Gap Width on the Admittance of Solid Circular Cylindrical Dipoles</t>
  </si>
  <si>
    <t>10.1109/8.45096</t>
  </si>
  <si>
    <t>2-s2.0-0024886237</t>
  </si>
  <si>
    <t>['wiley company', 'wave number', 'three representations', 'sufficiently large', 'simple calculations', 'physical interpretation', 'mutual relationship', 'inc .,', 'good accuracy', 'conventional representation', 'concave boundary', 'applied well']</t>
  </si>
  <si>
    <t>The electromagnetic field generated in a concave boundary by a magnetic line current source placed on a semicylindrical conducting concave boundary is analyzed by means of three representations. The effectiveness and physical interpretation of these representations are discussed. If the product of the wave number and the radius is sufficiently large, the conventional representation by the geometric optical rays and the integral‚Äêtype interference wave cannot be applied well. The representation by means of a combination of the geometric optical rays, lower‚Äêorder whispering gallery modes and the error‚Äêcorrecting term has simple calculations and good accuracy. The mutual relationship between the geometric optical rays and the modes is found and the propagation characteristics within the boundary layer characteristic to the concave boundary are addressed. Copyright ¬© 1989 Wiley Periodicals, Inc., A Wiley Company</t>
  </si>
  <si>
    <t>59-68</t>
  </si>
  <si>
    <t>60004176;60004176;60004176;60004176</t>
  </si>
  <si>
    <t>7402144929;7201768845;56220496000;7202507738</t>
  </si>
  <si>
    <t>Ishihara, Toyohiko;Shirai, Kazuhiro;Goto, Keiji;Toda, Kohji</t>
  </si>
  <si>
    <t>Yokosuka</t>
  </si>
  <si>
    <t>National Defense Academy of Japan</t>
  </si>
  <si>
    <t>Ishihara T.</t>
  </si>
  <si>
    <t>High‚Äêfrequency long‚Äêrange propagation phenomena in semicylindrical conducting concave boundary</t>
  </si>
  <si>
    <t>10.1002/ecja.4410721206</t>
  </si>
  <si>
    <t>2-s2.0-0024887969</t>
  </si>
  <si>
    <t>['¬© 1989', 'time differences', 'recorded independently', 'ionospheric level', 'es layer', 'electromagnetic wave', 'electromagnetic disturbance', 'electric antennae', 'djibouti station', 'density increase', 'altitude observations', '2 seem', '15 khz']</t>
  </si>
  <si>
    <t>Several electromagnetic phenomena, recorded at the time of earthquakes, were recorded independently by the geostationary satellite GEOS-2 above Africa (longitude 37¬∞E), and the polar-orbiting satellite Aureol-3 (apogee 2012 km, perigee 408 km, inclination 82¬∞5‚Ä≤, period 109.5 min). The observations were made with magnetic and electric antennae in the frequency range 10 Hz-15 kHz. Characteristics of the emissions and differences between low- and high-altitude observations are presented. Some GEOS-2 very low frequency data can be correlated with ionospheric measurements made on ground at the Djibouti station (latitude 11¬∞N, longitude 42¬∞E), where increases of the critical frequency f0ES of the sporadic ES layer are observed when earthquakes occur nearby. Time differences between disturbance at ionospheric level and at the height of GEOS-2 seem to indicate that earthquakes cause two distinct types of electromagnetic disturbance, an electromagnetic wave in the ionosphere and a density increase of the ES layer. ¬© 1989.</t>
  </si>
  <si>
    <t>86-99</t>
  </si>
  <si>
    <t>Physics of the Earth and Planetary Interiors</t>
  </si>
  <si>
    <t>105869274;60014036</t>
  </si>
  <si>
    <t>7004587851;57209056490</t>
  </si>
  <si>
    <t>Parrot, M.;Mogilevsky, M. M.</t>
  </si>
  <si>
    <t>Russian Federation;France</t>
  </si>
  <si>
    <t>Troitsk;Orleans</t>
  </si>
  <si>
    <t>Pushkov Institute of Terrestrial Magnetism, Ionosphere and Radiowave Propagation, Russian Academy of Sciences;I.P.C.E./C.N.R.S.</t>
  </si>
  <si>
    <t>60014036;105869274</t>
  </si>
  <si>
    <t>Parrot M.</t>
  </si>
  <si>
    <t>VLF emissions associated with earthquakes and observed in the ionosphere and the magnetosphere</t>
  </si>
  <si>
    <t>10.1016/0031-9201(89)90218-5</t>
  </si>
  <si>
    <t>2-s2.0-0024889124</t>
  </si>
  <si>
    <t>['transverse electric', 'surface currents', 'standard pulse', 'space regions', 'slot axis', 'simple point', 'sample computations', 'properly shifted', 'numerical advantage', 'moment solution', 'matching procedure', 'gaussian beams', 'electromagnetic coupling', 'contrasting half']</t>
  </si>
  <si>
    <t>A moment solution is presented for the problem of transverse electric (TE) (to the slot axis) electromagnetic coupling through a slot in infinitesimally thin perfectly conducting screen separating two identical or contrasting half-space regions. The moment solution uses sets of properly shifted and modulated Gaussian elementary beams to expand the unknown equivalent magnetic current and a simple point-matching procedure for testing. The Gaussian expansion offers a numerical advantage in subsequent field calculations. Instead of facing the need to integrate over surface currents when computing the fields, the proposed expansion allows the evaluation of the fields by summations of analytic terms exploiting the simple and well understood propagation features of Gaussian beams. Sample computations are given and compared with a standard pulse-pulse Galerkin solution. ¬© 1989 IEEE</t>
  </si>
  <si>
    <t>1537-1544</t>
  </si>
  <si>
    <t>7005691179;6506683496;35614064400</t>
  </si>
  <si>
    <t>Leviatan, Yehuda;Hudis, Efim;Einziger, Pinchas D.</t>
  </si>
  <si>
    <t>Leviatan Y.</t>
  </si>
  <si>
    <t>A Method of Moments Analysis of Electromagnetic Coupling Through Slots Using a Gaussian Beam Expansion</t>
  </si>
  <si>
    <t>10.1109/8.45095</t>
  </si>
  <si>
    <t>2-s2.0-0024891193</t>
  </si>
  <si>
    <t>['wax products', 'tubular ducts', 'siberian zabaikalia', 'shares also', 'recent xylococculus', 'lower cretaceous', 'fossil coccid', 'et sp', 'current problems', 'coccid paleontology', 'briefly discussed', 'anterior margins']</t>
  </si>
  <si>
    <t>Baisococcus victoriae gen. et sp. n. from Siberian Zabaikalia) Lower Cretaceous (Neocomian) deposits is described and illustrated on the basis of a single male specimen. The endoplalus, tubular ducts and their wax products, antennae, anterior margins of wings and some sclerites of head, thorax and abdomen are relatively well preserved in this fossil coccid which seems to be close to the recent Xylococculus, but shares also some charactersitics with Orthezia, Marchalina, Neosteingelia and Callipappus. Current problems and prospects of coccid paleontology are briefly discussed. -Author</t>
  </si>
  <si>
    <t>93-106</t>
  </si>
  <si>
    <t>Acta Zoologica Cracoviensia</t>
  </si>
  <si>
    <t>Koteja, J.</t>
  </si>
  <si>
    <t>Krakow</t>
  </si>
  <si>
    <t>Uniwersytet Rolniczy im. Hugona Kollataja w Krakowie</t>
  </si>
  <si>
    <t>Koteja J.</t>
  </si>
  <si>
    <t>Baisococcus victoriae gen. et sp. n. - a Lower Cretaceous coccid (Homoptera, Coccineae)</t>
  </si>
  <si>
    <t>2-s2.0-0024899214</t>
  </si>
  <si>
    <t>['uniform sphere', 'surface law', 'stereographic projection', 'sphere corresponding', 'source point', 'shown originally', 'repetitive refocusing', 'refractive index', 'radial variation', 'points equispaced', 'perfect focus', 'nonuniform sphere', 'maxwell fish', 'luneburg lens']</t>
  </si>
  <si>
    <t>The radial variation of refractive index in the Maxwell fish-eye can be derived from the stereographic projection of the geodesics of the uniform sphere, as shown originally by Luneburg. This produces a perfect focus at the point diametrically opposite the source point. The generalisation of this is a refractive index law that provides for repetitive refocusing at points equispaced about the circle and for a medium which is axisymmetric. It is shown that this can be derived as the stereographic projection of a nonuniform sphere on which the latitudinal refractive index is such that the same form of focusing is obtained about the equator. The method in reverse then gives the surface law on the sphere corresponding to any radial variation in the plane and is illustrated for the Luneburg lens itself.</t>
  </si>
  <si>
    <t>499-501</t>
  </si>
  <si>
    <t>Cornbleet, S.</t>
  </si>
  <si>
    <t>Cornbleet S.</t>
  </si>
  <si>
    <t>Stereographic projection of axisymmetric nonuniform lens media</t>
  </si>
  <si>
    <t>10.1049/ip-h-2.1989.0089</t>
  </si>
  <si>
    <t>2-s2.0-0024899559</t>
  </si>
  <si>
    <t>['¬© 1989', 'truly associated', 'tensile cracks', 'subcritical cracking', 'simultaneously recorded', 'shear faulting', 'shear cracks', 'possible mechanism', 'physical mechanism', 'origin time', 'onset time', 'new cracks', 'necessary condition', 'main shock', 'main power', 'laboratory experiments', 'granitic samples', 'generally considered', 'fresh surface', 'frequency spectrum', 'frequency range', 'electromagnetic waves', 'electromagnetic emissions', 'electromagnetic emission', 'connects pre', 'completely understand', 'acoustic emission', '5 mhz']</t>
  </si>
  <si>
    <t>To understand the physical mechanism of the anomalous electromagnetic emissions observed before earthquakes, we carried out some laboratory experiments on electromagnetic and acoustic emission from a rock. Granitic samples were loaded at a constant strain rate and electromagnetic and acoustic emission were simultaneously recorded during deformation of the sample. Ten to 20% of the acoustic emissions detected during the experiment are associated with electromagnetic emission. The onset time of electromagnetic emission is found to coincide with the origin time of the acoustic emission. This demonstrates that the emission of electromagnetic waves is truly associated with microcracking in the sample. The efficiency of generating electromagnetic emission seems to be higher in tensile cracks than in shear cracks. The frequency spectrum of the electromagnetic emission obtained with five coil antennae of different frequency responses indicates that the main power of the electromagnetic emission is in the frequency range &gt; 0.5 MHz. A possible mechanism of electromagnetic emission is electrification of a fresh surface created by subcritical cracking in a rock. If this interpretation is correct, production of new cracks is a necessary condition for generation of electromagnetic emissions. Although we do not completely understand how a natural earthquake occurs, it is generally considered to be a result of shear faulting that connects pre-existing small cracks. Therefore it is reasonable to expect anomalous electromagnetic emission associated with small tensile cracks before an earthquake and to expect that the anomalous electromagnetic emission will be observed only before an earthquake but not at the main shock, which may not be very efficient for creation of a fresh surface. ¬© 1989.</t>
  </si>
  <si>
    <t>157-168</t>
  </si>
  <si>
    <t>60000264;60000264;60000264</t>
  </si>
  <si>
    <t>24381303600;35520039600;7202018871</t>
  </si>
  <si>
    <t>Yamada, I.;Masuda, K.;Mizutani, H.</t>
  </si>
  <si>
    <t>Nagoya University</t>
  </si>
  <si>
    <t>Yamada I.</t>
  </si>
  <si>
    <t>Electromagnetic and acoustic emission associated with rock fracture</t>
  </si>
  <si>
    <t>10.1016/0031-9201(89)90225-2</t>
  </si>
  <si>
    <t>2-s2.0-0024900239</t>
  </si>
  <si>
    <t>['¬© 1989', 'successful diets', 'stage iv', 'species studied', 'later stage', 'intersetular spacing', 'intersetular distances', 'geographical range', 'cirripede species', 'cell size', 'breeding season', 'also found']</t>
  </si>
  <si>
    <t>Antenna | Cirripede | Diet | Filter | Nauplius</t>
  </si>
  <si>
    <t>The larvae of six balanomorph species were reared on various algal diets. The rate of development, survival and size (stage IV) of the larvae were measured for each of the diets. The antennae of the stage II nauplius and a later stage (V or VI) are drawn for each of the species studied, and the intersetular distances are measured. The cell size of algae which were successful diets was found to correlate with the intersetular spacing on the antenna. Links were also found between successful diets and the geographical range and breeding season of the cirripede species. ¬© 1989.</t>
  </si>
  <si>
    <t>17-40</t>
  </si>
  <si>
    <t>Journal of Experimental Marine Biology and Ecology</t>
  </si>
  <si>
    <t>Stone, Carolyn J.</t>
  </si>
  <si>
    <t>Swansea</t>
  </si>
  <si>
    <t>Swansea University</t>
  </si>
  <si>
    <t>Stone C.</t>
  </si>
  <si>
    <t>A comparison of algal diets for cirripede nauplii</t>
  </si>
  <si>
    <t>0022-0981(89)90174-3</t>
  </si>
  <si>
    <t>10.1016/0022-0981(89)90174-3</t>
  </si>
  <si>
    <t>2-s2.0-0024900435</t>
  </si>
  <si>
    <t>['surface current', 'studied using', 'singular effects', 'proper way', 'microstrip disk', 'method approach', 'input impedance', 'good agreement', 'frequency limit', 'excellent way', 'enables us', 'edge current', 'disk edge', 'convergence rate', 'computed results', 'careful treatment', 'antenna excited', 'accurate way']</t>
  </si>
  <si>
    <t>The problem of a microstrip disk-antenna excited by a probe at its center is studied using a moment-method approach for the evaluation of the surface current on the disk. The novelty of the work is a careful treatment of the singular effects of the probe and of the disk edge on the surface current on the disk. This is done by an inclusion in a proper way of an attachment mode current and an edge current in the surface current on the disk. The inclusion of these two currents accelerates in an excellent way the convergence rate of the moment method solution, and enables us to obtain the input impedance in a broad frequency range, including the zero-frequency limit. Also, the influence of the probe on the input impedance is taken into account in a correct and accurate way. Finally, a comparison between measured and computed results is given, and good agreement is obtained. ¬© 1989 IEEE</t>
  </si>
  <si>
    <t>1516-1522</t>
  </si>
  <si>
    <t>60017563;60030612;60017563</t>
  </si>
  <si>
    <t>6602720975;23032510000;7004481850</t>
  </si>
  <si>
    <t>Pinhas, Shlomo;Shtrikman, Shmuel;Treves, David</t>
  </si>
  <si>
    <t>San Diego;Rehovot</t>
  </si>
  <si>
    <t>University of California, San Diego;Weizmann Institute of Science Israel</t>
  </si>
  <si>
    <t>60030612;60017563</t>
  </si>
  <si>
    <t>Pinhas S.</t>
  </si>
  <si>
    <t>Moment-Method Solution of the Center-Fed Microstrip Disk Antenna Invoking Feed and Edge Current Singularities</t>
  </si>
  <si>
    <t>10.1109/8.45092</t>
  </si>
  <si>
    <t>2-s2.0-0024902577</t>
  </si>
  <si>
    <t>['gammarus minus', 'cave population']</t>
  </si>
  <si>
    <t>Estimated the selection, if any, that acts on the antennae and eyes of a cave population of Gammarus minus in SE West Virginia. -from Authors</t>
  </si>
  <si>
    <t>688-693</t>
  </si>
  <si>
    <t>Evolution</t>
  </si>
  <si>
    <t>60020420;60020420</t>
  </si>
  <si>
    <t>57197987343;7006428719</t>
  </si>
  <si>
    <t>Jones, R.;Culver, D. C.</t>
  </si>
  <si>
    <t>American University</t>
  </si>
  <si>
    <t>Jones R.</t>
  </si>
  <si>
    <t>Evidence for selection on sensory structures in a cave population of Gammarus minus (Amphipoda)</t>
  </si>
  <si>
    <t>10.1111/j.1558-5646.1989.tb04267.x</t>
  </si>
  <si>
    <t>2-s2.0-0024903710</t>
  </si>
  <si>
    <t>['wiley company', 'microwave energy', 'larger systems', 'inc .,', 'constituent parts']</t>
  </si>
  <si>
    <t>cadmium selenide | Cross section | diffraction (GTD) | moments | photoconductor | radar | resolution</t>
  </si>
  <si>
    <t>An experimental high resolution radar imaging technique is described, which permits magnitude determination of currents and local fields established on an around complex bodies irradiated with microwave energy. This highly useful information reveals radar cross section contributions from constituent parts of larger systems. Copyright ¬© 1989 Wiley Periodicals, Inc., A Wiley Company</t>
  </si>
  <si>
    <t>434-437</t>
  </si>
  <si>
    <t>McGinn, Vincent P.</t>
  </si>
  <si>
    <t>Tulsa</t>
  </si>
  <si>
    <t>The University of Tulsa</t>
  </si>
  <si>
    <t>McGinn V.</t>
  </si>
  <si>
    <t>Photoelectrically enhanced microwave imaging</t>
  </si>
  <si>
    <t>10.1002/mop.4650021210</t>
  </si>
  <si>
    <t>2-s2.0-0024905562</t>
  </si>
  <si>
    <t>['wider acceptance', 'widely reported', 'superficial lesions', 'radiation therapy', 'practical solution', 'passive technique', 'microwave technology', 'microwave radiometry', 'microwave hyperthermia', 'medical uses', 'medical problems', 'human tissue', 'focus energy', 'early detection', 'cancer appears', 'antenna arrays', 'adjunctive procedure']</t>
  </si>
  <si>
    <t>Developments in the application of microwave technology to the solution of medical problems, particularly the detection and treatment of cancer, have been very encouraging. In the treatment of cancer. for example, microwave hyperthermia has been accepted as an adjunctive procedure to radiation therapy in the treatment of superficial lesions. While not as widely reported, the use of microwave radiometry as a noninvasive, passive technique for the early detection of cancer appears very promising. Wider acceptance of these methods, however, awaits fundamental improvements in the ability to focus energy at depth in human tissue, an important and nontrivial antenna problem. Further development in the areas of antennas and antenna arrays is required if microwave technology is to provide a practical solution to the detection and treatment of cancer. This paper discusses developments in the medical uses of microwave radiometry, particularly in relation to the early detection of cancer, as well as the significance of and progress in related antenna technology. ¬© 1989 IEEE</t>
  </si>
  <si>
    <t>1862-1869</t>
  </si>
  <si>
    <t>Carr, Kenneth L.</t>
  </si>
  <si>
    <t>Lowell</t>
  </si>
  <si>
    <t>M/A-COM (MACOM)</t>
  </si>
  <si>
    <t>Carr K.</t>
  </si>
  <si>
    <t>Microwave Radiometry: Its Importance to the Detection of Cancer</t>
  </si>
  <si>
    <t>10.1109/22.44095</t>
  </si>
  <si>
    <t>2-s2.0-0024906781</t>
  </si>
  <si>
    <t>['wiley blackwell', 'travelled towards', 'swimming speeds', 'swam back', 'rights reserved', 'nest sites', 'generally left', 'foraging patterns', 'foraging paths', 'foraging durations', 'foraging duration', 'foraging distances', 'foraging area', 'first light', 'distances varied', 'actively foraging']</t>
  </si>
  <si>
    <t>In order to study the movements and activities at sea of jackass penguins rearing chicks, a radio telemetry study was undertaken. Twenty five transmitters were attached to breeding adult penguins at their nest sites. These penguins were tracked for a total of 414 hours using a system of antennae on a motor‚Äìboat, the island and land‚Äìbased stations. The foraging paths, foraging duration, foraging distances and swimming speeds were studied. The penguins' foraging patterns were similar; they generally left the island at night and travelled towards their foraging area, actively foraging from first light until they swam back to the island. The foraging durations and distances varied, as did the swimming speeds, according to availability of food. Copyright ¬© 1989, Wiley Blackwell. All rights reserved</t>
  </si>
  <si>
    <t>367-379</t>
  </si>
  <si>
    <t>Journal of Zoology</t>
  </si>
  <si>
    <t>60013272;60013272</t>
  </si>
  <si>
    <t>16194046800;7201628563</t>
  </si>
  <si>
    <t>HEATH, R. G.M.;RANDALL, R. M.</t>
  </si>
  <si>
    <t>The Council for Scientific and Industrial Research</t>
  </si>
  <si>
    <t>HEATH R.G.M.</t>
  </si>
  <si>
    <t>Foraging ranges and movements of jackass penguins (Spheniscus demersus) established through radio telemetry</t>
  </si>
  <si>
    <t>10.1111/j.1469-7998.1989.tb02496.x</t>
  </si>
  <si>
    <t>2-s2.0-0024910665</t>
  </si>
  <si>
    <t>['wiley company', 'vertical antennas', 'trapping cone', 'transmission cone', 'three methods', 'south direction', 'simulation result', 'radiowave strength', 'practical situation', 'poynting method', 'natural wave', 'multiple reflection', 'maximum point', 'main results', 'lower portion', 'ionospheric models', 'inc .,', 'goniometer method', 'found systematically', 'exit point', 'error increases', 'electromagnetic field', 'downgoing wave', 'directional error', 'beam wave', '150 km', '100 km']</t>
  </si>
  <si>
    <t>The full‚Äêwave analysis method is described for computing the electromagnetic field on the ground when a beam‚Äêshaped wave is incident from above the ionosphere. By means of this method, the directional error was evaluated in various VLF direction finders which measure the exit point of the natural wave at the lower portion of the ionosphere, under the assumption that the downgoing wave is radiated from a duct. In this method, the directional errors due to multiple reflection, polarization, beam wave of the arriving radio wave and the type of ionospheric models can be found systematically so that a simulation result most resembling the practical situation is provided. The main results are as follows: (1) When the transmission cone is within the trapping cone, the NPF method using orthogonal loop antennas and vertical antennas can indicate an almost correct direction within a radius of about 100 km from the maximum point of the radiowave strength on the ground. The error increases at a distance of more than 150 km. On the other hand, the Poynting method indicates almost correct directions even at a distance of more than 200 km regardless of the polarization. The goniometer method has almost the same accuracy as the Poynting method; (2) if the overlapping of the transmission cone and the trapping cone is smaller, the error is increased in the south direction in all three methods; and (3) no significant frequency dependence is observed in the directional error. Copyright ¬© 1989 Wiley Periodicals, Inc., A Wiley Company</t>
  </si>
  <si>
    <t>88-98</t>
  </si>
  <si>
    <t>60024784;60024784</t>
  </si>
  <si>
    <t>7006203498;7003852898</t>
  </si>
  <si>
    <t>Nagano, Isamu;Mambo, Masayoshi</t>
  </si>
  <si>
    <t>Kanazawa</t>
  </si>
  <si>
    <t>Kanazawa University</t>
  </si>
  <si>
    <t>Nagano I.</t>
  </si>
  <si>
    <t>An evaluation of systematic errors in VLF direction findings via full‚Äêwave analysis</t>
  </si>
  <si>
    <t>10.1002/ecja.4410721209</t>
  </si>
  <si>
    <t>2-s2.0-0024913053</t>
  </si>
  <si>
    <t>['supported feeds', 'recent paper', 'radiation fields', 'line feeds', 'hard surfaces', 'hard cylinders', 'electromagnetic waves', 'cylinder whereas', 'circumferential slots', 'artificially soft']</t>
  </si>
  <si>
    <t>Artificially soft and hard surfaces for electromagnetic waves have been defined in a recent paper. Here, the radiation fields of circumferential slots in soft and hard cylinders are calculated, when the slots are excited by a TE11 circular waveguide mode. The results are compared to those of a smooth conducting cylinder; showing that the soft surface strongly reduces the intensity of the field radiated along the cylinder whereas the hard surface enhances it. The results are applicable to the design of self-supported feeds for paraboloids, and to the analysis of the line feeds of the radiotelescope in Arecibo. The calculations are confirmed by measurements. ¬© 1989 IEEE</t>
  </si>
  <si>
    <t>1628-1632</t>
  </si>
  <si>
    <t>60013141;60000990</t>
  </si>
  <si>
    <t>57213122544;7101988263</t>
  </si>
  <si>
    <t>Ulversoy, Tore;Kildal, Per Simon</t>
  </si>
  <si>
    <t>Norway;Sweden</t>
  </si>
  <si>
    <t>Trondheim;Gothenburg</t>
  </si>
  <si>
    <t>Norges Teknisk-Naturvitenskapelige Universitet;Chalmers University of Technology</t>
  </si>
  <si>
    <t>Ulversoy T.</t>
  </si>
  <si>
    <t>Radiation from Slots in Artificially Soft and Hard Cylinders</t>
  </si>
  <si>
    <t>10.1109/8.45108</t>
  </si>
  <si>
    <t>2-s2.0-0024913571</t>
  </si>
  <si>
    <t>['¬© 1989', 'used extensively', 'united kingdom', 'stimulation received', 'spermatophore release', 'rights reserved', 'precopula position', 'mating sequence', 'male takes', 'male bends', 'make contact', 'last leg', 'holds firmly', 'gill epithelium', 'gill cavity', 'frontal filament', 'final moult', 'female ¬¥', 'family pennellidae', 'copula position', 'bearing segment', 'active part', '2nd antennae']</t>
  </si>
  <si>
    <t>During the mating sequence, the Lernaeocera branchialis male plays the active Part and locates a female in the gill cavity of the host. If the female is immature (chalimus larva), the male takes up a precopula position with its 2nd antenna attached to, or near, the female¬¥s frontal filament. At this stage the male occasionally browses on the gill epithelium. When disturbed by other males, the precopulating male reacts with vibrations and holds firmly on to the female with its maxillipeds. However, this reaction does not exclude other males from the female. Immediately after the female¬¥s maturation, the male takes up the copula position by grasping the female's trunk with the 2nd antennae just behind the last leg-bearing segment. Within the next 2 h the male bends its trunk in under the female and transfers two spermatophores simultaneously to the female¬¥s vulva. Experimental evidence indicates that the male is dependent on stimulation received in the precopula position for the spermatophore release. in the family Pennellidae only the males have maxillipeds, and removal of these appendages prevents males from mating. The maxillipeds may function as mechanoreceptors and are used extensively to make contact with the female during the female¬¥s final moult and during mating. ¬© 1989, Marine Biological Association of the United Kingdom. All rights reserved.</t>
  </si>
  <si>
    <t>465-476</t>
  </si>
  <si>
    <t>Journal of the Marine Biological Association of the United Kingdom</t>
  </si>
  <si>
    <t>Morten, Anstensrud</t>
  </si>
  <si>
    <t>Universitetet i Oslo</t>
  </si>
  <si>
    <t>Morten A.</t>
  </si>
  <si>
    <t>Experimental studies of the reproductive behaviour of the parasitic copepod lernaeocera branchialis (pennellidae)</t>
  </si>
  <si>
    <t>10.1017/S0025315400029532</t>
  </si>
  <si>
    <t>2-s2.0-0024915287</t>
  </si>
  <si>
    <t>['scattering properties', 'polarized along', 'matrix analysis', 'main conclusion', 'known techniques', 'investigated using', 'integral equation', 'graphical form', 'analytic properties', 'also investigated']</t>
  </si>
  <si>
    <t>The analytic properties of scattering by a conducting circular cylinder in the presence of a stratified ferrite medium are investigated using a combined Green‚Äôs function (G-function) and integral equation (IE) approach. The incident plane wave is polarized along the axis of the cylinder. The bias dc magnetic field is in the same direction. After developing the G-function of the structure following well-known techniques of matrix analysis, the appropriate electric field integral equation of the problem is derived on the basis of the modified reciprocity theorem. Its solution is followed by numerical results presented in graphical form for both the current density induced on the scatterer‚Äôs surface and the scattered far field. The possibility of controlling the scattering properties of the structure by varying the degree of anisotropy is also investigated. The main conclusion is that anisotropic materials may be used to control antenna radiation characteristics. ¬© 1989 IEEE</t>
  </si>
  <si>
    <t>1582-1590</t>
  </si>
  <si>
    <t>Electromagnetic Scattering from Conducting Circular Cylinders in the Presence of a Stratified Anisotropic Medium-TM Case</t>
  </si>
  <si>
    <t>10.1109/8.45101</t>
  </si>
  <si>
    <t>2-s2.0-0024915735</t>
  </si>
  <si>
    <t>['wide range', 'various cross', 'sectional configurations', 'quantitative difference', 'plasma parameters', 'main interests', 'limiter walls', 'input impedance', 'icrf antennas', 'dimensional finite', 'cutoff cavity', 'code described', 'antenna geometries', 'antenna buried', 'analytical simplicity']</t>
  </si>
  <si>
    <t>Two-dimensional finite-element method analysis is performed for ICRF antennas having various cross-sectional configurations. The main interests are focused on the quantitative difference in the input impedance among various antennas such as the normal loop antenna, the antenna having surrounding limiter walls, and the antenna buried into cutoff cavity. For analytical simplicity, the cold plasma approximation is used. The numerical results show how the input impedance was affected by the presence of the limiter walls or the cutoff cavity. The code described in this paper can be applied to the designs of ICRF antennas with a wide range of plasma parameters and antenna geometries. ¬© 1989 IEEE</t>
  </si>
  <si>
    <t>880-883</t>
  </si>
  <si>
    <t>IEEE Transactions on Plasma Science</t>
  </si>
  <si>
    <t>60002347;60002347;60008435</t>
  </si>
  <si>
    <t>36868335000;35598806700;56779495700</t>
  </si>
  <si>
    <t>Nojima, Akihiko;Sawaya, Kunio;Adachi, Saburo</t>
  </si>
  <si>
    <t>Sendai;Toyota</t>
  </si>
  <si>
    <t>Tohoku University;Toyota Motor Corporation</t>
  </si>
  <si>
    <t>60008435;60002347</t>
  </si>
  <si>
    <t>Nojima A.</t>
  </si>
  <si>
    <t>Two-Dimensional Finite-Element Method Analysis Of Various Antennas For Icrf Plasma Heating</t>
  </si>
  <si>
    <t>10.1109/27.41227</t>
  </si>
  <si>
    <t>2-s2.0-0024915793</t>
  </si>
  <si>
    <t>['reflector aperture', 'reflector antennas', 'prevent crosspolarisation', 'phase errors', 'multireflector systems', 'mapping function', 'linear polarisation', 'go mapping', 'generally valid', 'elliptical apertures', 'circular polarisation', 'calculated directly', 'beam squint']</t>
  </si>
  <si>
    <t>In shaped offset dual-reflector antennas, special care must be taken to prevent crosspolarisation for linear polarisation and beam squint for circular polarisation. This problem is addressed by deriving the laws that determine the mapping of the feed pattern onto the aperture of the reflector. There is a presentation of the conditions that must be satisfied for a GO mapping to be ideal without crosspolarisation and beam squint. The paper even present equations which allow the crosspolarisation and phase errors in the reflector aperture to be calculated directly from the mapping function. As an example, this theory is used to specify and characterise offset dual-reflector antennas with both circular and elliptical apertures. The equation for the crosspolarisation is generally valid only for dual-reflector antennas, but can in many cases also be applied to multireflector systems to obtain useful approximate results.</t>
  </si>
  <si>
    <t>445-453</t>
  </si>
  <si>
    <t>Kildal, P. S.</t>
  </si>
  <si>
    <t>Inst for Elkretsteknik</t>
  </si>
  <si>
    <t>Laws of geometrical optics mapping in multi-reflector antennas with application to elliptical apertures</t>
  </si>
  <si>
    <t>10.1049/ip-h-2.1989.0081</t>
  </si>
  <si>
    <t>2-s2.0-0024916719</t>
  </si>
  <si>
    <t>['systems operating', 'satellites providing', 'reducing interference', 'potential effect', 'noise sources', 'coordinating systems', 'comparative evaluation', 'band satellites', 'article concludes']</t>
  </si>
  <si>
    <t>An overview of adjacent satellite interference is presented, including a discussion of national and international regulatory activity, methods of coordinating systems, and the four basic ways of reducing interference. A typical link assessment shows how this interference is included with other interference and noise sources. A comparative evaluation of systems operating in different frequency bands and within different satellite spacing environments is given as an example of the potential effect of adjacent satellite interference on satellite and ground station design. The article concludes that in the Ku-band, satellites providing a direct broadcast satellite (DBS) service in the fixed satellite service (FSS) bands require significantly larger receive antennas on the ground than Ku-band satellites in the broadcasting satellite services (BSS) bands.</t>
  </si>
  <si>
    <t>890-895</t>
  </si>
  <si>
    <t>SMPTE Journal</t>
  </si>
  <si>
    <t>116394064;116394064</t>
  </si>
  <si>
    <t>7801429900;6602144801</t>
  </si>
  <si>
    <t>Hrycenko, George;Dulac, Stephen</t>
  </si>
  <si>
    <t>Long Beach</t>
  </si>
  <si>
    <t>Hughes Communications, Inc.</t>
  </si>
  <si>
    <t>Hrycenko G.</t>
  </si>
  <si>
    <t>Adjacent satellite and ground station interference</t>
  </si>
  <si>
    <t>10.5594/J03942</t>
  </si>
  <si>
    <t>2-s2.0-0024916981</t>
  </si>
  <si>
    <t>['sound field', 'rational arrangement', 'hydrophones needed', 'field tests', 'equidistant arrangement', 'directivity pattern', 'antenna compared', 'angular resolution']</t>
  </si>
  <si>
    <t>A method of forming the directivity pattern of a sonar receiving array by estimation of the spatial and temporal correlation function of the sound field in which a rational arrangement of the hydrophones considerably decreases the number of hydrophones needed in the antenna compared with an equidistant arrangement with the same angular resolution is described. The results of field tests of such a system are presented. -Authors</t>
  </si>
  <si>
    <t>115-117</t>
  </si>
  <si>
    <t>Oceanology</t>
  </si>
  <si>
    <t>6506969777;7404320363;57197448541</t>
  </si>
  <si>
    <t>Dmitrevskiy, N. N.;Kuznetsov, V. N.;Nosov, A. V.</t>
  </si>
  <si>
    <t>Dmitrevskiy N.N.</t>
  </si>
  <si>
    <t>A nonequidistant array in a sonar sounding system</t>
  </si>
  <si>
    <t>2-s2.0-0024919317</t>
  </si>
  <si>
    <t>['several examples', 'sensitivity analysis', 'paper reviews', 'francis group', 'antenna configurations', 'antenna configuration']</t>
  </si>
  <si>
    <t>This paper reviews the recently developed multiport network modeling approach for the analysis and the design of microstrip patch antennas. In this approach, the fields in the interior and the exterior of the patch are modeled by separate multiport subnetworks. Network theoretic techniques are then applied for the analysis, the sensitivity analysis, and the optimization of the antenna configuration. Several examples of antenna configurations for which this approach has been applied are summarized. The suitability of this approach for the CAD of microstrip patch antennas is pointed out. ¬© 1989 Taylor &amp; Francis Group, LLC.</t>
  </si>
  <si>
    <t>345-366</t>
  </si>
  <si>
    <t>7402592343;6602836798</t>
  </si>
  <si>
    <t>Gupta, K. C.;Benalla, Abdelaziz</t>
  </si>
  <si>
    <t>Gupta K.</t>
  </si>
  <si>
    <t>Multiport network modeling approach for cad of microstrip patches-invited paper</t>
  </si>
  <si>
    <t>10.1080/02726348908915243</t>
  </si>
  <si>
    <t>2-s2.0-0024921481</t>
  </si>
  <si>
    <t>['vswr lower', 'single patch', 'planar antennas', 'inverted patch', 'integrated radome', 'high efficiency', 'francis group']</t>
  </si>
  <si>
    <t>The SSFIP (Strip - Slot - Foam - Inverted Patch) antenna concept provides a broad frequency bandwidth, with high efficiency, a very low crosspolarisation level and an integrated radome. It is lightweight, rigid and inexpensive. Single patch and stacked antennas yielded respectively 13.2% and 33% bandwidths, both for a VSWR lower than 2:1. These results open new possibilities and applications to planar antennas. ¬© 1989 Taylor &amp; Francis Group, LLC.</t>
  </si>
  <si>
    <t>385-393</t>
  </si>
  <si>
    <t>6603170086;7004724089;35609196900</t>
  </si>
  <si>
    <t>Zurcher, B.;Zurcher, J. F.;Gardiol, F. E.</t>
  </si>
  <si>
    <t>Zurcher B.</t>
  </si>
  <si>
    <t>Broadband microstrip radiators the ssfip concept</t>
  </si>
  <si>
    <t>10.1080/02726348908915245</t>
  </si>
  <si>
    <t>2-s2.0-0024921482</t>
  </si>
  <si>
    <t>['œâ )]', 'z ],', 'three parts', 'static charge', 'single quasi', 'residual frequency', 'real elastance', 'obtained directly', 'inverse capacitance', 'dependent contributions', 'current distributions', 'complete rlc', 'approximate characterization']</t>
  </si>
  <si>
    <t>As part of an investigation into methods for accelerating the process of filling the method of moments impedance matrix [Z], it was found that [Z] could be decomposed into three parts: a real inductance matrix [L] from the magnetostatic vector potential, a real elastance (inverse capacitance) matrix [S] from the electrostatic static scalar potential, and a complex impedance matrix [z(œâ)] of residual frequency-dependent contributions. By neglecting [z(œâ)l at sufficiently low frequencies, static and quasi-static charge and current distributions were obtained. For electrically small antennas, a complete RLC-curcuit was obtained directly from a single quasi-static solution rather than as an approximate characterization of the impedance as a function of frequency. This gives precise definition of the circuit parameters limiting the performance of electrically small antennas. ¬© 1989 IEEE</t>
  </si>
  <si>
    <t>1632-1635</t>
  </si>
  <si>
    <t>60018179;60032503;60032503</t>
  </si>
  <si>
    <t>7202539192;7202175358;57217507991</t>
  </si>
  <si>
    <t>Simpson, T. L.;Logan, James C.;Rockway, John W.</t>
  </si>
  <si>
    <t>San Diego;Columbia</t>
  </si>
  <si>
    <t>Space and Naval Warfare Systems Center San Diego;University of South Carolina</t>
  </si>
  <si>
    <t>60032503;60018179</t>
  </si>
  <si>
    <t>Simpson T.L.</t>
  </si>
  <si>
    <t>Equivalent Circuits for Electrically Small Antennas Using LS-Decomposition with the Method of Moments</t>
  </si>
  <si>
    <t>10.1109/8.45109</t>
  </si>
  <si>
    <t>2-s2.0-0024924737</t>
  </si>
  <si>
    <t>['superstrate anisotropy', 'radiation patterns', 'radiation efficiency', 'printed antennas', 'integral equation', 'francis group', 'fed dipole', 'computational efficiency', 'antenna gain', 'antenna characteristics', 'analysis adopts', 'also described']</t>
  </si>
  <si>
    <t>The characteristics of printed antennas in a two-layer anisotropic substrate are investigated. This includes input impedance of a ceneter-fed dipole, radiation efficiency, antenna gain and radiation patterns. The analysis adopts the moment method solution of the integral equation where various numerical techniques are applied to enhance the computational efficiency. The effects of substrate and superstrate anisotropy on the antenna characteristics are also described. ¬© 1989 Taylor &amp; Francis Group, LLC.</t>
  </si>
  <si>
    <t>439-450</t>
  </si>
  <si>
    <t>115569186;115569186</t>
  </si>
  <si>
    <t>7406565241;7004064046</t>
  </si>
  <si>
    <t>Yang, H. Y.;Castaneda, J. A.</t>
  </si>
  <si>
    <t>Santa Monica</t>
  </si>
  <si>
    <t>Phraxos Research and Development Inc</t>
  </si>
  <si>
    <t>Yang H.</t>
  </si>
  <si>
    <t>Printed dipole characteristics in a two-layer geometry with uniaxial anisotropy</t>
  </si>
  <si>
    <t>10.1080/02726348908915249</t>
  </si>
  <si>
    <t>2-s2.0-0024927425</t>
  </si>
  <si>
    <t>['system engineer', 'quantitative technique', 'quality factors', 'lpi system', 'low probability', 'intercept receivers', 'intercept receiver', 'essential components', 'cooperative transmitter', 'communications system']</t>
  </si>
  <si>
    <t>Quality factors are developed for a Low Probability of Intercept (LPI) communications system in order to provide a quantitative technique which allows the system engineer to evaluate LPI effectiveness in the presence of jammers and intercept receivers. LPI quality factors are derived from the system link equations which describe the signal power gains and losses as a function of system link parameters. In this paper, quality factors are described for the essential components of the LPI system which provide some advantage to the cooperative transmitter and receiver over the jammer and intercept receiver. These include quality factors for the antennas, type of modulation, atmospheric propagation conditions, and interference rejection capability. ¬© 1989 IEEE</t>
  </si>
  <si>
    <t>25-28</t>
  </si>
  <si>
    <t>IEEE Aerospace and Electronic Systems Magazine</t>
  </si>
  <si>
    <t>60025576;60020251</t>
  </si>
  <si>
    <t>7004475833;7006038589</t>
  </si>
  <si>
    <t>Gutman, Lawrence L.;Prescott, Glenn E.</t>
  </si>
  <si>
    <t>Dayton;Wright-Patterson AFB</t>
  </si>
  <si>
    <t>Wright-Patterson AFB;United States Air Force Institute of Technology</t>
  </si>
  <si>
    <t>Gutman L.L.</t>
  </si>
  <si>
    <t>System Quality Factors for LPI Communications</t>
  </si>
  <si>
    <t>10.1109/62.46987</t>
  </si>
  <si>
    <t>2-s2.0-0024928170</t>
  </si>
  <si>
    <t>['¬© 1989', 'two methods', 'taking advantage', 'sea area', 'rejecting atmospherics', 'predict precisely', 'points simultaneously', 'monopole antenna', 'magnitude seven', 'made noise', 'loop antenna', 'linear element', 'land area', 'electromagnetic effect', 'dipole antenna', 'deep borehole']</t>
  </si>
  <si>
    <t>To detect a seismo-electromagnetic effect in a noisy land area or a deep-sea area, two methods are proposed. In the land area, a steel casing pipe inserted in a deep borehole has been used as the linear element of a monopole antenna. This method is shown to be very effective in rejecting atmospherics. In the deep-sea area, man-made noise and atmospherics can be attenuated by using insulated cables extended along the seabed as a dipole antenna or a loop antenna. Taking advantage of the seismo-radio wave propagating directly through the Earth's crust, a tomography is proposed to describe a three-dimensional intensity distribution of seismo-radio wave sources by receiving the wave at four or more points simultaneously, to predict precisely an earthquake of magnitude seven or more. ¬© 1989.</t>
  </si>
  <si>
    <t>40-44</t>
  </si>
  <si>
    <t>60027170;100328845</t>
  </si>
  <si>
    <t>55711694000;55614890400</t>
  </si>
  <si>
    <t>Takahashi, Hiroshi;Takahashi, Kozo</t>
  </si>
  <si>
    <t>National Research Institute for Earth Science and Disaster Resilience;Radio Research Laboratories</t>
  </si>
  <si>
    <t>Takahashi H.</t>
  </si>
  <si>
    <t>Tomography of seismo-radio wave source regions for predicting imminent earthquakes</t>
  </si>
  <si>
    <t>10.1016/0031-9201(89)90211-2</t>
  </si>
  <si>
    <t>2-s2.0-0024928574</t>
  </si>
  <si>
    <t>['theoretical limit', 'performed using', 'francis group', 'coaxial probe', 'basis functions', 'antenna junction']</t>
  </si>
  <si>
    <t>The analysis of a microstrip patch antenna with an electrically thick substrate is performed using a mixed potential integral equation. Basis functions are employed on the coaxial probe thus eliminating the often used thin substrate approximations. There is no theoretical limit to the thickness of the structures that can be analyzed. A special attachment mode, employed at the coaxial probe-antenna junction, is introduced. Measured and calculated input impedance results for isolated rectangular microstrip antennas are compared. ¬© 1989 Taylor &amp; Francis Group, LLC.</t>
  </si>
  <si>
    <t>367-384</t>
  </si>
  <si>
    <t>Hall, Richard C.</t>
  </si>
  <si>
    <t>Hall R.</t>
  </si>
  <si>
    <t>The analysis of coaxially fed microstrip antennas with electrically thick substrates</t>
  </si>
  <si>
    <t>10.1080/02726348908915244</t>
  </si>
  <si>
    <t>2-s2.0-0024929538</t>
  </si>
  <si>
    <t>['radiation impedance', 'impedance characteristics', 'francis group']</t>
  </si>
  <si>
    <t>An analysis of triangular patch antennas is presented. The patch is modeled as a leaky radial line terminated by a radiation impedance. Impedance characteristics of isosceles triangular patch antennas with various apex angles are shown. Theoretical results yield good agreement with experimental data available in the literature. ¬© 1989 Taylor &amp; Francis Group, LLC.</t>
  </si>
  <si>
    <t>427-438</t>
  </si>
  <si>
    <t>6602779312;7402673635</t>
  </si>
  <si>
    <t>Kathiravan, K.;Bhattacharyya, A. K.</t>
  </si>
  <si>
    <t>Kathiravan K.</t>
  </si>
  <si>
    <t>Analysis of triangular patch antennas</t>
  </si>
  <si>
    <t>10.1080/02726348908915248</t>
  </si>
  <si>
    <t>2-s2.0-0024932407</t>
  </si>
  <si>
    <t>['wiley blackwell', 'terminal ends', 'staphylinus olens', 'species examined', 'species employing', 'slug mucus', 'scarites abbreviates', 'rights reserved', 'receptors involved', 'pterostichus madidus', 'probably situated', 'parallelepipedus ).', 'orientation techniques', 'one species', 'olfactory cues', 'nebria complanata', 'locomotor activity', 'gustatory reception', 'cychrus caraboides', 'contact cues', 'cicindela campestris', 'carabus problematicus', 'calosoma maderae', 'broscus cephaloles', 'abbreviates ).', 'abax parallelepipedus', '12 species']</t>
  </si>
  <si>
    <t>The prey detection methods of 12 species of Carabidae and one species of Staphylinidae were investigated using video and orientation techniques. The species examined were Cicindela campestris, Cychrus caraboides, Carabus problematicus, C. violaceus, Calosoma maderae, Nebria complanata, Scarites abbreviates, Broscus cephaloles, Pterostichus madidus, P. melanarius, P. niger, Abax parallelepipedus and Staphylinus olens. All the species examined were seen to respond to prey upon contact (either by tactile or gustatory reception) during locomotor activity. Tests using orientation chambers showed that some of the species would orientate towards prey in the absence of contact. Some species orientated using vision (C. campestris, C. maderae, S. abbreviates, A. parallelepipedus). This was most frequent when tested with fast‚Äêmoving prey. In others, orientation towards prey occurred when olfactory cues were available (P. madidus, P. melanarius, P. niger and A.parallelepipedus). All of the species employing this method of prey detection belonged to the Pterostichini and it appears that the receptors involved are situated on the antennae. Although some species did not orientate towards prey in the absence of contact cues, some of these species were found to respond to slug mucus (C. caraboides, C. problematicus, C. violaceus and S. abbreviates). The receptors for this are probably situated on the terminal ends of the palps. The method of prey detection used is discussed in relation to the ecology of the species. Copyright ¬© 1989, Wiley Blackwell. All rights reserved</t>
  </si>
  <si>
    <t>171-185</t>
  </si>
  <si>
    <t>WHEATER, C. P.</t>
  </si>
  <si>
    <t>Manchester</t>
  </si>
  <si>
    <t>The University of Manchester</t>
  </si>
  <si>
    <t>WHEATER C.</t>
  </si>
  <si>
    <t>Prey detection by some predatory Coleoptera (Carabidae and Staphylinidae)</t>
  </si>
  <si>
    <t>10.1111/j.1469-7998.1989.tb02531.x</t>
  </si>
  <si>
    <t>2-s2.0-0024934051</t>
  </si>
  <si>
    <t>['two œï', 'two p', 'thereby opening', 'striplinefed slots', 'slot length', 'one wall', 'mutual coupling', 'experimental study', 'difference patterns', 'cylindrical cavity', 'created around', 'corporate feed', 'constant walls']</t>
  </si>
  <si>
    <t>An experimental study of the self-impedance of striplinefed slots has been undertaken, with slot length and slot offset relative to the strip as parameters. The slot is cut in one wall of a parallel plate waveguide and locally a cylindrical cavity is created around the slot by two p = constant walls and two œï = constant walls. Such cavities can be used as modules to build a circular grid planar array. Anticipating a corporate feed, it is demonstrated that sufficient dynamic range in the self-impedance is achievable to overcome the effects of mutual coupling, thereby opening up the prospect of an efficient circular grid array for seeker antenna applications that require good sum and difference patterns. ¬© 1989 IEEE</t>
  </si>
  <si>
    <t>1510-1515</t>
  </si>
  <si>
    <t>60030759;60027550</t>
  </si>
  <si>
    <t>36776854500;57220065537</t>
  </si>
  <si>
    <t>Barnett, Roy I.;Elliott, Robert S.</t>
  </si>
  <si>
    <t>California State University, Los Angeles;University of California, Los Angeles</t>
  </si>
  <si>
    <t>Barnett R.I.</t>
  </si>
  <si>
    <t>A Feasibility Study of Stripline-Fed Slots Arranged as a Planar Array with Circular Grid and Circular Boundary</t>
  </si>
  <si>
    <t>10.1109/8.45091</t>
  </si>
  <si>
    <t>2-s2.0-0024934496</t>
  </si>
  <si>
    <t>['wiley company', 'possible use', 'planar arrays', 'microstrip arrays', 'interesting results', 'inc .,', 'great promise', 'broadside solution', 'achieved show']</t>
  </si>
  <si>
    <t>beam steered | broadside | Microstrip array</t>
  </si>
  <si>
    <t>The possible use of microstrip arrays for 12 GHz satellite reception has been evaluated. In particular a 32 √ó 32 element array has been synthesized that considers both a broadside solution and a beam‚Äêsteered approach. The interesting results that have been achieved show the great promise of planar arrays for end‚Äêuser applications. Copyright ¬© 1989 Wiley Periodicals, Inc., A Wiley Company</t>
  </si>
  <si>
    <t>411-415</t>
  </si>
  <si>
    <t>100364606;60027509</t>
  </si>
  <si>
    <t>7202451194;7102391180</t>
  </si>
  <si>
    <t>Russo, P.;Ruggieri, M.</t>
  </si>
  <si>
    <t>Rome;Rome</t>
  </si>
  <si>
    <t>Universit√† degli Studi di Roma "Tor Vergata";Space Engineering</t>
  </si>
  <si>
    <t>60027509;100364606</t>
  </si>
  <si>
    <t>Russo P.</t>
  </si>
  <si>
    <t>A 32 √ó 32 array for satellite reception</t>
  </si>
  <si>
    <t>10.1002/mop.4650021203</t>
  </si>
  <si>
    <t>2-s2.0-0024935276</t>
  </si>
  <si>
    <t>['simulations removes', 'right side', 'right bias', 'results suggest', 'limb correction', 'bias differences', 'accurately simulated']</t>
  </si>
  <si>
    <t>Evaluations of limb-corrected brightness temperatures computed by NESDIS from TIROS-N MSU observed brightness temperatures are presented. Observed brightness temperatures both before and after limb correction are compared to simulated brightness temperatures derived from conventional radiosonde measurements. Results suggest a left-to-right bias in the limb-corrected MSU data, with the left side colder than the right side. The uncorrected MSU brightness temperatures can be more accurately simulated than those available after the limb correction technique is applied. Incorporating the actual MSU antenna patterns into the simulations removes most of the scan angle dependence in the bias differences. -Author</t>
  </si>
  <si>
    <t>807-817</t>
  </si>
  <si>
    <t>Journal of Applied Meteorology</t>
  </si>
  <si>
    <t>Koehler, T. L.</t>
  </si>
  <si>
    <t>Marine Physical Laboratory</t>
  </si>
  <si>
    <t>Koehler T.L.</t>
  </si>
  <si>
    <t>Limb correction effects on TIROS-N Microwave Sounding Unit observations</t>
  </si>
  <si>
    <t>10.1175/1520-0450(1989)028&lt;0807:LCEOTN&gt;2.0.CO;2</t>
  </si>
  <si>
    <t>2-s2.0-0024936005</t>
  </si>
  <si>
    <t>['vertical monopoles', 'studied using', 'sommerfeld integrals', 'scalar potentials', 'microstrip antennas', 'induced currents', 'impedance parameters', 'ground plane', 'dielectric slab', 'dielectric inhomogeneity', 'coaxial aperture']</t>
  </si>
  <si>
    <t>Vertical monopoles over an infinite ground plane that are embedded in a dielectric slab are studied using a mixed potential integral equation formulation. The method of moments is used to solve for the induced currents from which impedance parameters are calculated. The vector and scalar potentials are written in terms of Sommerfeld integrals that are evaluated using efficient techniques developed for the analysis of microstrip antennas. A magnetic current frill is used to model the coaxial aperture in the ground plane that excites the monopole. Measured and calculated input impedance and mutual coupling data are compared and a study of the effect of the dielectric inhomogeneity is performed.</t>
  </si>
  <si>
    <t>462-468</t>
  </si>
  <si>
    <t>60022476;60022476</t>
  </si>
  <si>
    <t>55448539100;7006665188</t>
  </si>
  <si>
    <t>Hall, R. C.;Mosig, J. R.</t>
  </si>
  <si>
    <t>Ball Aerospace</t>
  </si>
  <si>
    <t>Vertical monopoles embedded in a dielectric substrate</t>
  </si>
  <si>
    <t>10.1049/ip-h-2.1989.0083</t>
  </si>
  <si>
    <t>2-s2.0-0024937368</t>
  </si>
  <si>
    <t>['special treatment', 'solution incorporates', 'microstrip radiator', 'francis group', 'current singularities', 'current density', 'computed results', 'comprehensive set']</t>
  </si>
  <si>
    <t>A moment method solution of a rectangular microstrip radiator is presented. This solution incorporates a special treatment of the current singularities at the feed and at the edges of the patch. The two dimensional distribution of the surface current vector on the microstrip radiator is obtained by a fast convergent computational procedure. A comprehensive set of computed results for the current density on the radiator is presented and discussed. ¬© 1989 Taylor &amp; Francis Group, LLC.</t>
  </si>
  <si>
    <t>451-471</t>
  </si>
  <si>
    <t>60072442-60017563;60017563</t>
  </si>
  <si>
    <t>7202294701;23032510000</t>
  </si>
  <si>
    <t>Levine, E.;Shtrikman, S.</t>
  </si>
  <si>
    <t>Israel;Israel</t>
  </si>
  <si>
    <t>Ashdod;Rehovot</t>
  </si>
  <si>
    <t>Elta Electronics Industries Ltd.;Weizmann Institute of Science Israel</t>
  </si>
  <si>
    <t>60072442;60017563</t>
  </si>
  <si>
    <t>Levine E.</t>
  </si>
  <si>
    <t>Efficient moment-method analysis and synthesis of the rectangular microstrip patch radiator-invited paper</t>
  </si>
  <si>
    <t>10.1080/02726348908915250</t>
  </si>
  <si>
    <t>2-s2.0-0024937627</t>
  </si>
  <si>
    <t>['¬© 1989', 'radiation efficiency', 'experimental results']</t>
  </si>
  <si>
    <t>The improvement in the radiation efficiency of an electrically small loop antenna is analysed when it is fabricated from a superconductor, and experimental results for a liquid nitrogen cooled, ceramic superconducting loop at 450MHz are presented. ¬© 1989.</t>
  </si>
  <si>
    <t>385-386</t>
  </si>
  <si>
    <t>PART 1</t>
  </si>
  <si>
    <t>162-164</t>
  </si>
  <si>
    <t>Physica C: Superconductivity and its applications</t>
  </si>
  <si>
    <t>60019702-60024415;60019702-60024415;60019702-60024415;60019702-60024415;60019702-60024415</t>
  </si>
  <si>
    <t>17435967100;7006639115;7005970306;7101744863;7004362255</t>
  </si>
  <si>
    <t>Wu, Z.;Mehler, M. J.;Maclean, T. S.M.;Lancaster, M. J.;Gough, C. E.</t>
  </si>
  <si>
    <t>Amsterdam;Birmingham</t>
  </si>
  <si>
    <t>Akzo Nobel N.V.;University of Birmingham</t>
  </si>
  <si>
    <t>60024415;60019702</t>
  </si>
  <si>
    <t>Wu Z.</t>
  </si>
  <si>
    <t>High T&lt;inf&gt;c&lt;/inf&gt; superconducting small loop antenna</t>
  </si>
  <si>
    <t>10.1016/0921-4534(89)91067-8</t>
  </si>
  <si>
    <t>2-s2.0-0024939162</t>
  </si>
  <si>
    <t>['test antennas', 'technique proposed', 'spherical nf', 'results obtained', 'proposed technique', 'principles employed', 'physical optics', 'maximum dimension', 'make use', 'ff transformation', 'ff patterns', 'end assume', 'efficient technique', 'conventional manner', 'considering arrays', 'also developed', '150 x']</t>
  </si>
  <si>
    <t>An efficient technique for probe-directivity uncompensated spherical near-field to far-field (NF-FF) transformation is presented. The technique proposed does not make use of the spherical vector wave functions (SVWF) in the conventional manner, but seeks to obtain the NF-FF transformation exactly, viewing it as an electromagnetic scattering problem. The problem is formulated by considering the NF-FF transformation, when the FF observation points are restricted to a single œï plane at a time. The analytical expressions derived toward this end assume a considerably simplified form offering a high computational efficiency. The proposed technique is validated by considering arrays as test antennas with a maximum dimension of 150 X. Based on the principles employed for the spherical NF-FF transformation, an efficient technique for computing the FF patterns of a perfectly conducting scatterer illuminated by an arbitrary source using the technique of physical optics (PO) is also developed. In order to validate this, typical numerical computations are performed and the results obtained are discussed. ¬© 1989 IEEE</t>
  </si>
  <si>
    <t>1529-1536</t>
  </si>
  <si>
    <t>60025757;60025757</t>
  </si>
  <si>
    <t>7006389495;6508321145</t>
  </si>
  <si>
    <t>Narasimhan, M. S.;Varadarangan, K.</t>
  </si>
  <si>
    <t>Chennai</t>
  </si>
  <si>
    <t>Indian Institute of Technology Madras</t>
  </si>
  <si>
    <t>Narasimhan M.</t>
  </si>
  <si>
    <t>An Efficient Technique for Spherical Near-Field to Far-Field Transformation and Evaluation of Far Fields of Perfectly Conducting Scatterers</t>
  </si>
  <si>
    <t>10.1109/8.45094</t>
  </si>
  <si>
    <t>2-s2.0-0024939915</t>
  </si>
  <si>
    <t>['unloaded q', 'strop filters', 'stopband width', 'stop filters', 'stop filter', 'sharp stopband', 'resonant frequency', 'noise figure', 'held within', 'center frequency', 'adequately small', 'active band', '75 mhz', '30 khz', '30 db', '0 mhz']</t>
  </si>
  <si>
    <t>An 800 MHz band dielectric receiving filter with a sharp stopband has been developed. This filter is composed of a conventional dielectric antenna filter and three active band-stop filters, each sharply eliminating one band in the passband. In the active band-strop filters, small dielectric resonators in which the unloaded Q is raised to about 50000 by means of an active feedback resonator method are used. The active band-stop filter is designed to obtain optimum stability and an optimum noise figure. One of these active band-stop filters has a center frequency of 845.75 MHz, a stopband width of 1.0 MHz, and an attenuation of 30 dB. Deviation of the resonant frequency is held within + 30 kHz and the noise figure at passband is adequately small. The size of the dielectric receiving filter is 480 x 250 x 44 mm3, and the volume is less than 1/20 that of a conventional filter using cavity resonators. ¬© 1989 IEEE</t>
  </si>
  <si>
    <t>2074-2079</t>
  </si>
  <si>
    <t>60017386;60017386;60017386;60017386</t>
  </si>
  <si>
    <t>35411438300;7403118408;7005411675;7004492464</t>
  </si>
  <si>
    <t>Nishikawa, Toshio;Ishikawa, Youhei;Hattori, Jun;Wakino, Kikuo</t>
  </si>
  <si>
    <t>Nagaokakyo</t>
  </si>
  <si>
    <t>Murata Manufacturing Co., Ltd.</t>
  </si>
  <si>
    <t>Nishikawa T.</t>
  </si>
  <si>
    <t>Dielectric Receiving Filter with Sharp Stopband Using an Active Feedback Resonator Method for Cellular Base Stations</t>
  </si>
  <si>
    <t>10.1109/22.44124</t>
  </si>
  <si>
    <t>2-s2.0-0024942179</t>
  </si>
  <si>
    <t>['wiley company', 'wideband noise', 'sis receiver', 'results indicate', 'receiver realized', 'receiver performance', 'nb junctions', 'inc .,', 'effectively improve', 'authors developed', 'array composed', 'also realized', '80 k', '49 ghz', '40 ghz', '3000 k', '3 k', '115 ghz', '100 k', '100 ghz']</t>
  </si>
  <si>
    <t>The authors developed a dual‚Äêfrequency (40/100 GHz) SIS receiver with SIS quasi‚Äêparticle tunneling junction element as the mixer, for use in the millimeter‚Äêwave array at Nobeyama Radio Observatory, National Astronomical Observatory. The SIS element used is an array composed of four series‚Äêconnected Nb/Al‚ÄêAlOx/Nb junctions. The receiver is refrigerated to 4.3 K by a closed‚Äêcycle He refrigerator. The receiver realized a very low receiver noise temperature for a wideband, such as 50 to 80 K for 43 to 49 GHz, and 60 to 100 K for 86 to 115 GHz. A wide dynamic range is also realized. At 40 Ghz, the saturation noise temperature is 2000 to 3000 K, compared with the wideband noise. These results indicate that the SIS array element can effectively improve the mixer saturation level without degrading the receiver performance. Copyright ¬© 1989 Wiley Periodicals, Inc., A Wiley Company</t>
  </si>
  <si>
    <t>46-55</t>
  </si>
  <si>
    <t>60102502;60102502;60102502;60029701;60029701;60029701</t>
  </si>
  <si>
    <t>57199985954;7102241657;6602924629;57212329475;35449270400;7103325712</t>
  </si>
  <si>
    <t>Yamamoto, Masayuki;Yamaji, Katsutoshi;Watazawa, Keiichi;Inatani, Junji;Kawabe, Ryohei;Kasuga, Takashi</t>
  </si>
  <si>
    <t>Tokyo;Mitaka</t>
  </si>
  <si>
    <t>Sumitomo Heavy Industries, Ltd.;National Institutes of Natural Sciences - National Astronomical Observatory of Japan</t>
  </si>
  <si>
    <t>60102502;60029701</t>
  </si>
  <si>
    <t>Yamamoto M.</t>
  </si>
  <si>
    <t>Dual‚Äêfrequency (40/100 GHz) SIS receiver for nobeyama millimeter‚Äêwave array</t>
  </si>
  <si>
    <t>10.1002/ecjb.4420721206</t>
  </si>
  <si>
    <t>2-s2.0-0024942469</t>
  </si>
  <si>
    <t>['recent paper', 'radiation pattern', 'new model', 'line feeds', 'line feed', 'element pattern', 'corrugated cylinder', 'central dip', 'better explanation']</t>
  </si>
  <si>
    <t>The line feeds of the spherical reflector antenna in Arecibo are considered. A new model for the element pattern is presented, and it is used to give a better explanation of the central dip in the radiation pattern of the line feed than that given before. The new element pattern model includes the effect of the fins between the elements, by considering the line feed to be a circularly corrugated cylinder. Such a corrugated cylinder has, according to a recent paper, a soft outer surface at which the electric field vanishes. ¬© 1989 IEEE</t>
  </si>
  <si>
    <t>1624-1627</t>
  </si>
  <si>
    <t>Improved Element Pattern for the Line Feeds of the Spherical Reflector Antenna in Arecibo</t>
  </si>
  <si>
    <t>10.1109/8.45107</t>
  </si>
  <si>
    <t>2-s2.0-0024946458</t>
  </si>
  <si>
    <t>['¬© 1989', 'spinal cord', 'savart equation', 'saturated intensity', 'region near', 'provide tuning', 'principal advantage', 'mr image', 'longer portions', 'image quality', 'image due', 'giving rise', 'experimental volume', 'computer software']</t>
  </si>
  <si>
    <t>Two modified folded dipole MRI surface coils were designed, constructed and tested. These antenna which are long twin axial lines use the effective distributive capacitance resulting from the distance between two longitudinal elements to provide tuning. The principal advantage of this type of antenna is the ability to image longer objects such as vertebrae, spinal cord, and longer portions of the extremities. This type of antenna shows less localized high intensity in the image due to a more evenly distributed current pickup from the sample. The coils were designed by calculating theoretical magnetic field distribution for the twin axial coils. These were obtained by integrating the Biot-Savart equation. This gave excellent agreement with an MR image of a di-electrically uniform phantom. As antennae of this sort are nonlinear in response, giving rise to an image intensity nonuniformity, computer software for the MR image was developed to correct the image intensity profile over the experimental volume. The software significantly improved the image quality by reducing the saturated intensity of the region near the antenna, thereby revealing detailed structure of the tissue being imaged. ¬© 1989.</t>
  </si>
  <si>
    <t>591-597</t>
  </si>
  <si>
    <t>0730725X</t>
  </si>
  <si>
    <t>Magnetic Resonance Imaging</t>
  </si>
  <si>
    <t>November 1989/December 1989</t>
  </si>
  <si>
    <t>117714482;117714482;60015573</t>
  </si>
  <si>
    <t>16154805000;57197588520;6701546172</t>
  </si>
  <si>
    <t>Yamanashi, Williams S.;Lester, Patrick D.;Letcher, John H.</t>
  </si>
  <si>
    <t>Tulsa;Tulsa</t>
  </si>
  <si>
    <t>The University of Tulsa;City of Faith Medical</t>
  </si>
  <si>
    <t>60015573;117714482</t>
  </si>
  <si>
    <t>Yamanashi W.</t>
  </si>
  <si>
    <t>Computer-assisted design of surface coils used in magnetic resonance imaging. III. The design and construction of two long twin axial antennae for imaging of the whole human spine</t>
  </si>
  <si>
    <t>0730-725X(89)90526-2</t>
  </si>
  <si>
    <t>10.1016/0730-725X(89)90526-2</t>
  </si>
  <si>
    <t>2-s2.0-0024955647</t>
  </si>
  <si>
    <t>R01DK026307</t>
  </si>
  <si>
    <t>['untreated seedlings', 'two non', 'spectral properties', 'single 124', 'ring substituents', 'results indicate', 'plant physiol', 'phytochromes formed', 'phytochrome found', 'phytochrome chromophore', 'photoreversible phytochrome', 'parallel experiments', 'natural isomers', 'native protein', 'native chromoprotein', 'kda polypeptide', 'hexynoic acid', 'dependent recovery', 'contain less', '751 ).']</t>
  </si>
  <si>
    <t>Etiolated Avena seedlings grown in the presence of 4-amino-5-hexynoic acid, an inhibitor of 5-aminolevulinic acid synthesis in plants, contain less than 10% of the spectrally detectable levels of phytochrome found in untreated seedlings (Elich, T.D., and Lagarias, J.C. (1988) Plant Physiol. 88, 747-751). In this study, incubation of explants from such seedlings with [14C]biliverdin IX alpha led to rapid covalent incorporation of radiolabel into a single 124-kDa polypeptide in soluble protein extracts. Immunoprecipitation experiments confirmed that this protein was phytochrome. Parallel experiments were performed with four unlabeled linear tetrapyrroles, the naturally occurring biliverdin IX alpha isomer, two non-natural isomers, biliverdin XIII alpha and biliverdin III alpha, and phycocyanobilin-the cleaved prosthetic group of the light-harvesting antenna protein C-phycocyanin. In all cases, except for the III alpha isomer of biliverdin, a time-dependent recovery of photoreversible phytochrome was observed. The newly formed phytochrome obtained after incubation with biliverdin IX alpha exhibited spectral characteristics identical with those of the native protein. In contrast, the spectral properties of phytochromes formed during incubation with biliverdin XIII alpha and phycocyanobilin differed significantly from those of the native chromoprotein. These results indicate that biliverdin IX alpha is an intermediate in the biosynthesis of the phytochrome chromophore and that phytochromes with prosthetic groups derived from bilatrienes having non-natural D-ring substituents are photochromic.</t>
  </si>
  <si>
    <t>183-189</t>
  </si>
  <si>
    <t>The Journal of biological chemistry</t>
  </si>
  <si>
    <t>60014439;60014439;60014439;60014439</t>
  </si>
  <si>
    <t>57189193403;23071191300;35910297600;7006226334</t>
  </si>
  <si>
    <t>Elich, T. D.;McDonagh, A. F.;Palma, L. A.;Lagarias, J. C.</t>
  </si>
  <si>
    <t>Davis</t>
  </si>
  <si>
    <t>University of California, Davis</t>
  </si>
  <si>
    <t>Elich T.D.</t>
  </si>
  <si>
    <t>Phytochrome chromophore biosynthesis. Treatment of tetrapyrrole-deficient Avena explants with natural and non-natural bilatrienes leads to formation of spectrally active holoproteins.</t>
  </si>
  <si>
    <t>2-s2.0-0024961645</t>
  </si>
  <si>
    <t>['wild type', 'small differences', 'nonphotosynthetic organisms', 'mutant strains', 'membrane protein', 'many photosynthetic', 'limiting factor', 'fold lower', 'early step', 'crti gene', 'cellular concentration', 'carotenoid content', 'carotenoid biosynthesis', 'biosynthetic pathway']</t>
  </si>
  <si>
    <t>Carotenoids are photoprotective pigments present in many photosynthetic and nonphotosynthetic organisms. The desaturation of phytoene into phytofluene is an early step in the biosynthetic pathway that in the photosynthetic bacterium Rhodobacter capsulatus is mediated by the product of the crtI gene. Here we report the sequence of this gene and the identification of CrtI as a membrane protein of approximate Mr 60,000. Mutant strains with 5-fold lower or 10-fold higher levels of CrtI with respect to wild type have only small differences in their carotenoid content, indicating that the cellular concentration of CrtI is not a limiting factor in carotenoid biosynthesis. However, a correlation was found between the levels of CrtI and the formation of a photosynthetic antenna system.</t>
  </si>
  <si>
    <t>13109-13113</t>
  </si>
  <si>
    <t>60010910;60010910</t>
  </si>
  <si>
    <t>7103359295;7003809002</t>
  </si>
  <si>
    <t>Bartley, G. E.;Scolnik, P. A.</t>
  </si>
  <si>
    <t>Wilmington</t>
  </si>
  <si>
    <t>DuPont</t>
  </si>
  <si>
    <t>Bartley G.E.</t>
  </si>
  <si>
    <t>Carotenoid biosynthesis in photosynthetic bacteria. Genetic characterization of the Rhodobacter capsulatus CrtI protein.</t>
  </si>
  <si>
    <t>2-s2.0-0024962332</t>
  </si>
  <si>
    <t>['wholly biased', 'reverence similar', 'random collection', 'problems one', 'microwave antennas', 'house descriptions', 'estate agents', 'detailed design', 'days needs']</t>
  </si>
  <si>
    <t>A consultant these days needs a computer, if only to impress the clients. Unfortunately, selecting and using a computer can be more complicated than many of the problems one can solve with it. Most of the author's work is concerned with radar and satellite communication system design problems and with detailed design of microwave antennas. This article is a random collection of some experiences and thoughts about the future. It is a wholly biased and somewhat jaundiced account and should be treated with a degree of reverence similar to that appropriate to computer sales literature or estate agents' house descriptions.</t>
  </si>
  <si>
    <t>407-410</t>
  </si>
  <si>
    <t>Milne, Kenneth</t>
  </si>
  <si>
    <t>Milne K.</t>
  </si>
  <si>
    <t>Personal computers and the one-man band</t>
  </si>
  <si>
    <t>10.1049/ir:19890174</t>
  </si>
  <si>
    <t>2-s2.0-0024964193</t>
  </si>
  <si>
    <t>['‚ üí0', 'œâ p', 'wire antennas', 'usually identified', 'third phenomenon', 'skin absorption', 'significantly enhanced', 'shot noise', 'series sheath', 'second phenomenon', 'randomly polarized', 'present observation', 'plasma resonances', 'plasma resonance', 'noise spectra', 'noise enhancements', 'magnetic antennas', 'loop voltage', 'incident waves', 'impedance transformer', 'gives rise', 'frequencies near', 'first time', 'first phenomenon', 'existing theories', 'evanescent regime', 'enhanced noise', 'emission coefficients', 'electron transit', 'electric antennas', 'dipoles measured', 'collective oscillations', 'broadband noise', 'bounded sheath', 'blackbody absorption', 'afterglow plasma', 'absorption measurements', '5 ev', '1012 cm']</t>
  </si>
  <si>
    <t>Fluctuations in plasmas at frequencies near the election plasma frequency (œâp) have been measured with in situ wire antennas. Such observations are important to the understanding of basic plasma properties (discrete versus collective effects) and the use of antennas in plasmas, The experiments are performed in a large (1 m diameter √ó 2 m) pulsed dc discharge and afterglow plasma (ne &lt; 1012 cm -3, kTe &lt; 5 eV) with a weak axial magnetic field (B0 = 5 G). The fluctuations are detected from wire antennas (length L ‚â´ radius a ‚â≥ Debye length ŒªD) with a low-noise microwave receiver. The observations reveal three different physical processes that determine the noise spectra: (i) single particle shot noise, (ii) collective oscillations by bounded sheath-plasma resonances, and (iii) noise enhancements by longitudinal plasma waves. The first phenomenon (shot noise) gives rise to broadband noise (œâ&gt;&lt;œâp) on both electric and magnetic antennas. In the evanescent regime (œâ&lt;œâ p), the shot noise is induced by random electron motions through distances of, at most, a collisionless skin layer (c/œâp) around the antenna. Recalling that electron transit-time effects cause absorption of waves in a collisionless skin layer (known as "anomalous" skin absorption) the present observation of a collisionless skin emission effect can also be understood by the equivalence of blackbody absorption and emission coefficients. The second phenomenon (sheath-plasma resonance) is observed as a narrow resonant enhancement in the shot noise below cutoff (œâ&lt;œâ p) on electric antennas surrounded by sheaths or dielectrics. The series sheath-plasma resonance, usually identified from reflection/absorption measurements with incident waves, is established here, for the first time, as a feature of thermal emission spectra from antennas. The third phenomenon (plasma dielectric Œµ(œâ,k) ‚Üí0) produces a broad noise enhancement at œâ‚â≥œâp on electric antennas. It can only be observed in the open-loop voltage of dipoles measured with a high-impedance transformer between antenna and 50Œ© transmission line. The enhanced noise is electrostatic, randomly polarized, but not significantly enhanced by the presence of energetic electron tails. Existing theories can describe the new observations qualitatively but not quantitatively. ¬© 1989 American Institute of Physics.</t>
  </si>
  <si>
    <t>1369-1380</t>
  </si>
  <si>
    <t>High-frequency noise on antennas in plasmas</t>
  </si>
  <si>
    <t>10.1063/1.858967</t>
  </si>
  <si>
    <t>2-s2.0-0038124282</t>
  </si>
  <si>
    <t>['sunflower pollen', 'sunflower moth', 'provided simultaneously', 'pollen residue', 'pollen load', 'pollen extract', 'pas √©', 'oviposition stimulant', 'oeufs pondu', 'mating occurred', 'many eggs', 'le nombre', 'larval survival', 'la ponte', 'homoeosoma electellum', 'females showed', 'either pollen', 'differ significantly', 'de plus', 'data confirm', 'dark portions', 'cultivated sunflowers', 'accouplement n']</t>
  </si>
  <si>
    <t>antennectomy | fecundity | Helianthus annuus | Homoeosoma electellum | oviposition | oviposition stimulant | sunflower moth | Sunflower pollen</t>
  </si>
  <si>
    <t>Females of the sunflower moth, Homoeosoma electellum, laid a total of 242.3 ¬± 27.4 (X ¬± SE) eggs when provided oviposition sites of wax paper dusted with pollen from cultivated sunflowers. Fecundity was influenced by the age at which mating occurred but not by the duration of mating. Eggs were laid during both the light and dark portions of a 16L:8D photoperiodic cycle, with an evident peak occurring shortly after the onset of the scotophase. The fecundity of females provided oviposition sites with a 1 mg equivalent of an ethanolic pollen extract daily (124¬∑2 ¬± 22¬∑8) did not differ significantly from that of females provided 1 mg of pollen (172¬∑2 ¬± 28¬∑0). Furthermore, the females showed the same positive dose dependent oviposition response where sites contained different concentrations of either pollen or pollen extract. However, when different oviposition substrates were provided simultaneously, females preferred pollen &gt; ‚Äòreconstituted pollen‚Äô (extract + pollen residue following extraction) = pollen extract &gt; pollen residue = wax paper control. These data confirm the presence of an oviposition stimulant for H. electellum in the sunflower pollen. Antennectomised females laid as many eggs on sites with pollen residue as on sites with pollen, indicating that the majority of sensillae for detecting the oviposition stimulant are located on the antennae. The importance of pollen load as an indicator of a suitable host plant, given that previous laid eggs do not inhibit subsequent oviposition, is discussed with respect to larval survival. Les femelles de la pyrale du tournesol, Homoeosoma electellum ont pondu un total de 242.3 ¬± 27.4 (X ¬± SE) oeufs sur des sites de ponte faits de papier cir√© et saupoudr√©s de pollen de tournesol cultiv√©. La f√©condit√© a √©t√© significativement affect√©e par l'√¢ge des individus au moment de l'accouplement, cependant la dur√©e de l'accouplement n'a pas influenc√© la f√©condit√©. Sous une cycle de 16L:8D, la ponte a eu lieu aussi bien en phase de lumi√®re que de noirceur mais le pic de la ponte a eu lieu peu apr√®s le d√©but de la scotophase. La f√©condit√© des femelles √† qui on a offert √† chaque jour des sites de ponte trait√©s avec un extrait de pollen √† base d'√©thanol √† une concentration de 1 mg de pollen (124¬∑2 ¬± 22¬∑8) n'a pas √©t√© significativement diff√©rente de celle obtenue sur des sites trait√©s avec 1 mg de pollen (172¬∑2 ¬± 28¬∑0). De plus, le nombre d'oeufs pondu a augment√© en fonction des diff√©rentes concentrations de pollen ou de l'extrait de pollen offertes simultan√©ment. Cependant, lorsque diff√©rents sites de ponte ont √©t√© offerts simultan√©ment, les femelles ont pr√©f√©r√© le pollen &gt; le pollen reconstitu√© (extrait + pollen r√©siduel apr√®s l'extraction) = extrait de pollen &gt; pollen r√©siduel = papier cir√© non trait√© (t√©moin). Ces donn√©es confirment que le pollen de tournesol contient des substances qui stimulent la ponte de H. electellum. Les femelles antennectomis√©es ont pondu autant d'oeufs sur des sites trait√©s avec le pollen r√©siduel que sur ceux trait√©s avec le pollen, ce qui indique que la plupart des sensilles impliqu√©es dans la d√©tection du stimulant de ponte se trouvent au niveau des antennes. Etant donn√© que la pr√©sence des oeufs d√©j√† pondus n'inhibent pas les pontes subs√©quentes, l'importance de la charge de pollen, comme indice de la bonne qualit√© de la plante‚Äêh√¥te, est discut√©e en relation avec la survie des larves. 1989 The Netherlands Entomological Society</t>
  </si>
  <si>
    <t>53-60</t>
  </si>
  <si>
    <t>60032619;60032619;60009839;60009839</t>
  </si>
  <si>
    <t>7005881530;7202414312;6701597535;7402680103</t>
  </si>
  <si>
    <t>Delisle, Johanne;McNeil, Jeremy N.;Underhill, E. W.;Barton, D.</t>
  </si>
  <si>
    <t>Quebec;Ottawa ON,</t>
  </si>
  <si>
    <t>Universit√© Laval;National Research Council Canada</t>
  </si>
  <si>
    <t>60032619;60009839</t>
  </si>
  <si>
    <t>Delisle J.</t>
  </si>
  <si>
    <t>Helianthus annuus pollen, an oviposition stimulant for the sunflower moth, Homoeosoma electellum</t>
  </si>
  <si>
    <t>10.1111/j.1570-7458.1989.tb02314.x</t>
  </si>
  <si>
    <t>2-s2.0-0038558092</t>
  </si>
  <si>
    <t>['‚ àö2', 'wave reflection', 'wave propagation', 'studied experimentally', 'special frequency', 'sheath thickness', 'resonances caused', 'qualitative agreement', 'plasma density', 'plane conductor', 'magnetic field', 'experimental results', 'experimental geometries', 'experiment show', 'existence near', 'dispersion relation', 'cyclotron frequency', 'copyright 1989', 'confirmed experimentally', 'cold magnetoplasma', 'antenna radius', 'antenna diameter', 'antenna bias']</t>
  </si>
  <si>
    <t>A theory is presented for propagation of electromagnetic waves concentrated in the vacuum‚Äêgap sheath region separating a plane conductor from a cold magnetoplasma. The applied static magnetic field is parallel to the conductor and in the direction of wave propagation. The theory predicts propagation at all frequencies between zero and the upper‚Äêhybrid frequency divided by ‚àö2. Experimental results are reported in which resonances caused by the wave reflection at the end of a thin cylindrical antenna aligned with the magnetic field are used to determine the sheath‚Äêwave dispersion relation. The effect of the antenna bias, plasma density and antenna diameter on the dispersion relation are studied experimentally and the results are compared with the plane‚Äêsurface theory. In spite of the difference between the theoretical and experimental geometries, qualitative agreement is noted with respect to variations in magnetic field, plasma density, sheath thickness and antenna radius. The prediction that the presence of an applied magnetic field raises the upper sheath wave cutoff frequency has been confirmed experimentally, as well as the prediction that the presence of the sheath allows propagation above the cyclotron frequency. In particular, both theory and experiment show the existence near the cyclotron frequency of a special frequency at which the sheath‚Äêwave wave number is independent of the plasma density. Copyright 1989 by the American Geophysical Union.</t>
  </si>
  <si>
    <t>289-300</t>
  </si>
  <si>
    <t>May-June 1989</t>
  </si>
  <si>
    <t>7005722345;35194406800;7003913442</t>
  </si>
  <si>
    <t>Laurin, J. ‚ÄêJ;Morin, G. A.;Balmain, K. G.</t>
  </si>
  <si>
    <t>Laurin J.‚Äê.</t>
  </si>
  <si>
    <t>Sheath wave propagation in a magnetoplasma</t>
  </si>
  <si>
    <t>10.1029/RS024i003p00289</t>
  </si>
  <si>
    <t>2-s2.0-0040785946</t>
  </si>
  <si>
    <t>['yellow mutants', 'various times', 'strain deficient', 'similar organization', 'results demonstrate', 'reaction centers', 'rapidly thereafter', 'ps ii', 'protein composition', 'photoautotrophic strain', 'monomeric chlorophyll', 'grown cultures', 'greened cultures', 'greened cells', 'functional organization', 'deficient derivative', 'constant proportions', 'chlorophyll present', 'chlorophyll occur', 'chlorophyll b', 'chlamydomonas reinhardtii', '6 h', '130 chl']</t>
  </si>
  <si>
    <t>(C. reinhardtii) | Chloroplast development | Etiolated cell | Fluorescence decay | Photon counting | Photosynthesis | Photosystem I</t>
  </si>
  <si>
    <t>Changes in the functional organization of chlorophyll occur during light-dependent chlorophyll accumulation in yellow mutants of Chlamydomonas reinhardtii. These changes were studied using single-photon counting techniques to determine the chlorophyll fluorescence decay kinetics at various times after transfer of de-greened cultures to the light Several different yellow mutants were analyzed: y-1, a photoautotrophic strain; LM18-al2b, a Photosystem-II (PS II) -deficient derivative of y- 1; and C2, a strain deficient in both Photosystem I (PS I) and PS II. The results demonstrate that the residual chlorophyll present in de-greened cultures has a similar organization, independent of the chlorophyll-protein composition of the fully greened strains. Relative to the composition in light-grown cultures, the chlorophyll present in de-greened cells is enriched in chlorophyll b and has fluorescence decay kinetics similar to monomeric chlorophyll in solution. The reaction-center core complexes accumulate preferentially during the first 2 h of greening, and the light-harvesting complexes beginto accumulate more rapidly thereafter. After 5-6 h, during the stage of maximal chlorophyll accumulation rate, reaction centers and antenna complexes accumulate in constant proportions. The PS I reaction-center core complex has a constant apparent size of about 130 Chl/P-700 at all stages of greening under the conditions we examined. ¬© 1989 Elsevier Science Publishers B.V. (Biomedical Division).</t>
  </si>
  <si>
    <t>59-65</t>
  </si>
  <si>
    <t>60029278;60029278;60029278;60029278</t>
  </si>
  <si>
    <t>56418787900;56256984900;36936627600;6701820953</t>
  </si>
  <si>
    <t>Chan, C. K.;Gaines, G. L.;Fleming, G. R.;Mets, L. J.</t>
  </si>
  <si>
    <t>Chan C.K.</t>
  </si>
  <si>
    <t>Chlorophyll fluorescence lifetime studies of greening in yellow mutants of Chlamydomonas reinhardtii: Assembly of the Photosystem I core complex</t>
  </si>
  <si>
    <t>S0005272889802014</t>
  </si>
  <si>
    <t>10.1016/S0005-2728(89)80201-4</t>
  </si>
  <si>
    <t>2-s2.0-0041904844</t>
  </si>
  <si>
    <t>['¬© 1989', 'successful observation', 'sporadic meteors', 'shower radiant', 'radars operating', 'radars employing', 'power law', 'potentially able', 'meteor detection', 'longer wavelengths', 'little used', 'ionospheric echoes', 'hf band', 'form n', 'flatter distribution', 'exponent c', 'cumulative distribution', '20 mhz', '15 mhz', '0 ¬∞.']</t>
  </si>
  <si>
    <t>Frequencies in the HF band below 15 MHz have in the past been little used for radar meteor research owing to the requirement for large antenna arrays and the confusion which may be presented by ionospheric echoes. However, radars employing such frequencies are potentially able to detect very many more underdense meteor echoes than are radars operating at the more conventional higher frequencies, above about 20 MHz. This occurs as a consequence of the greater limiting height for the detection of echoes at longer wavelengths which is set by the so-called underdense echo ceiling. The successful observation of the Eta Aquarid meteor shower reported below demonstrates the value of HF skywave radars operating at frequencies below 15 MHz for meteor detection. The results are consistent with the shower radiant having a diameter of about 6¬∞ centred on R.A. = 339¬∞, Dec = 0¬∞. If the cumulative distribution of meteoroidal particles exceeding a lower threshold mass m is described by a power law of the form N(m) ‚àº mc, where the exponent c is assumed to equal -1.0 for sporadic meteors then, by comparison, the particles of the Eta Aquarid shower must belong to a flatter distribution with c in the range from -1.0 to -0.6. ¬© 1989.</t>
  </si>
  <si>
    <t>837-846</t>
  </si>
  <si>
    <t>Planetary and Space Science</t>
  </si>
  <si>
    <t>Thomas, R. M.</t>
  </si>
  <si>
    <t>Thomas R.</t>
  </si>
  <si>
    <t>Detection by HF radar of the Eta Aquarid meteor shower</t>
  </si>
  <si>
    <t>10.1016/0032-0633(89)90134-7</t>
  </si>
  <si>
    <t>2-s2.0-0142086542</t>
  </si>
  <si>
    <t>['‚ àº1', 'various chl', 'using pump', 'spectral forms', 'shortest wavelength', 'rapid homogenization', 'ps resolution', 'probe techniques', 'native photosystem', 'isotropic chi', 'heterogeneous clusters', 'extend spatially', 'excitation migration', '681 nm', '655 nm', '5 ps', '40 ps', '250 ps', '13 ps']</t>
  </si>
  <si>
    <t>Polarized photobleaching profiles were obtained by using pump-probe techniques with ‚àº1.5-ps resolution at 645-681 nm in solutions of native photosystem I particles (Chl/P700 ‚àº 200) from spinach. The isotropic ChI a ground-state recovery dynamics at wavelengths between 660 and 681 nm exhibit at least three decay components; triexponential fits yield lifetimes of &lt;5 ps, 25-40 ps, and 200-250 ps. The isotropic photobleaching decay is far more rapid at 645-655 nm, exhibiting ‚àº2 ps decay time at the shortest wavelength. Since this spectral region spans the Chl b Qy transition, the latter kinetics may arise from excitation migration from peripheral Chl b pigments to longer wavelength Chl a pigments. The depolarization lifetimes exhibited by Chl a anisotropic photobleaching profiles vary considerably with wavelength between 660 and 681 nm, in a manner which is consistent with F√∂rster excitation transport rates computed from photosystem I core antenna absorption spectra. While electronic excitation may be rapidly "homogenized" across the Chl a core antenna spectrum, the slow depolarization time scales (5-13 ps) show that such rapid homogenization does not extend spatially over the entire core antenna. The results are consistent with a core antenna model in which the various Chl a spectral forms are grouped into heterogeneous clusters of chromophores. ¬© 1989 American Chemical Society.</t>
  </si>
  <si>
    <t>6844-6850</t>
  </si>
  <si>
    <t>60008023;60008023;60008023</t>
  </si>
  <si>
    <t>6602911490;15076191000;57193129444</t>
  </si>
  <si>
    <t>Causgrove, Timothy P.;Yang, Shumei;Struve, Walter S.</t>
  </si>
  <si>
    <t>Ames</t>
  </si>
  <si>
    <t>Ames Laboratory</t>
  </si>
  <si>
    <t>Causgrove T.</t>
  </si>
  <si>
    <t>Polarized pump-probe spectroscopy of photosystem I antenna excitation transport</t>
  </si>
  <si>
    <t>10.1021/j100355a053</t>
  </si>
  <si>
    <t>2-s2.0-0342345277</t>
  </si>
  <si>
    <t>['study proteins', 'selected results', 'pheromones interact', 'pheromone analogs', 'labeled pheromones', 'insect antennae', 'electrical signal', 'catabolic proteins']</t>
  </si>
  <si>
    <t>Pheromones interact with binding and catabolic proteins in insect olfactory sensilla, and the activated dendritic receptors are important in the transduction of a chemical binding event into an electrical signal. Selected results will be presented in which high specific activity tritium-labeled pheromones and pheromone analogs are synthesized and used to study proteins from insect antennae which bind and degrade pheromone molecules. ¬© 1989 IUPAC</t>
  </si>
  <si>
    <t>551-554</t>
  </si>
  <si>
    <t>Pure and Applied Chemistry</t>
  </si>
  <si>
    <t>Prestwich, Glenn D.</t>
  </si>
  <si>
    <t>Bio-organic studies of insect olfaction</t>
  </si>
  <si>
    <t>10.1351/pac198961030551</t>
  </si>
  <si>
    <t>2-s2.0-0342948534</t>
  </si>
  <si>
    <t>['¬© 1989', 'well known', 'suffers velocity', 'strong fields', 'stochastic fields', 'small portion', 'simple theory', 'rest frame', 'quantum systems', 'quantum system', 'present study', 'oscillators response', 'often astride', 'nonmonochromatic field', 'motionally averaged', 'intimate relationship', 'internal state', 'inhomogeneous remnant', 'homogeneously broadened', 'gives rise', 'fields energy', 'extensive computation', 'evacuated wall', 'doppler resonance', 'doppler broadening', 'dicke narrowing', 'conclusion suggests', 'coated cell', 'changing collisions', 'best understood', 'band antenna', 'apparently doppler', 'antenna analogy']</t>
  </si>
  <si>
    <t>It is well known that when a radiator (or absorber) suffers velocity-changing collisions that do not perturb its internal state, the oscillators successive Doppler shifts are motionally averaged. This process (Dicke narrowing) gives rise to a homogeneously broadened sub-Doppler resonance, which is often astride a broad, apparently Doppler-width, pedestal. Though it has long been held that this pedestal is an inhomogeneous remnant of Doppler broadening, no evidence has ever been obtained to substantiate this expectation. In the present study we investigate the behavior of Dicke-narrowed line shapes in strong fields in an evacuated wall-coated cell. Our experimental results indicate that the hypothesis of an inhomogeneous Doppler remnant pedestal is invalid. Rather, the pedestal is homogeneously broadened and is best understood in terms of the oscillators response to the electromagnetic fields power spectral density as observed in its rest frame. This conclusion suggests an intimate relationship between the process of Dicke narrowing and the behavior of quantum systems in the presence of stochastic fields. By envisioning the quantum system as a narrow-band antenna that only absorbs a small portion of the fields energy, we develop a simple intuitive model to account for the interaction of the atom with the nonmonochromatic field; the appeal of this simple theory is that it removes the need for extensive computation. Agreement between this atom-as-antenna analogy and experiment is very good. ¬© 1989 The American Physical Society.</t>
  </si>
  <si>
    <t>2351-2358</t>
  </si>
  <si>
    <t>60029575;60029575;60008724</t>
  </si>
  <si>
    <t>7005646365;6701778229;7202477766</t>
  </si>
  <si>
    <t>Camparo, J. C.;Frueholz, R. P.;Robinson, H. G.</t>
  </si>
  <si>
    <t>El Segundo;Durham</t>
  </si>
  <si>
    <t>Aerospace Corporation, USA;Duke University</t>
  </si>
  <si>
    <t>60029575;60008724</t>
  </si>
  <si>
    <t>Camparo J.</t>
  </si>
  <si>
    <t>Dicke narrowing in strong fields: The atom-as-antenna analogy</t>
  </si>
  <si>
    <t>10.1103/PhysRevA.40.2351</t>
  </si>
  <si>
    <t>2-s2.0-0343470566</t>
  </si>
  <si>
    <t>['¬© 1990', 'wind elaborate', 'twelve months', 'several layers', 'scattering process', 'radar scatter', 'radar echoes', 'mean winds', 'long period', 'gravity waves', 'four seasons', 'effectively demonstrated', 'diurnal variations', 'certain heights', 'case studies', 'called elsewhere', 'also available', '86 km', '6 h', '2 mhz']</t>
  </si>
  <si>
    <t>The Saskatoon MF radar (2.2 MHz) at 52¬∞N, 107¬∞W, has been used to measure the heights of occurrence of radar scatter during four seasons, and twelve months of 1986/87. Mean winds, and gravity waves are also available, by the spaced antenna method and from the same radar echoes. Certain heights, called elsewhere 'preferred heights', are identified near 60km, 70km, 75km in summer, and 80-86 km. Several layers have seasonal and diurnal variations. Associations with electron density gradients (rocket data), mean wind shear in summer, and gravity wave amplitude-minima in the equinoxes are effectively demonstrated. Case studies, involving 3 h data sets of radar scatter and wind elaborate the comparison: gravity waves of long period (œÑ &gt; 6 h) are shown to modulate the scattering process. ¬© 1990.</t>
  </si>
  <si>
    <t>1003-1016</t>
  </si>
  <si>
    <t>Journal of Atmospheric and Terrestrial Physics</t>
  </si>
  <si>
    <t>60191856;60191856</t>
  </si>
  <si>
    <t>7006112190;24290221300</t>
  </si>
  <si>
    <t>Manson, A. H.;Meek, C. E.</t>
  </si>
  <si>
    <t>Institute of Space and Atmospheric Studies</t>
  </si>
  <si>
    <t>Manson A.H.</t>
  </si>
  <si>
    <t>Heights of MF radar scatter (1986/87) and the wind field (55-95 km): Saskatoon, Canada</t>
  </si>
  <si>
    <t>10.1016/0021-9169(89)90016-0</t>
  </si>
  <si>
    <t>2-s2.0-0344102990</t>
  </si>
  <si>
    <t>['¬© 1989', 'three types', 'severely reduced', 'rate constant', 'protein complex', 'possible function', 'plant physiologists', 'low concentrations', 'kinetic properties', 'kda polypeptides', 'jspp ).', 'japanese society', 'high concentrations', 'divalent cations', 'additional 25', '30 complexes', '180 complex']</t>
  </si>
  <si>
    <t>Antenna chlorophyll | Chlorophyll protein | Electron transfer | Photosystem I | Plastocyanin</t>
  </si>
  <si>
    <t>Three types of PS I Chl-protein complex, PS I 180, PS I 65, and PS I 30, have been prepared and the kinetic properties of the transfer of electrons from plastocyanin to P700 in the PS I complexes with different sized antennae were examined. The PS I 180 complex, which consists of 180 Chi per P700, showed the almost same rate constant and effects of cations for the transfer of electrons from plastocyanin to P700 as those obtained with PS I-enriched membrane fragments. The rate constant increased with the addition of low concentrations of monovalent and divalent cations, but decreased with high concentrations of cations. However, the rate was severely reduced in the case of the PS I 65 and PS I 30 complexes, and quite different effects of cations were observed. Given the presence of additional 25- to 28-kDa polypeptides in the PS I 180 complex as compared to the PS I 65 and PS I 30 complexes, we discuss a possible function for these polypeptides in the regulation of the reaction between plastocyanin and P700. ¬© 1989 The Japanese Society of Plant Physiologists (JSPP).</t>
  </si>
  <si>
    <t>85-90</t>
  </si>
  <si>
    <t>Plant and Cell Physiology</t>
  </si>
  <si>
    <t>60027762;60027762;60027762;60027762</t>
  </si>
  <si>
    <t>7006632740;57066075900;7402676500;36506561200</t>
  </si>
  <si>
    <t>Takabe, Teruhiro;Ishikawa, Hiroshi;Iwasaki, Yukimoto;Inoue, Hirofumi</t>
  </si>
  <si>
    <t>Meijo University</t>
  </si>
  <si>
    <t>Takabe T.</t>
  </si>
  <si>
    <t>Electron transfer between plastocyanin and P700 in various types of photosystem I complex</t>
  </si>
  <si>
    <t>10.1093/oxfordjournals.pcp.a077721</t>
  </si>
  <si>
    <t>2-s2.0-0345492684</t>
  </si>
  <si>
    <t>IEEE Antennas and Propagation Society Newsletter</t>
  </si>
  <si>
    <t>;60019647</t>
  </si>
  <si>
    <t>7101619855;7005729263</t>
  </si>
  <si>
    <t>Simmons, Alan J.;Bodnar, Donald G.</t>
  </si>
  <si>
    <t>Simmons A.</t>
  </si>
  <si>
    <t>Gain of Active Antenna Systems: Antenna Standards Committee Requests Input</t>
  </si>
  <si>
    <t>10.1109/MAP.1989.6102071</t>
  </si>
  <si>
    <t>2-s2.0-0346177559</t>
  </si>
  <si>
    <t>NAGW-822</t>
  </si>
  <si>
    <t>['¬© 1989', 'transmitted power', 'stabilized spacecraft', 'spacecraft mass', 'shown earlier', 'roughly 0', 'polar orbit', 'order 10', 'orbit parameters', 'linear dimensions', 'individual eight', 'hour period', 'hour arcs', 'highly reflecting', 'gravity field', 'gravitational theory', 'give high', 'factor 4', 'doppler data', 'determined mainly', 'cylindrical surface', 'approach mass', 'accuracy tests', '50 kg', '5 watts', '2 watts']</t>
  </si>
  <si>
    <t>It was shown earlier that 1 √ó 10-14 Doppler data and 3 cm accuracy range measurements to a small Mercury Relativity Satellite in a polar orbit with 4-hour period can give high-accuracy tests of gravitational theory. A particular conceptual design has been developed for such a satellite, which would take less than 10% of the approach mass for a possible future Mercury Orbiter Mission. The spacecraft is similar to the Pioneer Venus Orbiter, but scaled down by about a factor 4 in linear dimensions. The cylindrical surface of the spin-stabilized spacecraft is highly reflecting to minimize thermal input from the sun. A despun antenna 30 cm in diameter is used for tracking. The transmitted power is roughly 0.2 watts at K-band and 0.5 watts at X-band. The orbit parameters for individual eight-hour arcs and the gravity field of Mercury through degree and order 10 are determined mainly from the Doppler data. A 50 MHz K-band sidetone system provides the basic ranging accuracy. The spacecraft mass is 50 kg or less. ¬© 1989.</t>
  </si>
  <si>
    <t>113-116</t>
  </si>
  <si>
    <t>Advances in Space Research</t>
  </si>
  <si>
    <t>60000221;60000221;60000221;60000221</t>
  </si>
  <si>
    <t>7006568657;6701389801;55727663900;7006274990</t>
  </si>
  <si>
    <t>Bender, P. L.;Ashby, N.;Vincent, M. A.;Wahr, J. M.</t>
  </si>
  <si>
    <t>Bender P.</t>
  </si>
  <si>
    <t>Conceptual design for a mercury relativity satellite</t>
  </si>
  <si>
    <t>027311778990015X</t>
  </si>
  <si>
    <t>10.1016/0273-1177(89)90015-X</t>
  </si>
  <si>
    <t>2-s2.0-0346826527</t>
  </si>
  <si>
    <t>['¬© 1989', 'various types', 'various parts', 'summarized along', 'sulfur centers', 'recent work', 'reaction center', 'ray crystallography', 'protein complexes', 'polypeptide composition', 'photosystem derived', 'particular polypeptides', 'historical context', 'green plant', 'f complex', 'dimer nature', 'determine structure', 'data suggesting', 'cytochrome b6', 'cyanobacterial ps', 'atomic level', 'also includes']</t>
  </si>
  <si>
    <t>chloroplast | electron transport | membranes | photosynthesis | photosystem I | thylakoids</t>
  </si>
  <si>
    <t>Recent work on the structure of photosystem I (PS I) is reviewed in historical context. Composition and methods of preparation of the reaction center, core and antennae are described. Emphasis is on the polypeptide composition of the various parts of the photosystem, especially the core, which also includes the reaction center. Recent work on the assignment of iron-sulfur centers to particular polypeptides is described as well as work on other early electron acceptors. The interactions of PS I with ferredoxin (which forms the link to pyridine nucleotide reduction) and with plastocyanin (which forms the link with the cytochrome b6/f complex) are presented. Reports on the sequences of chloroplast- and nuclear-coded polypeptide components of PS I are summarized along with interpretations of the structure of the photosystem derived from such results. Work on attempts to determine structure at the atomic level by X-ray crystallography is described. The relationship of green plant and cyanobacterial PS I to various types of bacterial photosynthetic pigment-protein complexes is discussed. The protein-dimer nature of PS I reaction center is reviewed and evaluated. Data suggesting that the isolated green plant PS I reaction center may not be a protein-dimer are presented. ¬© 1989.</t>
  </si>
  <si>
    <t>Plant Science</t>
  </si>
  <si>
    <t>Margulies, Maurice M.</t>
  </si>
  <si>
    <t>Beltsville</t>
  </si>
  <si>
    <t>USDA ARS Beltsville Agricultural Research Center</t>
  </si>
  <si>
    <t>Margulies M.</t>
  </si>
  <si>
    <t>Photosystem I core</t>
  </si>
  <si>
    <t>10.1016/0168-9452(89)90145-3</t>
  </si>
  <si>
    <t>2-s2.0-0642269186</t>
  </si>
  <si>
    <t>['wide applications', 'thus eliminates', 'spaced antenna', 'radial current', 'radar beam', 'first time', 'copyright 1989']</t>
  </si>
  <si>
    <t>The Spaced Antenna (SA) technique is applied to measuring ocean surface currents for the first time. This allows the measurement of the ocean surface current transverse to the radar beam as well as the radial current and thus eliminates the requirement of two separate radars to measure the full current vector as with present ocean surface current radar systems. Therefore, this technique offers considerable advantages for ocean current mapping in terms of simplicity for real‚Äêtime operational systems and could have wide applications, for example at sites where it is not practical to have two separate radars. Copyright 1989 by the American Geophysical Union.</t>
  </si>
  <si>
    <t>999-1002</t>
  </si>
  <si>
    <t>60000221;60027716;60027716;60027716;60027716;60027716</t>
  </si>
  <si>
    <t>7202957110;7401436950;7004520527;7004225436;7005807606;7102927205</t>
  </si>
  <si>
    <t>May, Peter T.;Weber, Bob L.;Strauch, Richard G.;Lataitis, Richard J.;Moran, Kenneth P.;Merritt, David A.</t>
  </si>
  <si>
    <t>National Oceanic and Atmospheric Administration;University of Colorado Boulder</t>
  </si>
  <si>
    <t>60027716;60000221</t>
  </si>
  <si>
    <t>May P.</t>
  </si>
  <si>
    <t>Single station ocean current vector measurement: Application of the Spaced Antenna (SA) Technique</t>
  </si>
  <si>
    <t>10.1029/GL016i009p00999</t>
  </si>
  <si>
    <t>2-s2.0-0842266901</t>
  </si>
  <si>
    <t>['¬© 1989', 'weighted output', 'target beam', 'substantial amount', 'signals derived', 'signal suppression', 'second case', 'rights reserved', 'residual interference', 'pic using', 'output snr', 'output signal', 'output contains', 'one case', 'one beam', 'noise ratio', 'large amount', 'interference channel', 'interference beam', 'completely eliminated', 'beamforming methods', 'article presents', 'antenna array', 'analysis shows', 'acoustical society']</t>
  </si>
  <si>
    <t>A postbeamformer interference canceler (PIC) processes the signals derived from an antenna array by forming two beams using fixed beamforming weights. The weighted output of one beam, referred to as the interference beam, is subtracted from the other beam, referred to as the target beam. In a conventional beamforming method, both beams are formed using equal weighting on each element. For this case the PIC processor suppresses a substantial amount of the signal; its output contains a large amount of residual interference when the weight of the interference channel is adjusted to minimize the mean output power of the PIC. This article presents and analyzes two methods to reduce the signal suppression by the PIC. The analysis shows that in one case the signal suppression has been completely eliminated, while in the second case the output of the PIC does not contain any residual interference. The examples presented show that the output signal to noise ratio (SNR) of the PIC using these beamforming methods is larger than the output SNR of the PIC using conventional beamforming methods. ¬© 1989, Acoustical Society of America. All rights reserved.</t>
  </si>
  <si>
    <t>202-213</t>
  </si>
  <si>
    <t>NA</t>
  </si>
  <si>
    <t>Journal of the Acoustical Society of America</t>
  </si>
  <si>
    <t>Godara, Lal C.</t>
  </si>
  <si>
    <t>Canberra</t>
  </si>
  <si>
    <t>University of New South Wales at Australian Defence Force Academy</t>
  </si>
  <si>
    <t>Godara L.C.</t>
  </si>
  <si>
    <t>Postbeamformer interference canceler with improved performance</t>
  </si>
  <si>
    <t>10.1121/1.397727</t>
  </si>
  <si>
    <t>2-s2.0-11444255125</t>
  </si>
  <si>
    <t>['third uropods', 'southern hemisphere', 'setose rami', 'rodericki sp', 'posterodistal angle', 'nov .,', 'new entities', 'inshore waters', 'francis group', 'epimeron 3', 'denturus sp', 'calceolate antennae', 'article 5', 'adentatus sp']</t>
  </si>
  <si>
    <t>Amphipoda | Hippomedon | Lysianassoidea | Tasmania | Taxonomy</t>
  </si>
  <si>
    <t>Three new male lysianassoid amphipods from inshore waters of Tasmania are described and illustrated, viz. Hippomedon rodericki sp. nov., ?H. adentatus sp. nov. and ?H. denturus sp. nov. All have setose rami on the third uropods. Of the three, only ?H. adentatus sp. nov. has calceolate antennae. Together with ?H. denturus sp. nov., it also has gnathopod 1 article 6 &gt; article 5 and an elongate mandibular palp, which accounts for its queried generic attribution. Only H. rodericki sp. nov. has the ‚Äòtypical‚Äô Hippomedon upturned tooth at the posterodistal angle of epimeron 3. The relationships of these new entities to other ‚ÄòHippomedon‚Äô species from the southern hemisphere are discussed. Revisers of the genus will need to weigh the significance of the novel feature combinations in these and other southern ocean species (now 20 in number) which substantially confound established generic diagnoses. A key to southern hemisphere entities currently ascribed to Hippomedon is presented. ¬© 1989 Taylor &amp; Francis Group, LLC.</t>
  </si>
  <si>
    <t>1443-1460</t>
  </si>
  <si>
    <t>Moore, P. G.</t>
  </si>
  <si>
    <t>Millport</t>
  </si>
  <si>
    <t>University Marine Biological Station</t>
  </si>
  <si>
    <t>Moore P.</t>
  </si>
  <si>
    <t>Three new amphipod species related to hippomedon (Crustacea; amphipoda; lysianassoidea) from tasmanian inshore waters</t>
  </si>
  <si>
    <t>10.1080/00222938900770781</t>
  </si>
  <si>
    <t>2-s2.0-1242339018</t>
  </si>
  <si>
    <t>['vlasov antenna', 'tunable gyrotrons', 'polarized beam', 'gyrotron iii', 'cw source', '330 ghz']</t>
  </si>
  <si>
    <t>GYROTRON III is a cw source of near-millimetre wave radiation that is tunable over the frequency range 75 to 330 GHz. The high-order waveguide modes that are characteristic of tunable gyrotrons are converted into a well-collimated, linearly-polarized beam by means of a quasi-optical or Vlasov antenna. ¬© 1989 Plenum Publishing Corporation.</t>
  </si>
  <si>
    <t>121-136</t>
  </si>
  <si>
    <t>International Journal of Infrared and Millimeter Waves</t>
  </si>
  <si>
    <t>60025709;60025709</t>
  </si>
  <si>
    <t>55666487200;57197546879</t>
  </si>
  <si>
    <t>Brand, G. F.;Gross, M.</t>
  </si>
  <si>
    <t>The University of Sydney</t>
  </si>
  <si>
    <t>Brand G.</t>
  </si>
  <si>
    <t>A tunable source of linearly-polarized, near-millmeter wave radiation</t>
  </si>
  <si>
    <t>10.1007/BF01009122</t>
  </si>
  <si>
    <t>2-s2.0-26444607393</t>
  </si>
  <si>
    <t>NAGW‚Äî822</t>
  </si>
  <si>
    <t>['¬© 1989', 'wave observatory', 'scientific objectives', 'noise sources', 'lower frequencies', 'large numbers', 'galaxy formation', 'frequency range', 'calculated performance', 'binary systems', '1 hz']</t>
  </si>
  <si>
    <t>Progress during the past two years on a proposed Laser Gravitational-Wave Observatory in Space (LAGOS) is discussed. Calculated performance for a 106 km sized antenna over the frequency range of 10-5 to 1 Hz is given. The sensitivity from 10-3 to 10-1 Hz is expected to be 1 √ó 10-21/Hz0.5. Noise sources such as accelerations of the drag-free test masses by random molecular impacts and by fluctuations in the net thermal radiation pressure will limit the sensitivity at lower frequencies. The scientific objectives are the observation of CW gravitational waves from large numbers of binary systems and the detection of pulses which may have been emitted during the period of galaxy formation. ¬© 1989.</t>
  </si>
  <si>
    <t>107-111</t>
  </si>
  <si>
    <t>60000221;60000221;60000221;60000221;60000221;60000221</t>
  </si>
  <si>
    <t>23038752200;7006568657;35468451300;6603466729;7003639151;55727663900</t>
  </si>
  <si>
    <t>Faller, J. E.;Bender, P. L.;Hall, J. L.;Hils, D.;Stebbins, R. T.;Vincent, M. A.</t>
  </si>
  <si>
    <t>Faller J.</t>
  </si>
  <si>
    <t>An antenna for laser gravitational-wave observations in space</t>
  </si>
  <si>
    <t>10.1016/0273-1177(89)90014-8</t>
  </si>
  <si>
    <t>2-s2.0-2742557813</t>
  </si>
  <si>
    <t>['translation velocities', 'translation parallel', 'translation larger', 'translation av', 'traced back', 'time course', 'time constants', 'successful attack', 'second antenna', 'rotation aw', 'rotation around', 'pulse responses', 'preprogrammed immediately', 'neural events', 'motion analysis', 'longer distances', 'long axis', 'insufficient rotation', 'feedback control', 'distance da', 'derived unequivocally', 'chosen arbitrarily', 'cherax destructor', 'briefly touches']</t>
  </si>
  <si>
    <t>1. An experimentally blinded crayfish (Cherax destructor) attacks an object that briefly touches the flagellum of its second antenna. Since there is no feedback control during the attack, the entire motor command has to be preprogrammed immediately after stimulation. 2. I studied the dynamics of the attacks by video film analysis and by decomposing the motion of the body into rotation around a centre on the long axis of the body and a translation parallel to it. The time course of both rotation and translation velocities can be fitted by pulse responses of third order low pass filters. 3. It is shown that the model of Zeil et al. (1985) to describe the attacks is adequate only, when the distance dA of the point of stimulation from the base of the antenna is short. For longer distances it predicts an insufficient rotation, and a translation larger than required. The discrepancy is traced back to the fact that crayfish simultaneously translate and rotate during an attack. 4. To program a successful attack the crayfish have the option to adjust the extent of rotation aw and that of the translation av, as well as the ratio of their time constants. They fit both aw and av to dA but do not vary the time constants. 5. It is demonstrated that for the purpose of motion analysis a centre of rotation and a translation velocity component orthogonal to the body long axis cannot be derived unequivocally. One of them has to be chosen arbitrarily. 6. The peculiarities of the crayfish' attack as compared with prey catching strategies in other animals, and the limits of single frame analysis regarding conclusions about neural events are discussed. ¬© 1989 Springer-Verlag.</t>
  </si>
  <si>
    <t>99-107</t>
  </si>
  <si>
    <t>Varj√∫, Dezs√∂</t>
  </si>
  <si>
    <t>Tubingen</t>
  </si>
  <si>
    <t>Eberhard Karls Universit√§t T√ºbingen</t>
  </si>
  <si>
    <t>Varj√∫ D.</t>
  </si>
  <si>
    <t>Prey attack in crayfish: conditions for success and kinematics of body motion</t>
  </si>
  <si>
    <t>10.1007/BF00613803</t>
  </si>
  <si>
    <t>2-s2.0-33644616456</t>
  </si>
  <si>
    <t>['¬© 1989', 'vehicle location', 'rights reserved', 'onboard processing', 'last 10', 'large antennas', 'future trends', 'future systems', 'electrical engineers', 'described together', 'data services', 'also considered', '15 years']</t>
  </si>
  <si>
    <t>The emergence of satellite land mobile services over the last 10 to 15 years is described together with future trends. The difficulties of providing a commercially viable voice service are discussed and alternatives, such as inclined orbit systems and satellites with very large antennas, are suggested as ways in which the initial disadvantages might be overcome. Data services for satellite land mobile traffic and the possibilities of including radio determination of vehicle location as part of these data, services are also considered. Future systems, which could have their architecture strongly influenced by the use of onboard processing, are discussed. ¬© 1989, The Institution of Electrical Engineers. All rights reserved.</t>
  </si>
  <si>
    <t>245-253</t>
  </si>
  <si>
    <t>Electronics and Communication Engineering Journal</t>
  </si>
  <si>
    <t>Norbury, J. R.</t>
  </si>
  <si>
    <t>Didcot</t>
  </si>
  <si>
    <t>Rutherford Appleton Laboratory</t>
  </si>
  <si>
    <t>Norbury J.R.</t>
  </si>
  <si>
    <t>Satellite Land Mobile Communication Systems</t>
  </si>
  <si>
    <t>10.1049/ecej:19890051</t>
  </si>
  <si>
    <t>2-s2.0-33646950383</t>
  </si>
  <si>
    <t>['¬© 1989', 'selectively distort', 'produced magnetoplasma', 'phase velocity', 'landau damping', 'energy equivalent', 'central 1', '2 cm', '1 pa']</t>
  </si>
  <si>
    <t>Lasing of the 488-nm Ar ii line has been demonstrated in the central 1.2 cm of a 4.5-cm diam rf-produced magnetoplasma at pressures of 1 Pa. The external rf antenna excites an m=1 whistler wave at the lower hybrid launch frequency which produces a highly ionized plasma. The inferred population inversion and the correspondence between measured wave phase velocity and the upper energy levels of the observed transitions suggest that Landau damping of the wave can selectively distort the electron distribution function at an energy equivalent to the phase velocity of the wave. ¬© 1989 The American Physical Society.</t>
  </si>
  <si>
    <t>2805-2807</t>
  </si>
  <si>
    <t>60008950;60008950</t>
  </si>
  <si>
    <t>22969587600;7103354742</t>
  </si>
  <si>
    <t>Zhu, Peiyuan;Boswell, R. W.</t>
  </si>
  <si>
    <t>The Australian National University</t>
  </si>
  <si>
    <t>Zhu P.</t>
  </si>
  <si>
    <t>Ar ii laser generated by Landau damping of whistler waves at the lower hybrid frequency</t>
  </si>
  <si>
    <t>10.1103/PhysRevLett.63.2805</t>
  </si>
  <si>
    <t>2-s2.0-33744745046</t>
  </si>
  <si>
    <t>61-70</t>
  </si>
  <si>
    <t>Radiophysics and Quantum Electronics</t>
  </si>
  <si>
    <t>16434546100;6507423471;16466360000;7005755873;7101701139;6603246966;55354871700</t>
  </si>
  <si>
    <t>Goryunova, S. V.;Drozhilkin, S. V.;Zhavoronkov, V. N.;Ponomarev, D. M.;Semenova, L. R.;Skulkin, S. P.;Turchin, V. I.</t>
  </si>
  <si>
    <t>Goryunova S.</t>
  </si>
  <si>
    <t>The time-pulse method of measuring antenna characteristics in the near zone</t>
  </si>
  <si>
    <t>10.1007/BF01039049</t>
  </si>
  <si>
    <t>2-s2.0-34249956921</t>
  </si>
  <si>
    <t>['vivaldi horns', 'various designs', 'tubes remains', 'submillimeter bwo', 'spectrum analyzer', 'planar antennas', 'output coupler', 'lens system', 'hyperhemispherical lens', 'feed systems', 'also tested', '265 ghz']</t>
  </si>
  <si>
    <t>Electron beam tubes | Local oscillators | Optical coupling | Planar antennas | Submillimeter BWO's</t>
  </si>
  <si>
    <t>The machining of slow wave structures for high frequency BWO's is extremely difficult beyond l THz. Recently a microfabrication technique using photolithography and ion-beam assisted etching has been used to construct a prototype BWO operating at 200 to 265 GHz. The output coupler for such tubes remains a problem. Waveguides do not exist or are very lossy at the frequencies of interest (300 to 2000 GHz). This paper discusses several scaled experiments of optical output couplers for submillimeter BWO's. Various designs of planar antennas (Vivaldi horns) and lens-feed systems (hyperhemispherical lens) were constructed and tested between 20 and 100 GHz using a spectrum analyzer. The lens system was also tested at 337 GHz using a CO2 pumped FIR laser. ¬© 1989 Plenum Publishing Corporation.</t>
  </si>
  <si>
    <t>161-177</t>
  </si>
  <si>
    <t>60017470;60026717;60078329</t>
  </si>
  <si>
    <t>56320681900;6603877290;6507103290</t>
  </si>
  <si>
    <t>Cook, Jerry D.;Stankiewicz, Norbert;Podany, Mark</t>
  </si>
  <si>
    <t>Fairfax;Cleveland;Richmond</t>
  </si>
  <si>
    <t>Analex Corporation;NASA Glenn Research Center;Eastern Kentucky University</t>
  </si>
  <si>
    <t>60078329;60026717;60017470</t>
  </si>
  <si>
    <t>Cook J.</t>
  </si>
  <si>
    <t>Study of optical output couplers for submillimeter wavelength backward-wave oscillators (BWO's)</t>
  </si>
  <si>
    <t>10.1007/BF01009125</t>
  </si>
  <si>
    <t>2-s2.0-34249966555</t>
  </si>
  <si>
    <t>['wire antenna', 'synthesis procedure', 'sidelobe levels', 'radiation pattern', 'point sources', 'nth degree', 'given number', 'form similar', 'first degree', 'chebyshev polynomial', 'antenna arrays', 'also given']</t>
  </si>
  <si>
    <t>A method for synthesis of antenna arrays with a given number of sidelobes and sidelobe levels is discussed. The pattern is given as a multiplication of a Chebyshev polynomial of nth degree with the one of first degree. The radiation pattern of a wire antenna in a form similar to that of an array with point sources is also given by the method of moments. So the synthesis procedure can be reduced. Several examples show the applicability of the method. ¬© 1989 Springer-Verlag.</t>
  </si>
  <si>
    <t>435-441</t>
  </si>
  <si>
    <t>Archiv f√ºr Elektrotechnik</t>
  </si>
  <si>
    <t>60015331;60030988;60009455;60009455</t>
  </si>
  <si>
    <t>35070366800;6504279044;6507097432;7005683394</t>
  </si>
  <si>
    <t>Siakavara, K.;Chrysomallis, M.;Fernandez Jambrina, J. L.;Sahalos, J. N.</t>
  </si>
  <si>
    <t>Greece;Greece;Spain</t>
  </si>
  <si>
    <t>Komotini;Thessaloniki;Madrid</t>
  </si>
  <si>
    <t>Democritus University of Thrace;Aristotle University of Thessaloniki;Escuela T√©cnica Superior de Ingenieros de Telecomunicaci√≥n, Universidad Polit√©cnica de Madrid</t>
  </si>
  <si>
    <t>60030988;60015331;60009455</t>
  </si>
  <si>
    <t>An antenna array synthesis technique by the help of Chebyshev polynomials</t>
  </si>
  <si>
    <t>10.1007/BF01573762</t>
  </si>
  <si>
    <t>2-s2.0-34249966570</t>
  </si>
  <si>
    <t>['various combinations', 'track dimension', 'substantial reduction', 'spatial resolution', 'snow cover', 'sea ice', 'presently envisioned', 'polar orbit', 'observational needs', 'next decade', 'hmmr ),', 'estar ).', 'eos ).', 'earth scientists', 'cloud water', 'areal extent', 'approximately 6', 'antenna needed', 'amsr ),', 'achieve resolution', '90 ghz', '60 ghz', '183 ghz', '10 km']</t>
  </si>
  <si>
    <t>A description is given of a passive microwave remote sensing system designed to meet the observational needs of Earth scientists in the next decade. This system, called the High Resolution Multifrequency Microwave Radiometer (HMMR), is to be part of a complement of instruments in polar orbit that will form the Earth Observing System (Eos). As presently envisioned, the HMMR will consist of three separate instruments. These are the Advanced Microwave Sounding Unit (AMSU) presently under development for NOAA, and the two new instruments, the Advanced Mechanically Scanned Radiometer (AMSR), and the Electronically Scanned Thinned Array Radiometer (ESTAR). The AMSU will provide atmospheric soundings of temperature and water vapor using channels in the oxygen resonance band (50-60 GHz) and water vapor resonance line at 183 GHz. The AMSR is to be a microwave imager including channels at approximately 6, 10, 18, 21, 37, and 90 GHz, each with dual (linear) polarization. Measurements at various combinations of these frequencies and polarization permit data to be obtained on the amount of snow cover over land, the age and areal extent of sea ice, the intensity of precipitation over oceans and land, and the amount of water in the atmosphere (cloud water and total water vapor). The ESTAR is an imaging radiometer operating near 1.4 GHz designed to obtain global maps of surface soil moisture with spatial resolution on the order of 10 km. The ESTAR will employ an array of long stick antennas to achieve real aperture resolution in the along-track dimension, and use signal processing to achieve resolution in the cross-track dimension. Signal processing permits the array to be thinned significantly resulting in a substantial reduction in the antenna needed in space. ¬© 1989 IEEE</t>
  </si>
  <si>
    <t>60006337;60006337;60016296;60014313</t>
  </si>
  <si>
    <t>7005621665;7004102113;7403470663;7101802161</t>
  </si>
  <si>
    <t>Le Vine, David M.;Wilheit, Thomas T.;Murphy, Robert E.;Swift, Calvin T.</t>
  </si>
  <si>
    <t>Washington, D.C.;Amherst MA;Greenbelt</t>
  </si>
  <si>
    <t>National Aeronautics and Space Administration;University of Massachusetts Amherst;NASA Goddard Space Flight Center</t>
  </si>
  <si>
    <t>60016296;60014313;60006337</t>
  </si>
  <si>
    <t>Le Vine D.M.</t>
  </si>
  <si>
    <t>A Multifrequency Microwave Radiometer of the Future</t>
  </si>
  <si>
    <t>10.1109/36.20298</t>
  </si>
  <si>
    <t>2-s2.0-34250851580</t>
  </si>
  <si>
    <t>['surface distortions', 'reflector antennas', 'practical approach', 'order approximation', 'diameter hoop', 'deterministic analysis', 'also presented']</t>
  </si>
  <si>
    <t>A very practical approach is demonstrated for the deterministic analysis of surface distortions in reflector antennas, based on a first-order approximation to the aperture field phase. Measured pattern results from the 15-m diameter hoop/column deployable mesh reflector antenna are used to demonstrate the accuracy which can be obtained with this surface distortion analysis. The limitations of the approach are also presented. ¬© 1989 IEEE</t>
  </si>
  <si>
    <t>452-458</t>
  </si>
  <si>
    <t>60003500;60003500;60000854</t>
  </si>
  <si>
    <t>8362621300;6603843146;7401639390</t>
  </si>
  <si>
    <t>Lee, Teh Hong;Rudduck, Roger C.;Bailey, Marion C.</t>
  </si>
  <si>
    <t>Columbus;Hampton</t>
  </si>
  <si>
    <t>The Ohio State University;NASA Langley Research Center</t>
  </si>
  <si>
    <t>60003500;60000854</t>
  </si>
  <si>
    <t>A Surface Distortion Analysis Applied to the Hoop/Column Deployable Mesh Reflector Antenna</t>
  </si>
  <si>
    <t>10.1109/8.24165</t>
  </si>
  <si>
    <t>2-s2.0-34250855013</t>
  </si>
  <si>
    <t>['preliminary design', 'mission parameters', 'conducted together', 'amsr system', 'amsr ),']</t>
  </si>
  <si>
    <t>An investigation on users' requirements for future passive microwave scanning radiometers, especially the Advanced Microwave Scanning Radiometer (AMSR), which is one of the Earth Observing System Instruments, has been conducted together with a preliminary design of the AMSR system. As a result, mission parameters for the AMSR have been determined while the feasibility of the electronically scanning type of the AMSR has been confirmed. In particular, it is found that a beam switching antenna system that was developed in this study makes possible multifrequency measurement, and multiple beam conical scanning, while preserving polarization purity. ¬© 1989 IEEE</t>
  </si>
  <si>
    <t>177-183</t>
  </si>
  <si>
    <t>;60022990;60022990</t>
  </si>
  <si>
    <t>36949290400;7403965268;56591002100</t>
  </si>
  <si>
    <t>Tachi, Kazuo;Arai, Kohei;Sato, Yuzi</t>
  </si>
  <si>
    <t>Chofu</t>
  </si>
  <si>
    <t>Japan Aerospace Exploration Agency</t>
  </si>
  <si>
    <t>Tachi K.</t>
  </si>
  <si>
    <t>Advanced Microwave Scanning Radiometer (AMSR): Requirements and Preliminary Design Study</t>
  </si>
  <si>
    <t>10.1109/36.20296</t>
  </si>
  <si>
    <t>2-s2.0-34250866701</t>
  </si>
  <si>
    <t>['wide k', 'thoroughly investigated', 'tfr group', 'small fraction', 'plt tokamak', 'plasma physics', 'large amount', 'icrf heating', 'experiments covered', 'deuterium plasma', 'antenna excited', '1985 ),', '15 cm', '12th eccfpp', '1 ).']</t>
  </si>
  <si>
    <t>The experiments on ICRF heating in the Tokamak 'TUMAN-3' were carried out with one all-metal antenna located on the low field side of the torus. The antenna excited the wide K/sub /// spectrum (0-0.15 cm-1). The scenarios of experiments covered both the cases with a small fraction of hydrogen in a deuterium plasma, like in the experiments at the PLT Tokamak (Hosea et al., Proc. 12th ECCFPP, Budapest, vol.2, p.120, 1985), and the cases with a large amount of hydrogen, which are thoroughly investigated in TFR (TFR Group, Plasma Physics and Controlled Fusion Research, Vienna, IAEA, vol.2, p.17 1983).</t>
  </si>
  <si>
    <t>Plasma Physics and Controlled Fusion</t>
  </si>
  <si>
    <t>60000297;60000297;60000297;60000297;60000297;60000297;60000297;60000297;60000297;60000297;60000297;60000297;60000297;60000297;60000297;60000297;60000297;60000297;60000297;60000297;;;</t>
  </si>
  <si>
    <t>6503911545;7202887449;6701449942;7004887252;57215703710;7004808904;6602343176;7103063247;6602709189;57202518830;6601989363;57197516890;57188795202;22994238300;55669867700;22993305100;6602358139;6504607355;6603415983;6508335413;6504486612;22993577200;6506821960</t>
  </si>
  <si>
    <t>Askinasi, L. G.;Afanas'ev, V. I.;Golant, V. E.;Goncharov, S. G.;Gryaznevich, M. P.;D'yachenko, V. V.;Izvozchikov, A. B.;Korotkov, A. A.;Krikunov, S. V.;Lebedev, S. V.;Lipin, B. M.;Pavlov, I. P.;Razdobarin, G. T.;Rozhdestvenskij, V. V.;Sakharov, N. V.;Khalilov, M. A.;Chernyshev, F. V.;Shakhovetz, K. G.;Shcherbinin, O. N.;Yaroshevich, S. P.;Kostzov, Y. A.;Litunovskij, R. N.;Teplov, P. P.</t>
  </si>
  <si>
    <t>Saint Petersburg (ex Leningrad)</t>
  </si>
  <si>
    <t>Ioffe Institute</t>
  </si>
  <si>
    <t>Askinasi L.G.</t>
  </si>
  <si>
    <t>Experiments on ICR heating in Tokamak 'TUMAN-3'</t>
  </si>
  <si>
    <t>10.1088/0741-3335/31/1/001</t>
  </si>
  <si>
    <t>2-s2.0-36149034091</t>
  </si>
  <si>
    <t>['¬© 1989', 'vitamin k3', 'vitamin k1', 'triton x', 'total chi', 'thylakoid membranes', 'thermophilic cyanobacterium', 'significant leakage', 'purified complexes', 'plant physiologists', 'partially reversed', 'p700 ratio', 'midpoint potential', 'low chlorophyll', 'k1 ).', 'jspp ).', 'japanese society', 'extremely slow', 'extracted membranes', 'ether treatment', 'enriched relative', 'continuous illumination', 'considerably lowered', 'completely removed', 'bound acceptors', 'appreciably accerelated', 'antenna pigments']</t>
  </si>
  <si>
    <t>Chlorophyll | P700 | Photosystem I | Reaction center | Thermophilic cyanobacterium (Synechococcus sp.) | Vitamin K1</t>
  </si>
  <si>
    <t>P700 was enriched relative to antenna pigments by treating the thylakoid membranes from thermophilic cyanobacterium (Synechococcus sp.) with diethylether. The total Chi a/P700 ratio of the membranes was 147 but decreased to 13 after the treatment with ether which had been 70% saturated with water. Vitamin K1 and carotenoids were completely removed by this treatment. The low chlorophyll a to P700 ratio was retained in photosystem I reaction-center complexes purified from the ether-extracted membranes with Triton X-100. The midpoint potential of P700 was considerably lowered by the ether treatment of the thylakoid membranes but was partially reversed by the further treatment of the extracted membranes with Triton X-100. Photo-oxidation of P700 in the purified complexes was extremely slow under continuous illumination, indicating that there is no significant leakage of electrons from the primary electron acceptor to other bound acceptors or O2. The photooxidation of P700 was appreciably accerelated on addition of vitamin K3 (or K1). ¬© 1989 The Japanese Society of Plant Physiologists (JSPP).</t>
  </si>
  <si>
    <t>175-182</t>
  </si>
  <si>
    <t>60027553;60025272</t>
  </si>
  <si>
    <t>55974981900;7202864511</t>
  </si>
  <si>
    <t>Ikegami, Isamu;Katoh, Sakae</t>
  </si>
  <si>
    <t>Teikyo University;The University of Tokyo</t>
  </si>
  <si>
    <t>Ikegami I.</t>
  </si>
  <si>
    <t>Preparation and characterization of P700-enriched photosystem-i complexes from the thermophilic cyanobacterium, synechococcus sp.</t>
  </si>
  <si>
    <t>10.1093/oxfordjournals.pcp.a077727</t>
  </si>
  <si>
    <t>2-s2.0-3643133435</t>
  </si>
  <si>
    <t>['rigid rotor', 'rf antenna', 'radial profiles', 'quantitatively verified', 'grad p', 'diamagnetic current', 'axisymmetric configuration']</t>
  </si>
  <si>
    <t>Stable, steady-state plasma equilibrium is generated in an axisymmetric configuration. The diamagnetic current is maintained by electromagnetic fields rotating in the electron diamagnetic sense. The stable, free-standing equilibrium exists for all values of beta up to 0.98, limited only by the available rf power. The plasma is centered on the axis well removed from the metal chamber walls, the limiters, and the rf antenna. The equilibrium pressure balance, JxB = grad p, is quantitatively verified. Radial profiles of pressure and magnetic field show that the equilibrium is that of a rigid rotor. ¬© 1989 American Institute of Physics.</t>
  </si>
  <si>
    <t>2054-2057</t>
  </si>
  <si>
    <t>60027550;60027550;60027550;60027550</t>
  </si>
  <si>
    <t>6701864003;6507161694;7005144237;16237673600</t>
  </si>
  <si>
    <t>Kuthi, A.;Zwi, H.;Schmitz, L.;Wong, A. Y.</t>
  </si>
  <si>
    <t>Kuthi A.</t>
  </si>
  <si>
    <t>Observation of a stable high-beta axisymmetric plasma equilibrium</t>
  </si>
  <si>
    <t>10.1063/1.859069</t>
  </si>
  <si>
    <t>2-s2.0-36549093957</t>
  </si>
  <si>
    <t>['spatial distribution', 'phases induced', 'microwave frequency', 'interaction region', 'fel using', 'electron laser', 'electromagnetic waves', 'amplifier operating']</t>
  </si>
  <si>
    <t>Measurements of the spatial distribution of the rf electric field intensities and phases induced in a free-electron laser (FEL) amplifier operating in the collective (Raman) regime are reported. The studies are carried out at a microwave frequency of ‚àº10 GHz in a FEL using a mildly relativistic electron beam of ‚àº160 keV energy and 1-4 A current. The probing of the ponderomotive (space-charge) and electromagnetic waves is accomplished by means of small movable electric dipole antennas inserted into the interaction region. ¬© 1989 American Institute of Physics.</t>
  </si>
  <si>
    <t>2066-2072</t>
  </si>
  <si>
    <t>60022195-60005465;60022195;60022195-60026340</t>
  </si>
  <si>
    <t>57198059181;7003394896;6603155432</t>
  </si>
  <si>
    <t>Xu, K.;Bekefi, G.;Leibovitch, C.</t>
  </si>
  <si>
    <t>Israel;United States;China</t>
  </si>
  <si>
    <t>Haifa;Cambridge;Chengdu</t>
  </si>
  <si>
    <t>RAFAEL Armament Development Authority Ltd.;Massachusetts Institute of Technology;University of Electronic Science and Technology of China</t>
  </si>
  <si>
    <t>60026340;60022195;60005465</t>
  </si>
  <si>
    <t>Xu K.</t>
  </si>
  <si>
    <t>Observations of field profile modifications in a Raman free-electron laser amplifier</t>
  </si>
  <si>
    <t>10.1063/1.859071</t>
  </si>
  <si>
    <t>2-s2.0-36549096088</t>
  </si>
  <si>
    <t>['reviewed first', 'results serve', 'pure plasma', 'plasma exterior', 'plasma edge', 'plasma center', 'part ii', 'numerical calculations', 'numerical antenna', 'minority species', 'kinetic effects', 'investigated numerically', 'imaginary parts', 'driven resonances', 'complex eigenfrequencies', 'companion paper', 'certain sae', 'central frequencies', '1989 )],']</t>
  </si>
  <si>
    <t>Kinetic effects of Alfv√©n wave spatial resonances near the plasma edge are investigated numerically and analytically in a linearized cylindrical tokamak model. In Part I, cold plasma surface Alfv√©n eigenmodes (SAE's) in a pure plasma are examined. Numerical calculations of antenna-driven waves exhibiting absorption resonances at certain discrete frequencies are reviewed first. From a simplified kinetic equation, an analytical dispersion relation is then obtained with the antenna current set equal to zero. The real and imaginary parts of its roots, which are the complex eigenfrequencies, agree with the central frequencies and widths, respectively, of the numerical antenna-driven resonances. These results serve as an introduction to the companion paper, Part II [Phys. Fluids B 1, 2364 (1989)], in which it is shown that, in the presence of a minority species, certain SAE's, instead of heating the plasma exterior, can dissipate substantial energy in the two-ion hybrid layer near the plasma center. ¬© 1989 American Institute of Physics.</t>
  </si>
  <si>
    <t>2353-2363</t>
  </si>
  <si>
    <t>60013372;60013372;60013372</t>
  </si>
  <si>
    <t>23022138000;7404449326;55532373700</t>
  </si>
  <si>
    <t>Li, Wann Quan;Ross, David W.;Mahajan, Swadesh M.</t>
  </si>
  <si>
    <t>Li W.</t>
  </si>
  <si>
    <t>Kinetic effects in Alfv√©n wave heating. Part I: Surface eigenmodes in a pure plasma</t>
  </si>
  <si>
    <t>10.1063/1.859055</t>
  </si>
  <si>
    <t>2-s2.0-36549099644</t>
  </si>
  <si>
    <t>['unstable modes', 'toroidal localization', 'temporal structure', 'spatially localized', 'radio frequency', 'quantitative estimates', 'ponderomotive stabilization', 'kink stabilization', 'kink modes', 'directly applicable', 'current profile', 'antenna system']</t>
  </si>
  <si>
    <t>The quenching of external kink modes by a spatially localized, externally applied surface force is studied in a low-beta cylindrical tokamak model. It is shown that m = 2 modes may be stabilized by the application of a radio frequency (rf) field in the ion cyclotron range of frequencies (ICRF) excited by either a toroidal or a poloidal antenna structure surrounding the plasma. Whereas linear mode coupling induced by toroidal localization is negligible, that caused by poloidal localization may degrade the stabilization and thus require increased power levels for stability. The model is directly applicable to the ponderomotive force exerted by an evanescent slow wave in the ion cyclotron range of frequencies. Quantitative estimates are made for ponderomotive stabilization of kink modes by means of ion-Bernstein-wave (IBW) antennas. This method of stabilization has the advantage that the antenna system does not have to match the spatial or temporal structure of the unstable modes. For typical IBW antenna systems, it is found that the required rf fields for kink stabilization are reasonable if the current profile is not too flat. ¬© 1989 American Institute of Physics.</t>
  </si>
  <si>
    <t>804-814</t>
  </si>
  <si>
    <t>60026358;60029419-60008734</t>
  </si>
  <si>
    <t>6506487011;7006790611</t>
  </si>
  <si>
    <t>D'Lppolito, D. A.;Goedbloed, J. P.</t>
  </si>
  <si>
    <t>Netherlands;United States;Netherlands</t>
  </si>
  <si>
    <t>Nieuwegein;Boulder;Amsterdam</t>
  </si>
  <si>
    <t>FOM Institute for Plasma Physics - Rijnhuizen;Lodestar Research Corporation;Vrije Universiteit Amsterdam</t>
  </si>
  <si>
    <t>60029419;60026358;60008734</t>
  </si>
  <si>
    <t>D'Lppolito D.A.</t>
  </si>
  <si>
    <t>Quenching of external kink modes by localized radio-frequency fields</t>
  </si>
  <si>
    <t>10.1063/1.859005</t>
  </si>
  <si>
    <t>2-s2.0-36549100437</t>
  </si>
  <si>
    <t>['epoxide hydrase', 'diol bis']</t>
  </si>
  <si>
    <t>Both enantiomers of the gypsy moth sex pheromone disparlure are converted to the (7R,8R)-threo diol by epoxide hydrase(s) located in the antennae of the male gypsy moth (Lymantria dispar), as determined by capillary gas chromatography of the diol bis(trifluoroacetate) enantiomers on a chiral stationary phase.</t>
  </si>
  <si>
    <t>575-577</t>
  </si>
  <si>
    <t>Journal of the Chemical Society, Chemical Communications</t>
  </si>
  <si>
    <t>60026415;60026415;60028229</t>
  </si>
  <si>
    <t>36043755100;7401977603;7202486710</t>
  </si>
  <si>
    <t>Prestwich, Glenn D.;Graham, Steven Mc G.;K√∂nig, Wilfried A.</t>
  </si>
  <si>
    <t>Germany;United States</t>
  </si>
  <si>
    <t>Hamburg;Stony Brook</t>
  </si>
  <si>
    <t>Universit√§t Hamburg;Stony Brook University</t>
  </si>
  <si>
    <t>60028229;60026415</t>
  </si>
  <si>
    <t>Enantioselective opening of (+)- and (-)- disparlure by epoxide hydrase in gypsy moth antennae</t>
  </si>
  <si>
    <t>C39890000575</t>
  </si>
  <si>
    <t>10.1039/C39890000575</t>
  </si>
  <si>
    <t>2-s2.0-37049069046</t>
  </si>
  <si>
    <t>['tetrametallic complex', 'takes place', 'peripheral ru', 'new hetero', 'energy absorbed', 'containing core', 'containing chromophores', 'central os', '1 ),']</t>
  </si>
  <si>
    <t>A new hetero-tetrametallic complex, Os[(Œº-2,3-dpp)Ru(bpy) &lt;inf&gt;2&lt;/inf&gt;]&lt;inf&gt;3&lt;/inf&gt;&lt;sup&gt;8+&lt;/sup&gt; (1), where 2,3-dpp = bis(2-pyridyl) pyrazine and bpy = 2,2‚Ä≤-bipyridine, has been prepared from the reaction of Os(2,3-dpp)&lt;inf&gt;3&lt;/inf&gt;&lt;sup&gt;2+&lt;/sup&gt; with Ru(bpy)&lt;inf&gt;2&lt;/inf&gt;Cl&lt;inf&gt;2&lt;/inf&gt;: luminescence of (1) takes place from the central Os-containing core, which collects the energy absorbed by the peripheral Ru-containing chromophores (antenna effect).</t>
  </si>
  <si>
    <t>1500-1501</t>
  </si>
  <si>
    <t>60011576;60028868-60020261;60020261;60020261;60026930;60026930-60028218</t>
  </si>
  <si>
    <t>7005385415;57208459253;36922855400;7004639059;57208460917;7005686105</t>
  </si>
  <si>
    <t>Campagna, Sebastiano;Denti, Gianfranco;Sabatino, Luigina;Serroni, Scolastica;Ciano, Mauro;Balzani, Vincenzo</t>
  </si>
  <si>
    <t>Italy;Italy;Italy;Italy;Italy</t>
  </si>
  <si>
    <t>Pisa;Bologna;Bologna;Rende;Messina</t>
  </si>
  <si>
    <t>Universit√† di Pisa;Alma Mater Studiorum Universit√† di Bologna;Istituto di Fotochimica e Radiazioni d'Alta Energia;Universit√† della Calabria;Universit√† degli Studi di Messina</t>
  </si>
  <si>
    <t>60028868;60028218;60026930;60020261;60011576</t>
  </si>
  <si>
    <t>Campagna S.</t>
  </si>
  <si>
    <t>A new hetero-tetrametallic complex of ruthenium and osmium: Absorption spectrum, luminescence properties, and electrochemical behaviour</t>
  </si>
  <si>
    <t>C39890001500</t>
  </si>
  <si>
    <t>10.1039/C39890001500</t>
  </si>
  <si>
    <t>2-s2.0-37049086303</t>
  </si>
  <si>
    <t>['¬© 1989', 'unbranched dendrite', 'tormogen cell', 'three auxiliary', 'smooth vesicles', 'single segments', 'sensillum consists', 'outer segment', 'neuron sends', 'inner segment', 'hair shaft', 'genealogical point', 'flagellar antenna', 'especially rich', 'dendritic membrane', 'cuticular hair', 'ciliary region', 'cells belong', 'adult sensillum', 'accumulate beneath', '000 pheromone']</t>
  </si>
  <si>
    <t>beading | dendrites | Manduca sexta | Olfactory sensilla</t>
  </si>
  <si>
    <t>The flagellar antenna of the male hawkmoth Manduca sexta carries about 42,000 pheromone-sensitive sensilla trichodea, which are arranged in 'baskets' on the single segments. Each sensillum consists of a cuticular hair up to 500 Œºm long and is innervated by two bipolar sensory neurons. Each neuron sends an unbranched dendrite into the hair shaft. The dendrite is subdivided by a short ciliary region into an inner and an outer segment. The inner segment is especially rich in smooth vesicles, which accumulate beneath the ciliary region where they seem to fuse with the dendritic membrane. The outer dendritic segment often shows conspicuous 'beads' along its length. Three auxiliary, or enveloping, cells belong to each adult sensillum. These are the thecogen, the trichogen, and the 'outer' cell. Most probably, the latter is not homologous with the 'traditional' tormogen cell from a genealogical point of view. ¬© 1989.</t>
  </si>
  <si>
    <t>139-151</t>
  </si>
  <si>
    <t>Keil, Thomas A.</t>
  </si>
  <si>
    <t>Keil T.</t>
  </si>
  <si>
    <t>Fine structure of the pheromone-sensitive sensilla on the antenna of the hawkmoth, Manduca sexta</t>
  </si>
  <si>
    <t>10.1016/0040-8166(89)90028-1</t>
  </si>
  <si>
    <t>2-s2.0-38249021692</t>
  </si>
  <si>
    <t>['wiley blackwell', 'varying amounts', 'subepithelial region', 'several foci', 'sessile habit', 'second antennae', 'second antenna', 'rights reserved', 'proliferated epithelia', 'occluded arteries', 'less altered', 'lamellodiscus major', 'hyperplastic epithelium', 'hamuli penetrating', 'extensive infiltration', 'dilated organelles', 'cyoplasmic vesicles']</t>
  </si>
  <si>
    <t>The monogenean Haliotrema spariensis was associated with several foci of hyperplastic epithelium and varying amounts of cellular infiltration resulting from attachment by hamuli penetrating the lamellar blood vessels and, presumably, from feeding. Lamellodiscus major was associated with fewer but larger foci containing more extensive infiltration, suggesting a more sessile habit. The copepod Dermoergasilus acanthopagri encircled the filament with its second antenna, occluded arteries and compressed the epithelium, resulting in hyperplasia, oedema and infiltration. Ergasilus lizae inserted its second antennae into the epithelium and subepithelial region and was associated with a localized proliferative response occasionally fusing adjacent filaments. The large copepod Lernanthropus atrox caused tissue disruption, hyperplasia, haemorrhage, oedema and infiltration. Hyperplastic epithelial cells had a rounded nucleus containing variable amounts of heterochromatin, dilated organelles, deposits of glycogen‚Äêlike particles, cyoplasmic vesicles and vacuoles. Oedematous epithelial cells were less altered. Degenerating chloride cells were present in both oedematous and proliferated epithelia. Copyright ¬© 1989, Wiley Blackwell. All rights reserved</t>
  </si>
  <si>
    <t>503-514</t>
  </si>
  <si>
    <t>Journal of Fish Biology</t>
  </si>
  <si>
    <t>Roubal, F. R.</t>
  </si>
  <si>
    <t>The University of Queensland</t>
  </si>
  <si>
    <t>Roubal F.</t>
  </si>
  <si>
    <t>Comparative pathology of some monogenean and copepod ectoparasites on the gills of Acanthopagrus australis (family Sparidae)</t>
  </si>
  <si>
    <t>10.1111/j.1095-8649.1989.tb03331.x</t>
  </si>
  <si>
    <t>2-s2.0-38249023356</t>
  </si>
  <si>
    <t>['wiley blackwell', 'two species', 'rights reserved', 'previous descriptions', 'male p5', 'genital fields', 'family chappuisiidae', 'electron microscopy', 'corrections refer', 'antennae 1', 'amcnded based']</t>
  </si>
  <si>
    <t>Previous descriptions of the two species of the family Chappuisiidae are amcnded based on a close re‚Äêexamination using light and electron microscopy. These additions and corrections refer in particular to the antennae 1 and 2. the mouthparts. the male P5 and the genital fields of the females. Copyright ¬© 1989, Wiley Blackwell. All rights reserved</t>
  </si>
  <si>
    <t>411-422</t>
  </si>
  <si>
    <t>Zoologica Scripta</t>
  </si>
  <si>
    <t>GLATZEL, THOMAS</t>
  </si>
  <si>
    <t>Oldenburg</t>
  </si>
  <si>
    <t>Universit√§t Oldenburg</t>
  </si>
  <si>
    <t>GLATZEL T.</t>
  </si>
  <si>
    <t>Comparative morphology of Chappuisius inopinus Kiefer and C. singeri Chappuis (Copepoda, Harpacticoida)</t>
  </si>
  <si>
    <t>10.1111/j.1463-6409.1989.tb00136.x</t>
  </si>
  <si>
    <t>2-s2.0-38249024224</t>
  </si>
  <si>
    <t>['wiley blackwell', 'two species', 'three genera', 'sensilla placodea', 'rights reserved', 'male antennae', 'low pegs', 'four species', 'distributional patterns', 'cerceris rybyensis', 'bembix rostrata', 'argogorytes mystaceus', 'antenna1 sensilla']</t>
  </si>
  <si>
    <t>Morphology and distributional patterns of antenna1 sensilla were compared between four species in three genera of Sphecidae. Sensilla placodea have plates that are raised to resemble low domes in Argogorytes mystaceus and A. fargei or low pegs in Bembix rostrata and Cerceris rybyensis. Sensilla basiconica occur in both sexes of Bembix and Cerceris, but, similarly to Apidae (s. laf.), only in females of Argogorytes. The antennae of the two species of Argogorytes differ primarily in being larger in A. mysfaceus, thus permitting space for more sensilla. In Bembix rostrata, the male antennae are adapted to function as ‚Äògripping‚Äô organs. Copyright ¬© 1989, Wiley Blackwell. All rights reserved</t>
  </si>
  <si>
    <t>527-535</t>
  </si>
  <si>
    <t>√ÖGREN, LENNART</t>
  </si>
  <si>
    <t>Uppsala</t>
  </si>
  <si>
    <t>Uppsala Universitet</t>
  </si>
  <si>
    <t>√ÖGREN L.</t>
  </si>
  <si>
    <t>Flagellar sensillum patterns in Nyssoninae and Philanthinae wasps (Hymenoptera, Sphecidae)</t>
  </si>
  <si>
    <t>10.1111/j.1463-6409.1989.tb00146.x</t>
  </si>
  <si>
    <t>2-s2.0-38249026737</t>
  </si>
  <si>
    <t>['paper considers', 'meteor trails', 'long ranges', 'designed around', 'copyright 1989', 'antenna patterns']</t>
  </si>
  <si>
    <t>This paper considers the effect of the polarization coupling loss phenomenon on the design of antennas for meteor scatter communication at short and long ranges. It will be demonstrated that this mechanism strongly influences the spatial arrival pattern of usable meteor trails, and antenna patterns need to be designed around this effect. Characteristics of antenna patterns which exploit the spatial arrival pattern of meteor trails at short and long ranges will be given. Copyright 1989 by the American Geophysical Union.</t>
  </si>
  <si>
    <t>549-557</t>
  </si>
  <si>
    <t>Weitzen, Jay A.</t>
  </si>
  <si>
    <t>Weitzen J.</t>
  </si>
  <si>
    <t>Effects of polarization coupling loss mechanism on design of meteor scatter antennas for short‚Äê and long‚Äêrange communication</t>
  </si>
  <si>
    <t>10.1029/RS024i004p00549</t>
  </si>
  <si>
    <t>2-s2.0-4043068209</t>
  </si>
  <si>
    <t>Australian Institute of Nuclear Science and Engineering</t>
  </si>
  <si>
    <t>AINSE</t>
  </si>
  <si>
    <t>['tortus tokamak', 'toroidal direction', 'plane perpendicular', 'frequencies close', 'faraday shield', 'experimental study', 'excitation efficiency', 'electron density', 'direct excitation', 'antenna incorporated', 'antenna designed']</t>
  </si>
  <si>
    <t>An experimental study of the direct excitation of the torsional Alfven wave in the scrape-off plasma by an antenna designed for Alfven wave heating experiments in the TORTUS Tokamak is described. The antenna incorporated a Faraday shield, and was printed in the plane perpendicular to the toroidal direction, in order to minimize such direct excitation. Wave magnetic field measurements nevertheless indicated strong direct torsional Alfven wave excitation by antenna elements perpendicular to the Tokamak magnetic field lines due to finite frequency effects. The torsional Alfven wave was measured to propagate essentially parallel to the magnetic field lines, except at frequencies close to the ion cyclotron frequency. The excitation efficiency was found to increase with frequency (up to the ion cyclotron frequency) and electron density. The relevance of these results to the Alfven wave heating scheme is discussed.</t>
  </si>
  <si>
    <t>21-34</t>
  </si>
  <si>
    <t>Murphy, A. B.</t>
  </si>
  <si>
    <t>Murphy A.</t>
  </si>
  <si>
    <t>Direct excitation of the torsional Alfven wave in a Tokamak scrape-off plasma by a Faraday shielded antenna</t>
  </si>
  <si>
    <t>10.1088/0741-3335/31/1/003</t>
  </si>
  <si>
    <t>2-s2.0-4243149339</t>
  </si>
  <si>
    <t>['¬© 1989', 'wave amplitude', 'rms gravitational', 'present performance', 'paper presents', 'noise temperature', 'inductive transducer', '75 mk', '4 k']</t>
  </si>
  <si>
    <t>This paper presents the results of a detailed numerical calculation of the performance of a resonant gravitational radiation detector which uses an inductive transducer and a superconducting quantum interference device amplifier. We demonstrate the correctness of the calculations by comparing them to the present performance of the Louisiana State University antenna. We show that a standard cryogenic resonant bar detector operating at 4 K is capable of a noise temperature of less than 0.75 mK, corresponding to an rms gravitational-wave amplitude of 1.9√ó10-19. ¬© 1989 The American Physical Society.</t>
  </si>
  <si>
    <t>1741-1747</t>
  </si>
  <si>
    <t>Physical Review D</t>
  </si>
  <si>
    <t>60007566;60007566;60007566;60007566;60007566</t>
  </si>
  <si>
    <t>7404588300;10640778500;7404847027;6507515577;7003898360</t>
  </si>
  <si>
    <t>Xu, Bu Xin;Hamilton, W. O.;Johnson, W. W.;Solomonson, N. D.;Aguiar, O. D.</t>
  </si>
  <si>
    <t>Baton Rouge</t>
  </si>
  <si>
    <t>Louisiana State University</t>
  </si>
  <si>
    <t>Xu B.X.</t>
  </si>
  <si>
    <t>Numerical analysis of the performance of a resonant gravity-wave detector</t>
  </si>
  <si>
    <t>10.1103/PhysRevD.40.1741</t>
  </si>
  <si>
    <t>2-s2.0-4243164499</t>
  </si>
  <si>
    <t>['¬© 1989', 'safety factor', 'results show', 'q close', 'local value', 'first measurements', 'factor profile']</t>
  </si>
  <si>
    <t>We report on the first measurements of the tokamak-safety-factor profile by means of Alfv√©n waves. The waves were launched by use of the TCA tokamak Alfv√©n-wave heating antennae. The associated density oscillation profiles provided the Alfv√©n-wave resonance layer positions which depend on the local value of the safety factor, q. Our results show a time-averaged q profile with a flat central region with q close to unity. ¬© 1989 The American Physical Society.</t>
  </si>
  <si>
    <t>60028186;60028186;60028186;60028186;60028186</t>
  </si>
  <si>
    <t>7003301022;22991143800;6701703963;22967785700;7201547237</t>
  </si>
  <si>
    <t>Weisen, H.;Borg, G.;Joye, B.;Knight, A. J.;Lister, J. B.</t>
  </si>
  <si>
    <t>Lausanne</t>
  </si>
  <si>
    <t>Swiss Federal Institute of Technology Lausanne</t>
  </si>
  <si>
    <t>Weisen H.</t>
  </si>
  <si>
    <t>Measurements of the Tokamak-Safety-Factor Profile by Means of Driven Resonant Alfv√©n Waves</t>
  </si>
  <si>
    <t>10.1103/PhysRevLett.62.434</t>
  </si>
  <si>
    <t>2-s2.0-4243306609</t>
  </si>
  <si>
    <t>['transfer rates', 'transfer rate', 'significant non', 'relative excitation', 'physiological effects', 'photosystem ii', 'linear function', 'initial photobleaching', 'grana preparation', 'energy transfer', 'diffusive forster', 'detectable decrease', 'decreasing chlorophyll', 'chlorophyll concentration', 'also concluded', '87 ).']</t>
  </si>
  <si>
    <t>Chlorophyll fluorescence | Chlorophyll photobleaching | Energy transfer | Photosynthesis | Photosystem II</t>
  </si>
  <si>
    <t>The influence of reducing the chlorophyll concentration by photobleaching on the relative excitation-energy-transfer rates to the artificial quinone trap dibromothymoquinone was examined in both a Photosystem II-grana preparation and the isolated lightharvesting chlorophyll a/b protein complex. Energy transfer as a function of decreasing chlorophyll was biphasic. Photobleaching of up to 30% of the total chlorophyll produced no detectable decrease in the energy-transfer rate. For photobleaching in excess of 30% the transfer rate decreased as a linear function which extrapolates to zero at 100% photobleaching, in agreement with a diffusive Forster-type transfer model in a bidimensional pigment matrix (Rubin, L.B., Braginskaya, O.V., Isakova, M.L. and Efremov, N.A. (1985) Photochem. Photobiol. 42, 77-87). The initial photobleaching-insensitive phase may therefore suggest that in the non-bleached antenna systems energy transfer could have a significant non-F√∂rster component. It is also concluded that the physiological effects of photobleaching on photosynthetic activity via a reduced energy transfer efficiency are not likely to be significant. ¬© 1989 Elsevier Science Publishers B.V. (Biomedical Division).</t>
  </si>
  <si>
    <t>60030318;60030318;60030318</t>
  </si>
  <si>
    <t>7201971898;7006530694;6701308180</t>
  </si>
  <si>
    <t>Jennings, Robert C.;Zucchelli, Giuseppe;Garlaschi, Flavio M.</t>
  </si>
  <si>
    <t>Milan</t>
  </si>
  <si>
    <t>Universit√† degli Studi di Milano</t>
  </si>
  <si>
    <t>Jennings R.</t>
  </si>
  <si>
    <t>The influence of reducing the chlorophyll concentration by photobleaching on energy transfer to artificial traps within Photosystem II antenna systems</t>
  </si>
  <si>
    <t>S0005-2728(89)80197-5</t>
  </si>
  <si>
    <t>10.1016/S0005-2728(89)80197-5</t>
  </si>
  <si>
    <t>2-s2.0-4243463569</t>
  </si>
  <si>
    <t>['¬© 1989', 'rights reserved', 'pseudequinum seguy', 'postgenal length', 'posterior circlet', 'mean number', 'larval instar', 'instar number', 'graphical studies', 'francis group', 'body length']</t>
  </si>
  <si>
    <t>Morphometric and graphical studies on selected sclerotized characters (head capsule width, postgenal length and body length) showed that there are seven larval instars in Simulium (Wilhelmia) pseudequinum Seguy. The length of the antenna was not useful for determining the instar number. The mean number of primary cephalic fan rays and mean number of rows of hooks of the posterior circlet were counted at each larval instar. ¬© 1989, Taylor &amp; Francis Group, LLC. All rights reserved.</t>
  </si>
  <si>
    <t>65-71</t>
  </si>
  <si>
    <t>Aquatic Insects</t>
  </si>
  <si>
    <t>60071172;60071172;60071172</t>
  </si>
  <si>
    <t>6603058549;57224871829;57065620700</t>
  </si>
  <si>
    <t>Mohsen, Zohair H.;Mehdi, Nawal S.;Dikran, B.</t>
  </si>
  <si>
    <t>Iraq</t>
  </si>
  <si>
    <t>Baghdad</t>
  </si>
  <si>
    <t>Scientific Research Council Baghdad</t>
  </si>
  <si>
    <t>Mohsen Z.H.</t>
  </si>
  <si>
    <t>The Larval Instars of Simulium (Wilhelmia)pseudequinum Seguy (Diptera: Simuliidae)</t>
  </si>
  <si>
    <t>10.1080/01650428909361349</t>
  </si>
  <si>
    <t>2-s2.0-4243906370</t>
  </si>
  <si>
    <t>['wide range', 'support top', 'spring 1987', 'software tool', 'performance monitoring', 'modeling algorithms', 'measurement geometries', 'instrument specification', 'hardware development', 'development phase', 'detailed design', 'design incorporates']</t>
  </si>
  <si>
    <t>The detailed design and development phase of the X-SAR space segment started in Spring 1987. The design incorporates a planar array antenna based on metallized carbon fiber reinforced plastic technology, a traveling wave tube amplifier, and a dual-channel receiver using surface acoustic wave devices. Several radar parameters are controllable from ground to achieve high performance over a wide range of measurement geometries. Definitions of image performance parameters and modeling algorithms have been developed in support of instrument specification and performance monitoring during hardware development. The algorithms have been implemented as a software tool to perform sensitivity analysis and generate interesting graphical results to support top-level instrument verification. ¬© 1989 IEEE</t>
  </si>
  <si>
    <t>170-176</t>
  </si>
  <si>
    <t>Miller, David</t>
  </si>
  <si>
    <t>Miller D.</t>
  </si>
  <si>
    <t>X-SAR Specification, Design and Performance Modeling</t>
  </si>
  <si>
    <t>10.1109/36.20295</t>
  </si>
  <si>
    <t>2-s2.0-44449111270</t>
  </si>
  <si>
    <t>['¬© 1989', 'welding trolleys', 'weigth compensation', 'water pipes', 'vessel transporter', 'vessel hands', 'used inside', 'used hands', 'tv systems', 'tv cameras', 'roll extension', 'robotics mode', 'repetitive operations', 'remote installation', 'remote control', 'pump replacement', 'numerous pieces', 'machine interface', 'lip joints', 'image processing', 'horizontal arm', 'high temperature', 'heating jackets', 'considerable number', 'computer aids', 'collision avoidance', 'bench tests', 'automatic tracking', 'achieving repeatability']</t>
  </si>
  <si>
    <t>The commissioning and testing of numerous pieces of equipment are now in progress at JET. Two microprocessor controlled force feedback MASCOT IV servomanipulators have shown comparable characteristics to those of the previous analogue types. Teach and repeat software permits precision welding and repetitive operations in a robotics mode. Other computer aids are planned to improve the man-machine interface: tool-weigth compensation, constraints along preferred lines or planes, automatic tracking of the TV cameras. The in-vessel transporter, provided with 5 vertical hinges, a pan-tilt-roll extension and special purpose end effectors, has been used under direct visual control to install 32 toroidal limiters and 8 radio frequency antennae. Tests of remote installation in teach and repeat were done, using the JET spare octant as a mock-up, achieving repeatability of better than 5mm. A considerable number of special remote handling tools were used inside the vessel hands-on to align, cut and weld diagnostics ports and water pipes. The cutting and welding trolleys were used hands-on, on a total of 250 m of lip joints. The ex-vessel transporter, a crane-mounted vertical telescope, 17 m high with a 10 m horizontal arm, is being manufactured. It will be equipped with manipulator and TV systems and controlled via joystick or keyboard or in teach and repeat. Image processing for collision avoidance is being studied. A low level transporter was used for turbo-pump replacement and is now being equipped with remote control. Mock-up work has started on the replacement of the Neutral Injector sources. Bench tests on flanges, heating jackets and connectors are being done to identify refinements needed. The in-vessel inspection system has been used at high temperature in vacuum. ¬© 1989.</t>
  </si>
  <si>
    <t>197-208</t>
  </si>
  <si>
    <t>Fusion Engineering and Design</t>
  </si>
  <si>
    <t>Raimondi, T.</t>
  </si>
  <si>
    <t>EFDA-JET</t>
  </si>
  <si>
    <t>Raimondi T.</t>
  </si>
  <si>
    <t>The jet experience with remote handling equipment and future prospects</t>
  </si>
  <si>
    <t>0920-3796(89)90018-5</t>
  </si>
  <si>
    <t>10.1016/0920-3796(89)90018-5</t>
  </si>
  <si>
    <t>2-s2.0-45149143540</t>
  </si>
  <si>
    <t>['¬© 1989', 'spin period', 'satellite spindynamics', 'satellite equipped', 'sampling measured', 'precise evaluation', 'performed mainly', 'paper discusses', 'oscillating data', 'offset antenna', 'newly developed', 'motor burn', 'good agreement', 'excellently improved', 'estimated state', 'error covariance', 'drift orbit', 'detailed algorithm', 'communications satellite', 'broadcasting satellite']</t>
  </si>
  <si>
    <t>This paper discusses the results of the state/orbit sequential estimation from the real doppler data of 0.1 s sampling measured for the short time boost phase of about 40 s by the solid apogee motor mounted on the Japanese geostationary satellite; broadcasting satellite, communications satellite and the geostationary meteorological satellite. The estimations were performed mainly by two stochastic Kalman filters. The first is the point mass model filter. The second is the attitude motion model filter, newly developed by the simplification of the detailed estimation algorithm, especially for the oscillating data with a spin period of the satellite equipped with an offset antenna. The detailed algorithm was generally constructed based upon the satellite spindynamics during apogee motor burn, considering the satellite mass property changes, C.G. off-set, and the motion of an offset antenna. The estimated state at motor burn out is in good agreement with the drift orbit and attitude independently determined by the ordinary Batch method. Particularly, the convergency of error covariance is excellently improved. This sort of analysis is important not only on the precise evaluation of the occurred apogee motor firing error, but also on the contribution to the real time estimation for the prompt maneuver decision just after solid motor firing, especially for the liquid apogee motor satellite. ¬© 1989.</t>
  </si>
  <si>
    <t>301-314</t>
  </si>
  <si>
    <t>60022990;105793126;105793126</t>
  </si>
  <si>
    <t>7401440961;6506950235;36905577800</t>
  </si>
  <si>
    <t>Ono, Shuji;Tomomura, Kiyoshi;Toyoda, Toshihiro</t>
  </si>
  <si>
    <t>Chofu;Tokyo</t>
  </si>
  <si>
    <t>Japan Aerospace Exploration Agency;Century Research Center Corp.</t>
  </si>
  <si>
    <t>60022990;105793126</t>
  </si>
  <si>
    <t>Ono S.</t>
  </si>
  <si>
    <t>State estimation for solid apogee motor burning of geostationary satellite</t>
  </si>
  <si>
    <t>0094-5765(89)90026-X</t>
  </si>
  <si>
    <t>10.1016/0094-5765(89)90026-X</t>
  </si>
  <si>
    <t>2-s2.0-45149144316</t>
  </si>
  <si>
    <t>['¬© 1989', 'trapped miners', 'total error', 'sensor positions', 'sensor position', 'sensor location', 'reference source', 'points must', 'magnetic dipoles', 'known position', 'height difference', 'field strength', 'although source', '5 %.']</t>
  </si>
  <si>
    <t>field direction measurement | Location technique | sensing antennae</t>
  </si>
  <si>
    <t>For the location of trapped miners by means of an ELF signal system, field direction measurements in at least four points of reception are required. The sensor position and orientation in these points must be known. To simplify the determination of sensor positions, an auxiliary-source antenna system with magnetic dipoles at a known position, with its axis in three horizontal orientations, is used as reference source. The co-ordinates of sensor position can then be calculated from field strength and field direction measurements at any sensor location for each of the three source orientations. Although source and sensor positions are pre-supposed to be in one horizontal plane, a height difference up to 40% of the distance can be detected and corrected, with a total error of less than 1.5%. ¬© 1989.</t>
  </si>
  <si>
    <t>13-18</t>
  </si>
  <si>
    <t>Measurement</t>
  </si>
  <si>
    <t>January 1989/March 1989</t>
  </si>
  <si>
    <t>Nessler, N. H.</t>
  </si>
  <si>
    <t>Innsbruck</t>
  </si>
  <si>
    <t>Universit√§t Innsbruck</t>
  </si>
  <si>
    <t>Nessler N.</t>
  </si>
  <si>
    <t>Location technique with self-locating sensing antennae</t>
  </si>
  <si>
    <t>10.1016/0263-2241(89)90022-5</t>
  </si>
  <si>
    <t>2-s2.0-45249126249</t>
  </si>
  <si>
    <t>['¬© 1989', 'wall loading', 'plug cell', 'heat lead', 'guard limiter', 'first wall', 'faraday shield', 'engineering issues', 'depends strongly', 'critical issues', 'charge exchange', 'central cell', 'alpha particles', '2 mw', '150 mw', '10 cm']</t>
  </si>
  <si>
    <t>An engineering feasibility study on the mirror-based fusion plasma neutron source as a fusion engineering test facility (FEF) has been carried out. The engineering issues and conditions to meet the requirement are presented. The radius and length of the plasma are about 10 cm and about 4 m, respectively. The wall loading of 14 MeV neutrons is about 1-2 MW/m2, and the required electric power is about 100-150 MW. The critical issues are as follows: (i) the heat lead to the first wall of the central cell and plug cell, which depends strongly on charge exchange neutrals. Methods to reduce the charge exchange in the plug cell are discussed. (ii) The blistering on the Faraday shield and the guard limiter of the ICRF antenna due to the bombardment of the alpha particles is the second critical issue. Some optimization has been considered. ¬© 1989.</t>
  </si>
  <si>
    <t>27-32</t>
  </si>
  <si>
    <t>60023172;60014256;60011001;60000264;60014256;100458651;100458651;60003381;60018735;60018735;60018735;60003381;60003381</t>
  </si>
  <si>
    <t>7801688711;7101935669;7402025783;24379338400;7501766313;57210083694;7004825239;24379624800;7202369376;57206020157;7004162604;57217918060;57207286151</t>
  </si>
  <si>
    <t>Kohzaki, Y.;Kawabe, T.;Yoshikawa, K.;Kumawzawa, R.;Sato, S.;Asami, N.;Matsuoka, F.;Morino, N.;Okano, K.;Shinohara, H.;Tachikawa, N.;Uede, Y.;Watanabe, T.</t>
  </si>
  <si>
    <t>Japan;Japan;Japan;Japan;Japan;Japan;Japan</t>
  </si>
  <si>
    <t>Tokyo;Tokyo;Tsukuba;Kyoto;Tokyo;Nagoya;Tokyo</t>
  </si>
  <si>
    <t>Institute for Future Technology Tokyo;Toshiba Corporation;University of Tsukuba;Kyoto University;Hitachi, Ltd.;Nagoya University;Mitsubishi Fusion Center</t>
  </si>
  <si>
    <t>60023172;60018735;60014256;60011001;60003381;60000264;100458651</t>
  </si>
  <si>
    <t>Kohzaki Y.</t>
  </si>
  <si>
    <t>Engineering aspects of the fusion engineering test facility based on mirror confinement (FEF)</t>
  </si>
  <si>
    <t>0920-3796(89)90028-8</t>
  </si>
  <si>
    <t>10.1016/0920-3796(89)90028-8</t>
  </si>
  <si>
    <t>2-s2.0-45249126340</t>
  </si>
  <si>
    <t>['œîœ ¶', '¬© 1989', 'velocity distribution', 'velocity characteristics', 'two spheres', 'table summarizes', 'shortly examined', 'several examples', 'plasma particles', 'planetary ionospheres', 'noise due', 'limitations due', 'large number', 'dusty plasma', 'dust grains', 'different conditions', 'characteristic time', 'also examined', '500 microvolts', '100 microns']</t>
  </si>
  <si>
    <t>The possibilities to use electric antennae made of two small spheres to study the velocity distribution of charged dust grains in space are shortly examined in this paper. The electric potential difference ŒîŒ¶ between the two spheres is determined by solving the Poisson's equation in a dusty plasma and several examples of "waveforms" (ŒîŒ¶ as a function of time t) are shown as illustration. Typical are for dust grains of radius of 100 microns, signals of the order of 500 microvolts are produced. The limitations due (i) to the anntenna (the discharge time must be smaller than the characteristic time of the signal) and (ii) to the plasma (noise due to a large number of plasma particles) are also examined. A table summarizes the results in different conditions. We come to the conclusion that with a system of antennae it is possible to detect (especially near comets and planetary ionospheres) dusts in view to determine their velocity characteristics. ¬© 1989.</t>
  </si>
  <si>
    <t>1291-1302</t>
  </si>
  <si>
    <t>60068580;60068580;60003674</t>
  </si>
  <si>
    <t>57189277011;7102365053;6603962056</t>
  </si>
  <si>
    <t>Lesceux, J. M.;Lemaire, J.;Meyer-Vernet, N.</t>
  </si>
  <si>
    <t>Belgium;France</t>
  </si>
  <si>
    <t>Brussels;Paris</t>
  </si>
  <si>
    <t>Royal Belgian Institute for Space Aeronomy;L'Observatoire de Paris</t>
  </si>
  <si>
    <t>60068580;60003674</t>
  </si>
  <si>
    <t>Lesceux J.M.</t>
  </si>
  <si>
    <t>Electric dipole antennae used as micrometeoroid detectors</t>
  </si>
  <si>
    <t>10.1016/0032-0633(89)90019-6</t>
  </si>
  <si>
    <t>2-s2.0-45249126705</t>
  </si>
  <si>
    <t>['¬© 1989', 'spurious radiation', 'slot antenna', 'shaped surface', 'research aimed', 'radiators known', 'problems associated', 'potential advantages', 'paper begins', 'narrow bandwidth', 'main disadvantages', 'made contributions', 'low profile', 'low cost', 'light weight', 'last decade', 'frequency response', 'elements form', 'copper loss', 'basic features', 'antennas offer']</t>
  </si>
  <si>
    <t>For high-speed moving vehicles, it is desirable for the antenna to be "low profile". One of the early low profile antennas is the slot antenna, the theory of which was developed by Professor Henry G. Booker in a classic paper published in 1946. During the last decade and a half, a relatively new class of radiators known as microstrip patch antennas has received much attention. In addition to being low profile and conformable to a shaped surface, these antennas offer the potential advantages of light weight, low cost, ruggedness, and compatibility with integrated circuit technology. The main disadvantages are narrow bandwidth and the problems associated with copper loss and spurious radiation when the elements form an array. This paper begins with a description of the basic features of microstrip patch antennas, followed by a presentation of some of the research aimed at improving the frequency response and gain, particularly those to which the author and his collaborators have made contributions. ¬© 1989.</t>
  </si>
  <si>
    <t>811-818</t>
  </si>
  <si>
    <t>September 1989/October 1989</t>
  </si>
  <si>
    <t>Kai-Fong, Lee</t>
  </si>
  <si>
    <t>Toledo</t>
  </si>
  <si>
    <t>The University of Toledo</t>
  </si>
  <si>
    <t>Kai-Fong L.</t>
  </si>
  <si>
    <t>Microstrip patch antennas-basic properties and some recent advances</t>
  </si>
  <si>
    <t>0021-9169(89)90038-X</t>
  </si>
  <si>
    <t>10.1016/0021-9169(89)90038-X</t>
  </si>
  <si>
    <t>2-s2.0-45249127494</t>
  </si>
  <si>
    <t>['¬© 1989', 'wet snow', 'water equivalent', 'various snow', 'useful tool', 'snow cover', 'recent advances', 'microwave response', 'global scale', 'current state', 'atmospheric parameters']</t>
  </si>
  <si>
    <t>Microwave radiometry provides a useful tool to monitor the properties of snow cover on a global scale. The current state of knowledge of microwave response to dry and wet snow is discussed, and the effects of various snow, soil, and atmospheric parameters to the observed antenna temperature are reviewed. Recent advances in retrieval of the water equivalent of snow cover are discussed. ¬© 1989.</t>
  </si>
  <si>
    <t>267-275</t>
  </si>
  <si>
    <t>Hallikainen, Martti T.</t>
  </si>
  <si>
    <t>Finland</t>
  </si>
  <si>
    <t>Espoo</t>
  </si>
  <si>
    <t>Aalto University</t>
  </si>
  <si>
    <t>Hallikainen M.</t>
  </si>
  <si>
    <t>Microwave radiometry of snow</t>
  </si>
  <si>
    <t>10.1016/0273-1177(89)90494-8</t>
  </si>
  <si>
    <t>2-s2.0-45249128046</t>
  </si>
  <si>
    <t>['¬© 1989', 'short pulses', 'short pulse', 'several hertz', 'seismic noise', 'resonant detectors', 'one month', 'gravitational waves', 'experiments going', 'expected sensitivity', 'date review', 'could cover', 'continuous sources', '1000 hertz']</t>
  </si>
  <si>
    <t>The search for gravitational waves with the resonant bar technique is illustrated. The sensitivity and bandwidth of the resonant detectors are discussed for short pulse and for continuous signal detection. In the range of 1000 hertz, for short pulses the expected sensitivity is hmin {reversed tilde equals} 5 √ó 10-21, for continuous sources with one month of integration time h‚àº10-26 with a bandwidth of several hertz. An up to date review of the experiments going on with resonant detectors and the latest experimental results are given. Spaceborne resonant antennas can be conceived that could cover the range of low frequencies (‚àº 1 Hz) where the seismic noise on Earth is too large to be shielded. ¬© 1989.</t>
  </si>
  <si>
    <t>81-96</t>
  </si>
  <si>
    <t>60032350-60021660</t>
  </si>
  <si>
    <t>Pizzella, G.</t>
  </si>
  <si>
    <t>Sapienza Universit√† di Roma;Istituto Nazionale di Fisica Nucleare - INFN</t>
  </si>
  <si>
    <t>60032350;60021660</t>
  </si>
  <si>
    <t>Pizzella G.</t>
  </si>
  <si>
    <t>Search of gravitational waves with resonant detectors</t>
  </si>
  <si>
    <t>0273-1177(89)90011-2</t>
  </si>
  <si>
    <t>10.1016/0273-1177(89)90011-2</t>
  </si>
  <si>
    <t>2-s2.0-45249128902</t>
  </si>
  <si>
    <t>Ministerie van Onderwijs, Cultuur en Wetenschap</t>
  </si>
  <si>
    <t>OCW</t>
  </si>
  <si>
    <t>['vacuum chamber', 'useful applications', 'tritium test', 'rf antenna', 'physics aspects', 'pellet injection', 'nuclear waste', 'near future', 'mirror plasma', 'mirror confinement', 'mhd mode', 'material tests', 'irradiation facility', 'irradiation area', 'integrated tests', 'hydraulic test', 'feasibility study', 'engineering issues', 'end region', 'design philosophy', 'data bases', 'critical issues', 'basic specifications', '2 mw', '1 m2']</t>
  </si>
  <si>
    <t>The results are presented from the feasibility study on a fusion engineering test facility based on mirror confinement (FEF) and are intended to clarify the critical issues both in the physics and engineering. The objectives of FEF are (i) to test many fusion engineering components associated with 14 MeV neutrons, such as material tests, tritium test, thermo-hydraulic test as well as the interactive and integrated tests, and (ii) to study the useful applications of fusion produced neutrons for other purposes, such as fission fuel production, radio isotope production and transmutation of nuclear waste. The design philosophy of the FEF is to build a compact and linear fusion plasma neutron source in an axisymmetric magnetic field configuration which could be built in near future. The characteristics of FEF are (i) usage of radio frequency power for heating and stabilization of the MHD mode of the plasma, (ii) usage of water for the shielding of the device, and (iii) usage of a direct energy conversion system for the end region of the mirror plasma. The basic specifications of FEF as the irradiation facility are: 14 MeV neutron wall leading of 1-2 MW/m2, and irradiation area of 1 m2. The major critical issues which are found through this work are: (i) the physics aspects, needs of the data bases for RF ponderomotive stabilization of the MHD mode and for pellet injection and (ii) the engineering issues, bombardment of high energy particles on the rf antenna and on the vacuum chamber and damage of the insulators. ¬© 1989 Elsevier Science Publishers B.V.</t>
  </si>
  <si>
    <t>387-393</t>
  </si>
  <si>
    <t>60001409;60014256;60023172;60015658;60011001;100458651;60018735;105379774;60003381</t>
  </si>
  <si>
    <t>7004332258;7101935669;7801688711;57203061181;7402025783;57210083694;57195012316;6603318474;24379624800</t>
  </si>
  <si>
    <t>Hirayama, S.;Kawabe, T.;Kohzaki, Y.;Sagawa, H.;Yoshikawa, K.;Asami, N.;Fukai, Y.;Miyasugi, T.;Morino, N.</t>
  </si>
  <si>
    <t>Japan;Japan;Japan;Japan;Japan;Japan;Japan;Japan;Japan</t>
  </si>
  <si>
    <t>Tokyo;Tokyo;Kashiwa;Tsukuba;Kyoto;Tokyo;Atsugi;Yokohama;Tokyo</t>
  </si>
  <si>
    <t>Institute for Future Technology Tokyo;Toshiba Corporation;Japan Atomic Energy Agency;University of Tsukuba;Kyoto University;Hitachi, Ltd.;Kanagawa Institute of Technology;Chiyoda Chemical Engineering and Construction Co., Ltd.;Mitsubishi Fusion Center</t>
  </si>
  <si>
    <t>60023172;60018735;60015658;60014256;60011001;60003381;60001409;105379774;100458651</t>
  </si>
  <si>
    <t>Hirayama S.</t>
  </si>
  <si>
    <t>Conceptual design of a fusion engineering test facility based on mirror confinement (FEF)</t>
  </si>
  <si>
    <t>S0920379689800626</t>
  </si>
  <si>
    <t>10.1016/S0920-3796(89)80062-6</t>
  </si>
  <si>
    <t>2-s2.0-45249130242</t>
  </si>
  <si>
    <t>DE-AC04-76DP00789</t>
  </si>
  <si>
    <t>['¬© 1989', 'wet conditions', 'using radar', 'rock formations', 'possible applications', 'paper summarizes', 'geological mapping', 'fractures away', 'field tests', 'bdr system', 'bdr ),']</t>
  </si>
  <si>
    <t>This paper summarizes the progress in the development of the Borehole Directional Radar (BDR), which is a high-powered, high-resolution pulsed system that will be used for mapping geological layers or fractures away from a wellbore. The key to the tool's potential is its ability to accurately measure distance and direction of a lithologie discontinuity underground. In this paper, the theory for using radar for geological mapping is shown, and the design and characteristics of the antenna are discussed. The results of field tests in rock formations under both dry and wet conditions are presented. Finally, possible applications of the BDR system are outlined. ¬© 1989.</t>
  </si>
  <si>
    <t>819-828</t>
  </si>
  <si>
    <t>Hsi-Tien, Chang</t>
  </si>
  <si>
    <t>Hsi-Tien C.</t>
  </si>
  <si>
    <t>Borehole directional radar system for geological mapping4</t>
  </si>
  <si>
    <t>10.1016/0021-9169(89)90039-1</t>
  </si>
  <si>
    <t>2-s2.0-45249131073</t>
  </si>
  <si>
    <t>['¬© 1989', 'transmitter signals', 'takes millions', 'star zone', 'restrictions imposed', 'purpose intelligence', 'physical laws', 'paper considers', 'omnidirectional beacon', 'light days', 'intelligent beings', 'habitable zone', 'extraterrestrial civilizations', 'external medium', 'energy product', 'energy output', 'energy exchange', 'energy consumption', 'energetic pollution', 'cosmic near', 'contemporary antennas']</t>
  </si>
  <si>
    <t>This paper considers the restrictions imposed by physical laws on the development of life and intelligence in the form of extraterrestrial civilizations. For this purpose intelligence is defined as the community of intelligent beings, joined by the exchange of mass, energy and information both between themselves and with the external medium. Due to the limitation of the velocity of exchange of information and, in particular, mass and energy exchange, the dimensions of the intelligence cannot exceed some light days, i.e. they are limited by the habitable zone about their star. It is shown that the energy consumption should not exceed the energy output of their star for the sake of preserving the cosmic near-star zone of life from energetic pollution. With the above restrictions of the energy product it takes millions of years to create an omnidirectional beacon-transmitter signals from which would be received by the contemporary antennas in all our Galaxy. It is realistic to create an omnidirectional beacon operating in the range of no more than 100-1000 light years. ¬© 1989.</t>
  </si>
  <si>
    <t>875-887</t>
  </si>
  <si>
    <t>Troitskij, V. S.</t>
  </si>
  <si>
    <t>Troitskij V.</t>
  </si>
  <si>
    <t>Development of extraterrestrial intelligence and physical laws</t>
  </si>
  <si>
    <t>0094-5765(89)90079-9</t>
  </si>
  <si>
    <t>10.1016/0094-5765(89)90079-9</t>
  </si>
  <si>
    <t>2-s2.0-45349109706</t>
  </si>
  <si>
    <t>['¬© 1989', 'successfully conducted', 'successful completion', 'simultaneous 2', 'radiometric sensitivity', 'radio frequency', 'ovlbi technique', 'orbiting observatory', 'much less', 'march 1988', 'initial results', 'demonstration using', 'demonstration established', '3 ghz', '1987 )]', '15 ghz']</t>
  </si>
  <si>
    <t>At the 37th IAF Congress [Levy et al., Acta Astronautica 15, 481 (1987)] we presented the initial results of a demonstration using a TDRSS spacecraft antenna as the orbiting observatory in a very long baseline array. This demonstration established the feasibility of the OVLBI technique. In the beginning of 1987, additional OVLBI observations were made at a radio frequency of 2.3 GHz. Of the 24 sources observed, 23 were detected. These data have been analyzed and the results are presented. After the successful completion of the 2.3 GHz observations, it was decided to attempt to use the 15 GHz capability of the TDRSS for a higher resolution demonstration. Simultaneous 2.3 and 15 GHz observations were successfully conducted in February and March 1988. The radiometric sensitivity of TDRSS at 15 GHz was very much less than at 2.3 GHz. Of the 23 sources observed, 11 were detected. ¬© 1989.</t>
  </si>
  <si>
    <t>597-602</t>
  </si>
  <si>
    <t>60009037;60009037;60009037;60009037;60009037;60009037;60009037;60009037;60009037;60009037;60009037;60022195;60022195;60015009;60015009;60015009;60016247;60008950;101778510;60006337;60015827;60015827;105281924;105281924;105281924;105281924;60029701;60029701;60029701;100385533;100385533;100385533;100385533;60024185;60024185</t>
  </si>
  <si>
    <t>16200992900;7003671406;7403062595;6701622208;7003366473;35564734000;6602247566;6507432345;7201370075;7201582818;57122167900;7202791054;55728551900;7005455500;6506472345;7402815984;7404253141;7003412348;6507976411;23079490000;56646767400;56482774200;23081029300;7402167894;57200773272;23030809700;6505530294;7202520376;7406273351;7101608969;23080630700;7102913956;6603748793;6507732014;24384233100</t>
  </si>
  <si>
    <t>Levy, G. S.;Linfield, R. P.;Edwards, C. D.;Di Nardo, S. J.;Ulvestad, J. S.;Jordan, J. F.;Skjerve, L.;Stavert, L. R.;Preston, R. A.;Christensen, C. S.;Renzetti, N. A.;Burke, B. F.;Barrett, J. W.;Whitney, A.;Cappallo, R. J.;Rogers, A. E.E.;Roberts, D. H.;Jauncey, D. L.;Ottenhoff, C. H.;Blaney, K. B.;Peters, W. L.;Reynolds, J.;Nishimura, T.;Takano, T.;Yamada, T.;Hayashi, T.;Hirabayshi, H.;Morimoto, M.;Inoue, M.;Shiomi, T.;Kunimori, H.;Kawaguchi, N.;Amagai, J.;Balister, M.;Pospieszalsi, M.</t>
  </si>
  <si>
    <t>Japan;United States;United States;United States;Australia;United States;United States;Australia;United States;Japan;United States;Japan</t>
  </si>
  <si>
    <t>Mitaka;Charlottesville;Cambridge;Waltham;Canberra;Westford;Pasadena;Canberra;Greenbelt;Tokyo;Las Cruces;Kashima</t>
  </si>
  <si>
    <t>National Institutes of Natural Sciences - National Astronomical Observatory of Japan;National Radio Astronomy Observatory;Massachusetts Institute of Technology;Brandeis University;Australian National University, Mount Stromlo Observatory;MIT Haystack Observatory;Jet Propulsion Laboratory;The Australian National University;NASA Goddard Space Flight Center;Institute for Space and Astronautical Science;TRW Space and Technology Group;Radio Research Laboratories</t>
  </si>
  <si>
    <t>60029701;60024185;60022195;60016247;60015827;60015009;60009037;60008950;60006337;105281924;101778510;100385533</t>
  </si>
  <si>
    <t>Levy G.S.</t>
  </si>
  <si>
    <t>Orbiting very long baseline interferometry (OVLBI) observations using the tracking and data relay satellite system (TDRSS) at 2.3 and 15 GHz</t>
  </si>
  <si>
    <t>009457658990129X</t>
  </si>
  <si>
    <t>10.1016/0094-5765(89)90129-X</t>
  </si>
  <si>
    <t>2-s2.0-45349109889</t>
  </si>
  <si>
    <t>['¬© 1989', 'two antennas', 'repeater configuration', 'reconfigurable antenna', 'receive functions', 'provide ku', 'prime contractor', 'november 1989', 'management approaches', 'key factor', 'industrial team', 'industrial partners', 'great simplification', 'fully operational', 'directly derived', 'communications transmit', 'central part', 'band communication', 'ariane iv']</t>
  </si>
  <si>
    <t>The state-of-the-art satellite EUTELSAT II, developed by Aerospatiale and its industrial partners, is designed to provide Ku-band communication and television distribution services with 16 active channels accessible simultaneously to all users over the whole of Europe. Reconfigurable antenna-feed networks permits zoom operation on all 16 channels offering enhanced EIRP over the central part of Europe for TV distribution purposes. The satellite is designed to be fully operational during eclipse and to be compatible with Ariane IV. High satellite reliability and availability are achieved by the use of 8 12 amplifier ring redundancy during and beyond the 7 year life. The payload design makes use of only two antennas for all communications transmit and receive functions. This resulted in a great simplification of the repeater configuration and provides operational flexibility. The platform is directly derived from the Aerospatiale-MBB Spacebus 100 family (Arabsat heritage). Aerospatiale Telecommunications Programme Office, located in Cannes (France) is the prime contractor of the industrial team, Aeritalia, ATES, CASA, Contraves, Crouzet, ERA, ETCA, MBB, MSS, SEP. First flight model delivery in November 1989 has been a key factor in shaping both technical and management approaches to the programme. ¬© 1989.</t>
  </si>
  <si>
    <t>717-728</t>
  </si>
  <si>
    <t>102070160;60019894;60121783</t>
  </si>
  <si>
    <t>24382284800;6701514912;24382758000</t>
  </si>
  <si>
    <t>Burgio, C.;Soula, J. L.;Dumesnil, J. J.</t>
  </si>
  <si>
    <t>France;France;France</t>
  </si>
  <si>
    <t>Paris;Toulouse;Suresnes</t>
  </si>
  <si>
    <t>Eutelsat Communications S.A.;Thales Alenia Space;Aerospatiale</t>
  </si>
  <si>
    <t>60121783;60019894;102070160</t>
  </si>
  <si>
    <t>Burgio C.</t>
  </si>
  <si>
    <t>The EUTELSAT II satellites: Europe's seeds in communication and TV distribution game</t>
  </si>
  <si>
    <t>10.1016/0094-5765(89)90139-2</t>
  </si>
  <si>
    <t>2-s2.0-45349110255</t>
  </si>
  <si>
    <t>['¬© 1989', 'work related', 'work linked', 'two axes', 'thematic aspects', 'technical explorations', 'space missions', 'seasat imagery', 'radar products', 'radar data', 'radar activities', 'quite mature', 'paper describes', 'new techniques', 'including prospects', 'hopefully provide', 'high flexibility', 'ground segment', 'good deal', 'early campaigns', 'complete rebuild', 'combined technical', 'cnes since', 'challenging design', 'became operational', 'april 1986', 'also conducted', 'airborne radar']</t>
  </si>
  <si>
    <t>This paper describes the two axes of the work being done at CNES about synthetic aperture radar (CSAR) and its processing, namely the work linked to VARAN S airborne radar and the work related to space radar missions, past or future, including prospects for new radar products, instruments and processing. The VARAN S radar, which became operational in April 1986, has been engaged in the various thematic studies where radar data are valuable: agriculture, glaciology, oceanography, forestry, geology, etc. This instrument has driven a good deal of the radar activities at CNES since it combined technical, operational and thematic aspects. This sensor has now undergone a complete rebuild to include lessons learned from early campaigns. The synthetic aperture softwares are thought to be quite mature now. Concerning the space missions, we first designed software to generate SIR B and SEASAT imagery and we prepared the ERS 1 satellite software. We also conducted some technical explorations of new techniques in order to better use radar specificity rather than trying optical imagery techniques to radar products. We are engaged in the very challenging design of the future SAR system, which will hopefully provide a very high flexibility with its electronically steerable antennae, attenuating the frontier between a completely programmable instrument and its processing and ground segment. ¬© 1989.</t>
  </si>
  <si>
    <t>851-853</t>
  </si>
  <si>
    <t>Massonnet, D.</t>
  </si>
  <si>
    <t>CNES Centre National d'Etudes Spatiales</t>
  </si>
  <si>
    <t>Massonnet D.</t>
  </si>
  <si>
    <t>Processing synthetic aperture radar at CNES</t>
  </si>
  <si>
    <t>10.1016/0094-5765(89)90023-4</t>
  </si>
  <si>
    <t>2-s2.0-45349110976</t>
  </si>
  <si>
    <t>SFB 143</t>
  </si>
  <si>
    <t>['¬© 1989', 'wavelength region', 'theoretical results', 'room temperature', 'ray structures', 'protein surrounding', 'mastigocladus laminosus', 'free enthalpy', 'energy transfer', 'different distributions', 'covalent interactions', 'arginine residues', 'a84 chromophore', '620 nm']</t>
  </si>
  <si>
    <t>C-phycocyanin | circular dichroism | Mastigocladus laminosus | quantum-mechanical model calculation. | UV-visible absorption | Œ±-subunit</t>
  </si>
  <si>
    <t>The influence of non-covalent interactions between the A84 chromophore and polar amino acid residues in the Œ±-subunit of C-phycocyanin from Mastigocladus laminosus was investigated using quantum-mechanical model calculations based on the high resolution X-ray structures of chromophore and protein. The theoretical results are discussed in comparison with steady state absorption and circular dichroism spectra. It is shown that these interactions with the protein surrounding are required to bring the longest wavelength transition of the pigment into a wavelength region where the energy transfer in the photosynthetic antenna may take place. The presence of different tautomeric forms of propionic acid side-chains and arginine residues, which are bound with different distributions of partial charges near the central methine bridge, is able to tune the transition in the visible wavelength region between 550 and 620 nm. Since the differences in free enthalpy for these arrangements of the side-chains are of the order of RT at room temperature, an inhomogeneous line broadening of the visible absorption band takes place, which results in a short wavelength shoulder in the absorption and circular dichroism spectra of the Œ±-subunit. ¬© 1989.</t>
  </si>
  <si>
    <t>603-614</t>
  </si>
  <si>
    <t>Journal of Photochemistry and Photobiology, B: Biology</t>
  </si>
  <si>
    <t>60019722;60019722</t>
  </si>
  <si>
    <t>6505849935;7401903425</t>
  </si>
  <si>
    <t>Scharnagl, Christina;Schneider, Siegfried</t>
  </si>
  <si>
    <t>Scharnagl C.</t>
  </si>
  <si>
    <t>UV-visible absorption and circular dichroism spectra of the subunits of C-phycocyanin I: Quantitative assessment of the effect of chromophore-protein interaction in the Œ±-subunit</t>
  </si>
  <si>
    <t>1011-1344(89)80083-1</t>
  </si>
  <si>
    <t>10.1016/1011-1344(89)80083-1</t>
  </si>
  <si>
    <t>2-s2.0-50849146251</t>
  </si>
  <si>
    <t>['¬© 1989', 'wild type', 'undissociated ps', 'two polypeptides', 'three mutants', 'three complexes', 'recently described', 'reaction center', 'previously described', 'polypeptide subunits', 'main light', 'lacking mutant', 'essential role', 'electrophoretic behaviors', 'cp ia', 'cp 0a', 'cp 0', 'core antenna', 'connecting antenna', 'complex corresponding', 'appeared obvious', 'another chl', '50 000']</t>
  </si>
  <si>
    <t>Chlamydomonas reinhardtii | Chlorophyll-protein complex | electrophoresis | excitation energy transfer | fluorescence | mutant. | photosynthesis | photosystem I</t>
  </si>
  <si>
    <t>A study of the photosystem I (PS I)-related chlorophyll (Chl)-protein complexes of the unicellular green alga Chlamydomonas reinhardtii was performed, using the wild type and six photosynthesis mutants. Three complexes have been previously described in the literature: CP Ia, undissociated PS I complex; CP 0, Chl a + b peripheral antenna of PS I; CP I, Chl a complex corresponding to the PS I reaction center and its core antenna. Another Chl a complex, CP 0a, has been more recently described by us. The electrophoretic behaviors of these complexes and of their polypeptide subunits have been studied using different solubilization mixtures and lithium dodecylsulfate polyacrylamide gels. It was determined that the non-denatured complex CP 0a shows an apparent relative molecular mass (Mr in the 80 000 range and that two polypeptides of Mr = 50 000 and 38 000 resulted from its dissociation. Low temperature fluorescence emission spectra of cells of the wild type and of three mutants were measured both in oxidized and reduced plastoquinone pool conditions. It appeared obvious that, in a CP 0a-lacking mutant, the excitation energy transfer from the main light-harvesting antenna towards PS I was impaired and inefficient. This is interpreted as indicating that CP 0a plays the essential role of a connecting antenna between the peripheral antenna CP 0 and the core antenna (CP I) of PS I. ¬© 1989.</t>
  </si>
  <si>
    <t>97-109</t>
  </si>
  <si>
    <t>60008134;60008134;60008134</t>
  </si>
  <si>
    <t>6602420717;7201815134;16193893500</t>
  </si>
  <si>
    <t>Maroc, Jeannine;Garnier, Jacques;Guyon, Denise</t>
  </si>
  <si>
    <t>CNRS Centre National de la Recherche Scientifique</t>
  </si>
  <si>
    <t>Maroc J.</t>
  </si>
  <si>
    <t>Chlorophyll-protein complexes related to photosystem I in Chlamydomonas reinhardtii</t>
  </si>
  <si>
    <t>10.1016/1011-1344(89)80105-8</t>
  </si>
  <si>
    <t>2-s2.0-50849146398</t>
  </si>
  <si>
    <t>['¬© 1989', 'vn solution', 'sodium styrenesulfonate', 'singlet oxygen', 'proposed involving', 'product analysis', 'photosensitized oxidation', 'perylene solubilized', 'aqueous solution', 'aqueous psss']</t>
  </si>
  <si>
    <t>The photosensitized oxidation of perylene solubilized in an aqueous solution of poly(sodium styrenesulfonate-co-2-vinylnaphthalene) (PSSS-VN) was studied. The process was shown to occur in the hydrophobic polymeric microdomains where perylene is solubilized. Two major secondary oxidation products, 3,10-perylenequinone and 1,12-perylenequinone, were identified. On the basis of the product analysis, a mechanism for the photosensitized oxidation of perylene in aqueous PSSS-VN solution is proposed involving the participation of singlet oxygen. ¬© 1989.</t>
  </si>
  <si>
    <t>147-156</t>
  </si>
  <si>
    <t>Journal of Photochemistry and Photobiology, A: Chemistry</t>
  </si>
  <si>
    <t>60016849;60016849;60016849</t>
  </si>
  <si>
    <t>15121540400;7004369519;7102379256</t>
  </si>
  <si>
    <t>White, B.;Nowakowska, M.;Guillet, J. E.</t>
  </si>
  <si>
    <t>White B.</t>
  </si>
  <si>
    <t>Studies of the antenna effect in polymer molecules: Photosensitized oxidation of perylene in an aqueous solution of poly(sodium styrenesulfonate-co-2-vinylnaphthalene)</t>
  </si>
  <si>
    <t>1010-6030(89)80028-0</t>
  </si>
  <si>
    <t>10.1016/1010-6030(89)80028-0</t>
  </si>
  <si>
    <t>2-s2.0-50849147302</t>
  </si>
  <si>
    <t>['wavelength fluorescence', 'temperature fluorescence', 'studied low', 'spectral line', 'room temperature', 'rights reserved', 'reaction centres', 'quantitative spectra', 'quantitative evaluation', 'protection guard', 'pericentral pigments', 'isolated photosystem', 'intact leaves', 'functional aspects', 'fluorescence spectra', 'fluorescence induction', 'excitation effects', 'biomedical division', '25 %.']</t>
  </si>
  <si>
    <t>Chlorophyll fluorescence | Photosystem I</t>
  </si>
  <si>
    <t>A method was established for quantitative evaluation of fluorescence spectra of intact leaves without expensive sample preparation. Fluorescence induction and excitation effects were used to evaluate the contribution of Photosystem I to the long-wavelength fluorescence of intact leaves at room temperature which appeared to be about 25%. To characterize its spectral line-shape we studied low-temperature fluorescence. The connection of thesethree methods made it possible to determine the quantitative spectra of both photosystems in intact leaves. Investigations of fluorescence decay kinetics on isolated Photosystem I subchloroplast particles provided information about functional aspects of the long-wavelength pericentral antenna pigments. It appeared that these pericentral pigments are not essential for transferring excitation energy toward photochemically active reaction centres. Only if the reaction centres were closed the pericentral antenna would act as a protection guard against photodestruction. ¬© 1989 Elsevier Science Publishers B.V. (Biomedical Division) All rights reserved.</t>
  </si>
  <si>
    <t>198-204</t>
  </si>
  <si>
    <t>60000762;60007457;60007457;60000762</t>
  </si>
  <si>
    <t>57197210615;6602390407;57207907397;25951089100</t>
  </si>
  <si>
    <t>Stahl, Uwe;Tusov, Vadim B.;Paschenko, Vladimir Z.;Voigta, Joachim</t>
  </si>
  <si>
    <t>Russian Federation;Germany</t>
  </si>
  <si>
    <t>Moscow;Berlin</t>
  </si>
  <si>
    <t>Lomonosov Moscow State University;Humboldt-Universit√§t zu Berlin</t>
  </si>
  <si>
    <t>60007457;60000762</t>
  </si>
  <si>
    <t>Stahl U.</t>
  </si>
  <si>
    <t>Spectroscopic investigations of fluorescence behaviour, role and function of the long-wavelength pigments of Photosystem I</t>
  </si>
  <si>
    <t>S0005272889804220</t>
  </si>
  <si>
    <t>10.1016/S0005-2728(89)80422-0</t>
  </si>
  <si>
    <t>2-s2.0-58149369689</t>
  </si>
  <si>
    <t>['¬© 1989', 'original theory', 'numerical calculations', 'experimental results', 'cylindrical geometry']</t>
  </si>
  <si>
    <t>Excitation of Alfv√©n waves in the TCA tokamak using an external antenna structure produces a radially inward propagating and strongly damped wave which is observable through its associated density oscillations. It is found to have the properties of the kinetic Alfv√©n wave predicted to be created by resonant mode conversion at shear Alfv√©n wave resonance layers. Our experimental results are compared with the original theory of Hasegawa and Chen and with numerical calculations in cylindrical geometry. ¬© 1989 The American Physical Society.</t>
  </si>
  <si>
    <t>2476-2479</t>
  </si>
  <si>
    <t>60028186;60028186;60028186;60028186;60028186;60028186;60028186</t>
  </si>
  <si>
    <t>7003301022;7003823426;22991143800;6701703963;22967785700;7201547237;7004037457</t>
  </si>
  <si>
    <t>Weisen, H.;Appert, K.;Borg, G. G.;Joye, B.;Knight, A. J.;Lister, J. B.;Vaclavik, J.</t>
  </si>
  <si>
    <t>Mode conversion to the kinetic Alfv√©n wave in low-frequency heating experiments in the TCA tokamak</t>
  </si>
  <si>
    <t>10.1103/PhysRevLett.63.2476</t>
  </si>
  <si>
    <t>2-s2.0-5844371527</t>
  </si>
  <si>
    <t>['well suited', 'numerical techniques', 'matching network', 'load impedance', 'analytical modeling']</t>
  </si>
  <si>
    <t>The real frequency method (RFM) is used to design a matching network for an electrically short loaded dipole. The RFM is demonstrated to be superior than other analytical and numerical techniques in the sense that it yields the maximum flat transducer power gain possible, and that is does not require any analytical modeling of the load impedance to be matched. For this reason, the RFM is found to be well suited for matching distributed systems such as antennas. ¬© 1989 IEEE</t>
  </si>
  <si>
    <t>506-509</t>
  </si>
  <si>
    <t>7006080963;55197051100</t>
  </si>
  <si>
    <t>Ramahi, Omar M.;Mittra, Raj</t>
  </si>
  <si>
    <t>Ramahi O.</t>
  </si>
  <si>
    <t>Design of a Matching Network for an HF Antenna Using the Real Frequency Method</t>
  </si>
  <si>
    <t>10.1109/8.24171</t>
  </si>
  <si>
    <t>2-s2.0-63549118674</t>
  </si>
  <si>
    <t>['reflector antenna', 'numerical applications', 'geometrical theory', 'frequency solution', 'form appropriate', 'curved surfaces', 'curved surface']</t>
  </si>
  <si>
    <t>The construction of a high-frequency solution in the geometrical theory of diffraction (GTD) format for the generation of edge-diffracted space rays and edge-excited surface waves by an electromagnetic wave normally incident on the edge of a curved impedance strip is discussed. The transformation coefficients necessary for the analysis of the diffraction on curved surfaces with equal or vanishing face impedances are tabulated in a form appropriate for numerical applications. The procedure for evaluating the diffracted field excited by the edge of a cylindrically curved strip, which can be associated with a reflector antenna or an aperture on a curved surface, is presented for both perfectly and nonperfectly conducting cases. ¬© 1989 IEEE</t>
  </si>
  <si>
    <t>592-600</t>
  </si>
  <si>
    <t>60032587;60022002;60019963</t>
  </si>
  <si>
    <t>6701788189;7006099581;6603609501</t>
  </si>
  <si>
    <t>Serbest, A. Hamit;B√ºy√ºkaksoy, Alinur;Uzg√∂ren, G√∂khan</t>
  </si>
  <si>
    <t>Turkey;Turkey;Turkey</t>
  </si>
  <si>
    <t>Adana;Istanbul;Istanbul</t>
  </si>
  <si>
    <t>√áukurova √úniversitesi;ƒ∞stanbul Teknik √úniversitesi;Yildiz Technical University</t>
  </si>
  <si>
    <t>Serbest A.</t>
  </si>
  <si>
    <t>Diffraction of High-Frequency Electromagnetic Waves by Curved Strips</t>
  </si>
  <si>
    <t>10.1109/8.24187</t>
  </si>
  <si>
    <t>2-s2.0-71049147735</t>
  </si>
  <si>
    <t>['severe coma', 'leads inevitably', 'give sharp', 'copyright 1989', 'analysis presented']</t>
  </si>
  <si>
    <t>Antennas which have been shaped for optimal aperture efficiency will not give sharp off‚Äêaxis images. This is true for even quite small fields of view. The shaping to match feed horn illumination is at fault here; it leads inevitably to severe coma and curvature of the field. The analysis presented here is based upon geometrical optical computations. Copyright 1989 by the American Geophysical Union.</t>
  </si>
  <si>
    <t>417-426</t>
  </si>
  <si>
    <t>Hudson, Jerome A.</t>
  </si>
  <si>
    <t>Hudson J.A.</t>
  </si>
  <si>
    <t>Off‚Äêaxis performance of shaped antennas at millimeter wavelengths</t>
  </si>
  <si>
    <t>10.1029/RS024i004p00417</t>
  </si>
  <si>
    <t>2-s2.0-77951158580</t>
  </si>
  <si>
    <t>['strip antennas', 'solved specifically', 'mutual coupling', 'integral equations', 'corresponding equations', 'copyright 1989']</t>
  </si>
  <si>
    <t>The integral equations for the current in isolated and coupled strip antennas are derived and related to the corresponding equations for the circular tubular antenna. The integral equations for the two‚Äêelement array and the N‚Äêelement circular array of strip antennas are formulated. The equations are solved specifically for the closely spaced two‚Äêstrip array and the properties of the two‚Äêstrip transmission line are obtained. It is noted that mutual coupling can be evaluated more accurately among strips than among tubular cylinders. Copyright 1989 by the American Geophysical Union.</t>
  </si>
  <si>
    <t>27-34</t>
  </si>
  <si>
    <t>35586046100;7404816148</t>
  </si>
  <si>
    <t>King, Ronold W.P.;Wu, Tai T.</t>
  </si>
  <si>
    <t>An analysis of coupled strip antennas and of the strip transmission line</t>
  </si>
  <si>
    <t>10.1029/RS024i001p00027</t>
  </si>
  <si>
    <t>2-s2.0-77956770828</t>
  </si>
  <si>
    <t>['¬© 1989', 'vitamin k', 'simply replaced', 'significantly decreased', 'severe photoinhibition', 'results indicate', 'reduction occurred', 'plant physiologists', 'photoreduction activity', 'photoreduction activities', 'photoinhibition conditions', 'photoinhibited chloroplasts', 'mv photo', 'much lower', 'maximal amplitude', 'less extent', 'l determined', 'jspp ).', 'japanese society', 'irradiation mixture', 'hplc analysis', 'gas phase', 'cryogenic temperatures', 'control chloroplasts', 'continuous illumination', 'centers determined', 'anaerobic atmosphere', 'although photobleaching']</t>
  </si>
  <si>
    <t>Photoinhibition | Photosynthetic electron transport | Photosystem I | Spinach chloroplast | Vitamin K-l</t>
  </si>
  <si>
    <t>Under anaerobic atmosphere where the gas phase was simply replaced by N2, photo-inhibition of PS I of isolated spinach chloroplasts was insignificant. However, when dithionite was included in the irradiation mixture, severe photoinhibition of the NADP+ and the MV photo-reduction occurred. Neither P700 determined by continuous illumination-induced difference spectroscopy, Fe-S centers determined by EPR under cryogenic temperatures, nor vitamin K-l determined by HPLC analysis were significantly decreased under these photoinhibition conditions. Although photobleaching of antenna chlorophylls occurred to more or less extent, NADP+ photoreduction activities were markedly depressed even under saturating actinic light. The maximal amplitude of the flash induced absorbance changes of P700 in ms range decreased almost in parallel with the loss of NADP+ photoreduction activity. These results indicate that although the Fe-S centers of the photoinhibited chloroplasts were reducible by continuous illumination, to almost the same extents as that of the control chloroplasts, the efficiency of reduction by each flash was much lower than that of the control chloroplasts. The site of photoinhibition in PS I under extremely reducing conditions is between A0 and Fe-S X. ¬© 1989 The Japanese Society of Plant Physiologists (JSPP).</t>
  </si>
  <si>
    <t>60023462;60023462;60023462;60005038;60028263;60023462</t>
  </si>
  <si>
    <t>7601537770;35427745400;7006930918;57200274634;7202715708;7402869863</t>
  </si>
  <si>
    <t>Inoue, Kazuhito;Fujii, Tsutomu;Yokoyama, Eiichi;Matsuura, Katsumi;Hiyama, Tetsuo;Sakurai, Hidehiro</t>
  </si>
  <si>
    <t>Saitama;Tokyo;Hachioji</t>
  </si>
  <si>
    <t>Saitama University;Waseda University;Tokyo Metropolitan University</t>
  </si>
  <si>
    <t>60028263;60023462;60005038</t>
  </si>
  <si>
    <t>Inoue K.</t>
  </si>
  <si>
    <t>The photoinhibition site of photosystem I in isolated chloroplasts under extremely reducing conditions</t>
  </si>
  <si>
    <t>10.1093/oxfordjournals.pcp.a077718</t>
  </si>
  <si>
    <t>2-s2.0-77957179566</t>
  </si>
  <si>
    <t>['well suited', 'theoretical analysis', 'solution employs', 'several arrays', 'reciprocity analysis', 'previous solution', 'infinite arrays', 'infinite array', 'fed patches', 'experimental data', 'combines features', 'array configurations']</t>
  </si>
  <si>
    <t>An analysis of an infinite array of aperture coupled microstrip patch antennas is described; this type of element is well suited to integrated phased array applications, offering several advantages over other array configurations. The solution employs the spectral domain moment method approach, and combines features of a previous solution for infinite arrays of probe-fed patches and a reciprocity analysis of a single aperture coupled microstrip element. The theoretical analysis is described and data are presented for the active input impedance of several arrays. Experimental data from a waveguide simulator confirm the theory. ¬© 1989 IEEE</t>
  </si>
  <si>
    <t>418-425</t>
  </si>
  <si>
    <t>Pozar, David M.</t>
  </si>
  <si>
    <t>Pozar D.M.</t>
  </si>
  <si>
    <t>Analysis of an Infinite Phased Array of Aperture Coupled Microstrip Patches</t>
  </si>
  <si>
    <t>10.1109/8.24161</t>
  </si>
  <si>
    <t>2-s2.0-79952672879</t>
  </si>
  <si>
    <t>['varying diameters', 'tip termination', 'several designs', 'seated tumors', 'recent paper', 'radiation characteristics', 'numerical results', 'numerical model', 'multisection antennas', 'microwave hyperthermia', 'interstitial antennas', 'interesting changes', 'increased utilization', 'heating patterns', 'guiding along', 'gained popularity', 'experimental comparison', 'excellent correlation', 'current distribution', 'conducting sections', 'commercially available', 'commercial designs', 'center conductor', 'calculated patterns', 'bsd medical', 'briefly describe', 'also investigated', '1 ).', '1 ),']</t>
  </si>
  <si>
    <t>The use of interstitial antennas for microwave hyperthermia has gained popularity because of the increased utilization of invasive treatment techniques using radioactive seeds. This method of directly applying therapeutic heating has the advantage of causing minimal damage to the surrounding healthy tissue and it helps achieve heating of deep-seated tumors. Several designs of interstitial antennas are commercially available and there is a need to evaluate and compare their performance. In a recent paper (1), an experimental comparison was made between three different antennas: the Dartmouth, the BSD Medical, and the Cheung. Many of the commercially available antenna designs are multisections, while available analy tical techniques are only valid for uniformly insulated antennas. We have developed a numerical model which calculates the current distribution and radiation characteristics of multisection antennas having varying diameters of the center conductor and/or the types and thicknesses of the insulation. In this paper we briefly describe the model and compare the numerical results with the experimental data published by Ryan and Strohbehn (1). Excellent correlation between the experimental and calculated patterns was obtained. The numerical model was then used to examine some interesting changes in the commercial designs, such as the effect of the tip termination of the antenna and the diameters of the conducting sections (collars) on the heating patterns of the BSD Medical antenna. Important observations regarding the role of each section, in multisection antenna designs, in guiding along the antenna versus coupling to the ambient were also investigated and verified. ¬© 1989 IEEE</t>
  </si>
  <si>
    <t>1126-1133</t>
  </si>
  <si>
    <t>6506217456;34769915200</t>
  </si>
  <si>
    <t>Tumeh, Amer M.;Iskander, Magdy F.</t>
  </si>
  <si>
    <t>Tumeh A.M.</t>
  </si>
  <si>
    <t>Performance Comparison of Available Interstitial Antennas for Microwave Hyperthermia</t>
  </si>
  <si>
    <t>10.1109/22.24558</t>
  </si>
  <si>
    <t>2-s2.0-80055016092</t>
  </si>
  <si>
    <t>['typical segments', 'microstrip antennas', 'large arrays', 'frequency range', 'feed lines', 'experimental results', 'electrical currents', '35 ghz', '1024 elements']</t>
  </si>
  <si>
    <t>The radiation and losses in microstrip antennas with a corporate feed network are studied. First, we apply a surface current approach in which the electrical currents in the feed lines are modeled as in ideal transmission lines. The free space radiation and the surface wave excitation of typical segments in printed feed networks are studied. A four-element array antenna with its printed feed network is analyzed and predicted radiation patterns, directivity, and gain are presented and compared with experimental results. The gain and directivity of large arrays of 16, 64, 256 and 1024 elements are calculated and measurements in the frequency range of 10 to 35 GHz are reported. ¬© 1989 IEEE</t>
  </si>
  <si>
    <t>426-434</t>
  </si>
  <si>
    <t>60072442;60017563;60017563;60017563</t>
  </si>
  <si>
    <t>7202294701;57193327673;23032510000;7004481850</t>
  </si>
  <si>
    <t>Levine, Ely;Malamud, Gabi;Shtrikman, Shmuel;Treves, David</t>
  </si>
  <si>
    <t>A Study of Microstrip Array Antennas with the Feed Network</t>
  </si>
  <si>
    <t>10.1109/8.24162</t>
  </si>
  <si>
    <t>2-s2.0-84857972611</t>
  </si>
  <si>
    <t>['south carolina', 'seismic refraction', 'river morphology', 'repeatedly uplifted', 'magnetic surveys', 'landsat photographs', 'extensive research', 'earthquake seismology', 'causal structure', 'analysis revealed']</t>
  </si>
  <si>
    <t>In spite of extensive research, the causal structure of the 1886 magnitude 7 earthquake near Charleston, South Carolina, has not been identified. In this study I analyzed digital surface topography and river morphology in light of earlier studies using seismic reflection, seismic refraction, earthquake seismology, and gravity and magnetic surveys. This analysis revealed an area approximately 400 km 2 northwest of Charleston that may have been repeatedly uplifted by earthquakes. Geologic and seismic reflection data confirm alteration of formations at depth. Deformation of the surface is supported by observations on aerial and LANDSAT photographs. Therefore, the structure on which the 1886 earthquake occurred may be within the uplifted area defined in this report. -Author</t>
  </si>
  <si>
    <t>311-315</t>
  </si>
  <si>
    <t>Geology</t>
  </si>
  <si>
    <t>Rhea, S.</t>
  </si>
  <si>
    <t>Reston</t>
  </si>
  <si>
    <t>United States Geological Survey</t>
  </si>
  <si>
    <t>Rhea S.</t>
  </si>
  <si>
    <t>Evidence of uplift near Charleston, South Carolina</t>
  </si>
  <si>
    <t>10.1130/0091-7613(1989)017&lt;0311:EOUNCS&gt;2.3.CO;2</t>
  </si>
  <si>
    <t>2-s2.0-84879890259</t>
  </si>
  <si>
    <t>['studied numerically', 'small size', 'side wall', 'satisfactory agreement', 'reflector aperture', 'reflector antenna', 'radiation characteristics', 'moment methods', 'microstrip feed', 'measurement data', 'matrix equation', 'integral equations', 'ground plane', 'computed results', 'boundary conditions', 'backlobe levels', 'backlobe level', 'analytic method', 'also considered', '4 choke']</t>
  </si>
  <si>
    <t>The radiation characteristics of a circular microstrin antenna are studied numerically. Surface integral equations are used to formulate the problem from the boundary conditions and moment methods are used to reduce the integral equations to a matrix equation. An analytic method is used to design a microstrip feed and to achieve symmetric radiation patterns with low cross polarization and backlobe levels. The backlobe level is reduced by adding a Œª/4 choke to the side wall or the ground plane of the antenna and the bandwidth is improved by stacking two layers. The performance of the feed with the reflector antenna is also considered. One of the feeds was fabricated and tested. Satisfactory agreement between the computed results and the measurement data was obtained. The microstrip feed has a very small size which should reduce its blockage of the reflector aperture. ¬© 1989 IEEE</t>
  </si>
  <si>
    <t>445-451</t>
  </si>
  <si>
    <t>7004922524;8092251400</t>
  </si>
  <si>
    <t>Kishk, Ahmed A.;Shafai, Lotfollah</t>
  </si>
  <si>
    <t>Optimization of Microstrip Feed Geometry for Prime Focus Reflector Antennas</t>
  </si>
  <si>
    <t>10.1109/8.24164</t>
  </si>
  <si>
    <t>2-s2.0-84896358852</t>
  </si>
  <si>
    <t>['¬© 1989', 'two photosystems', 'saturated rates', 'saturated photosynthesis', 'rights reserved', 'lower light', 'induced inhibition', 'effect ),', 'cell growth', 'arises due']</t>
  </si>
  <si>
    <t>Cell-growth | Chlamydomonas reinhardtii | Photoinhibition | Photosynthesis | Salinity-stress</t>
  </si>
  <si>
    <t>Chlamydomonas reinhardtii cultured under salinity conditions displays lower rates of cell growth and correspondingly lower rates of light-saturated photosynthesis. Salinity does not exert adverse effects on the stoichiometry and chlorophyll antenna size of the two photosystems. However, salinity-stress enhances substantially the susceptibility of cells to photoinhibition. This arises due to the lower light-saturated rates of photosynthesis under salinity-stress (direct-effect), and due to a salinity-induced inhibition of the recovery (repair) of cells from the photodamage (indirect effect). ¬© 1989, Gustav Fischer Verlag, Stuttgart. All rights reserved.</t>
  </si>
  <si>
    <t>619-622</t>
  </si>
  <si>
    <t>35450144200;57203081985</t>
  </si>
  <si>
    <t>Neale, Patrick J.;Melis, Anastasios</t>
  </si>
  <si>
    <t>Neale P.</t>
  </si>
  <si>
    <t>Salinity-stress Enhances Photoinhibition of Photosynthesis in Chlamydomonas reinhardtii</t>
  </si>
  <si>
    <t>S0176161789801580</t>
  </si>
  <si>
    <t>10.1016/S0176-1617(89)80158-0</t>
  </si>
  <si>
    <t>2-s2.0-84914603936</t>
  </si>
  <si>
    <t>['variable height', 'results obtained', 'numerical results', 'input impedance', 'image theory', 'coaxial feed', 'analysis presented']</t>
  </si>
  <si>
    <t>Image theory is used to determine the input impedance of a coaxial feed in a short-circuited, semiinfinite rectangular waveguide. The analysis presented here is applicable to hollow antenna probes of variable height and lends itself well to accurate numerical evaluation. The numerical results are compared to results obtained from other methods and show the efficacy of using image theory to determine the waveguide input impedance. ¬© 1989 IEEE</t>
  </si>
  <si>
    <t>1144-1146</t>
  </si>
  <si>
    <t>60007801;60007801</t>
  </si>
  <si>
    <t>7006424308;7006776374</t>
  </si>
  <si>
    <t>Rollins, John M.;Jarem, John M.</t>
  </si>
  <si>
    <t>El Paso</t>
  </si>
  <si>
    <t>The University of Texas at El Paso</t>
  </si>
  <si>
    <t>Rollins J.M.</t>
  </si>
  <si>
    <t>The Input Impedance of a Hollow-Probe-Fed, Semiinfinite Rectangular Waveguide</t>
  </si>
  <si>
    <t>10.1109/22.24563</t>
  </si>
  <si>
    <t>2-s2.0-84920689415</t>
  </si>
  <si>
    <t>['¬© asce', 'station mark', 'field procedures', 'equipment improvements', 'detect blunders', 'also presented']</t>
  </si>
  <si>
    <t>The significance of accurate antenna position determinations is presented. Various error sources that affect the precision of the position of the antenna phase center relative to the station mark are also presented. Field procedures and equipment improvements that help reduce errors and detect blunders are included. ¬© ASCE.</t>
  </si>
  <si>
    <t>297-303</t>
  </si>
  <si>
    <t>GPS antenna set-up procedures and error sources</t>
  </si>
  <si>
    <t>10.1061/(ASCE)0733-9453(1989)115:3(297)</t>
  </si>
  <si>
    <t>2-s2.0-84930058012</t>
  </si>
  <si>
    <t>['¬© 1989', 'specular energy', 'rights reserved', 'receiving antennas', 'polarization status', 'opposite sense', 'incident directions', 'experimentally studied', 'circular polarization', 'absorber covering']</t>
  </si>
  <si>
    <t>Radar cross section (RCS) reduction by absorber covering is experimentally studied by employing microwave diversity imaging. Experimental results show that broad band absorber covering is not effective at reducing the co-polarized (the transmitting and receiving antennas have opposite sense of circular polarization) RCS of a plate when the incident wave approximates the edge-on direction but is effective at reducing the cross- polarized (both the transmitting and receiving antennas have the same sense of circular polarization) RCS for all incident directions. The surface current absorber covering is effective at reducing the non-specular energy and multiple bounces regardless of the polarization status of the measurement. ¬© 1989, VSP. All rights reserved.</t>
  </si>
  <si>
    <t>219-235</t>
  </si>
  <si>
    <t>Journal of Electromagnetic Waves and Applications</t>
  </si>
  <si>
    <t>Li, H. J.;Farhat, N. H.;Shen, Y.</t>
  </si>
  <si>
    <t>Radar Cross Section Reduction By Absorber Covering</t>
  </si>
  <si>
    <t>10.1163/156939389X00467</t>
  </si>
  <si>
    <t>2-s2.0-84935542289</t>
  </si>
  <si>
    <t>['¬© 1989', 'wavelength choke', 'waveguide antenna', 'rights reserved', 'resonator dimensions', 'reflector antennas', 'radiation patterns', 'polarization levels', 'low cross', 'latter antenna', 'good agreement', 'dielectric resonator', 'dielectric constant', 'coaxial probe', 'backlobe levels', 'also discussed']</t>
  </si>
  <si>
    <t>The radiation patterns of cylindrical dielectric resonator antennas excited by a coaxial probe are computed numerically using the method of moments. The numerical data obtained is found to be in good agreement with available experimental results. The effect of the ground plane size, dielectric constant, and resonator dimensions on the radiation patterns are investigated. The use of the dielectric resonator as a probe to excite a short circular cylindrical waveguide antenna is also discussed. The radiation patterns of the short-waveguide antenna are found to be symmetrical with low cross-polarization and backlobe levels. Further improvement is obtained by surrounding the waveguide by a quarter-wavelength choke where very low cross-polarization levels are achieved (less than -30 dB). The characteristics of the latter antenna as a primary focus feed for reflector antennas are investigated as well. ¬© 1989, IEEE. All rights reserved.</t>
  </si>
  <si>
    <t>60010491;60010491;60010491</t>
  </si>
  <si>
    <t>7004922524;6701487674;7202790771</t>
  </si>
  <si>
    <t>Kishk, Ahmed A.;Auda, Hesham A.;Ahn, Bierng C.</t>
  </si>
  <si>
    <t>Radiation Characteristics of Cylindrical Dielectric Resonator Antennas with New Applications</t>
  </si>
  <si>
    <t>10.1109/MAP.1989.6095674</t>
  </si>
  <si>
    <t>2-s2.0-84939320724</t>
  </si>
  <si>
    <t>Schrank, Hal</t>
  </si>
  <si>
    <t>Pittsburgh</t>
  </si>
  <si>
    <t>Westinghouse Electric Company</t>
  </si>
  <si>
    <t>Schrank H.</t>
  </si>
  <si>
    <t>Antenna Designer‚Äôs Notebook</t>
  </si>
  <si>
    <t>10.1109/MAP.1989.6095676</t>
  </si>
  <si>
    <t>2-s2.0-84939331796</t>
  </si>
  <si>
    <t>;60007843</t>
  </si>
  <si>
    <t>57189501138;6602160961</t>
  </si>
  <si>
    <t>Schrank, Hal;Aurand, John F.</t>
  </si>
  <si>
    <t>Antenna Designer's Notebook</t>
  </si>
  <si>
    <t>10.1109/MAP.1989.6102024</t>
  </si>
  <si>
    <t>2-s2.0-84939365323</t>
  </si>
  <si>
    <t>['¬© 1989', 'without detracting', 'wire screen', 'widely used', 'wideband characteristics', 'wave element', 'vierergruppe antenne', 'used widely', 'type iii', 'type ii', 'trap short', 'top end', 'thin one', 'theoretically calculated', 'theoretical calculations', 'theoretical analysis', 'theoretical analyses', 'supported full', 'support mast', 'strict solution', 'static approximation', 'rights reserved', 'reflector plate', 'reflecting plate', 'rear reflector', 'radiation pattern', 'quarter wavelength', 'operating wavelength', 'moment method', 'measured values', 'matching condition', 'made using', 'made entirely', 'loop antenna', 'located one', 'infinite reflector', 'iff receiving', 'horizontal polarization', 'ghost phenomena', 'fully clarified', 'four types', 'four half', 'found theoretically', 'flat end', 'finite reflector', 'fed full', 'favorable characteristics', 'face currents', 'excellent characteristics', 'emf method', 'dipole antennas', 'determine whether', 'conductor theory', 'comparative study', 'comparative studies', 'circuit position', 'century since', 'central part', 'center points', 'calculations according', 'broadside array', 'batwing radiator', 'band characteristics', 'band characteristic', 'archterergruppe antenne', 'antenna made', 'antenna elements', 'antenna behavior', 'analyzed theoretically', 'actual measurements', '6 loops', '2l antennas']</t>
  </si>
  <si>
    <t>All of the characteristics of the batwing radiator, which is the heart of the superturnstile antenna system, are theoretically calculated by using the moment method. The matching condition is obtained on the basis of the characteristics, for the cases of changing the connection of the jumper(s) and of changing the distance between the support mast and the antenna elements. In this paper, a comparative study of the results of theoretical analyses and actual measurements is conducted to determine whether or not the construction of the batwing antenna could be simplified by eliminating the element at its central part, without detracting from its favorable characteristics. The original type derived from this antenna, and the modified batwing antennas, types I, II, and III, are examined. The modified batwing antenna, type I, is used as a horizontally polarized wave antenna with the circularly polarized wave antennas developed by RCA in the U.S. as a countermeasure for the ghost phenomena, while type II is used as an antenna having wide-band characteristics for IFF receiving. Type III is a combination of types I and II. The characteristics of these four types of antennas are analyzed theoretically by the use of the moment method, and the results are compared through the use of measurements. Next, regarding the mutual radiation impedance when arranged as a broadside array, a theoretical analysis is made using the moment method, and the results are compared with measured values. As a result, in the case where this antenna is positioned at a distance exceeding one full wavelength, the value is of the order of a few ohms, and it is found that the mutual radiation coupling effect is small. A center-fed full-wave dipole antenna, located one-quarter wavelength above a reflecting plate, has a very low potential relative to the plate, at the center of each half-wave element. When metal support bars are attached between these center points and the reflector plate, to support the antenna, the structure is called a "metal-supported full-wave dipole antenna". An antenna made up of two such full-wave dipole antennas has four half-wavelength antenna elements, and has been named "Vierergruppe Antenne". This antenna and the "Archterergruppe Antenne" were invented in Germany. Vierergruppe Antenne (sometimes called two-dipole antennas) can be rugged, because they are made entirely of metal and do not require insulator supports. They also have excellent electrical characteristics over a very wide frequency range, and are widely used by TV and FM broadcasting stations around the world. Since the full-wave dipole antenna element is composed of a conductor having a diameter as large as 1/20 of the operating wavelength, it is unsuitable to use conventional thin-conductor theory to analyze the antenna behavior. In particular, the current at the end of the thick, solid antenna element will be zero, as in the case of the thin one. Flat end-face currents are determined by using a quasi-static approximation and the moment method of analysis. The excellent characteristics of this antenna have accordingly been found theoretically and fully clarified in the quarter-century since its invention. The twin-loop antenna, proposed by Dr. Endo, is used widely as a UHF-band television transmitting antenna in Japan. This antenna has a wide-band characteristic for horizontal polarization, and antennas with 2, 4, or 6 loops are used. A theoretical analysis was executed by Endo et al. for a sinusoidal current distribution, according to the EMF method, but no strict solution was obtained. For this paper, theoretical calculations and experiments are executed with regard to the change in the radiation pattern with a change in the trap short-circuit position at the top end, and with regard to the change in the impedance with a change in the antenna conductor diameter for 2L antennas, by use of the moment method. Consideration is given to wideband characteristics. Calculations according to the moment method are made for the case of an infinite reflector and for the case of a finite reflector, i.e. the rear reflector of a 2L twin loop antenna consisting of a wire screen-type above each other, and the results of comparative studies are given. ¬© 1989, IEEE. All rights reserved.</t>
  </si>
  <si>
    <t>60002784;60002784</t>
  </si>
  <si>
    <t>7103403544;7202484181</t>
  </si>
  <si>
    <t>Sato, Gentei;Kawakami, Haruo</t>
  </si>
  <si>
    <t>Sophia University</t>
  </si>
  <si>
    <t>Sato G.</t>
  </si>
  <si>
    <t>Research on Transmitting Antennas</t>
  </si>
  <si>
    <t>10.1109/MAP.1989.6102048</t>
  </si>
  <si>
    <t>2-s2.0-84939366823</t>
  </si>
  <si>
    <t>33-34</t>
  </si>
  <si>
    <t>60020818;60007843</t>
  </si>
  <si>
    <t>Schrank, Hal;Aurand, John</t>
  </si>
  <si>
    <t>Pittsburgh;Albuquerque</t>
  </si>
  <si>
    <t>Westinghouse Electric Company;Sandia National Laboratories, New Mexico</t>
  </si>
  <si>
    <t>Antenna Designer"s Notebook</t>
  </si>
  <si>
    <t>10.1109/MAP.1989.6102051</t>
  </si>
  <si>
    <t>2-s2.0-84939370934</t>
  </si>
  <si>
    <t>20-22</t>
  </si>
  <si>
    <t>10.1109/MAP.1989.6102036</t>
  </si>
  <si>
    <t>2-s2.0-84939376359</t>
  </si>
  <si>
    <t>['¬© 1989', 'surface representing', 'rights reserved', 'readily apparent', 'dimensional shape', 'dimensional graph', 'antenna pattern']</t>
  </si>
  <si>
    <t>A set of subroutines is developed in this work which can be used to generate a three-dimensional graph of an antenna pattern. The graph is a projection of the surface representing the pattern. The three-dimensional shape of the pattern is readily apparent from this type of graph. The set of subroutines provides several options and features which can be used to enhance the graph. The set of subroutines is available from the author. ¬© 1989, IEEE. All rights reserved.</t>
  </si>
  <si>
    <t>Scott, Waymond R.</t>
  </si>
  <si>
    <t>Scott W.</t>
  </si>
  <si>
    <t>A general program for plotting three-dimensional antenna patterns</t>
  </si>
  <si>
    <t>10.1109/MAP.1989.6102034</t>
  </si>
  <si>
    <t>2-s2.0-84939385496</t>
  </si>
  <si>
    <t>Huang, John</t>
  </si>
  <si>
    <t>Further comments on the definition of antenna gain</t>
  </si>
  <si>
    <t>10.1109/MAP.1989.6102043</t>
  </si>
  <si>
    <t>2-s2.0-84939387057</t>
  </si>
  <si>
    <t>The Definition of Gain for Active Antenna Systems and for Planar Arrays: Comments and Requests for Input</t>
  </si>
  <si>
    <t>2-s2.0-84939699672</t>
  </si>
  <si>
    <t>['widely used', 'well known', 'vertical polarization', 'vertex ).', 'symmetric reflectors', 'reflector surface', 'reflector configuration', 'reflector center', 'radiated fields', 'predominantly magnetic', 'predominantly electric', 'polarized radiation', 'polarized electric', 'polarized currents', 'parabolic reflector', 'offset configurations', 'mixture ratio', 'mid way', 'magnetic sources', 'magnetic moments', 'illustrations based', 'horizontal polarization', 'feed source', 'current distribution', 'computer simulation', 'comprehensive analyses']</t>
  </si>
  <si>
    <t>Analyses are presented for the current distribution and its effects on the radiated fields from any portion of the parabolic reflector, using a generalized feed source. The feed is formed of co-polarized electric and magnetic sources, with a given directivity towards the reflector surface. The mixture ratio between the electric and magnetic sources is examined with a view to minimize the cross-polarized radiation. This ratio is dependent on the reflector configuration. While it is well known that cross-polarized currents vanish when the electric and magnetic moments of the feed are equal in symmetric reflectors, no comprehensive analyses are available for offset configurations. Therefore, in this work generalized rigorous analyses are given to specially accommodate offset reflectors, which are widely used in modern telecommunication systems. Cross-polarized currents of offset reflectors could only be minimized. Feed pointing would be lower than the reflector center (mid way between this center and the vertex). Also, the feed source should be predominantly electric for vertical polarization and predominantly magnetic for horizontal polarization. Illustrations based on computer simulation are presented to give quantitative perspective for these results.</t>
  </si>
  <si>
    <t>147-159</t>
  </si>
  <si>
    <t>Journal of King Saud University - Engineering Sciences</t>
  </si>
  <si>
    <t>Afifi, Mostafa S.</t>
  </si>
  <si>
    <t>Riyadh</t>
  </si>
  <si>
    <t>King Saud University</t>
  </si>
  <si>
    <t>Afifi M.S.</t>
  </si>
  <si>
    <t>Cross-Polarized Current Analysis and Control for Parabolic Reflector Antennas</t>
  </si>
  <si>
    <t>S1018363918308663</t>
  </si>
  <si>
    <t>10.1016/S1018-3639(18)30866-3</t>
  </si>
  <si>
    <t>2-s2.0-84941490260</t>
  </si>
  <si>
    <t>['theoretical expressions', 'separation constant', 'satellite communications', 'radiation characteristics', 'increased gain', 'horn makes', 'feed system', 'experimental results', 'experimental investigations', 'characteristic equation', 'attractive feed', 'aperture source', 'antenna consists', 'also derived']</t>
  </si>
  <si>
    <t>Analytical and experimental investigations into the radiation characteristics of a high gain antenna feed system with a variable beamwidth facility are reported. The antenna consists of a homogeneous dielectric sphere placed in front of, but displaced from, the aperture of a dielectric coated conical horn. First the analysis of the fields in the dielectric coated conical horn is presented briefly using spherical hybrid modes, and the characteristic equation for the separation constant is derived. The condition for the support of balanced hybrid modes that contribute to low cross polarization is also derived. Then the theoretical expressions for the radiated far field components of the feed system are derived by treating the homogenous dielectric sphere as a scatterer of electromagnetic waves based on scattering theory approach, and also by treating the displaced dielectric sphere as a microwave lens illuminated by an aperture source. There is good overall agreement between the theoretical and experimental results. It is concluded that the test feed system has improved radiation characteristics with increased gain and directivity at reduced sidelobe levels. The low cross polarization nature of this horn makes it an attractive feed for satellite communications and radio astronomy applications. ¬© 1989 VSP.</t>
  </si>
  <si>
    <t>555-571</t>
  </si>
  <si>
    <t>Nair, R. A.</t>
  </si>
  <si>
    <t>Mankato</t>
  </si>
  <si>
    <t>Minnesota State University Mankato</t>
  </si>
  <si>
    <t>Nair R.</t>
  </si>
  <si>
    <t>Dielectric sphere diffracted fields of a dielectric coated conical horn</t>
  </si>
  <si>
    <t>10.1163/156939389X00214</t>
  </si>
  <si>
    <t>2-s2.0-84941498286</t>
  </si>
  <si>
    <t>['œ ©.', 'reference port', 'pxyields criteria', 'possibly nonreciprocal', 'mode analysis', 'minimum scattering', 'lower bound', 'loads may', 'load parameter', 'load may', 'general loads', 'general expression', 'frequency yields', 'expression analogous', 'determining whether', 'cross power', 'coupled reciprocally', 'cms antenna', 'arbitrary size', 'antenna could']</t>
  </si>
  <si>
    <t>A mode analysis, independent of detailed field expressions, is made of the total power Px(œâ) scattered from an electrically linear body of arbitrary size and shape, excited by a single-frequency incident field and loaded at a reference port. This load may be linear, nonlinear and passive, or nonlinear and active at a given frequency œâ. px(œâ) is the sum of a ‚Äúscatter‚Äù mode power, proportional to the scatter mode radiation resistance, ‚Äútransmitter‚Äù mode power, proportional to the port radiation resistance, and their cross power. The form of this expression for Pxyields criteria for determining whether an antenna could be a minimum scattering (MS) antenna of Dicke, an MS antenna defined by Kahn and Kurss, or a CMS antenna of Kahn and Wasylkiwskyj. The general expression for Px(œâ) yields a load-independent lower bound. An expression analogous to Px(œâ) for the bistatic power px(œâ) scattered into a specified solid angle Œ© involves the mode radiation resistances and cross-power coefficient defined over Œ©. A lower bound to px(œâ) is obtained, independent of the load parameter. Its integral over frequency yields the broad-band lower bound. This lower bound analysis can easily be generalized to the N-port, linear, possibly nonreciprocal, antenna with general loads at the ports. These loads may be nonlinear and coupled reciprocally or nonreciprocally. ¬© 1989 IEEE</t>
  </si>
  <si>
    <t>555-563</t>
  </si>
  <si>
    <t>Bevensee, Robert M.</t>
  </si>
  <si>
    <t>Bevensee R.M.</t>
  </si>
  <si>
    <t>A Lower Bound to the Broad-Band Power Scattered from an Electrically Linear Antenna with a General Lumped Load</t>
  </si>
  <si>
    <t>10.1109/8.24183</t>
  </si>
  <si>
    <t>2-s2.0-84941498891</t>
  </si>
  <si>
    <t>['truncated edge', 'transverse electromagnetic', 'suitable approximation', 'slab beyond', 'reflection coefficient', 'plate waveguide', 'obliquely incident', 'loaded parallel', 'first order', 'electrically thin', 'correct value', 'circuit elements', 'canonical problem', 'calculated using', 'aperture fields']</t>
  </si>
  <si>
    <t>The reflection coefficient of a transverse electromagnetic (TEM) wave, obliquely incident on the truncated upper edge of a slab-loaded parallel-plate waveguide is calculated using the knowledge of both the tangential electric field and normal magnetic field on the top of the slab beyond the truncated edge. A suitable approximation of these aperture fields is obtained from the corresponding static fields, resulting in the correct value of the reflection coefficient to first order when the substrate is electrically thin. This development can be considered as a canonical problem on which several promising techniques in the analysis of microstrip patch antennas as circuit elements are based. ¬© 1989 IEEE</t>
  </si>
  <si>
    <t>413-417</t>
  </si>
  <si>
    <t>60000221;60000221;60000221</t>
  </si>
  <si>
    <t>7003453121;35588296300;7403319959</t>
  </si>
  <si>
    <t>Martinson, Thomas M.;Kuester, Edward F.;Chang, David C.</t>
  </si>
  <si>
    <t>Martinson T.M.</t>
  </si>
  <si>
    <t>The Edge Admittance of a Wide Microstrip Patch as Seen by an Obliquely Incident Wave</t>
  </si>
  <si>
    <t>10.1109/8.24160</t>
  </si>
  <si>
    <t>2-s2.0-84941506629</t>
  </si>
  <si>
    <t>['surface impedance', 'slot antennas', 'pseudoaperture location', 'original problem', 'model radiation', 'copyright 1989', 'best represent']</t>
  </si>
  <si>
    <t>It is shown that the impedance boundary condition may be used to model radiation by uniformly coated antennas. Radiation by slot antennas on uniformly coated conducting bodies is studied. It is shown how to choose a surface impedance, a pseudoaperture location, and the impressed pseudoaperture fields to best represent the original problem. Copyright 1989 by the American Geophysical Union.</t>
  </si>
  <si>
    <t>427-432</t>
  </si>
  <si>
    <t>6603683809;16485714400</t>
  </si>
  <si>
    <t>Huddleston, P. L.;Wang, D. ‚ÄêS</t>
  </si>
  <si>
    <t>Huddleston P.</t>
  </si>
  <si>
    <t>An impedance boundary condition approach to radiation by uniformly coated antennas</t>
  </si>
  <si>
    <t>10.1029/RS024i004p00427</t>
  </si>
  <si>
    <t>2-s2.0-84945099947</t>
  </si>
  <si>
    <t>['¬© 1989', 'wedge geometry', 'virtual fields', 'virtual field', 'typical examples', 'rights reserved', 'physical devices', 'physical actualization', 'individual virtual', 'focused antennas', 'field components', 'diffraction rays', 'different superpositions', 'continuous waves', 'antennas focused']</t>
  </si>
  <si>
    <t>Theoretically, a wave field may be represented by different superpositions of both discrete and continuous waves. This leads to the problem of physical actualization (separation, detection) of individual virtual-field components. The present work analyzes some procedures for virtual field actualization: using the results of angular spectrum measurements, applying the extended curvilinear antennas, by means of antennas focused at the virtual field, etc. Typical examples are presented to show that the virtual fields can be separated by means of physical devices: measurements of Huygens‚Äô sources with focused antennas and measurements of virtual fields related to wedge geometry and diffraction rays. ¬© 1989, VSP. All rights reserved.</t>
  </si>
  <si>
    <t>257-267</t>
  </si>
  <si>
    <t>60068680;60029225</t>
  </si>
  <si>
    <t>7005924107;55629619600</t>
  </si>
  <si>
    <t>Kravtsov, Yu Y.;Ya. Ufimtsev, P.</t>
  </si>
  <si>
    <t>Russian Federation;Russian Federation</t>
  </si>
  <si>
    <t>Moscow;Moscow</t>
  </si>
  <si>
    <t>Prokhorov General Physics Institute of the Russian Academy of Sciences;Kotelnikov Institute of Radioengineering and Electronics (IRE) of Russian Academy of Sciences</t>
  </si>
  <si>
    <t>Kravtsov Y.</t>
  </si>
  <si>
    <t>Actualization of Virtual Fields in Wave Problems</t>
  </si>
  <si>
    <t>10.1163/156939389X00485</t>
  </si>
  <si>
    <t>2-s2.0-84947143862</t>
  </si>
  <si>
    <t>['¬© 1989', 'rights reserved', 'rf power', 'rf component', 'potential scales', 'potential formation', 'plasma potential', 'plasma density', 'outer tier', 'near field', 'measurements indicate', 'magnetic field', 'local plasma', 'large variations', 'impurity generation', 'icrh antenna', 'ghz klystron', 'fields may', 'faraday shield', 'electron temperature', 'current strap', 'antenna used', 'antenna produces', 'antenna current', 'accelerate ions', '20 ev', '2 kg', '1010 cm']</t>
  </si>
  <si>
    <t>Large variations in the plasma potential can lead to large sheath potentials at the surface of the Faraday shield of an ion cyclotron resonance heating (ICRH) antenna. This sheath can accelerate ions to energies where sputtering is significant, resulting in impurity generation. The time-varying floating potential is being measured in the near field of an ICRH antenna by using the Radio Frequency Test Facility (RFTF) at Oak Ridge National Laboratory. The antenna used is a resonant loop antenna that has a two-tier Faraday shield with a layer of graphite on the outer tier. The electron cyclotron heated plasma in RFTF is produced by a 10.6-GHz klystron. The magnetic field at the antenna is ~2 kG, with a plasma density of ~1010 cm-3 with an electron temperature of ‚Äî 6 eV. Ionization by rf power from the antenna produces a local plasma of ‚Äî 10H with an electron temperature of 12 to 20 eV. The rf floating potential is measured by using a capacitively coupled probe that is scanned in front of the antenna, parallel to the current strap. A stationary Langmuir probe is used to measure the time-averaged floating potential. Measurements indicate that the potential scales with the antenna current and increases with plasma density to values of up to 300 V peak-to-peak. The rf component of the floating potential seems to follow the near field pattern of the antenna, indicating that these fields may be responsible for the potential formation. ¬© 1989, American Vacuum Society. All rights reserved.</t>
  </si>
  <si>
    <t>1092-1098</t>
  </si>
  <si>
    <t>Journal of Vacuum Science and Technology A: Vacuum, Surfaces and Films</t>
  </si>
  <si>
    <t>60000745;60000745;101891092</t>
  </si>
  <si>
    <t>6603612527;7006106746;7402222174</t>
  </si>
  <si>
    <t>Caughman, J. B.O.;Ruzic, D. N.;Hoffman, D. J.</t>
  </si>
  <si>
    <t>Urbana;Oak Ridge</t>
  </si>
  <si>
    <t>University of Illinois Urbana-Champaign;Ridge National Laboratory</t>
  </si>
  <si>
    <t>60000745;101891092</t>
  </si>
  <si>
    <t>Caughman J.</t>
  </si>
  <si>
    <t>Floating potential measurements in the near field of an ion cyclotron resonance heating antenna</t>
  </si>
  <si>
    <t>10.1116/1.576236</t>
  </si>
  <si>
    <t>2-s2.0-84950881397</t>
  </si>
  <si>
    <t>['second digit', 'parentheses indicates', 'mode transition', 'kept constant', 'first observed', 'different behaviour', 'coupling resistance', 'antenna phasings', 'antenna phasing', 'antenna currents']</t>
  </si>
  <si>
    <t>An increase of the coupling resistance of an ICRF 2 x 2 phased loop antenna array after H-mode transition was first observed in JT-60. The coupling resistance of the ICRF antenna decreases after H-mode transition in the (0, 0) antenna phasing (where the first digit within the parentheses indicates the toroidal phase difference and the second digit the poloidal phase difference), but it increases in the (ir, 0) antenna phasing. This different behaviour can be explained by antennaplasma coupling theory, taking the antenna phasings and the electron density profiles into account. The coupling resistance can be kept constant after H-mode transition by adjusting the toroidal wave number spectra of the antenna currents. ¬© 1989 IOP Publishing Ltd.</t>
  </si>
  <si>
    <t>60012288;60012288;60012288;60012288;60012288;60012288</t>
  </si>
  <si>
    <t>Coupling properties of the jt-60 icrf antenna during h-mode discharges</t>
  </si>
  <si>
    <t>10.1088/0029-5515/29/6/017</t>
  </si>
  <si>
    <t>2-s2.0-84956107085</t>
  </si>
  <si>
    <t>['successfully excited', 'exciting region', 'dispersion relation', '5b tokamak']</t>
  </si>
  <si>
    <t>Linear ion Bernstein waves have been successfully excited in KT-5B tokamak by a toroidal current antenna. Ion Bernstain waves were detected by two rf Langmuir probes and identified by their exciting region and their dispersion relation. The ion temperature profile in the tokamak has been obtained from the dispersion relation of ion Bernstein wave in agreement with the measuring by an electrostatic ion probe. ¬© 1989 IOP Publishing Ltd.</t>
  </si>
  <si>
    <t>201-204</t>
  </si>
  <si>
    <t>0256307X</t>
  </si>
  <si>
    <t>Chinese Physics Letters</t>
  </si>
  <si>
    <t>60019118;60019118;60019118;60019118</t>
  </si>
  <si>
    <t>36858971000;57083005100;57082880000;56853786200</t>
  </si>
  <si>
    <t>Wandong, Liu;Yizhi, Wen;Shude, Wan;Changxuan, Yu</t>
  </si>
  <si>
    <t>Hefei</t>
  </si>
  <si>
    <t>University of Science and Technology of China</t>
  </si>
  <si>
    <t>Wandong L.</t>
  </si>
  <si>
    <t>Investigation of linear ion bernstein wave in KT-5B tokamak</t>
  </si>
  <si>
    <t>10.1088/0256-307X/6/5/003</t>
  </si>
  <si>
    <t>2-s2.0-84956134911</t>
  </si>
  <si>
    <t>['¬© 1989', 'various functions', 'rights reserved', 'radar systems', 'r modules', 'processing techniques', 'processing equipment', 'pipe dreams', 'part 2', 'part 1', 'paper provides', 'offs required', 'less independently', 'future trends', 'electrical engineers', 'early pioneers', 'brief review', 'array elements', 'advanced radars']</t>
  </si>
  <si>
    <t>Radars and their associated antennas evolved more or less independently for a number of years, but a gradual marriage began in the 1960s with the advent of improved and relatively cheap signal-processing techniques. Today's advanced radars with electronically steered beams, incorporating T/R modules and signal-processing equipment at the array elements, appear to be the realisation of the early pioneers' pipe dreams. Part 1 of this paper provides a brief review of developments to date and examines some of the trade-offs required in the design of radar systems for various functions. Part 2* concentrates on antenna characteristics affecting radar design and provides some pointers to future trends. ¬© 1989, The Institution of Electrical Engineers. All rights reserved.</t>
  </si>
  <si>
    <t>271-280</t>
  </si>
  <si>
    <t>Milne, K.</t>
  </si>
  <si>
    <t>Radar and Antennas. Part 1</t>
  </si>
  <si>
    <t>10.1049/ecej:19890058</t>
  </si>
  <si>
    <t>2-s2.0-84957133676</t>
  </si>
  <si>
    <t>['¬© 1989', 'whereas lichens', 'water vapor', 'strong enhancement', 'similar experiments', 'rights reserved', 'rehydration properties', 'rehydration occurs', 'ps ii', 'pronounced increase', 'photosystem ii', 'peltigera rufescens', 'oecologia 71', 'nostoc cf', 'maximal absorbance', 'living blue', 'liquid water', 'largely restored', 'large reduction', 'investigated whether', 'humidified air', 'green phycobiont', 'green lichens', 'green alga', 'gradual increase', 'functional interruption', 'functional detachment', 'fluorescence excitation', 'fluorescence emission', 'excitation spectra', 'essentially identical', 'energy transfer', 'emission ratio', 'dry organism', 'dry lichens', 'different organization', 'desiccation induces', 'changes could', 'basic difference', 'antenna pigments', 'almost maximal', 'additional spraying', '710 nm', '650 nm', '580 nm', '435 nm', '430 nm', '1986 ).']</t>
  </si>
  <si>
    <t>blue-green algae | chlorophyll fluorescence at 77 K | dehydration | energy transfer | LHCP | lichens | light harvesting pigment protein complex | Nostoc commune | PBS | Peltigera rufescens | photosynthesis | photosystem II (I) | phycobilisome(s) | PS II (I) | r.h. | Ramalina maciformis | rehydration | relative humidity</t>
  </si>
  <si>
    <t>Dry lichens with green algal phycobionts are able to recover net photosynthesis through rehydration with water vapor, whereas lichens with blue-green algae lack this ability (Lange, Kilian and Ziegler, Oecologia 71, 104‚Äì110, 1986). By measurements of 77 K fluorescence emission and excitation spectra, it is investigated whether this basic difference in rehydration properties of green and blue-green lichens is due to the different organization of the antenna pigments. Emission spectra obtained from a lichen with a blue-green alga (Peltigera rufescens) and from a free-living blue-green alga (Nostoc cf. commune) were essentially identical after normalization at 710 nm and revealed the following major features: Equilibration of a dry organism with air of 99 % r.h. resulted in a pronounced increase of fluorescence emission at 650 nm when excited at 580 nm (i.e. at maximal absorbance for the phycobilin pigments). Additional spraying with liquid water led to a strong fluorescence increase around 690 nm. With excitation of chlorophyll at 430 nm no such changes could be observed with both procedures. Excitation spectra for emission at 695 nm revealed that the efficiency for fluorescence excitation at 565 nm compared to that at 435 nm was minimal after equilibration at 99 % r.h., whereas spraying with liquid water resulted in a strong enhancement. It is concluded that desiccation induces a functional detachment of the phycobilisomes (PBS) from photosystem II (PS II). Energy transfer from PBS to PS II is restored only when rehydration occurs with liquid water. Similar experiments with the lichen Ramalina maciformis, which contains a green phycobiont (Trebouxia spec.) yielded distinctly different responses. The desiccation induced lowering of fluorescence emission was almost totaly reversed by equilibration with air of 93 % r.h. Excitation spectra of 695 nm emission showed a large reduction of the emission ratio with 480 nm excitation over that with 435 nm induced by desiccation. Rehydration by increasing air humidity resulted in a gradual increase of this ratio until it was almost maximal at about 99 % r.h. It is concluded that with green algal symbionts desiccation induces a functional interruption of energy transfer between the light harvesting chl a/b pigment complex and PS II and that this can be largely restored by rehydration with humidified air, in contrast to the situation with blue-green algal symbionts. ¬© 1989, Gustav Fischer Verlag, Stuttgart. All rights reserved.</t>
  </si>
  <si>
    <t>261-268</t>
  </si>
  <si>
    <t>60012689-60024613;60012689;60012689;60012689</t>
  </si>
  <si>
    <t>6701677454;57195025484;7006532114;7006004554</t>
  </si>
  <si>
    <t>Bilger, W.;Rimke, S.;Schreiber, U.;Lange, O. L.</t>
  </si>
  <si>
    <t>Washington, D.C.;Wurzburg</t>
  </si>
  <si>
    <t>Carnegie Institution of Washington;Julius-Maximilians-Universit√§t W√ºrzburg</t>
  </si>
  <si>
    <t>60024613;60012689</t>
  </si>
  <si>
    <t>Bilger W.</t>
  </si>
  <si>
    <t>Inhibition of Energy-Transfer to Photosystem II in Lichens by Dehydration: Different Properties of Reversibility with Green and Blue-green Phycobionts</t>
  </si>
  <si>
    <t>S0176161789802408</t>
  </si>
  <si>
    <t>10.1016/S0176-1617(89)80240-8</t>
  </si>
  <si>
    <t>2-s2.0-84959709709</t>
  </si>
  <si>
    <t>Australasian Society for Phycology and Aquatic Botany</t>
  </si>
  <si>
    <t>200-201</t>
  </si>
  <si>
    <t>Giornale Botanico Italiano</t>
  </si>
  <si>
    <t>60000481;60000481;60000481</t>
  </si>
  <si>
    <t>7003283287;35553979700;57168228400</t>
  </si>
  <si>
    <t>Barbato, Roberto;Bassi, Roberto;Giacomettti, M.</t>
  </si>
  <si>
    <t>Padua</t>
  </si>
  <si>
    <t>Universit√† degli Studi di Padova</t>
  </si>
  <si>
    <t>Barbato R.</t>
  </si>
  <si>
    <t>Isolation and characterization of an internal cbla/b antenna complex associated with PSII in spinacia oleracca</t>
  </si>
  <si>
    <t>10.1080/11263508909430256</t>
  </si>
  <si>
    <t>2-s2.0-84960618470</t>
  </si>
  <si>
    <t>204-205</t>
  </si>
  <si>
    <t>116443820;116443820;116443820</t>
  </si>
  <si>
    <t>35553979700;7003672780;6603780088</t>
  </si>
  <si>
    <t>Bassi, R.;di Paolo, M. L.;Dainese, P.</t>
  </si>
  <si>
    <t>Dipartimento di Biologta</t>
  </si>
  <si>
    <t>Bassi R.</t>
  </si>
  <si>
    <t>Lateral heterogeneity of photosynthetic membrane: Location of antenna complexes and PSII reaction centre with immunological techniques</t>
  </si>
  <si>
    <t>2-s2.0-84960720657</t>
  </si>
  <si>
    <t>['¬© 1989', 'weighted output', 'weight covariance', 'target beam', 'state behavior', 'signals derived', 'rights reserved', 'one beam', 'interference beam', 'exact expression', 'complex weight', 'article analyzes', 'antenna array', 'acoustical society']</t>
  </si>
  <si>
    <t>A postbeamformer interference canceler (PIC) processes the signals derived from an antenna array by forming two beams using fixed beamforming weights. The weighted output of one beam, referred to as the interference beam, is subtracted from the other beam, referred to as the target beam. This article analyzes an algorithm to adjust the complex weight of the interference channel iteratively, studies the transient and steady-state behavior of the weight covariance, and derives the exact expression for the misadjustment. ¬© 1989, Acoustical Society of America. All rights reserved.</t>
  </si>
  <si>
    <t>194-201</t>
  </si>
  <si>
    <t>Analysis of transient and steady-state weight covariance in an adaptive postbeamformer interference canceler</t>
  </si>
  <si>
    <t>10.1121/1.397715</t>
  </si>
  <si>
    <t>2-s2.0-84967882499</t>
  </si>
  <si>
    <t>['wiley company', 'undesirable effect', 'transfer function', 'technique convolves', 'sampled real', 'quadrate detector', 'power spectrum', 'optimal filter', 'noise found', 'measured signal', 'latter factor', 'inc .,', 'immediately following', 'dummy cycles']</t>
  </si>
  <si>
    <t>A computer software technique has been developed and employed to insert a modified‚ÄêWiener‚Äêdeconvolution filter (an optimal filter) immediately following the quadrate detector of a magnetic resonance imager. The purpose of this effort is to try to suppress the undesirable effect of the noise found in the magnetic resonance imaging receiving antenna. This technique convolves the sampled real and imaginary signals taken directly from the antenna quadrature detector with a transfer function which is expressed in terms of the power spectrum of the measured signal with noise and the measured power spectrum of the noise, alone. The latter factor is measured during the dummy cycles which precede a normal scan sequence. Results are presented using data taken with a commercially available phantom. Copyright ¬© 1989 Wiley Periodicals, Inc., A Wiley Company</t>
  </si>
  <si>
    <t>109-112</t>
  </si>
  <si>
    <t>International Journal of Imaging Systems and Technology</t>
  </si>
  <si>
    <t>Summer 1989</t>
  </si>
  <si>
    <t>Letcher, John H.</t>
  </si>
  <si>
    <t>Letcher J.</t>
  </si>
  <si>
    <t>The use of wiener deconvolution (an optimal filter) in nuclear magnetic resonance imaging</t>
  </si>
  <si>
    <t>10.1002/ima.1850010112</t>
  </si>
  <si>
    <t>2-s2.0-84980279526</t>
  </si>
  <si>
    <t>['wiley blackwell', 'twenty females', 'sex pheromone', 'rights reserved', 'reproductive status', 'reproductive diapause', 'receptors exist', 'older males', 'males gave', 'low sensitivity', 'investigated electrophysiologically', 'females .)', 'eag ).', 'bruchidius atrolineatus', 'active males', 'active females']</t>
  </si>
  <si>
    <t>Bruchidius atrolineatus | Bruchids | diapause | EAG | mating | sex pheromone | sexual maturation</t>
  </si>
  <si>
    <t>ABSTRACT. Male antennal sensitivity to female sex pheromone in Bruchidius atrolineatus was investigated electrophysiologically (EAG). The existence of receptors for this pheromone was shown in the antennae of males. (No such receptors exist in the antennae of females.) Young (age &lt; 24h) males gave an EAG of amplitude 25‚Äì30% of the response of older males. Diapausing males several days old gave a much smaller response than active males of the same age. EAGs were used to test the production/release of pheromone by groups of twenty females. Before they are 24 h old, active females do not produce/release the pheromone; older females release it at an almost constant rate. Sexually diapausing females do not produce and/or release the sex pheromone. In sexually active females, mating inhibits pheromone release almost immediately. There is a correlation between reproductive status of the females (development of ovaries, oogenesis) and the production or release of the pheromone. A corresponding correlation also exists in the males whose antennae show a very low sensitivity when they are young or when they are in reproductive diapause. Copyright ¬© 1989, Wiley Blackwell. All rights reserved</t>
  </si>
  <si>
    <t>319-324</t>
  </si>
  <si>
    <t>60032530;60032530</t>
  </si>
  <si>
    <t>6603099985;57195031070</t>
  </si>
  <si>
    <t>POUZAT, J.;IBEAS, D. NAMMOUR</t>
  </si>
  <si>
    <t>Tours</t>
  </si>
  <si>
    <t>Universit√© de Tours</t>
  </si>
  <si>
    <t>POUZAT J.</t>
  </si>
  <si>
    <t>Electrophysiological investigations of sex pheromone reception and release in Bruchidius atrolineatus</t>
  </si>
  <si>
    <t>10.1111/j.1365-3032.1989.tb01099.x</t>
  </si>
  <si>
    <t>2-s2.0-84985790619</t>
  </si>
  <si>
    <t>['wiley blackwell', 'ventral ganglion', 'thoracic ganglion', 'supernumerary appendages', 'sensory axons', 'rights reserved', 'results indicate', 'peripheral nerve', 'pathways taken', 'leg neuropil', 'larval nerves', 'labelled pathway', 'inappropriate sites', 'growing axons', 'central pathfinding', 'basal stalk', 'axons follow', 'almost identical', 'abdominal nerve']</t>
  </si>
  <si>
    <t>Peripheral and central pathfinding by sensory axons from appendages was investigated in the fly Sarcophaga bullata. (a) Supernumerary appendages (haltere, wing, antenna and leg) were produced by imaginal disc transplantation at various ectopic sites, (b) Leg neuropil was deafferented by leg disc extirpation and in its place another leg disc was implanted. (c) The basal stalk of a leg disc connecting it with the thoracic ganglion was transected. Using cobalt chloride and HRP backfilling methods the pathways taken by the afferents from these experimentally altered appendages was examined. The results indicate that the larval nerves and the imaginal disc stalks act as guides for growing axons to locate their correct entry sites within the ventral ganglion. In the absence of these guides the axons follow any peripheral nerve, such as abdominal nerve, and enter the ganglion at inappropriate sites. However, within the ganglion they take particular routes, almost identical to those taken by axons from in situ appendages suggesting the existance of some kind of a labelled pathway. Deafferentation does not make the leg neuropil more attractive to ingrowing ectopic sensory axons. Copyright ¬© 1989, Wiley Blackwell. All rights reserved</t>
  </si>
  <si>
    <t>341-349</t>
  </si>
  <si>
    <t>1440169X</t>
  </si>
  <si>
    <t>Development, Growth &amp; Differentiation</t>
  </si>
  <si>
    <t>60016983;60028378</t>
  </si>
  <si>
    <t>6701516293;7004648516</t>
  </si>
  <si>
    <t>Sivasubramanian, P.;N√§ssel, D. R.</t>
  </si>
  <si>
    <t>Sweden;Canada</t>
  </si>
  <si>
    <t>Stockholm;Fredericton</t>
  </si>
  <si>
    <t>Stockholms universitet;University of New Brunswick</t>
  </si>
  <si>
    <t>60028378;60016983</t>
  </si>
  <si>
    <t>Sivasubramanian P.</t>
  </si>
  <si>
    <t>Sensory Projections from Ectopic Appendages in an insect: Inherent Specificity and Influence of Location: sensory neurons/axonal pathfinding/insect nervous system/ectopoic appendages/imaginal discs</t>
  </si>
  <si>
    <t>10.1111/j.1440-169X.1989.00341.x</t>
  </si>
  <si>
    <t>2-s2.0-84985823930</t>
  </si>
  <si>
    <t>['wiley blackwell', 'used successfully', 'transmitter weighs', 'rights reserved', 'reproductive performance', 'main advantages', 'long life', 'internal antenna', 'five animals', 'complications associated', 'adult females', '120 g']</t>
  </si>
  <si>
    <t>implanted transmitter | radiotelemetry | sea otter</t>
  </si>
  <si>
    <t>A small intraperitoneal radio transmitter was developed and used successfully in California sea otters. The transmitter weighs about 120 g and has an internal antenna. Thirty‚Äêfive implanted transmitters were located for an average of 526 d. The carcasses of five animals that died were recovered; there were no complications associated with the transmitters in these individuals. Reproductive performance of the adult females with implanted transmitters appeared normal. The main advantages of this transmitter are its reliability and long life. It has enabled the collection of significant new information on California sea otters. Copyright ¬© 1989, Wiley Blackwell. All rights reserved</t>
  </si>
  <si>
    <t>376-381</t>
  </si>
  <si>
    <t>Marine Mammal Science</t>
  </si>
  <si>
    <t>60030112;60029445;;117332123</t>
  </si>
  <si>
    <t>7004037888;7003874433;55462260700;6506492242</t>
  </si>
  <si>
    <t>Ralls, Katherine;Siniff, Donald B.;Williams, Thomas D.;Kuechle, V. B.</t>
  </si>
  <si>
    <t>Washington, D.C.;Minneapolis;</t>
  </si>
  <si>
    <t>National Zoological Park;University of Minnesota Twin Cities;Cedar Creek Bioelectronics Laboratory</t>
  </si>
  <si>
    <t>60030112;60029445;117332123</t>
  </si>
  <si>
    <t>Ralls K.</t>
  </si>
  <si>
    <t>AN INTRAPERITONEAL RADIO TRANSMITTER FOR SEA OTTERS</t>
  </si>
  <si>
    <t>10.1111/j.1748-7692.1989.tb00349.x</t>
  </si>
  <si>
    <t>2-s2.0-84986772973</t>
  </si>
  <si>
    <t>['wiley blackwell', 'unusual arrangement', 'tightly associated', 'thylakoid membrane', 'thylakoid lumen', 'show conclusively', 'rights reserved', 'phycobiliprotein playing', 'phycobiliprotein antenna', 'photosynthetic abilities', 'outer surface', 'major role', 'located within', 'intrathylakoid space', 'harvesting light', 'exclusively bound', 'either phycoerythrin', 'distributed across', 'cryptophyte algae']</t>
  </si>
  <si>
    <t>chloroplast | cryptophytes | light‚Äêharvesting | photosynthesis | phycobiliprotein</t>
  </si>
  <si>
    <t>The cryptophyte algae, or cryptomonads, comprise a small algal group with a unique photosynthetic apparatus. Both a chlorophyll a/c2 light‚Äêharvesting complex and a phycobiliprotein antenna (which can be either phycoerythrin or phycocyanin) are present, with the phycobiliprotein playing the major role in harvesting light for photosynthesis. Longstanding circumstantial evidence suggested that, in cryptophytes, the phycobiliprotein is located in the intrathylakoid space (thylakoid lumen) rather than on the outer surface of the thylakoid as part of a phycobilisome as in other algae. We used immunogold labeling to show conclusively that 1) the phycoerythrin (PE) of the cryptophyte Rhodomonas lens Pascher and Ruttner is located within the intrathylakoid space, 2) the PE is not exclusively bound to the thylakoid membrane but instead is distributed across the thylakoid lumen and 3) a fraction of this PE is tightly associated with the thylakoid membrane. The thylakoids are not everted to compensate for this unusual arrangement. The location of the major light‚Äêharvesting pigment on the ‚Äúwrong‚Äù side of the otherwise very normal photo‚Äêsynthetic membrane is unexpected, unique to the cryptophytes, and, remarkably, does not impair the photosynthetic abilities of this organism. A model is presented which incorporates these results ‚Äêwith previous information to give a complete structural picture of the cryptophyte light‚Äêharvesting apparatus. Copyright ¬© 1989, Wiley Blackwell. All rights reserved</t>
  </si>
  <si>
    <t>412-419</t>
  </si>
  <si>
    <t>Journal of Phycology</t>
  </si>
  <si>
    <t>60011460;60011460</t>
  </si>
  <si>
    <t>16465526500;57213476726</t>
  </si>
  <si>
    <t>Spear‚ÄêBernstein, Laurel;Miller, Kenneth R.</t>
  </si>
  <si>
    <t>Providence</t>
  </si>
  <si>
    <t>Brown University</t>
  </si>
  <si>
    <t>Spear‚ÄêBernstein L.</t>
  </si>
  <si>
    <t>UNIQUE LOCATION OF THE PHYCOBILIPROTEIN LIGHT‚ÄêHARVESTING PIGMENT IN THE CRYPTOPHYCEAE</t>
  </si>
  <si>
    <t>10.1111/j.1529-8817.1989.tb00245.x</t>
  </si>
  <si>
    <t>2-s2.0-84986841566</t>
  </si>
  <si>
    <t>['‚ äê1', 'wiley blackwell', 'target ketone', 'rights reserved', 'reduction equal', 'rate constant', 'quantum efficiencies', 'photochemical studies', 'harvest photons', 'energy transfer', 'dimethylphenylsiloxy chromophores', 'corresponding alcohols', 'aryl groups', '5c ).', '5b ),', '5a confirm']</t>
  </si>
  <si>
    <t>‚ÄìModel systems are reported which test the efficacy of potential aryl antenna groups designed to harvest photons and subsequently transfer electronic energy to a target ketone through singlet‚Äêsinglet energy transfer. The model series consists of 4‚Äêaryl substituted cyclohexanones where the aryl groups are benzyloxy (5a), benzoyl (5b), and dimethylphenylsiloxy (5c). In each case, photolysis of isopropyl alcohol solutions of the substrate with 254 nm light results in photoreduction of the ketone to the corresponding alcohols, 6a‚Äê6c. The most efficacious sensitizing antennae are the benzyloxy and dimethylphenylsiloxy chromophores, with quantum efficiencies for reduction equal to 0.57 and 0.48, respectively. Photophysical and photochemical studies on 5a confirm that energy transfer to the ketone is intramolecular with the rate constant for energy transfer estimated at 2.4 √ó 100 s‚Äê1. Copyright ¬© 1989, Wiley Blackwell. All rights reserved</t>
  </si>
  <si>
    <t>525-530</t>
  </si>
  <si>
    <t>Photochemistry and Photobiology</t>
  </si>
  <si>
    <t>60009254;60009254</t>
  </si>
  <si>
    <t>55196384300;7103158461</t>
  </si>
  <si>
    <t>Wu, Zheng‚ÄêZhi ‚ÄêZ;Morrison, Harry</t>
  </si>
  <si>
    <t>West Lafayette</t>
  </si>
  <si>
    <t>Purdue University</t>
  </si>
  <si>
    <t>Wu Z.‚Äê.</t>
  </si>
  <si>
    <t>PHOTOCHEMISTRY OF POLYFUNCTIONAL MOLECULES. DEVELOPMENT OF ANTENNA CHROMOPHORES FOR SELF‚ÄêSENSITIZED PHOTOREDUCTION OF KETONES</t>
  </si>
  <si>
    <t>10.1111/j.1751-1097.1989.tb05558.x</t>
  </si>
  <si>
    <t>2-s2.0-84986958381</t>
  </si>
  <si>
    <t>['¬© masson', 'type locality', 'redescription shows', 'original description', 'last characteristic', 'france ).', 'distal segments', 'anterior side', 'allows us']</t>
  </si>
  <si>
    <t>Anostraca | B. alpinus | Branchipus blanchardi | France</t>
  </si>
  <si>
    <t>Branchipus blanchardi Daday 1908 is redescribed from the type locality, a small temporary pond near Cristol lake (Hautes-Alpes, France). The redescription shows that the male of this species is characterized by two bilobated outgrowths on the anterior side of clypeus, the distal segments of antenna 2 broadly enlarged in the middle and two conical outgrowths on the II to VII abdominal segments. This last characteristic does not agree with Daday's original description in which four outgrowths figured and allows us to establish the synonymy between B. blanchardi and B. alpinus Colosi 1922. ¬© Masson, 1989.</t>
  </si>
  <si>
    <t>47-53</t>
  </si>
  <si>
    <t>2100000X</t>
  </si>
  <si>
    <t>Annales de Limnologie</t>
  </si>
  <si>
    <t>Alonso, M.</t>
  </si>
  <si>
    <t>Barcelona</t>
  </si>
  <si>
    <t>Universitat de Barcelona</t>
  </si>
  <si>
    <t>Alonso M.</t>
  </si>
  <si>
    <t>Branchipus blanchardi Daday 1908 in the Alps: Redescription from type locality and synonymy with B. alpinus Colosi 1922 (Crustacea, Anostraca)</t>
  </si>
  <si>
    <t>10.1051/limn/1989005</t>
  </si>
  <si>
    <t>2-s2.0-84988995081</t>
  </si>
  <si>
    <t>['telemetry noise', 'telemetry errors', 'telemetry dropouts', 'sufficient discrimination', 'study indicates', 'spacecraft spends', 'sometimes larger', 'signals entering', 'russell study', 'originally reported', 'original study', 'original identifications', 'noise since', 'naturally occurring', 'low altitude', 'higher threshold', 'frequencies clustered', 'differences may', 'dark ionosphere', 'copyright 1989', 'cloutier although', 'cannot check', 'artificial signals', 'altitude distribution', 'absolute rates']</t>
  </si>
  <si>
    <t>Singh and Russell (1986) reported that impulsive electrical signals observed by the Pioneer Venus Orbiter Electric Field Detector at all frequencies clustered about periapsis. However, the impulsive signals consist of both signals entering the instrument through the antenna and artificial pulses associated with telemetry errors as Taylor and Cloutier (1988) have pointed out. Obvious telemetry errors were not included in the original study but records of which signals were thought to be naturally occurring and which were thought to be telemetry noise were not kept. Thus we cannot check the original identifications on a point‚Äêby‚Äêpoint basis. We can, however, repeat the study and compare statistical results. This study indicates that there is naturally occurring noise in the dark ionosphere of Venus near periapsis as originally reported by Singh and Russell. However, the absolute rates of occurrence of the original study and the present work differ. Sometimes the rates are smaller and sometimes larger than originally reported. These differences may be due to the use of a higher threshold in the earlier study together with the lack of sufficient discrimination against telemetry dropouts. Our rates of ‚Äúnaturally occurring‚Äù emissions also differ from the non‚Äêspike noise rates obtained by Taylor and Cloutier although our rates of artificial signals are similar. In any event the Singh and Russell study should not be used to infer the altitude distribution of the noise since the spacecraft spends more time at low altitude than high as it traverses the dark ionosphere. Copyright 1989 by the American Geophysical Union.</t>
  </si>
  <si>
    <t>1481-1484</t>
  </si>
  <si>
    <t>60101299;60019106</t>
  </si>
  <si>
    <t>57202751159;55613230518</t>
  </si>
  <si>
    <t>Russell, C. T.;Singh, R. N.</t>
  </si>
  <si>
    <t>United States;India</t>
  </si>
  <si>
    <t>Los Angeles;Varanasi</t>
  </si>
  <si>
    <t>University of California, Los Angeles, Institute of Geophysics and Planetary Physics;Indian Institute of Technology Banaras Hindu University</t>
  </si>
  <si>
    <t>Russell C.T.</t>
  </si>
  <si>
    <t>A re‚Äêexamination of impulsive VLF signals in the night ionosphere of Venus</t>
  </si>
  <si>
    <t>10.1029/GL016i012p01481</t>
  </si>
  <si>
    <t>2-s2.0-84989571890</t>
  </si>
  <si>
    <t>['wide range', 'various combinations', 'two trienals', 'trienal receptors', 'synthetic blends', 'solvent rinses', 'second component', 'pheromone glands', 'pheromone blend', 'pheromonal stimulation', 'olfactory interneurons', 'males exhibited', 'ipsilateral antenna', 'external surfaces', 'crude extracts', 'chemical analysis', 'c15 dienal', 'bombykal ).', 'behavioral data', 'antennal lobes', 'also conclude', '12 aldehydes']</t>
  </si>
  <si>
    <t>antennal lobe | electrophysiology | olfaction</t>
  </si>
  <si>
    <t>Recently, chemical analysis of solvent rinses of the external surfaces of pheromone glands from female Manduca sexta revealed a blend of 12 aldehydes, including the previously identified sex pheromone component, (E,Z)‚Äê10,12‚Äêhexadecadienal (bombykal). Previous electrophysiological studies showed that olfactory (deutocerebral) interneurons in the antennal lobes of males exhibited a wide range of responsiveness to pheromonal stimulation of the ipsilateral antenna. These experiments were performed with crude extracts of pheromone glands as well as two synthetic compounds: the major pheromone component, bombykal, and (E,Z)‚Äê11,13‚Äêpentadecadienal, a mimic of a second component of the female's pheromone blend. Using intracellular methods, we have now reexamined similar olfactory interneurons, using each of the 12 chemically identified components as well as synthetic blends of various combinations of them. Eight of the 12 components isolated from female glands elicited some form of response in olfactory interneurons in males. In accordance with biochemical and behavioral data, the most potent are bombykal and two trienals, (E,E,E)‚Äê and (E,E,Z)‚Äê10,12,14‚Äêhexadecatrienal. We also conclude that the C15 dienal is selective for one of the trienal receptors on the antenna, but is much less potent than the natural trienal stimulant. Copyright ¬© 1989 Wiley‚ÄêLiss, Inc.</t>
  </si>
  <si>
    <t>281-291</t>
  </si>
  <si>
    <t>Archives of Insect Biochemistry and Physiology</t>
  </si>
  <si>
    <t>60023324;60023324;60103678;60103678</t>
  </si>
  <si>
    <t>57213669759;7102653635;7004749571;57192815336</t>
  </si>
  <si>
    <t>Christensen, Thomas A.;Hildebrand, John G.;Tumlinson, James H.;Doolittle, Robert E.</t>
  </si>
  <si>
    <t>Gainesville;Tucson</t>
  </si>
  <si>
    <t>USDA Agricultural Research Service, Gainesville;Arizona Research Laboratories</t>
  </si>
  <si>
    <t>60103678;60023324</t>
  </si>
  <si>
    <t>Christensen T.</t>
  </si>
  <si>
    <t>Sex pheromone blend of Manduca sexta: Responses of central olfactory interneurons to antennal stimulation in male moths</t>
  </si>
  <si>
    <t>10.1002/arch.940100404</t>
  </si>
  <si>
    <t>2-s2.0-84990431464</t>
  </si>
  <si>
    <t>['used experimentally', 'type b', 'three types', 'pheromone substitute', 'pheromone components', 'one cell', 'electrophysiological recording', 'cell types']</t>
  </si>
  <si>
    <t>antenna | electrophysiology | olfaction | sex pheromone</t>
  </si>
  <si>
    <t>Three types of pheromone receptor cells have been identified by electrophysiological recording from single antennal sensilla trichodea of the male sphinx moth Manduca sexta. These cells responded best to the pheromone components (E,Z)‚Äê10,12‚Äêhexadecadienal (type A receptor cell), (E,E,Z)‚Äê10,12,14‚Äêhexadecatrienal (type B), and (E,E,E)‚Äê10,12,14‚Äêhexadecatrienal (type C). Cell type B also responded to (E,Z)‚Äê11,13‚Äêpentadecadienal, which has been used experimentally as a pheromone substitute. In recordings from 20 trichoid hairs, 17 were found to be innervated by one cell of type A and one of type B; 3 trichoid hairs had cell types A and C. Copyright ¬© 1989 Wiley‚ÄêLiss, Inc.</t>
  </si>
  <si>
    <t>273-279</t>
  </si>
  <si>
    <t>60005460;60023324;60103678</t>
  </si>
  <si>
    <t>6603949880;7102653635;7004749571</t>
  </si>
  <si>
    <t>Kaissling, Karl‚ÄêErnst ‚ÄêE;Hildebrand, John G.;Tumlinson, James H.</t>
  </si>
  <si>
    <t>United States;United States;Germany</t>
  </si>
  <si>
    <t>Gainesville;Tucson;Pocking</t>
  </si>
  <si>
    <t>USDA Agricultural Research Service, Gainesville;Arizona Research Laboratories;Max Planck Institute for Ornithology</t>
  </si>
  <si>
    <t>60103678;60023324;60005460</t>
  </si>
  <si>
    <t>Pheromone receptor cells in the male moth Manduca sexta</t>
  </si>
  <si>
    <t>10.1002/arch.940100403</t>
  </si>
  <si>
    <t>2-s2.0-84990479684</t>
  </si>
  <si>
    <t>['¬© 1989', 'useful data', 'two cases', 'therapeutic radiology', 'ten patients', 'sensor probes', 'rights reserved', 'rapidly attain', 'previous experiments', 'phantom indicated', 'optimum spacing', 'obtained since', 'minimum temperature', 'malignant tumors', 'japanese society', 'incorrectly placed', 'heat tumors', 'heat equation', 'four cases', 'clinical data', 'array consisting', 'antenna spacing', 'also developed', '3 cm', '2 cm', '16 antennas']</t>
  </si>
  <si>
    <t>Antenna spacing | Blood flow | Interstitial hyperthermia | Microwave</t>
  </si>
  <si>
    <t>Ten patients with malignant tumors were treated with 915MHz microwave interstitial hyperthermia. The minimum temperature of the heated volume relative to the calculated blood flow value for each tumor, was evaluated to determine optimum antenna spacing. Previous experiments with a phantom indicated that, in order to rapidly attain a sufficiently high temperature, the optimum spacing was 2 cm rather than 3 cm. An array consisting of 4 to 16 antennas was also developed. It was hypothesized that closer antenna spacing would be required to heat tumors with higher blood flow values. The hypothesis was tested by analyzing the clinical data from 10 malignant tumor cases treated by heating with a predetermined antenna array. The approximate blood flow values for each tumor were calculated from thermal clearance measurements using the bio-heat equation. In four cases with blood flow values lower than 36ml/100g/min, a temperature of over 42¬∞C was achieved with an antenna spacing of 2 cm. For the four cases with blood flow values higher than 50ml/100g/min, an antenna spacing of 2 cm was used in two cases, resulting in temperatures below 40¬∞C; a spacing of 1cm was used in the other two cases, resulting in temperatures above 42¬∞C. In the two remaining cases, no useful data was obtained since the sensor probes and antenna were incorrectly placed. ¬© 1989, Japanese Society for Therapeutic Radiology and Oncology. All rights reserved.</t>
  </si>
  <si>
    <t>69-75</t>
  </si>
  <si>
    <t>The Journal of JASTRO</t>
  </si>
  <si>
    <t>60031615;60031615;60031615;60031615;60018735</t>
  </si>
  <si>
    <t>55722203000;6603950096;36972137200;7201984177;7401841411</t>
  </si>
  <si>
    <t>Aoyagi, Yutaka;Kanehira, Chihiro;Kobori, Kenichi;Mochizuki, Sachio;Harada, Naohiko</t>
  </si>
  <si>
    <t>The Jikei University School of Medicine;Toshiba Corporation</t>
  </si>
  <si>
    <t>60031615;60018735</t>
  </si>
  <si>
    <t>Aoyagi Y.</t>
  </si>
  <si>
    <t>Microwave interstitial hyperthermia‚ÄîOptimum antenna spacing relative to blood flow values of malignant tumor in 10 cases‚Äî</t>
  </si>
  <si>
    <t>10.11182/jastro1989.1.69</t>
  </si>
  <si>
    <t>2-s2.0-84996049968</t>
  </si>
  <si>
    <t>['¬© 1989', 'workers ).', 'untreated workers', 'unoperated ones', 'treated soil', 'rights reserved', 'result supports', 'poisoning process', 'organophosphorus insecticide', 'oral intake', 'microcapsule formulation', 'microcapsule efficacy', 'japanese society', 'grooming results', 'dermal intake', 'delayed compared', 'contaminated individuals', 'became moribund', 'applied entomology', 'active ingredient']</t>
  </si>
  <si>
    <t>The effect of a microcapsule formulation of organophosphorus insecticide, fenitrothion, on workers and soldiers of Coptotermes formosanus SHIRAKI (Rhinotermitidae) was further investigated. Untreated workers as well as treated ones died (or became moribund) in the presence of workers or soldiers that had been sprayed with a water-diluted microcapsule solution, indicating the transmission of poison between individuals. In all conditions, soldiers showed much less sensitivity to the microcapsule formulation than workers. Self and mutual-grooming by workers was noted to be critical to microcapsule efficacy, resulting in the transmission of insecticide from poison-donors (insecticide-contaminated individuals) to poison-recipients (workers). Bioassay of microcapsule-treated soil for the efficacy against mouth-obturated and deantennated workers showed that poisoning of workers was delayed compared with that of unoperated ones. This result supports the assumption of the importance of transmission in the poisoning process. The basis of the transmission of the present fenitrothion microcapsule among termite workers is dependent on adhesion of microcapsules to the appendages, especially to the antennae, followed by self- and mutual-grooming. Grooming results in the breakage of microcapsules and oral intake of the active ingredient of the formulation by the groomers, as well as dermal intake by those that are groomed. ¬© 1989, JAPANESE SOCIETY OF APPLIED ENTOMOLOGY AND ZOOLOGY. All rights reserved.</t>
  </si>
  <si>
    <t>213-221</t>
  </si>
  <si>
    <t>1347605X</t>
  </si>
  <si>
    <t>Applied Entomology and Zoology</t>
  </si>
  <si>
    <t>60032056;60032056;60032056</t>
  </si>
  <si>
    <t>57220453622;57192148223;21934599300</t>
  </si>
  <si>
    <t>Iwata, Ry√ªtar√¥;Ito, Takaaki;Shinjo, Goro</t>
  </si>
  <si>
    <t>Sumitomo Chemical Co., Ltd.</t>
  </si>
  <si>
    <t>Efficacy of the Fenitorthion Microcapsule against Termites, Coptotermes formosanus SHIRAKI (Isoptera: Rhinotermitidae). II. Transmissibility of Fenitrothion Through Grooming</t>
  </si>
  <si>
    <t>10.1303/aez.24.213</t>
  </si>
  <si>
    <t>2-s2.0-85004204790</t>
  </si>
  <si>
    <t>['¬© 1989', 'use antennae', 'short time', 'rights reserved', 'mating behavior', 'male could', 'male ability', 'latter stage', 'japanese society', 'hilaris consist', 'first time', 'fifty percent', 'females encountered', 'emergence day', 'ejaculation occurred', 'copulation patterns', 'applied entomology', 'actively avoiding', '9 days']</t>
  </si>
  <si>
    <t>The mating behavior of P. hilaris was observed in the field and the laboratory. When males and females encountered each other for the first time on mulberry tree trunks, the male actively searched for or ambushed the female. Ambush occurred especially frequently when the male could not find the female on the trunk. Mating behavior was watched all day. Peaks were recognized both in the morning and the afternoon. Some males could copulate just after emergence, but most copulated 5 days later. Fifty percent of the females could copulate 10 days after emergence, actively avoiding with males before that time. Male ability to use antennae to search for females was passive from emergence day to 9 days after emergence. The male could recognize the female only when his antennae or maxillary and labial palpi touched the female. The copulation patterns of P. hilaris consist of 2 distinct stages: frequent penis insertions for a short time (first stage), and then a single long insertion (second stage). Ejaculation occurred only during the latter stage. ¬© 1989, JAPANESE SOCIETY OF APPLIED ENTOMOLOGY AND ZOOLOGY. All rights reserved.</t>
  </si>
  <si>
    <t>175-179</t>
  </si>
  <si>
    <t>Japanese Journal of Applied Entomology and Zoology</t>
  </si>
  <si>
    <t>Yokii, Naoto</t>
  </si>
  <si>
    <t>Yatabe</t>
  </si>
  <si>
    <t>Sericultural Experiment Station</t>
  </si>
  <si>
    <t>Yokii N.</t>
  </si>
  <si>
    <t>Observation on the Mating Behavior of the Yellow-Spotted Longicorn Beetle, Psacothea hilaris PASCOE (Coleoptera: Cerambycidae)</t>
  </si>
  <si>
    <t>10.1303/jjaez.33.175</t>
  </si>
  <si>
    <t>2-s2.0-85004645825</t>
  </si>
  <si>
    <t>['¬© 1989', 'two species', 'significant difference', 'sensillum styloconicum', 'sensilla observed', 'sample possible', 'rights reserved', 'odor receptor', 'newly developed', 'male antennae', 'japanese society', 'eight types', 'conogethes punctiferalis', 'backside observation', 'applied entomology', 'antennal sensilla', '800 ),', '6 types']</t>
  </si>
  <si>
    <t>Antennal sensilla of Conogethes punctiferalis (GUEN√âE) and its related species Conogethes sp. were studied using scanning electron microscope. A device for fixing the sample was newly developed to make the backside observation of sample possible. Eight types of sensilla were found on the antennae of each species; B√§hm's bristle, sensillum styloconicum, s. trichodeum, s. chaeticum, s. squamiformium, s. basiconicum, s. auricillicum, s. coeloconicum. Morphology, number and distribution of the sensilla observed were not different between these two species. More s. trichodea were found on the male antennae (ca. 8,000-8,500) than the female (ca. 6,500-6,800), while the reverse was the case with s. basiconicum (ca. 760 in males; ca. 1,400 in female), suggesting that the former should be the sex pheromone receptor and the latter the plant-odor receptor for oviposition. In other 6 types of the sensilla, significant difference in the number was not observed between both sexes. ¬© 1989, JAPANESE SOCIETY OF APPLIED ENTOMOLOGY AND ZOOLOGY. All rights reserved.</t>
  </si>
  <si>
    <t>60025272;60025272</t>
  </si>
  <si>
    <t>55614177100;57192336567</t>
  </si>
  <si>
    <t>Honda, Hiroshi;Hanyu, Ken</t>
  </si>
  <si>
    <t>The University of Tokyo</t>
  </si>
  <si>
    <t>Honda H.</t>
  </si>
  <si>
    <t>Scanning Electronmicroscopy of Antennal Sensilla of the Yellow Peach Moth, Conogethes punctiferalis (GUEN√©E) and Conogethes sp. (Lepidoptera: Pyralidae)</t>
  </si>
  <si>
    <t>10.1303/jjaez.33.238</t>
  </si>
  <si>
    <t>2-s2.0-85004685301</t>
  </si>
  <si>
    <t>['conventional parallax', 'control points']</t>
  </si>
  <si>
    <t>The finite element approach has been used to correct heights obtained from parallax bar measurements and conventional parallax-height formula based on vertical aerial photography. Experimental tests show that this approach could give higher accuracy than the conventional second degree polynomial correction, while using the same number of control points and involving less computational effort.</t>
  </si>
  <si>
    <t>29-37</t>
  </si>
  <si>
    <t>El-Hassan, Ismat M.</t>
  </si>
  <si>
    <t>El-Hassan I.M.</t>
  </si>
  <si>
    <t>Correction of Heights from Parallax-bar Using Finite Element Approach</t>
  </si>
  <si>
    <t>S1018363918308584</t>
  </si>
  <si>
    <t>10.1016/S1018-3639(18)30858-4</t>
  </si>
  <si>
    <t>2-s2.0-85069235181</t>
  </si>
  <si>
    <t>['¬© 1989', 'weights estimated', 'structured estimate', 'structure reflects', 'standard algorithm', 'spatial averaging', 'rights reserved', 'required gradient', 'optimal weights', 'noisy estimate', 'mean sense', 'less noisy', 'estimated gradient', 'constrained least', 'array output', 'alternative scheme', 'algorithm uses', 'adaptively estimate', 'acoustical society']</t>
  </si>
  <si>
    <t>The constrained least-mean-square (LMS) algorithm uses a noisy estimate of the required gradient to adaptively estimate the weights of an optimal antenna array. The gradient is estimated by multiplying the array output with the array receiver outputs. An alternative scheme for estimating the required gradient is proposed in this paper. The new scheme uses a structured estimate of the array correlation matrix to estimate the gradient. This structure reflects the structure of the exact array correlation matrix and is obtained by a spatial averaging of the elements of the noisy array correlation matrix used in the standard algorithm. It is shown that the estimated gradient is unbiased and the array weights converge to the optimal weights in the mean sense. Furthermore, the weights estimated by the structured gradient algorithm are less noisy than those estimated by the standard algorithm. ¬© 1989, Acoustical Society of America. All rights reserved.</t>
  </si>
  <si>
    <t>1040-1046</t>
  </si>
  <si>
    <t>60026708;60003480</t>
  </si>
  <si>
    <t>7003446625;57197172731</t>
  </si>
  <si>
    <t>Godara, L. C.;Gray, D. A.</t>
  </si>
  <si>
    <t>Australia;Australia</t>
  </si>
  <si>
    <t>Canberra;Edinburgh</t>
  </si>
  <si>
    <t>University of New South Wales at Australian Defence Force Academy;Defence Science and Technology Group</t>
  </si>
  <si>
    <t>A structured gradient algorithm for adaptive beamforming</t>
  </si>
  <si>
    <t>10.1121/1.398094</t>
  </si>
  <si>
    <t>2-s2.0-9244221178</t>
  </si>
  <si>
    <t>PHY-87-14654</t>
  </si>
  <si>
    <t>['¬© 1989', 'structure functions', 'single soft', 'high energies', 'hadron colliders', 'gluon emission', 'energy collisions', 'antenna pattern']</t>
  </si>
  <si>
    <t>I discuss the idea that the soft particles associated with a QCD multijet process can be understood as the gluon radiation produced by the underlying hard process (antenna pattern). I suggest a test of this idea in high-energy collisions. In hadron colliders, the test should be insensitive to details of structure functions and parton-parton cross sections. I argue that, at high energies, the distribution of single soft-gluon emission from an antenna pattern is independent of whether there are other soft gluons emitted in the process, so long as the direction of the other gluons is not specified. ¬© 1989.</t>
  </si>
  <si>
    <t>645-661</t>
  </si>
  <si>
    <t>Nuclear Physics, Section B</t>
  </si>
  <si>
    <t>Georgi, Howard</t>
  </si>
  <si>
    <t>Lyman Laboratory of Physics</t>
  </si>
  <si>
    <t>Georgi H.</t>
  </si>
  <si>
    <t>Antenna patterns and jets</t>
  </si>
  <si>
    <t>10.1016/0550-3213(89)90575-0</t>
  </si>
  <si>
    <t>2-s2.0-45249125510</t>
  </si>
  <si>
    <t>['vary significantly', 'specific titers', 'significantly greater', 'second day', 'pseudaletia unipuncta', 'male response', 'haw .)', 'hairpencils peaked', 'hairpencil secretion', 'females perceived', 'female response', 'excised antennae', 'eighth days', 'benzyl alcohol', 'benzaldehyde tended', 'antennal response', 'ages tested', 'acetic acid']</t>
  </si>
  <si>
    <t>acetic acid | antennal | benzaldehyde | benzyl alcohol | hairpencils | Lepidoptera | male pheromone | Noctuidae | Pseudaletia unipuncta | response</t>
  </si>
  <si>
    <t>Hairpencil secretion of Pseudaletia unipuncta (Haw.) contains acetic acid as well as previously identified benzaldehyde and benzyl alcohol. Age-specific titers of acetic acid were significantly greater than those of benzaldehyde and, at 25 ¬∞C, accumulation of both compounds in the hairpencils peaked on the second day after emergence. Excised antennae of males and females perceived both compounds. Antennal response to acetic acid did not vary significantly with age or sex, but male response to benzaldehyde was significantly greater than female response at all ages tested. Antennal response of both males and females to benzaldehyde tended to be greater on the fourth and eighth days after emergence than on the second. ¬© 1989 Plenum Publishing Corporation.</t>
  </si>
  <si>
    <t>641-648</t>
  </si>
  <si>
    <t>Journal of Chemical Ecology</t>
  </si>
  <si>
    <t>60032619;60032619;60032619</t>
  </si>
  <si>
    <t>7102207147;7202414312;57191849735</t>
  </si>
  <si>
    <t>Fitzpatrick, Sheila M.;Mcneil, Jeremy N.;Miller, David</t>
  </si>
  <si>
    <t>Quebec</t>
  </si>
  <si>
    <t>Universit√© Laval</t>
  </si>
  <si>
    <t>Fitzpatrick S.M.</t>
  </si>
  <si>
    <t>Age-specific titer and antennal perception of acetic acid, a component of male Pseudaletia unipuncta (Haw.) hairpencil secretion</t>
  </si>
  <si>
    <t>10.1007/BF01014707</t>
  </si>
  <si>
    <t>2-s2.0-0005759602</t>
  </si>
  <si>
    <t>['¬© 1989', 'theoretical modeling', 'take matching', 'special attention', 'reaction center', 'protein interactions', 'protein content', 'possible relationship', 'physiological function', 'physical effects', 'phase equilibria', 'phase behavior', 'membrane thickness', 'membrane recombinants', 'may lead', 'mattressmodel approach', 'lipid membranes', 'intrinsic proteins', 'hydrophobic matching', 'experimental measurements', 'determining factor', 'current status', 'cholesterol interactions', 'antenna protein', '37 ),']</t>
  </si>
  <si>
    <t>cholesterol | hydrophobic thickness | lipid membranes | Lipid-protein interactions | phase separation | phase transition | solution theory | statistical mechanics | thermodynamics</t>
  </si>
  <si>
    <t>An account is given of the current status of theoretical modeling of the phase equilibria in lipid membranes with intrinsic proteins. Special attention is paid to the description of lateral phase separation, which is important for membrane function since it may lead to biologically differentiated regions. We discuss in particular the mattressmodel approach by Mouritsen and Bloom (37), who take matching between protein and lipid hydrophobic thicknesses as a determining factor for the phase behavior. The model has been developed in the framework of phenomenological thermodynamics solution theory. The predictions of the theory are compared to a variety of experimental measurements, including those of membrane recombinants of the protein content of the reaction center and antenna protein of the bacterial photosynthetic apparatus as well as the erythrocyte band 3 protein. The physical effects of lipid-protein interactions are contrasted to those of lipid-cholesterol interactions. The concept of hydrophobic matching is then used as a basis for discussing a possible relationship between membrane thickness and physiological function. ¬© 1989 The Humana Press Inc.</t>
  </si>
  <si>
    <t>79-95</t>
  </si>
  <si>
    <t>Cell Biophysics</t>
  </si>
  <si>
    <t>60011373;60011373;60011373</t>
  </si>
  <si>
    <t>6602552041;7005726056;7004911132</t>
  </si>
  <si>
    <t>Sperotto, Maria M.;Ipsen, John Hjort;Mouritsen, Ole G.</t>
  </si>
  <si>
    <t>Denmark</t>
  </si>
  <si>
    <t>Lyngby</t>
  </si>
  <si>
    <t>Danmarks Tekniske Universitet</t>
  </si>
  <si>
    <t>Sperotto M.</t>
  </si>
  <si>
    <t>Theory of protein-induced lateral phase separation in lipid membranes</t>
  </si>
  <si>
    <t>10.1007/BF02797393</t>
  </si>
  <si>
    <t>2-s2.0-0024400738</t>
  </si>
  <si>
    <t>['use co', 'receivers operating', 'receiver sensitivity', 'performed quickly', 'multicoupler performance', 'multichannel systems', 'located transmitters', 'important decisions', 'flexibility needed', 'article describes']</t>
  </si>
  <si>
    <t>One of the more tedious yet exacting tasks that must be performed in the design of multichannel systems that use co-located transmitters or receivers operating from the same antenna is the design of the multicoupler. This article describes a program that determines multicoupler channel filter requirements and provides the flexibility needed to make the important decisions between multicoupler performance and transmitter output power or receiver sensitivity. With the multicoupler analysis program presented here, analysis of multicoupler performance is performed quickly and easily.</t>
  </si>
  <si>
    <t>Microwave journal</t>
  </si>
  <si>
    <t>Herzig, Paul A.</t>
  </si>
  <si>
    <t>Herzig P.</t>
  </si>
  <si>
    <t>Computer program for the design of multicouplers serving co-located transmitters and receivers</t>
  </si>
  <si>
    <t>2-s2.0-0024606403</t>
  </si>
  <si>
    <t>['traffic density', 'reasonable cost', 'novel patterns', 'new approach', 'mobile communications', 'fixed spectrum', 'directional antennas', 'cochannel interference', 'cellular patterns', 'also considered']</t>
  </si>
  <si>
    <t>To meet increasing demand for mobile communications with a fixed spectrum and at reasonable cost, directional antennas have been used in cellular mobile radio systems. This paper reviews sectorized patterns that have been proposed so far, and then describes how to achieve high capacity systems by taking a new approach to the design of cellular patterns. Some novel patterns, with less than or equal to two hexagons per cluster are described. Performances are assessed in terms of the first decile carrier-to-cochannel interference (C/lc) and traffic density for a given blocking probability. Cell site efficiency is also considered.</t>
  </si>
  <si>
    <t>136 pt 1</t>
  </si>
  <si>
    <t>IEE Proceedings I: Solid State and Electron Devices</t>
  </si>
  <si>
    <t>60001359;60001359</t>
  </si>
  <si>
    <t>6508211510;7401857420</t>
  </si>
  <si>
    <t>Heeralall, S.;Hughes, C. J.</t>
  </si>
  <si>
    <t>Colchester</t>
  </si>
  <si>
    <t>University of Essex</t>
  </si>
  <si>
    <t>Heeralall S.</t>
  </si>
  <si>
    <t>High capacity cellular patterns for land mobile radio systems using directional antennas</t>
  </si>
  <si>
    <t>2-s2.0-0024606838</t>
  </si>
  <si>
    <t>['tracking radar', 'track point', 'time constant', 'technique uses', 'stronger target', 'scan formats', 'perfect percent', 'one cycle', 'monopulse ).', 'modulation detector', 'illustrated using', 'homing missile', 'equally applicable', 'doppler difference', 'combined agc', 'accurately tracking']</t>
  </si>
  <si>
    <t>The objective of this paper is to outline a technique for accurately tracking the stronger of two target signal responses positioned at a very small angular separation. This technique uses the fact that a perfect 'percent-modulation' detector will derive a track point on the stronger target when averaging the track point over one cycle of Doppler difference. The key is the selection of the automatic gain control (AGC) time constant so the combined AGC and resolver circuitry forms a perfect percent-modulation detector. The technique is illustrated using a conical-scanned antenna example, but it is adaptable to other scan formats (e.g., sequential lobing of pseudo-monopulse). Similarly, the technique is illustrated in reference to a tracking radar. The technique is equally applicable to a homing missile.</t>
  </si>
  <si>
    <t>Gilbert, Larry L.</t>
  </si>
  <si>
    <t>Gilbert L.</t>
  </si>
  <si>
    <t>Resolving two closely spaced targets with a conical-scanning tracker</t>
  </si>
  <si>
    <t>2-s2.0-0024607782</t>
  </si>
  <si>
    <t>['state amplifiers', 'state amplifier', 'showed using', 'satellite broadcasting', 'replace traveling', 'recent years', 'radiation patterns', 'missing elements', 'lossless combiner', 'individual solid', 'increasing expectations', 'gain reduction', 'excitation errors', 'electrical power', 'electric power', 'easy method', 'basic design', 'array element', 'array antenna']</t>
  </si>
  <si>
    <t>With the increasing expectations for satellite broadcasting in recent years, it has become very important to increase its reliability. If we can replace traveling-wave tubes used as high-power microwave power amplifiers by solid-state amplifiers, the reliability can be increased. We noticed that an array antenna is a lossless combiner of electric power. We proposed an onboard array antenna system in which electrical power is supplied to each array element by an individual solid-state amplifier. We performed a basic design for this array antenna, and showed using an easy method that a favorable shaped beam can be obtained. We examined the influence of missing elements and excitation errors on radiation patterns and gains, and presented a simple evaluation equation for the amount of gain reduction.</t>
  </si>
  <si>
    <t>64-76</t>
  </si>
  <si>
    <t>Electronics and Communications in Japan, Part I: Communications (English translation of Denshi Tsushin Gakkai Ronbunshi)</t>
  </si>
  <si>
    <t>55483103400;35495699200;7201747933</t>
  </si>
  <si>
    <t>Kato, Takashi;Ando, Makoto;Goto, Naohisa</t>
  </si>
  <si>
    <t>Kato T.</t>
  </si>
  <si>
    <t>Characteristics of array antenna for broadcasting satellite</t>
  </si>
  <si>
    <t>2-s2.0-0024608474</t>
  </si>
  <si>
    <t>['turret workstation', 'torque output', 'systems couple', 'surface finishing', 'precise positioning', 'positioning accuracy', 'grown rapidly', 'fine grinding', 'factory automation', 'drive approach', 'directional antennas', 'desirable features', 'dd motor']</t>
  </si>
  <si>
    <t>Direct-drive (DD) systems couple the rotor of an electrical motor directly to the load, eliminating gear trains. High-torque output, zero-backlash, positioning accuracy and high acceleration rate are some of their desirable features. It is reported that the use of the direct-drive approach has grown rapidly in robotics, factory automation, rotation of directional antennas, automated guided vehicles and semiconductor manufacturing equipment. Simple automated machines employ the DD motor for precise positioning, such as rotating a turret workstation, rotating large ball screws for accurate linear motion, fine grinding and surface finishing, etc.</t>
  </si>
  <si>
    <t>52-55</t>
  </si>
  <si>
    <t>Powerconversion and Intelligent Motion</t>
  </si>
  <si>
    <t>109339106;109339106</t>
  </si>
  <si>
    <t>57197408734;6505521369</t>
  </si>
  <si>
    <t>Goel, Pradeep K.;Crushing, Ira</t>
  </si>
  <si>
    <t>Fujisawa</t>
  </si>
  <si>
    <t>NSK Corp.</t>
  </si>
  <si>
    <t>Goel P.</t>
  </si>
  <si>
    <t>Direct-drive SR motor outperforms geared systems in robotics</t>
  </si>
  <si>
    <t>2-s2.0-0024611317</t>
  </si>
  <si>
    <t>['main beam']</t>
  </si>
  <si>
    <t>A linear phased array antenna of eight isotropic radiators has been designed using Chebychev voltage distribution of excitation. Discrete phase shifter circuit is designed to scan the main beam of the array. This phase shifter circuit is controlled with a microprocessor based system.</t>
  </si>
  <si>
    <t>53-55</t>
  </si>
  <si>
    <t>69 pt 3</t>
  </si>
  <si>
    <t>Journal of the Institution of Engineers. India. Electronics and telecommunication engineering division</t>
  </si>
  <si>
    <t>60000414;60000414;60000414</t>
  </si>
  <si>
    <t>6508187026;6506541356;7102557021</t>
  </si>
  <si>
    <t>Oyedepo, O. A.O.;Masand, K. K.;Bhattacharjee, A. K.</t>
  </si>
  <si>
    <t>Pilani</t>
  </si>
  <si>
    <t>Birla Institute of Technology and Science, Pilani</t>
  </si>
  <si>
    <t>Oyedepo O.</t>
  </si>
  <si>
    <t>Design of phased array antenna system using microprocessor</t>
  </si>
  <si>
    <t>2-s2.0-0024611338</t>
  </si>
  <si>
    <t>['¬± 75mv', 'tight tolerance', 'error amplifier', '5v output', '5v converter']</t>
  </si>
  <si>
    <t>The outputs of the antenna power supplies used on a military radar system must have a tight tolerance. For example, the 5v output should be within ¬±1.5% or ¬±75mv, with no adjustment. This is accomplished by using tight tolerance resistors in an output differential amplifier and, by using a high-quality fixed reference circuit. The error amplifier in the 5V converter is the operational transconductance amplifier (OTA) of a 1524B PWM chip and is used to form a complete output feedback loop.</t>
  </si>
  <si>
    <t>32-33</t>
  </si>
  <si>
    <t>Colton, Robert M.</t>
  </si>
  <si>
    <t>General Electric Company</t>
  </si>
  <si>
    <t>Colton R.M.</t>
  </si>
  <si>
    <t>FET feedback buffer enhances 1524B regulator performance</t>
  </si>
  <si>
    <t>2-s2.0-0024611833</t>
  </si>
  <si>
    <t>['outdoor far', 'measurement techniques', 'horn antennas', 'field facility', 'conical corrugated', '90 ghz', '4 ghz']</t>
  </si>
  <si>
    <t>Conical corrugated-horn antennas have been designed, built, and tested at 31.4, 53, and 90 GHz. A circular polarization orthomode transducer was designed and characterized at 31.4 GHz. The measurement techniques, including the use of an outdoor far-field facility are described, where measurements down to levels 90 dB below the main beam maximum are achieved. ¬© 1989 IEEE.</t>
  </si>
  <si>
    <t>171-177</t>
  </si>
  <si>
    <t>60006337;60006337;60006337;60006337;60006337;60007174</t>
  </si>
  <si>
    <t>15123337400;7006653253;14630496200;7801482761;57206919239;24497446500</t>
  </si>
  <si>
    <t>Toral, Marco A.;Ratliff, Roger B.;Lecha, Maria C.;Maruschak, John G.;Bennett, Charles L.;Smoot, George F.</t>
  </si>
  <si>
    <t>Berkeley;Greenbelt</t>
  </si>
  <si>
    <t>Lawrence Berkeley National Laboratory;NASA Goddard Space Flight Center</t>
  </si>
  <si>
    <t>60007174;60006337</t>
  </si>
  <si>
    <t>Toral M.A.</t>
  </si>
  <si>
    <t>Measurements of Very Low-Sidelobe Conical Horn Antennas</t>
  </si>
  <si>
    <t>10.1109/8.18703</t>
  </si>
  <si>
    <t>2-s2.0-0024612033</t>
  </si>
  <si>
    <t>['sight distances', 'frequency bands', 'electromagnetic compatibility', 'detailed effects', 'data transmitted', 'channel capacity']</t>
  </si>
  <si>
    <t>The laws of propagation of radiowaves over line-of-sight distances have been studied for decades. Nevertheless, as the volume and complexity of data transmitted over the communications channels increase and higher-frequency bands are introduced and high-directional antennas used, new problems arise, requiring comprehensive studies of more detailed effects that occur in the troposphere. The conditions for radio wave propagation in the troposphere are studied. Topics include multibeam propagation, multichannel radio relay systems, channel capacity, attenuation by precipitation, electromagnetic compatibility, and interference.</t>
  </si>
  <si>
    <t>7202840001;6603197802</t>
  </si>
  <si>
    <t>Kalinin, A. I.;Nadenenko, L. V.</t>
  </si>
  <si>
    <t>Kalinin A.</t>
  </si>
  <si>
    <t>Current problems of the propagation of radiowaves in line-of-sight RRL</t>
  </si>
  <si>
    <t>2-s2.0-0024612834</t>
  </si>
  <si>
    <t>['results described', 'proper design', 'performance improvement', 'paper discusses', 'frequency bandwidths', 'feed properties', 'external structures', 'antenna performance', '22 ghz']</t>
  </si>
  <si>
    <t>The paper discusses the effects of interactions in a multifrequency coaxial horn on both feed and antenna performance. A proper design of each radiating aperture including a corrugated flange allows us to control the mutual effects due to external structures. The performance improvement is described through the measurements of the feed properties and the analysis of the antenna characteristics based on the measured primary patterns. The results described are inherent to the QUASAT feed designed for a front-fed parabolic reflector operating at 1.6, 5, 22 GHz. Over frequency bandwidths between 15% and 20% the antenna efficiency (%) results better than 72.2, 71.1, 70.6 and the cross-polar peak level (dB) lower than -28.8, -29 and -33.2 at 1.6, 5, 22 GHz respectively.</t>
  </si>
  <si>
    <t>19-24</t>
  </si>
  <si>
    <t>CSELT Technical Reports</t>
  </si>
  <si>
    <t>60031159;60031159;60031159</t>
  </si>
  <si>
    <t>7003337338;6701572321;57219955560</t>
  </si>
  <si>
    <t>Bielli, Paolo;Savini, Dario;Klooster, Kees van t.</t>
  </si>
  <si>
    <t>Noordwijk aan Zee</t>
  </si>
  <si>
    <t>ESTEC - European Space Research and Technology Centre</t>
  </si>
  <si>
    <t>Bielli P.</t>
  </si>
  <si>
    <t>Effects of a coaxial feed on antenna performance</t>
  </si>
  <si>
    <t>2-s2.0-0024612840</t>
  </si>
  <si>
    <t>['weighting factors', 'radio signal', 'radiation source', 'polarization parameters', 'noise environment', 'complex signal']</t>
  </si>
  <si>
    <t>A procedure is considered for analyzing an algorithm for evaluating the parameters from the weighting factors of an adaptive antenna system. It is shown that it is possible to evaluate them in a complex signal-noise environment. Examples are presented of an estimate of the range to a radiation source and the polarization parameters of a radio signal.</t>
  </si>
  <si>
    <t>88-91</t>
  </si>
  <si>
    <t>6602100380;36961592200;6506847635</t>
  </si>
  <si>
    <t>Komarovich, V. F.;Nikitchenko, V. V.;Vikhlyantsev, P. S.</t>
  </si>
  <si>
    <t>Komarovich V.</t>
  </si>
  <si>
    <t>Evaluation of the space-polarization parameters of radio signals by a simulation method</t>
  </si>
  <si>
    <t>2-s2.0-0024613162</t>
  </si>
  <si>
    <t>['signals received', 'remote sensing', 'linear filter', 'finite memory', 'errors caused', 'data obtained', 'correction based']</t>
  </si>
  <si>
    <t>Localization of data obtained by remote sensing in order to eliminate the effect of signals received from adjacent area elements is discussed. Errors caused by sidelobes are estimated. A method of correction based on two-dimensional spatial filtering is proposed. The coefficients of a linear filter with a finite memory are computed.</t>
  </si>
  <si>
    <t>Yakovlev, V. P.</t>
  </si>
  <si>
    <t>Yakovlev V.</t>
  </si>
  <si>
    <t>Correction of the sidelobes of the radiation pattern of on-board remote sensing equipment</t>
  </si>
  <si>
    <t>2-s2.0-0024613619</t>
  </si>
  <si>
    <t>['target space', 'random vector', 'noncoherent components', 'antenna space']</t>
  </si>
  <si>
    <t>The problem of the decomposition of a random scattering matrix into noncoherent components is discussed. The concepts of antenna space and target space are introduced, in which the target is represented by a random vector.</t>
  </si>
  <si>
    <t>38-43</t>
  </si>
  <si>
    <t>Zhivotovskiy, L. A.</t>
  </si>
  <si>
    <t>Zhivotovskiy L.</t>
  </si>
  <si>
    <t>Decomposition and analysis of fluctuating radar targets in antenna space</t>
  </si>
  <si>
    <t>2-s2.0-0024613620</t>
  </si>
  <si>
    <t>['space parameters', 'signals received', 'several users', 'separation algorithms', 'nonorthogonal signals', 'joint reception', 'error probabilities']</t>
  </si>
  <si>
    <t>The analysis of separation algorithms for use with additive synchronous digital signals is discussed. The method outlined gives exact analytical expressions for calculating the error probabilities in the joint reception of nonorthogonal signals of several users, as functions of the space parameters of the signals received, the inaccuracy in estimating them, and the antenna array geometry.</t>
  </si>
  <si>
    <t>54-55</t>
  </si>
  <si>
    <t>Popov, A. S.</t>
  </si>
  <si>
    <t>Popov A.</t>
  </si>
  <si>
    <t>Effect of space-parameter estimation accuracy on the noise immunity of the reception of several binary radio signals</t>
  </si>
  <si>
    <t>2-s2.0-0024613745</t>
  </si>
  <si>
    <t>['increased value', 'improved gain', 'experimental investigation', 'enable one', 'axial emission', 'axial conditions', 'amplitude distributions']</t>
  </si>
  <si>
    <t>Amplitude distributions which enable one to obtain an improved gain under conditions of near-axial emission are considered. The results of an experimental investigation are presented. The proposed amplitude distributions enable one to obtain an increased value of the gain of an antenna under near-axial conditions. These distributions can be obtained in practice by means of ribbed impedance structures.</t>
  </si>
  <si>
    <t>108-111</t>
  </si>
  <si>
    <t>7801669215;7003734209;6506003495</t>
  </si>
  <si>
    <t>Kocherzhevskiy, V. G.;Lazarov, N. L.;Shkvarin, V. V.</t>
  </si>
  <si>
    <t>Kocherzhevskiy V.</t>
  </si>
  <si>
    <t>Traveling-wave antenna with near-axial radiation</t>
  </si>
  <si>
    <t>2-s2.0-0024613753</t>
  </si>
  <si>
    <t>['radiation characteristics', 'present procedure', 'overall behavior', 'highly results', 'electromagnetic fields']</t>
  </si>
  <si>
    <t>An imptoved pepturbation procedure is used for analyzing the radiation characteristics of the millimeter wave dielectric grating antenna. The electromagnetic fields are described in terms of a transverse transmission line network, which brings considerable physical insight into the overall behavior of the antenna. The analysis is practical and yields as highly results as the rigorous method despite the simplicity of the present procedure. ¬© 1989 Plenum Publishing Corporation.</t>
  </si>
  <si>
    <t>213-230</t>
  </si>
  <si>
    <t>60019118;60019118</t>
  </si>
  <si>
    <t>6603478057;16424126700</t>
  </si>
  <si>
    <t>Shanjia, Xu;xinzhang, Wu</t>
  </si>
  <si>
    <t>Shanjia X.</t>
  </si>
  <si>
    <t>Improved perturbation analysis of dielectric grating antenna</t>
  </si>
  <si>
    <t>10.1007/BF01011237</t>
  </si>
  <si>
    <t>2-s2.0-27144474548</t>
  </si>
  <si>
    <t>150-154</t>
  </si>
  <si>
    <t>57220358034;16437661200;6603747137</t>
  </si>
  <si>
    <t>Mal'tsev, A. A.;Savinov, I. V.;Serebryakov, G. V.</t>
  </si>
  <si>
    <t>Mal'tsev A.A.</t>
  </si>
  <si>
    <t>Analysis of the operation of an adaptive antenna array with a randomly moving aperture under conditions with correlated interference</t>
  </si>
  <si>
    <t>10.1007/BF01039670</t>
  </si>
  <si>
    <t>2-s2.0-34249964202</t>
  </si>
  <si>
    <t>Smithsonian Environmental Research Center</t>
  </si>
  <si>
    <t>SERC</t>
  </si>
  <si>
    <t>['¬© 1989', 'useful photochemistry', 'thylakoid membrane', 'synechococcus 6301', 'suggesting quenching', 'room temperature', 'rights reserved', 'relative concentration', 'quantum yield', 'ps ii', 'primary difference', 'photosystem stoichiometry', 'photosystem ii', 'photochemical quenching', 'photochemical decay', 'photochemical apparatus', 'oxygen evolution', 'nevertheless lower', 'higher efficiency', 'harvesting antenna', 'excitation energy', 'chl ratios', 'chl excitation', 'cells grown']</t>
  </si>
  <si>
    <t>Excitation Energy Distribution | Light-Harvesting | Oxygen Evolution | Photosystem Stoichiometry | Thylakoid Membrane</t>
  </si>
  <si>
    <t>Cells of the cyanobacterium Synechococcus 6301 were grown under illumination whose spectral composition favoured absorption either by the phycobilisome (PBS) light-harvesting antenna of photosystem II (PS II) or by the chlorophyll (Chl) a light-harvesting antenna of photosystem I (PS I). Cells grown under PS I-light developed relatively high PS II/PS I and PBS/Chl ratios. Cells grown under PS II-light developed relatively low PS II/PS I and PBS/Chl ratios. Thus, the primary difference between cells in the two acclimation states appeared to be the relative concentration of PBS-PS II and PS I complexes in the thylakoid membrane. Measurements of the quantum yield of oxygen evolution suggested a higher efficiency of cellular photosynthesis upon the adjustment of photosystem stoichiometry to a specific light condition. The quantum yield of oxygen evolution was nevertheless lower under PBS than Chl excitation, suggesting quenching of excitation energy in the photochemical apparatus of PS II in Synechococcus 6301. This phenomenon was more pronounced in the PS II-light than in the PS I-light grown cells. Room temperature and 77 K fluorescence emission spectroscopy indicated that excess excitation energy in the PBS was not transferred to PS I, suggesting the operation of a non-radiative and non-photochemical decay of excitation energy at the PBS-PS II complex. This non-photochemical quenching was specific to conditions where excitation of PS II occurred in excess of its capacity for useful photochemistry. ¬© 1989, Verlag der Zeitschrift f√ºr Naturforschung. All rights reserved.</t>
  </si>
  <si>
    <t>119-127</t>
  </si>
  <si>
    <t>60025038-60012070;60025038-60012070;60012070</t>
  </si>
  <si>
    <t>57203081985;7406421287;7004442990</t>
  </si>
  <si>
    <t>Melis, Anastasios;Allen, John F.;Mullineaux, Conrad W.</t>
  </si>
  <si>
    <t>Berkeley;Leeds</t>
  </si>
  <si>
    <t>University of California, Berkeley;University of Leeds</t>
  </si>
  <si>
    <t>60025038;60012070</t>
  </si>
  <si>
    <t>Melis A.</t>
  </si>
  <si>
    <t>Acclimation of the Photosynthetic Apparatus to Photosystem I or Photosystem II Light: Evidence from Quantum Yield Measurements and Fluorescence Spectroscopy of Cyanobacterial Cells</t>
  </si>
  <si>
    <t>10.1515/znc-1989-1-220</t>
  </si>
  <si>
    <t>2-s2.0-84944432352</t>
  </si>
  <si>
    <t>['¬© 1989', 'three antennas', 'oxygen ions', 'nitrogen ions', 'microwave power', 'microwave interference', 'ion source', 'ion current', 'hot filament', 'formed uniformly', 'ferromagnetic material', 'extraction voltage', 'dense plasma', 'coaxial lines', 'argon ions', 'absorbed without', '900 g', '54 ghz', '23 kv', '2 torr', '1012 cm', '100 w']</t>
  </si>
  <si>
    <t>A new compact microwave ion source with three antennas has been constructed; it has a large plasma production chamber (16 √ó 66 √ó 5 mm3) for increasing the extraction of ion current by a slit extraction electrode. Even in such a large plasma production chamber, the axial magnetic field (about 900 G) was formed uniformly with a combination of permanent CoSm magnets and ferromagnetic material. The microwave power was fed through coaxial lines. This gives the ion source a flexibility, lacking in the conventional microwave ion source with a rigid wave guide. The compact ion source has no hot filament and can ionize chemically reactive gases. The basic operational characteristics of the ion source and the shape of the extracted ion beam were investigated. About 80% of the supplied microwave power (2.54 GHz, 100 W) was absorbed without any microwave interference from others, producing a dense plasma of 1012 cm-3. Argon ions of 12.5 mA, nitrogen ions of 13.5 mA, and oxygen ions of 5.6 mA were obtained without mass-separation at an extraction voltage of 20-23 kV at a plasma production chamber gas pressure of 1-2 √ó 10-2 Torr. ¬© 1989.</t>
  </si>
  <si>
    <t>159-162</t>
  </si>
  <si>
    <t>37-38</t>
  </si>
  <si>
    <t>0168583X</t>
  </si>
  <si>
    <t>Nuclear Inst. and Methods in Physics Research, B</t>
  </si>
  <si>
    <t>60011001;60011001;60011001</t>
  </si>
  <si>
    <t>55320897600;26642920300;7403554527</t>
  </si>
  <si>
    <t>Tsuji, Hiroshi;Ishikawa, Junzo;Takagi, Toshinori</t>
  </si>
  <si>
    <t>Tsuji H.</t>
  </si>
  <si>
    <t>Slit extraction type compact microwave ion source</t>
  </si>
  <si>
    <t>0168583X89901584</t>
  </si>
  <si>
    <t>10.1016/0168-583X(89)90158-4</t>
  </si>
  <si>
    <t>2-s2.0-0024606689</t>
  </si>
  <si>
    <t>['¬© 1989', 'specific regulation', 'rights reserved', 'results show', 'reacdve oligosaccharide', 'ras oncogene', 'quantitate 01', 'pha reactivity', 'metastatic disease', 'linked oligosaccharides', 'glycosyltransferase activity', 'glycoproteins separated', 'ec 2', 'determine whether', 'cell lines', 'cancer research', 'benign samples', 'approximately 5', 'american association', 'activated h', '6 manal', '6 jv', '6 branching', '6 branch', '155 ).']</t>
  </si>
  <si>
    <t>Increased ‚ÄîGlcNAc01-6 Manal-6Man0‚Äî branching in asparagine-linked oligosaccharides has been observed in murine and human tumor cells and has recently been linked to enhanced metastatic potential in experimental tumor models. Leukoagglutinin (L-PHA) requires the 01-6-linked lactosamine antenna (01-6 branch) for high affinity binding and was used in this study to quantitate these structures on glycoproteins separated by sodium dodecyl sulfate-polyacrylamide gel electrophoresis. Normal rodent tissues and cell lines were used to standardize the experimental conditions required to quantitate 01-6-branched oligosaccharide structures and the glycosyltransferase activity which initiates the synthesis of the antenna, 01-6 JV-acetylglucosamine (GlcNAc)-transferae V (EC 2.4.1.155). Secondly, the levels of L-PHA-reacdve oligosaccharide were compared in a series of benign and malignant human breast biopsies. Normal human breast tissue and benign lesions showed low expression but 50% of the primary malignancies examined showed significantly elevated L-PHA reactivity. GlcNAc transferase V activities in the human breast carcinomas and in normal murine tissues correlated with the levels of L-PHA reactive oligosaccharide in the tissues. GlcNAc transferase V showed similar ranges of activities, differing by approximately 5-fold between high and low expressing mouse tissues; fibroblasts with and without an activated H-ras oncogene; and low and high expressing human breast carcinomas. The results show that 01-6 branching in asparagine-linked oligosaccharides is dependent on tissue-specific regulation of GlcNAc transferase V activity. Secondly, a subset of human breast malignancies showed elevated levels of 01-6-branched oligosaccharides compared to benign samples, suggesting that further studies are warranted to determine whether the presence of these oligosaccharides is associated with metastatic disease and reduced patient survival time. ¬© 1989, American Association for Cancer Research. All rights reserved.</t>
  </si>
  <si>
    <t>945-950</t>
  </si>
  <si>
    <t>Cancer Research</t>
  </si>
  <si>
    <t>60016849;60015186</t>
  </si>
  <si>
    <t>7202979823;6602142116</t>
  </si>
  <si>
    <t>Dennis, J. W.;Lafert√©, S.</t>
  </si>
  <si>
    <t>Toronto;Saskatoon</t>
  </si>
  <si>
    <t>University of Toronto;University of Saskatchewan</t>
  </si>
  <si>
    <t>Dennis J.</t>
  </si>
  <si>
    <t>Oncodevelopmental Expression of ‚ÄîGlcNA cŒ≤l-6ManaŒ±l-6ManŒ≤ 1‚Äî Branched Asparagine-linked Oligosaccharides in Murine Tissues and Human Breast Carcinomas</t>
  </si>
  <si>
    <t>2-s2.0-0024493145</t>
  </si>
  <si>
    <t>['¬© 1989', 'waveguide model', 'undesirable sidelobe', 'rights reserved', 'radiation pattern', 'lower sidelobes', 'electrical engineers']</t>
  </si>
  <si>
    <t>Antenna radiation patterns | Antennas | Waveguides</t>
  </si>
  <si>
    <t>A novel approach based on a waveguide model is proposed for determining the complex propagation constant of a leaky wave structure by Galerkin's method. Then the far field radiation can be obtained in terms of the tangential electric fields in the Fourier transform domain. By this approach the undesirable sidelobe in the radiation pattern is shown and patterns with lower sidelobes can be obtained. ¬© 1989, The Institution of Electrical Engineers. All rights reserved.</t>
  </si>
  <si>
    <t>345-346</t>
  </si>
  <si>
    <t>60028112;60028112;60028112</t>
  </si>
  <si>
    <t>7006461011;7007171277;6603857610</t>
  </si>
  <si>
    <t>Ghomi, M.;Baudrand, H.;Cavalli, C.</t>
  </si>
  <si>
    <t>Ghomi M.</t>
  </si>
  <si>
    <t>New Approach for Computing Radiation Pattern of Dielectric Leaky-Wave Antenna</t>
  </si>
  <si>
    <t>10.1049/el:19890240</t>
  </si>
  <si>
    <t>2-s2.0-0024959503</t>
  </si>
  <si>
    <t>['¬© 1989', 'transverse slot', 'rights reserved', 'flat broadwall', 'electrical size', 'electrical engineers']</t>
  </si>
  <si>
    <t>Antennas | Dielectrics</t>
  </si>
  <si>
    <t>A reduced size cavity backed slot antenna, consisting of a transverse slot in the flat broadwall of a deep single ridge waveguide cavity is described. Partial dielectric loading achieves significant further reduction in electrical size. Moderate dielectric loss increases bandwidth (and significantly reduces antenna gain). ¬© 1989, The Institution of Electrical Engineers. All rights reserved.</t>
  </si>
  <si>
    <t>323-324</t>
  </si>
  <si>
    <t>60001565;60001565</t>
  </si>
  <si>
    <t>7005311898;57196553118</t>
  </si>
  <si>
    <t>Cloete, J. H.;Du Toit, C. F.</t>
  </si>
  <si>
    <t>Stellenbosch</t>
  </si>
  <si>
    <t>Stellenbosch University</t>
  </si>
  <si>
    <t>Cloete J.</t>
  </si>
  <si>
    <t>Ridged Cavity Backed Slot Antenna with Dielectric Loading</t>
  </si>
  <si>
    <t>10.1049/el:19890224</t>
  </si>
  <si>
    <t>2-s2.0-0024959528</t>
  </si>
  <si>
    <t>['two days', 'spodoptera littoralis', 'small groups', 'minimum amount', 'larval frass', 'larval density', 'larvae reared', 'highly deterrent', 'extracts prepared', 'deterring substance', 'deterring effect', 'deterrent activity', 'cotton leaves', 'boisd .).', 'acetone extract']</t>
  </si>
  <si>
    <t>Egyptian cotton | larval frass | leaf worm | Lepidoptera | Noctuidae | oviposition behavior | oviposition deterrence | Spodoptera littoralis</t>
  </si>
  <si>
    <t>Previous experiments demonstrated an oviposition-deterring effect of larval frass in the Egyptian cotton leaf worm, Spodoptera littoralis (Boisd.). In this study, females were shown to perceive the oviposition-deterring substance(s) with their antennae. During dark, airtight, and cold (-10 ¬∞C) storage, the deterrent was persistent for at least 395 days. On the other hand, larval frass retained its activity for only two days when applied to cotton leaves. The deterrent activity of frass was independent of larval density. Frass of larvae reared at high densities deterred oviposition as well as frass of larvae feeding separately or in small groups. For significant oviposition deterrence, the minimum amount of frass was in the range of 5-10 mg frass per cotton leaf. An acetone extract of larval frass was highly deterrent, in contrast to extracts prepared with water, ethanol, chloroform, or pentane. ¬© 1989 Plenum Publishing Corporation.</t>
  </si>
  <si>
    <t>929-938</t>
  </si>
  <si>
    <t>60031514;60016908</t>
  </si>
  <si>
    <t>7006391110;56238849800</t>
  </si>
  <si>
    <t>Hilker, Monika;Klein, Birgit</t>
  </si>
  <si>
    <t>Germany;Germany</t>
  </si>
  <si>
    <t>Gottingen;Heidelberg</t>
  </si>
  <si>
    <t>Georg-August-Universit√§t G√∂ttingen;Universit√§t Heidelberg</t>
  </si>
  <si>
    <t>Hilker M.</t>
  </si>
  <si>
    <t>Investigation of oviposition deterrent in larval frass of Spodoptera littoralis (Boisd.)</t>
  </si>
  <si>
    <t>10.1007/BF01015188</t>
  </si>
  <si>
    <t>2-s2.0-0000830195</t>
  </si>
  <si>
    <t>['reversibly affected', 'reversible increase', 'psii fluorescence', 'psi fluorescence', 'photosynthetic competence', 'photon yield', 'photochemical system', 'photochemical efficiency', 'o2 evolution', 'midday depression', 'fluorescence characteristics', 'energy distributed', 'effect lowering', 'diurnal changes', 'carotenoid zeaxanthin', 'antenna chlorophyll', 'ambient temperature', '77k fluorescence']</t>
  </si>
  <si>
    <t>Arbutus | Carotenoid | CO  uptake Chlorophyll fluorescence 2 | Midday depression of CO  uptake 2 | Photoinhibition | Photosynthesis during midday depression</t>
  </si>
  <si>
    <t>During the "midday depression" of net CO2 exchange in the mediterranean sclerophyllous shrub Arbutus unedo, examined in the field in Portugal during August of 1987, several parameters indicative of photosynthetic competence were strongly and reversibly affected. These were the photochemical efficiency of photosystem (PS) II, measured as the ratio of variable to maximum chlorophyll fluorescence, as well as the photon yield and the capacity of photosynthetic O2 evolution at 10% CO2, of which the apparent photon yield of O2 evolution was most depressed. Furthermore, there was a strong and reversible increase in the content of the carotenoid zeaxanthin in the leaves that occurred at the expense of both violaxanthin and Œ≤-carotene. Diurnal changes in fluorescence characteristics were interpreted to indicate three concurrent effects on the photochemical system. First, an increase in the rate of radiationless energy dissipation in the antenna chlorophyll, reflected by changes in 77K fluorescence of PSII and PSI as well as in chlorophyll a fluorescence at ambient temperature. Second, a state shift characterized by an increase in the proportion of energy distributed to PSI as reflected by changes in PSI fluorescence. Third, an effect lowering the photon yield of O2 evolution and PSII fluorescence at ambient temperature without affecting PSII fluorescence at 77K which would be expected from a decrease in the activity of the water splitting enzyme system, i.e. a donor side limitation. ¬© 1989 Springer-Verlag.</t>
  </si>
  <si>
    <t>377-387</t>
  </si>
  <si>
    <t>Planta</t>
  </si>
  <si>
    <t>60012689;60012689;60012689;60012689;60012689;60025199;60012689;60012689;60012689</t>
  </si>
  <si>
    <t>7003992248;7401725101;7102196432;7401839611;7006532114;7401895265;7103033210;35580687300;7006004554</t>
  </si>
  <si>
    <t>Demmig-Adams, Barbara;Adams, William W.;Winter, Klaus;Meyer, Angelika;Schreiber, Ulrich;Pereira, Jo√£o S.;Kr√ºger, Almuth;Czygan, Franz Christian;Lange, Otto L.</t>
  </si>
  <si>
    <t>Portugal;Germany</t>
  </si>
  <si>
    <t>Lisbon;Wurzburg</t>
  </si>
  <si>
    <t>Instituto Superior de Agronomia, Universidade de Lisboa;Julius-Maximilians-Universit√§t W√ºrzburg</t>
  </si>
  <si>
    <t>60025199;60012689</t>
  </si>
  <si>
    <t>Demmig-Adams B.</t>
  </si>
  <si>
    <t>Photochemical efficiency of photosystem II, photon yield of O&lt;inf&gt;2&lt;/inf&gt; evolution, photosynthetic capacity, and carotenoid composition during the midday depression of net CO&lt;inf&gt;2&lt;/inf&gt; uptake in Arbutus unedo growing in Portugal</t>
  </si>
  <si>
    <t>10.1007/BF00403596</t>
  </si>
  <si>
    <t>2-s2.0-0001344070</t>
  </si>
  <si>
    <t>['two dimensions', 'south arrays', 'south array', 'solar fast', 'solar corona', 'receiver frontend', 'quiet corona', 'quiescent corona', 'providing observations', 'projected position', 'paper describes', 'observed frequencies', 'new aspects', 'frequency observations', 'frequency capability', 'five frequencies', 'drift bursts', 'dimensional information', 'data acquisition', 'continuum emission', 'calibration procedure', '450 mhz']</t>
  </si>
  <si>
    <t>A multi-frequency capability has been added to the north-south array of the Nan√ßay Radioheliograph, providing observations at up to five frequencies between 150 and 450 MHz with time resolution ‚â§ 0.1 s. The projected position, brightness and dimension of sources in the solar corona can thus be studied as a function of height. Two-dimensional information is obtained at 164 MHz using the east-west and north-south arrays. In addition, the quiescent corona can be mapped in two dimensions at all observed frequencies by earth rotation synthesis. The paper describes the new aspects of the antennae, the receiver frontend, the data acquisition and the calibration procedure. The performances of the instrument are illustrated with multi-frequency observations of solar fast-drift bursts, continuum emission and maps of the quiet corona. ¬© 1989 Kluwer Academic Publishers.</t>
  </si>
  <si>
    <t>193-204</t>
  </si>
  <si>
    <t>1573093X</t>
  </si>
  <si>
    <t>Solar Physics</t>
  </si>
  <si>
    <t>The Mark IV Nan√ßay radioheliograph</t>
  </si>
  <si>
    <t>10.1007/BF00148543</t>
  </si>
  <si>
    <t>2-s2.0-0008612275</t>
  </si>
  <si>
    <t>['usefull guidelines', 'tmoi mode', 'thereby suggested', 'radiation characteristics', 'eigenvalue problem', 'different parameters', 'analyzed theoretically']</t>
  </si>
  <si>
    <t>An omni-directional periodic dielectric rod leaky-wave antenna operating in the TMoi mode is investigated. As an eigenvalue problem, the structure is analyzed theoretically with mode matching technique. The radiation characteristics of the antenna are calculated for different parameters with a particular attention directed to the Brewster angle effect on the performaces of the antenna; and some usefull guidelines for design of the antenna are thereby suggested. ¬© 1989 Plenum Publishing Corporation.</t>
  </si>
  <si>
    <t>405-417</t>
  </si>
  <si>
    <t>Shanjia, Xu</t>
  </si>
  <si>
    <t>Brewster angle effect on performances of omni-directional periodic rod antenna</t>
  </si>
  <si>
    <t>10.1007/BF01009339</t>
  </si>
  <si>
    <t>2-s2.0-0009166489</t>
  </si>
  <si>
    <t>['sufficiently intense', 'pump wave', 'nonsteady interactions', 'modulational instabilities', 'excited via', 'equations describing', 'electromagnetic soliton', 'antenna systems']</t>
  </si>
  <si>
    <t>Nonsteady interactions between spacecraft and plasma are investigated in detail. The system of equations describing these interactions is obtained. It is shown that an electromagnetic soliton is excited via the modulational instabilities, which result from the radiation of antenna systems on the body which are the source of waves. In the meantime the density in far wake diminishes, and its disturbance becomes also a soliton if the pump wave is sufficiently intense. ¬© 1989 Kluwer Academic Publishers.</t>
  </si>
  <si>
    <t>311-326</t>
  </si>
  <si>
    <t>1572946X</t>
  </si>
  <si>
    <t>0004640X</t>
  </si>
  <si>
    <t>Astrophysics and Space Science</t>
  </si>
  <si>
    <t>Li, Xiao Qing</t>
  </si>
  <si>
    <t>Nanjing</t>
  </si>
  <si>
    <t>Purple Mountain Observatory Chinese Academy of Sciences</t>
  </si>
  <si>
    <t>Li X.</t>
  </si>
  <si>
    <t>Nonsteady interaction of plasma with bodies moving in space</t>
  </si>
  <si>
    <t>10.1007/BF00636665</t>
  </si>
  <si>
    <t>2-s2.0-0009831141</t>
  </si>
  <si>
    <t>['wave analysis', 'values found', 'supplied value', 'substrate material', 'resonant frequency', 'relative permittivity', 'procedure begins', 'next step', 'dielectric constant']</t>
  </si>
  <si>
    <t>The relative permittivity of a substrate material may be determined by using a microstrip patch antenna. The procedure begins by performing a full-wave analysis of the antenna and determining the theoretical resonant frequency. The resonant frequency is found to depend on the dielectric constant of the substrate material. The next step is to determine the resonant frequency experimentally. The real permittivity may then be determined by iterating the dielectric constant until the theoretical frequency matches the experimental resonant frequency. To verify the computed relative permittivity value a comparison is made to values found from other methods and the manufacturer's supplied value.</t>
  </si>
  <si>
    <t>105-109</t>
  </si>
  <si>
    <t>AEU. Archiv fur Elektronik und Ubertragungstechnik</t>
  </si>
  <si>
    <t>60005304;60005304;60005304</t>
  </si>
  <si>
    <t>57210087873;57210085420;55197051100</t>
  </si>
  <si>
    <t>Biczek, Robert J.;Chan, Chi;Mittra, Raj</t>
  </si>
  <si>
    <t>Biczek R.</t>
  </si>
  <si>
    <t>Determination of the relative permittivity using a microstrip patch antenna</t>
  </si>
  <si>
    <t>2-s2.0-0024620870</t>
  </si>
  <si>
    <t>['thin cylinder', 'results compared', 'rectangular slots', 'measured pattern', 'antenna patterns', 'also used']</t>
  </si>
  <si>
    <t>Antenna patterns were calculated for two computer models of an annular slot antenna using the Basic Scattering Code (BSC) implementation of GTD. The patterns are compared with a measured pattern. The two computer models are a small electric monopole and a ring of rectangular slots. The monopole model showed good agreement with the measured pattern. The monopole was also used to compute GTD scattering from a thin cylinder, and the results compared with a more accurate field calculation using the Method of Moments.</t>
  </si>
  <si>
    <t>57-68</t>
  </si>
  <si>
    <t>Applied Computational Electromagnetics Society Journal</t>
  </si>
  <si>
    <t>Elliot, Paul G.</t>
  </si>
  <si>
    <t>Elliot P.G.</t>
  </si>
  <si>
    <t>GTD annular slot antenna models and wire scattering</t>
  </si>
  <si>
    <t>2-s2.0-0024620980</t>
  </si>
  <si>
    <t>['wire segments', 'whole device', 'radiation pattern', 'method required', 'metallic disc', 'investigated theoretically', 'integral equation', 'input admittance', 'far field', 'current distribution', 'coupling plate', 'coaxial line', 'characteristic quantities', 'characteristic properties', 'analytical results', 'accurate modelling']</t>
  </si>
  <si>
    <t>The characteristic properties of a torus antenna centred above a metallic disc were investigated theoretically and experimentally. The torus was fed through a coaxial line, whose inner conductor was terminated by a coupling plate. The integral equation method as implemented in the computer program NEC-2 was used for the calculations. We modelled the whole device by wire segments and solved the electrical field integral equation for the surface current density by the method of moments. Characteristic quantities, such as the radiation pattern and the input admittance were calculated from the current distribution. The implementation of the method required some simplifications and approximations. These are of no concern with regard to the far field; however, no meaningful results could be obtained for the input admittance. Comparison with semi-analytical results (found from Wu's integral equation) shows the need for an accurate modelling of the device.</t>
  </si>
  <si>
    <t>110-114</t>
  </si>
  <si>
    <t>Zink, Manfred</t>
  </si>
  <si>
    <t>¬†Cologne</t>
  </si>
  <si>
    <t>Deutsches Zentrum fur Luft- Und Raumfahrt</t>
  </si>
  <si>
    <t>Zink M.</t>
  </si>
  <si>
    <t>Torous antenna above a circular conducting disc, computed by the integral equation method</t>
  </si>
  <si>
    <t>2-s2.0-0024621283</t>
  </si>
  <si>
    <t>['satellite transponder', 'qpsk modem', 'paper describes', 'frequency bandwidth', 'error correction', 'dmix equipment', 'decoding capability', 'data rate', 'constraint length', 'communication link', 'coding gain', 'bearer rate', 'aperture antenna', '1536 kbit']</t>
  </si>
  <si>
    <t>This paper describes a Multiple Channels Per Carrier (MCPC) terminal which has been developed to introduce satellite communication systems into corporate multimedia networks. It offers a communication link between DMIX equipment and deals with the data rate of 192, 384, 768, or 1536 kbit/s. It employs Viterbi decoding with the constraint length of six for error correction, enabling the communication link to have a small-aperture antenna. A QPSK modem with a low-cycle skipping rate ensures a decoding capability of high-coding gain. The frequency bandwidth in the satellite transponder can be utilized by converting the bearer rate into its real information rate.</t>
  </si>
  <si>
    <t>26-36</t>
  </si>
  <si>
    <t>Fujitsu Scientific and Technical Journal</t>
  </si>
  <si>
    <t>60007951;60007951;60007951</t>
  </si>
  <si>
    <t>6604032291;7201922207;57190850931</t>
  </si>
  <si>
    <t>Seta, Mitsuru;Yamashita, Atsushi;Ono, Mitsuhiro</t>
  </si>
  <si>
    <t>Minato</t>
  </si>
  <si>
    <t>Fujitsu Ltd.</t>
  </si>
  <si>
    <t>Seta M.</t>
  </si>
  <si>
    <t>MCPC terminal for satellite communication</t>
  </si>
  <si>
    <t>2-s2.0-0024622347</t>
  </si>
  <si>
    <t>['two subsystems', 'taken place', 'r modules', 'primary device', 'present status', 'practical systems', 'practical implementation', 'power amplifier', 'phase shifter', 'microstrip patch', 'mesfets emerge', 'likely forecasts', 'likely changes', 'cost effective', 'beam steering', 'article reviews', 'active aperture']</t>
  </si>
  <si>
    <t>This article reviews the developments that have taken place in the last decade towards the realization of active aperture phased arrays. The two subsystems that contribute most to cost, namely, power amplifier and the phase shifter are then considered from the point of view of technology, present status and likely forecasts. MESFETs emerge as the primary device in MMIC for T-R modules. The question of low side lobe levels for the active aperture is then discussed. The three possible methods suggested for this purpose are reviewed and it is brought out that in practical systems, stepped power profile for the aperture will be cost effective and will meet the requirements. The emergence of fibre optic links for beam steering and control is discussed from the point of view of practical implementation and likely changes in the system. The superiority of printed circuit antenna and the employment of microstrip patch and dipole is highlighted.</t>
  </si>
  <si>
    <t>137-149</t>
  </si>
  <si>
    <t>Alta frequenza</t>
  </si>
  <si>
    <t>Shenoy, R. P.</t>
  </si>
  <si>
    <t>Shenoy R.</t>
  </si>
  <si>
    <t>Active aperture phased arrays</t>
  </si>
  <si>
    <t>2-s2.0-0024626416</t>
  </si>
  <si>
    <t>['using dsp', 'surface search', 'recent effort', 'rapid development', 'radars products', 'radar sector', 'presented along', 'new achievements', 'modern techniques', 'klystron along', 'integrated sub', 'high resolution', 'flat array', 'distinctive features', 'design approach', 'constantly improved', 'consolidated products', 'company know', 'brief description', 'assemblies design', 'achieved together']</t>
  </si>
  <si>
    <t>A brief description of the S.M.A. activities in the radar sector is presented along with the peculiarity of the design approach. High resolution in surface search and low altitude flying targets detection are the distinctive features of its radars products. According to the rapid development in every technical sector, S.M.A. had constantly improved its products as soon as new achievements were available. In the antenna technological area, the design of an X band phased array is the most recent effort; flat array and very low sidelobes reflector antennas are consolidated products. In the transmitter field magnetron, TWT, klystron along with solid state transmitters, are part of the company know-how. In the receiver the most modern techniques are achieved together with thin film technology and integrated sub-assemblies design. S.M.A. efforts are addressed to real time processing by using DSP and high speed parallel data processing.</t>
  </si>
  <si>
    <t>115-123</t>
  </si>
  <si>
    <t>101363768;101363768</t>
  </si>
  <si>
    <t>7005529218;7006264861</t>
  </si>
  <si>
    <t>Cellini, Maurizio;Piccini, Pietro</t>
  </si>
  <si>
    <t>Segnalamento Marittimo ed Aereo SpA</t>
  </si>
  <si>
    <t>Cellini M.</t>
  </si>
  <si>
    <t>S.M.A.: a profile of radar activities</t>
  </si>
  <si>
    <t>2-s2.0-0024627703</t>
  </si>
  <si>
    <t>['sensitivity characteristics', 'obtain tracking', 'different environments', 'design criteria', 'computational cost']</t>
  </si>
  <si>
    <t>To ensure full coverage of the Earth's surface a new generation radar altimeter is needed. In this paper several discriminators to obtain tracking in very different environments are analyzed. The lock-in and sensitivity characteristics are examined and a trade-off is performed considering performance and computational cost. The design criteria of the main radar parameters and the problems to implement digital chirp generator will be considered too.</t>
  </si>
  <si>
    <t>125-135</t>
  </si>
  <si>
    <t>60032350;60032350;60032350;60032350;60032350</t>
  </si>
  <si>
    <t>7005543926;7005803434;6701865354;6603909364;7005159913</t>
  </si>
  <si>
    <t>Bucciarelli, Tullio;Picardi, Giovanni;Seu, Roberto;Levrini, Guido;Perfetti, Renzo</t>
  </si>
  <si>
    <t>Sapienza Universit√† di Roma</t>
  </si>
  <si>
    <t>Bucciarelli T.</t>
  </si>
  <si>
    <t>Spaceborne altimeter design for ocean and land missions</t>
  </si>
  <si>
    <t>2-s2.0-0024627927</t>
  </si>
  <si>
    <t>['solutions exist', 'request use', 'really multifunction', 'present situation', 'performing technology', 'operationally speaking', 'even extrapolated', 'basic changes']</t>
  </si>
  <si>
    <t>Combat aircraft radars need to be more and more really multifunction, in a context more and more difficult. Present situation, even extrapolated, is not satisfactory, technically and operationally speaking. In principle, solutions exist which request use of much more performing technology, and basic changes in the designers' mind.</t>
  </si>
  <si>
    <t>81-85</t>
  </si>
  <si>
    <t>Carpentier, Michel H.</t>
  </si>
  <si>
    <t>Puteaux</t>
  </si>
  <si>
    <t>Thales Group</t>
  </si>
  <si>
    <t>Carpentier M.</t>
  </si>
  <si>
    <t>About the future of airborne radar</t>
  </si>
  <si>
    <t>2-s2.0-0024627996</t>
  </si>
  <si>
    <t>['thermal distortions', 'thermal distortion', 'thermal analysis', 'temperature profiles', 'structural analysis', 'radiating panels', 'overall structure', 'modal parameters', 'mechanical design', 'ess structure', 'ess ).', 'electrical performance', 'eigenvalue analyses', 'ebfn ),']</t>
  </si>
  <si>
    <t>The RADARSAT SAR antenna consists of three major subsystems, namely: the Elevation Beam Forming Network (EBFN), the radiating panels together with the Azimuth Power Dividing Network (APDN) and the Extendible Support Structure (ESS). A finite element model composed of the SAR antenna elements and a simplified spacecraft payload module structure was generated using MSC/NASTRAN for the thermal distortion and eigenvalue analyses. The thermal analysis was done on a finite difference model using the Thermal Model Generator (TMG) software. The thermal analysis identified three worst-case orbit positions for the temperature profiles of the radiating panels and the ESS structure. The structural analysis was performed to compute the thermal distortions of the antenna and the modal parameters of the overall structure. The thermal distortion analysis was critical because of the impact of distortions on the electrical performance of the antenna. The electrical performance analysis for the thermal distortion showed that the mechanical design was adequate.</t>
  </si>
  <si>
    <t>19-25</t>
  </si>
  <si>
    <t>Canadian Aeronautics and Space Journal</t>
  </si>
  <si>
    <t>60018714;60018714;60018714;60018714</t>
  </si>
  <si>
    <t>7003762909;7005123681;7003877904;57197282659</t>
  </si>
  <si>
    <t>Zimcik, D. G.;Donato, M.;Charron, F.;Jha, V.</t>
  </si>
  <si>
    <t>Zimcik D.</t>
  </si>
  <si>
    <t>Mechanical performance of the RADARSAT SAR antenna</t>
  </si>
  <si>
    <t>2-s2.0-0024628177</t>
  </si>
  <si>
    <t>['wide spectrum', 'various customers', 'signal processor', 'selenia radars', 'reliable data', 'radar subsystems', 'providing complete', 'peculiar features', 'paper describes', 'operational requirements', 'major role', 'illustrated highlighting', 'historical evolution', 'ground based', 'design approach', 'describing commonalities', 'data processor', 'complex systems', 'basic performance', 'authors describe']</t>
  </si>
  <si>
    <t>This paper describes the contribution of Selenia to the conception, design, production, testing, and maintenance of radars for complex systems such as those for defence (naval and ground based) and air traffic control. The authors describe the major role and the peculiar features of the radar in the various systems showing the architectural design approach and the related technology used to meet the operational requirements. Selenia radars are illustrated highlighting their historical evolution and describing commonalities and differences of the design approach, imposed by the wide spectrum of technical and operational requirements to be satisfied for the various customers. It is shown that the radars can cope with the most challenging scenarios without suffering major degradations of the basic performance, providing complete, unambiguous and reliable data. An overview of the radar subsystems and their features is provided; the antenna, transmitter, receiver, signal processor, and data processor.</t>
  </si>
  <si>
    <t>97-114</t>
  </si>
  <si>
    <t>60084299;60084299</t>
  </si>
  <si>
    <t>6602220077;6504577769</t>
  </si>
  <si>
    <t>Giaccari, Ennio;Penazzi, Carlo Alberto</t>
  </si>
  <si>
    <t>Selenia S.p.A.</t>
  </si>
  <si>
    <t>Giaccari E.</t>
  </si>
  <si>
    <t>Family of radars for advanced systems</t>
  </si>
  <si>
    <t>2-s2.0-0024628304</t>
  </si>
  <si>
    <t>['tutorial review', 'technical challenges', 'signal processing', 'paper provides', 'paper concludes', 'operational effectiveness', 'operation feaseable', 'offer counters', 'including waveform', 'electronic countermeasures', 'eccm advantages', 'earliest radars', 'duplexer permitted', 'current programmes', 'clutter characteristics', 'bistatic radars', 'approach fell', 'antenna options']</t>
  </si>
  <si>
    <t>The earliest radars were bistatic but this approach fell from favour once the invention of the duplexer permitted the simpler monostatic operation. More recently, there has been a recurrence of interest in bistatic radars since they are perceived to offer counters to most forms of electronic countermeasures. Advances in the technology for phased array antennas, signal processing and synchronisation have now made their development and operation feaseable. This paper provides a tutorial review of bistatic radars. The introductory sections discuss their ECCM advantages and the technical challenges that have constrained their operational effectiveness. These topics are followed by a description of the system design principles, including waveform and antenna options as well as target and clutter characteristics. The paper concludes with a survey of some current programmes and possible future developments.</t>
  </si>
  <si>
    <t>53-79</t>
  </si>
  <si>
    <t>Dunsmore, Michael R.B.</t>
  </si>
  <si>
    <t>Dunsmore M.</t>
  </si>
  <si>
    <t>Bistatic radars</t>
  </si>
  <si>
    <t>2-s2.0-0024628612</t>
  </si>
  <si>
    <t>['radiator constructed', 'matching characteristics', 'experimental procedure', 'experimental investigation', 'deshan method']</t>
  </si>
  <si>
    <t>Experience in using an experimental procedure to construct a two-channel microstrip circularly polarized radiator is described. An antenna excitation system is constructed on the basis of results of a series of simple measurements based on the Deshan method. Data are presented for the experimental investigation of the radiation and matching characteristics for a radiator constructed on the basis of a microstrip line coiled into a circle.</t>
  </si>
  <si>
    <t>152-154</t>
  </si>
  <si>
    <t>7101778101;6507736225</t>
  </si>
  <si>
    <t>Novikov, Yu N.;Kopylov, F. A.</t>
  </si>
  <si>
    <t>Novikov Y.</t>
  </si>
  <si>
    <t>Experience in constructing a microstrip radiator based on experimental data</t>
  </si>
  <si>
    <t>2-s2.0-0024630154</t>
  </si>
  <si>
    <t>['spatial frequencies', 'receiving elements', 'optimum number', 'minimum redundancy', 'large near', 'difference sets', 'designing aperture']</t>
  </si>
  <si>
    <t>The problem of designing aperture-synthesis (AS) systems covering given rectangular regions of spatial frequencies with as few receiving elements as possible is examined. Two-dimensional AS systems are proposed. These systems are obtained by multiplication of linear AS systems with minimum redundancy. Difference sets are used to obtain AS systems with a large near-optimum number of elements.</t>
  </si>
  <si>
    <t>115-120</t>
  </si>
  <si>
    <t>Kopilovich, L. Ye</t>
  </si>
  <si>
    <t>Kopilovich L.</t>
  </si>
  <si>
    <t>Optimization of two-dimensional aperture-synthesis systems</t>
  </si>
  <si>
    <t>2-s2.0-0024631040</t>
  </si>
  <si>
    <t>['several respects', 'scattering layers', 'results obtained', 'promising means', 'oceanologic investigations', 'oceanologic investigation', 'modernized pgl', 'irradiated volume', 'indian ocean', 'hydrophysical inhomogeneities', 'frequency dependence', 'cruise indicate', '11th cruise']</t>
  </si>
  <si>
    <t>During the 11th cruise of the R/V Akademik Mstislav Keldysh in the Indian Ocean, the modernized PGL-5M parametric sonar was used to investigate the frequency dependence of the coefficient of backscattering by hydrophysical inhomogeneities and sound scattering layers. The lobe-free, frequency-independent directivity pattern of the parametric antenna assured the irradiated volume of sea water would be constant, which was useful in several respects in employing parametric antennas in oceanologic investigations. We obtained frequency diagrams for backscattering of sound by scattering layers and hydrophysical inhomogeneities at night and during the day. The results obtained during this cruise indicate that broad-band parametric sonars combined with optimum signal processing equipment are probably the most promising means of oceanologic investigation.</t>
  </si>
  <si>
    <t>235-238</t>
  </si>
  <si>
    <t>0012494X</t>
  </si>
  <si>
    <t>Doklady. Earth science sections</t>
  </si>
  <si>
    <t>60075230;60075230;60075230;60075230;60075230</t>
  </si>
  <si>
    <t>6505828578;7004017519;57199931562;36940501000;7101834388</t>
  </si>
  <si>
    <t>Zhirtkovskiy, Yu Yu;Kotlyarov, V. V.;Kuznetsov, V. P.;Tarasov, S. P.;Timoshenko, V. I.</t>
  </si>
  <si>
    <t>Moscow</t>
  </si>
  <si>
    <t>P.P.Shirshov Institute of Oceanology, Russian Academy of Sciences</t>
  </si>
  <si>
    <t>Zhirtkovskiy Y.</t>
  </si>
  <si>
    <t>Investigation of volumetric sound scattering in the ocean with a parametric sonar</t>
  </si>
  <si>
    <t>2-s2.0-0024631266</t>
  </si>
  <si>
    <t>['utilization factor', 'usually determined', 'technological gaps', 'radiation pattern', 'present paper', 'phase distribution', 'numerical integration', 'interference lobes', 'il ).', 'energy loss', 'aperture modules', 'analytical estimate']</t>
  </si>
  <si>
    <t>The radiation pattern (RP) of a phase antenna array (PAA) of distinct antenna modules has additional radiation maxima, referred to here as interference lobes (IL). The energy loss in the IL's depends on the size of the technological gaps between modules, on the extent of the unevenness of the amplitude-phase distribution over the apertures of the modules, and on the PAA scanning angles. This loss is usually determined by numerical integration of the RP, or estimated from the RP and the area-utilization factor (AUF) of a module. In the present paper we derive an analytical estimate of the energy loss in the IL's for a PAA of large-aperture modules for apertures of tens, hundreds, or more wavelengths.</t>
  </si>
  <si>
    <t>98-100</t>
  </si>
  <si>
    <t>Polukhin, G. A.</t>
  </si>
  <si>
    <t>Polukhin G.</t>
  </si>
  <si>
    <t>Analysis of the radiation pattern of a phased antenna array of large-aperture modules</t>
  </si>
  <si>
    <t>2-s2.0-0024631824</t>
  </si>
  <si>
    <t>['test frequencies', 'significant perturbation', 'scattering structures', 'scattering structure', 'previously studied', 'metalframed spectacles', 'large number', 'investigations conducted', 'incident power', 'high degree', 'give details', 'framed spectacles', 'field levels', 'certain cases', 'acceptable levels']</t>
  </si>
  <si>
    <t>Cataract formation | Measurement technique | Metal-framed spectacles | Microwave radiation hazards</t>
  </si>
  <si>
    <t>A novel measurement technique using a monopole antenna probe has been applied to a full-size, image-plane type model of a human to determine the microwave fields near the eyes and to evaluate the effect of scattering structures, such as metal-framed spectacles, on those fields. The measurement technique relies on a 'subtraction' technique to determine the changes in fields when a scattering structure is introduced, and allows a large number of measurements to be performed in a relatively short space of time and with a high degree of accuracy. Investigations conducted in an anechoic chamber yield angles of incidence, test frequencies and wave polarisation values that give details of shielding, enhancement and depolar-isation effects due to this particular scattering structure that appeared not to have been previously studied. It has been found that the introduction of a pair of metalframed spectacles can, in certain cases, cause an increase in field levels by up to approximately 20 dB, a significant perturbation of the incident microwave field which should be accounted for in the setting of safety standards relating to acceptable levels of incident power. ¬© 1989 IFMBE.</t>
  </si>
  <si>
    <t>191-197</t>
  </si>
  <si>
    <t>Medical &amp; Biological Engineering &amp; Computing</t>
  </si>
  <si>
    <t>60009512;60009512</t>
  </si>
  <si>
    <t>6506036662;7401891327</t>
  </si>
  <si>
    <t>Davias, N.;Griffin, D. W.</t>
  </si>
  <si>
    <t>Adelaide</t>
  </si>
  <si>
    <t>The University of Adelaide</t>
  </si>
  <si>
    <t>Davias N.</t>
  </si>
  <si>
    <t>Effect of metal-framed spectacles on microwave radiation hazards to the eyes of humans</t>
  </si>
  <si>
    <t>10.1007/BF02446229</t>
  </si>
  <si>
    <t>2-s2.0-0024636295</t>
  </si>
  <si>
    <t>254-258</t>
  </si>
  <si>
    <t>6701453221;7103313639</t>
  </si>
  <si>
    <t>Tokatly, V. I.;Tishchenko, V. A.</t>
  </si>
  <si>
    <t>Tokatly V.</t>
  </si>
  <si>
    <t>System of electric parameters of an instrumentation loop antenna</t>
  </si>
  <si>
    <t>10.1007/BF00865312</t>
  </si>
  <si>
    <t>2-s2.0-0024717893</t>
  </si>
  <si>
    <t>['wide range', 'theory presented', 'theory developed', 'symmetric centrosymmetric', 'structure inherent', 'speech analysis', 'specific examples', 'special case', 'results presented', 'results obtained', 'readily extended', 'quantummechanical oscillator', 'quantum physics', 'principal component', 'pattern recognition', 'nearly 75', 'linear systems', 'linear prediction', 'indisputable usefulness', 'important role', 'electrical systems', 'doubly symmetric', 'digital filters', 'complex numbers', 'complex field', 'communication theory', 'centrosymmetric matrices', 'antenna theory']</t>
  </si>
  <si>
    <t>The structure inherent to the centrosymmetric matrices is exploited to obtain factorization results leading to significant computational savings in many engineering applications. Several interesting properties of the matrices are discussed with a view toward algorithm computational complexity. It is shown that the multiplicative complexity involved in the process of principal component (eigen-value/eigenvector) extraction, and in the evaluation of the determinant and inverse of such matrices, can be reduced by nearly 75% by employing the results presented here. The theory presented here unifies and generalizes previous computationally efficient results on several specialized generalized centrosymmetric matrices; for example, the class of symmetric centrosymmetric (or doubly symmetric) matrices is shown to be a special case of the class of centrosymmetric matrices, and since the results obtained here are applicable over the field of complex numbers, the factorization results available for centrosymmetric matrices are readily extended to the complex field. The centrosymmetric matrices play an important role in a number of areas such as pattern recognition, antenna theory, mechanical and electrical systems, and quantum physics. Specific examples of pattern recognition feature selection, a uniform linear antenna array, vibration in structures, and the quantummechanical oscillator are discussed to demonstrate that the theory developed here has a wide range of applications. In addition, certain specialized cases of the centrosymmetric matrices have, in the past, proved their indisputable usefulness in the areas of communication theory, digital filters, linear systems, linear prediction, and speech analysis. ¬© 1989 Birkh√§user.</t>
  </si>
  <si>
    <t>71-96</t>
  </si>
  <si>
    <t>0278081X</t>
  </si>
  <si>
    <t>Circuits, Systems, and Signal Processing</t>
  </si>
  <si>
    <t>60018306;60002494</t>
  </si>
  <si>
    <t>6701716144;57219982277</t>
  </si>
  <si>
    <t>Datta, Lokesh;Morgera, Salvatore D.</t>
  </si>
  <si>
    <t>Dayton;Montreal</t>
  </si>
  <si>
    <t>Wright State University;Universit√© McGill</t>
  </si>
  <si>
    <t>Datta L.</t>
  </si>
  <si>
    <t>On the reducibility of centrosymmetric matrices - Applications in engineering problems</t>
  </si>
  <si>
    <t>10.1007/BF01598746</t>
  </si>
  <si>
    <t>2-s2.0-0024774277</t>
  </si>
  <si>
    <t>['water current', 'transmitting signals', 'sufficient oxygen', 'stream bed', 'quite motionless', 'protohermes grandis', 'night ).', 'miniature crystal', 'loop antenna', 'larval posture', 'larvae use', 'larvae changed', 'frequency variation', 'determined using', 'continuously redistributed', 'changed according', 'central part', 'ambush mode', 'also taken', 'actograms revealed', '7x17x2 mm3', '7 %),', '19 days', '185 mg']</t>
  </si>
  <si>
    <t>Aquatic insect | Feeding behaviour | Protohermes grandis | Radio tracking | Respiration</t>
  </si>
  <si>
    <t>A miniature crystal-controlled radio transmitter, 7x17x2 mm3 and 185 mg in water, was attached to the back of prothorax of individual dobsonfly larvae, Protohermes grandis. Positions of these larvae in the stream bed were determined using a loop antenna, and they were tracked for 19 days. Actograms were also taken by recording the frequency variation of transmitting signals which were changed according to the larval posture. Larvae changed their positions in the stream bed in some nights, but never in the daytime. However, in most nights (92.7%), they continued to stay at the same position. Actograms revealed that larvae were quite motionless in most time (90.8% of daytime and 89.7% of night). Thus, larvae use the ambush mode of foraging in the central part of riffles where prey are continuously redistributed and sufficient oxygen is supplied with a water current. ¬© 1989 Springer-Verlag.</t>
  </si>
  <si>
    <t>468-472</t>
  </si>
  <si>
    <t>Oecologia</t>
  </si>
  <si>
    <t>60005038;</t>
  </si>
  <si>
    <t>7101952663;7005679029</t>
  </si>
  <si>
    <t>Hayashi, Fumio;Nakane, Masatoshi</t>
  </si>
  <si>
    <t>Hachioji</t>
  </si>
  <si>
    <t>Tokyo Metropolitan University</t>
  </si>
  <si>
    <t>Hayashi F.</t>
  </si>
  <si>
    <t>Radio tracking and activity monitoring of the dobsonfly larva, Protohermes grandis (Megaloptera: Corydalidae)</t>
  </si>
  <si>
    <t>10.1007/BF00378735</t>
  </si>
  <si>
    <t>2-s2.0-0024907893</t>
  </si>
  <si>
    <t>['whole thylakoids', 'thylakoids lacked', 'thylakoid membranes', 'thylakoid appression', 'stromal lamellae', 'stroma lamellae', 'still photoactive', 'state 2', 'species absorbing', 'small amount', 'results demonstrate', 'relative amounts', 'photosystem ii', 'membrane appression', 'low rates', 'low levels', 'limiting conditions', 'lhcii found', 'lhcii caused', 'laterally differentiated', 'harvesting complex', 'harvesting antennae', 'grana lamellae', 'f complex', 'exposing leaves', 'every 500', 'even though', 'energy absorbed', 'double mutant', 'cytochrome b6', 'cytochrome b', 'coupling factor', 'correctly located', 'contain grana', 'barley thylakoids', 'appressed thylakoids', 'appressed lamellae', 'antigenically distinct', 'antenna size', 'also occurs', '689 nm', '683 nm', '650 kd', '5 kd', '30 molecules']</t>
  </si>
  <si>
    <t>Chlorophyll-proteins | electron microscopy | freeze-fracture | gel electrophoresis | grana membranes | photosystem I/II | stroma membranes</t>
  </si>
  <si>
    <t>Thylakoid membranes are laterally differentiated into appressed and non-appressed regions called grana and stroma lamellae. Pure stroma lamellae isolated from wild type maize and barley leaves contain photosystem I and its light-harvesting antennae, the cytochrome b6/f complex and coupling factor. Maize stroma lamellae contained only 2% of the total photosystem II polypeptides found in whole thylakoids, and most of the small amount of the photosystem II light-harvesting complex (LHCII) was associated with photosystem I. These results were consistent with the low rates of photosystem II electron transport and low levels of the high potential form of cytochrome b-559. Immune blot assays indicated that about half of the low potential form of cytochrome b-559 in stroma lamellae was antigenically distinct from that derived from the high potential form. The amount of LHCII in stroma lamellae could be increased by exposing leaves to bright white light (state 2) prior to the isolation of stromal lamellae. This LHCII caused a 15% increase in photosystem I antenna size and was different from the LHCII found in grana lamellae, since it lacked a 26 kD polypeptide possibly involved in thylakoid appression. These results demonstrate that the migration of LHCII from appressed to non-appressed lamellae as a result of changes in the relative amounts of energy absorbed by the 2 different photosystems, also occurs in vivo. The reaction centre core of photosystem I was isolated from barley thylakoids and its molecular weight determined to be 650 kD. Attack by various proteases cleaved it into fragments of less than 5 kD, although the complex was still photoactive. However, the kinetics of photo-oxidation of P700 under light-limiting conditions were slower after proteolysis, indicating less efficient energy transfer. In a barley mutant lacking photosystem I, a chlorophyll a species absorbing at 689 nm was lacking, accounting for about 30 molecules out of every 500 in wild type thylakoids. Finally, a mutant completely lacking photosystem II activity, viridis -115, has been examined. It contained only 4% of the photosystem II-containing EFS particles found in wild type thylakoids, and lacked a chlorophyll a species absorbing at 683 nm. Immune electron microscopy revealed that the Œ±-subunit of cytochrome b-559 and the 33 kD polypeptide of the oxygen evolving complex were correctly located in appressed thylakoids, in spite of the lack of the major photosystem II core polypeptides. A double mutant, lacking both photosystem II and LHCII was found to contain grana, even though its thylakoids lacked the 2 complexes normally associated with maintenance of membrane appression in vivo. ¬© 1989 Carlsberg Laboratory.</t>
  </si>
  <si>
    <t>55-65</t>
  </si>
  <si>
    <t>Carlsberg Research Communications</t>
  </si>
  <si>
    <t>60019782;60019782</t>
  </si>
  <si>
    <t>7402414929;7006597196</t>
  </si>
  <si>
    <t>Simpson, David J.;Von Wettstein, Diter</t>
  </si>
  <si>
    <t>Copenhagen</t>
  </si>
  <si>
    <t>Carlsberg Research Center</t>
  </si>
  <si>
    <t>Simpson D.</t>
  </si>
  <si>
    <t>The structure and function of the thylakoid membrane</t>
  </si>
  <si>
    <t>10.1007/BF02907585</t>
  </si>
  <si>
    <t>2-s2.0-0038852346</t>
  </si>
  <si>
    <t>['wave antenna', 'similar performances', 'millimeter waveband', 'mgnrd leaky', 'improved structure', 'experimental data', 'dispersion characteristics', 'attractive prospect', 'analysed using']</t>
  </si>
  <si>
    <t>In this paper, an improved structure of symmetric groove nonradiative dielectric (GNRD) guide, the mono groove NRD (MGNRD) guide is presented, which keeps the similar performances of the symmetric groove structure, but is more easy to fabricate in millimeter waveband. The dispersion characteristics of the MGNRD is analysed using the transverse resonance method, then a MGNRD leaky-wave antenna is constructed, calculated and tested. The theoretical and experimental data are agreement with each other, and shows a attractive prospect for application. ¬© 1989 Plenum Publishing Corporation.</t>
  </si>
  <si>
    <t>361-370</t>
  </si>
  <si>
    <t>60005244;60005244;60005244</t>
  </si>
  <si>
    <t>16424051300;7404201926;7409424720</t>
  </si>
  <si>
    <t>Xiao, Li Ling;Zhu, Lei;Zhang, Wen Xun</t>
  </si>
  <si>
    <t>Southeast University</t>
  </si>
  <si>
    <t>Xiao L.</t>
  </si>
  <si>
    <t>Analysis of the mono-groove NRD waveguide and antenna</t>
  </si>
  <si>
    <t>10.1007/BF01009335</t>
  </si>
  <si>
    <t>2-s2.0-34249973705</t>
  </si>
  <si>
    <t>['¬© 1989', 'selective excitation', 'reaction centres', 'harvesting bchl', 'harvesting bacteriochlorophyll', 'harvesting antenna', 'excited states', 'excited light', 'excitation wavelength', 'energy transfer', 'considerably slower', 'bchl dimer', 'absorption band', '800 nm']</t>
  </si>
  <si>
    <t>(Chromatium minutissimum) | Bacterial photosynthesis | Complex B890 | Energy transfer | Excitation trapping | Picosecond spectroscopy</t>
  </si>
  <si>
    <t>The formation and decay of excited states of light-harvesting bacteriochlorophyll (BChl) molecules and primary charge separation in reaction centres (RCs) of pigment-protein complex B890 of the purple bacterium Chromatium minutissimum were studied as a function of excitation wavelength by means of picosecond absorbance difference spectroscopy. Selective excitation in the RC absorption band (at 800 nm) induced rapid bleaching of the absorption band of the RC BChl dimer (œÑ ‚àº 1 ps) without absorption changes due to excited light-harvesting BChl. It is concluded that excitation energy transfer from the BChl dimer of the RC to light-harvesting BChl molecules is considerably slower than RC charge separation. Therefore, energy transfer from the light-harvesting antenna to the RC in bacterial photosynthesis may be described as a 'migration-limited model'. ¬© 1989.</t>
  </si>
  <si>
    <t>47-50</t>
  </si>
  <si>
    <t>FEBS Letters</t>
  </si>
  <si>
    <t>60110546;60059987;60007457</t>
  </si>
  <si>
    <t>8929548100;7003895031;6603794637</t>
  </si>
  <si>
    <t>Abdourakhmanov, I. A.;Danielius, R. V.;Razjivin, A. P.</t>
  </si>
  <si>
    <t>Russian Federation;Lithuania;Russian Federation</t>
  </si>
  <si>
    <t>Pushchino;Vilnius;Moscow</t>
  </si>
  <si>
    <t>Institute of Fundamental Problems of Biology of the Russian Academy of Sciences;Vilniaus Universitetas;Lomonosov Moscow State University</t>
  </si>
  <si>
    <t>Abdourakhmanov I.A.</t>
  </si>
  <si>
    <t>Efficiency of excitation trapping by reaction centres of complex B890 from Chromatium minutissimum</t>
  </si>
  <si>
    <t>10.1016/0014-5793(89)80189-9</t>
  </si>
  <si>
    <t>2-s2.0-0002297299</t>
  </si>
  <si>
    <t>BSR-8616711</t>
  </si>
  <si>
    <t>['¬© 1989', 'water column', 'visual predators', 'time intervals', 'three levels', 'test aquarium', 'seldom move', 'sedentary species', 'remaining stationary', 'prey preferences', 'predatory strikes', 'overtly moving', 'microcomputer analysis', 'frequently move', 'fish selectivity', 'decreasing importance', 'caprellid amphipods']</t>
  </si>
  <si>
    <t>Amphipod behavior | Caprellid amphipod | Fish predation</t>
  </si>
  <si>
    <t>Fish predation upon two species of caprellid amphipods was measured in the laboratory with the aid of microcomputer analysis of video-images. This technique allowed determination of prey preferences when the predator was exposed to multiple prey specimens exhibiting multiple prey behaviors. Shiner perch Cymatogaster aggregata (Gibbons) were used as visual predators, Caprella laeviuscula Mayer represented caprellid prey which frequently move, and Deutella californica Mayer represented caprellid prey which seldom move. Time intervals between the release of fish into the test aquarium and predatory strikes were measured during four caprellid behaviors: free in the water column, crawling on hydroids, filter-feeding by pulling the antennae through the water, and remaining stationary. There are three levels of fish selectivity in decreasing importance: 1. (1)fish selected active species over the sedentary species, 2. (2) fish selected caprellids that were overtly moving: swimming &gt; crawling or filtering &gt; stationary, and 3. (3) fish preferentially selected caprellids by size (larger body length). ¬© 1989.</t>
  </si>
  <si>
    <t>173-180</t>
  </si>
  <si>
    <t>60025057-60027629</t>
  </si>
  <si>
    <t>Caine, Edsel A.</t>
  </si>
  <si>
    <t>Columbia;Beaufort</t>
  </si>
  <si>
    <t>Belle W. Baruch Institute for Marine and Coastal Sciences;University of South Carolina - Beaufort</t>
  </si>
  <si>
    <t>60027629;60025057</t>
  </si>
  <si>
    <t>Caine E.A.</t>
  </si>
  <si>
    <t>Caprellid amphipod behavior and predatory strikes by fish</t>
  </si>
  <si>
    <t>10.1016/0022-0981(89)90088-9</t>
  </si>
  <si>
    <t>2-s2.0-0024484302</t>
  </si>
  <si>
    <t>['¬© 1989', 'wave frequencies', 'scheme used', 'rights reserved', 'radiation zone', 'feeding arrangement', 'factor resulting', 'electrical engineers', 'associated circuitry', 'antenna shields']</t>
  </si>
  <si>
    <t>Antennas | Dielectrics | EM waves | Resonators</t>
  </si>
  <si>
    <t>A practical dielectric resonator antenna structure has been proposed for use at microwave and millimetre-wave frequencies. The radiator can be designed to have a low radiation Q-factor resulting in a relatively wider bandwidth of operation. The scheme used for feeding the antenna shields the feeding arrangement and the associated circuitry from the radiation zone. ¬© 1989, The Institution of Electrical Engineers. All rights reserved.</t>
  </si>
  <si>
    <t>462-464</t>
  </si>
  <si>
    <t>Mongia, R. K.</t>
  </si>
  <si>
    <t>New Delhi</t>
  </si>
  <si>
    <t>Indian Institute of Technology Delhi</t>
  </si>
  <si>
    <t>Mongia R.</t>
  </si>
  <si>
    <t>Half-Split Dielectric Resonator Placed on Metallic Plane for Antenna Applications</t>
  </si>
  <si>
    <t>10.1049/el:19890318</t>
  </si>
  <si>
    <t>2-s2.0-0024621339</t>
  </si>
  <si>
    <t>['¬© 1989', 'rights reserved', 'radiation pattern', 'electrical engineers', 'direct prediction']</t>
  </si>
  <si>
    <t>Antenna radiation patterns | Antennas | Reflector antennas</t>
  </si>
  <si>
    <t>The presented scheme permits a more direct prediction of the radiation pattern of a parabolic reflector antenna. ¬© 1989, The Institution of Electrical Engineers. All rights reserved.</t>
  </si>
  <si>
    <t>484-486</t>
  </si>
  <si>
    <t>60023456;60022144;124683922;60010491</t>
  </si>
  <si>
    <t>55436576100;7103051886;57207403975;7005949569</t>
  </si>
  <si>
    <t>Hoque, M.;Hamid, M.;Rahman, A.;Elsherbeni, A. Z.</t>
  </si>
  <si>
    <t>United States;United States;United States;Bangladesh</t>
  </si>
  <si>
    <t>Piscataway;Orlando;University;</t>
  </si>
  <si>
    <t>Telcordia Technologies, Inc.;University of Central Florida;University of Mississippi;Bangladesh University of Electrical Engineering</t>
  </si>
  <si>
    <t>60023456;60022144;60010491;124683922</t>
  </si>
  <si>
    <t>Hoque M.</t>
  </si>
  <si>
    <t>Radiation Pattern of Parabolic Reflector Antenna from Near-Field Measurements of Coupled Reflector</t>
  </si>
  <si>
    <t>10.1049/el:19890333</t>
  </si>
  <si>
    <t>2-s2.0-0024622382</t>
  </si>
  <si>
    <t>['¬© 1989', 'smaller reflector', 'rights reserved', 'radar state', 'electrical engineers', 'background terrain', 'action reflector', 'accurate calibration']</t>
  </si>
  <si>
    <t>Radar | Radar cross-sections | Radar receivers | Reflectors</t>
  </si>
  <si>
    <t>A delayed-action reflector is proposed for external radar calibration. Accurate calibration is expected by the reduction of the back-scattering from the background terrain and a smaller reflector can be used, so that the radar state is not influenced during the imaging of the terrain with calibration. ¬© 1989, The Institution of Electrical Engineers. All rights reserved.</t>
  </si>
  <si>
    <t>468-470</t>
  </si>
  <si>
    <t>Komiyama, K.</t>
  </si>
  <si>
    <t>Komiyama K.</t>
  </si>
  <si>
    <t>Delayed-Action Reflector for External Calibration of Synthetic Aperture Radar</t>
  </si>
  <si>
    <t>10.1049/el:19890322</t>
  </si>
  <si>
    <t>2-s2.0-0024623005</t>
  </si>
  <si>
    <t>DCB 88-15977</t>
  </si>
  <si>
    <t>['¬© 1989', 'working hypothesis', 'wide range', 'type counterparts', 'supramolecular assembly', 'subunits b', 'specific subunits', 'soybean chloroplasts', 'results suggest', 'ps ii', 'plant physiologists', 'photosystem ii', 'lhc ii', 'lhc h', 'jspp ).', 'japanese society', 'intermittent illumination', 'harvesting pigments', 'developmental stages', 'core complex', 'continuous illumination', 'closely associated', 'chl b', 'chi b', 'c increased', 'broad range', 'barley plants', 'barley grown', 'also appeared', '8 kda']</t>
  </si>
  <si>
    <t>Chlorophyll antenna size | Light-harvesting complex | Photosynthetic unit size | Photosystem II heterogeneity | Polypeptide composition | Soybean chloroplast | Supramolecular architecture</t>
  </si>
  <si>
    <t>The chlorophyll (Chl) a-b light harvesting complex II (LHC II) contains more than 80% of the light-harvesting pigments of photosystem II (PS II) in chloroplasts. The supramolecular assembly and function of this auxiliary antenna system was investigated in Chi b-deficient and Chi b-less mutant chloroplasts from soybean and barley plants, and in their wild-type counterparts. Four distinct LHC II polypeptides were resolved by SDS-PAGE (subunits a, b, c and d), having apparent molecular masses of 29, 28, 27.2 and 26.8 kDa, respectively. The analysis of LHC II subunit composition in different developmental stages of the PS II unit in soybean (3&gt;Chla/Chlbb&gt;6), indicated the association of specific subunits with the LHC H-inner and LHC II-peripheral in the chloroplast. The amount of subunit a in PS II was constant over a broad range of Chl a/Chl b ratios, suggesting that this subunit is closely associated with the PS II-core complex. Subunit d also appeared to be constant over a wide range of Chl a/Chl b ratios, suggesting close association with the LHC II-inner. The PS II content in subunits b and c increased with the PS II antenna development in soybean but the ratio of b/c remained constant in all developmental stages and equal to 2 :1. Subunit a was present in the Chl b-less chlorina f2 mutant of barley grown under continuous illumination but was absent under intermittent illumination. The results suggest that each subunit binds 13-15 Chl molecules. A working hypothesis is presented on the PS II antenna development and LHC II subunit composition in soybean chloroplasts. ¬© 1989 The Japanese Society of Plant Physiologists (JSPP).</t>
  </si>
  <si>
    <t>335-344</t>
  </si>
  <si>
    <t>7102472371;7007043672;57203081985</t>
  </si>
  <si>
    <t>Morrissey, Peter J.;Glick, Richard E.;Melis, Anastasios</t>
  </si>
  <si>
    <t>Morrissey P.</t>
  </si>
  <si>
    <t>Supramolecular assembly and function of subunits associated with the chlorophyll a-b light-harvesting complex II (LHC II) in soybean chloroplasts</t>
  </si>
  <si>
    <t>2-s2.0-0000242301</t>
  </si>
  <si>
    <t>['virtually absent', 'varying either', 'trapping kinetics', 'trap closure', 'thereby affects', 'spinach thylakoids', 'slow component', 'remain constant', 'reaction centers', 'plastoquinone pool', 'photosystem ii', 'middle component', 'limited case', 'functionally linked', 'fluorescence decays', 'fluorescence decay', 'flowed sample', 'excitation energy', 'emission wavelength', 'continuous increase', 'connected system', 'components vary', 'component reflects', 'closed trap', 'closed centers', 'actinic light', '7 ns', '685 nm', '330 ps', '0 ns']</t>
  </si>
  <si>
    <t>connectivity | fluorescence decay kinetics | fluorescence induction | PSII-heterogeneity | thylakoids (spinach) | trapping kinetics</t>
  </si>
  <si>
    <t>The fluorescence decay of chlorophyll in spinach thylakoids was measured as a function of the degree of closure of Photosystem II reaction centers, which was set for the flowed sample by varying either the preillumination by actinic light or the exposure of the sample to the exciting pulsed laser light. Three exponential kinetic components originating in Photosystem II were fitted to the decays; a fourth component arising from Photosystem I was determined to be negligible at the emission wavelength of 685 nm at which the fluorescence decays were measured. Both the lifetimes and the amplitudes of the components vary with reaction center closure. A fast (170-330 ps) component reflects the trapping kinetics of open Photosystem II reaction centers capable of reducing the plastoquinone pool; its amplitude decreases gradually with trap closure, which is incompatible with the concept of photosynthetic unit connectivity where excitation energy which encounters a closed trap can find a different, possibly open one. For a connected system, the amplitude of the fast fluorescence component is expected to remain constant. The slow component (1.7-3.0 ns) is virtually absent when the reaction centers are open, and its growth is attributable to the appearance of closed centers. The middle component (0.4-1.7 ns) with approximately constant amplitude may originate from centers that are not functionally linked to the plastoquinone pool. To explain the continuous increase in the lifetimes of all three components upon reaction center closure, we propose that the transmembrane electric field generated by photosynthetic turnover modulates the trapping kinetics in Photosystem II and thereby affects the excited state lifetime in the antenna in the trap-limited case. ¬© 1989 Kluwer Academic Publishers.</t>
  </si>
  <si>
    <t>85-103</t>
  </si>
  <si>
    <t>6603179319;7102209179</t>
  </si>
  <si>
    <t>Keuper, Hermann J.K.;Sauer, Kenneth</t>
  </si>
  <si>
    <t>Keuper H.</t>
  </si>
  <si>
    <t>Effect of photosystem II reaction center closure on nanosecond fluorescence relaxation kinetics</t>
  </si>
  <si>
    <t>10.1007/BF00028623</t>
  </si>
  <si>
    <t>2-s2.0-0002275981</t>
  </si>
  <si>
    <t>['second part', 'reaction centers', 'present paper', 'physical theories', 'photosynthetic organisms', 'molecular optics', 'language understandable', 'general physics', 'first part', 'excitation transfer', 'energy transfer', 'chlorophyll molecules']</t>
  </si>
  <si>
    <t>antenna Chls | energy migration | energy transfer | excited states | excitons | F√∂rster theory | photosynthesis | resonance</t>
  </si>
  <si>
    <t>The aim of the present paper is to aid biologists understand the complex physical problems of intramolecular energy transfer, in particular, between antenna (bacterio) chlorophyll molecules in vivo. The author has attempted, in the first part of the paper, to explain complicated processes of excitation transfer in a language understandable to readers with knowledge in fundamentals of general physics, but not in molecular optics. The second part of this paper is a critical review relevant to the specifics of physical theories and their applicability to the problem of energy transfer in antenna (bacterio) chlorophylls ((B) Chls) to reaction centers (RCs) in the photosynthetic organisms. ¬© 1989 Kluwer Academic Publishers.</t>
  </si>
  <si>
    <t>35-58</t>
  </si>
  <si>
    <t>Borisov, A. Y.</t>
  </si>
  <si>
    <t>Lomonosov Moscow State University</t>
  </si>
  <si>
    <t>Borisov A.</t>
  </si>
  <si>
    <t>Transfer of excitation energy in photosynthesis: some thoughts</t>
  </si>
  <si>
    <t>10.1007/BF00028621</t>
  </si>
  <si>
    <t>2-s2.0-0002446908</t>
  </si>
  <si>
    <t>['¬© 1989', 'sheath effect', 'resulting changes', 'plasma edge', 'negative biasing', 'mainly due', 'important consequences', 'icrf antenna', 'electrons drawn', 'density bump', 'dc current']</t>
  </si>
  <si>
    <t>ICRF | sheath effects | TEXTOR</t>
  </si>
  <si>
    <t>Measurements of a generated dc current between a Faraday-shielded ICRF antenna and the wall (liner) were performed on the ICRF-heated TEXTOR plasma. It is observed that the dc current, corresponding to electrons drawn by the antenna, increases by a factor of 8, reaching a value of 80 A for 200 kW ICRF power applied to the antenna. It is shown that this increased dc current is mainly due to the plasma sheath effect at the ICRF antenna. The resulting changes in the plasma edge are very similar to those observed during negative biasing of the ALT-I [1] limiter on TEXTOR. The most important consequences of the sheath effect are the occurrence of a density bump in the scrape-off layer (SOL) due to particle transport changes, and the generation of waves at harmonics of the RF generator frequency. ¬© 1989.</t>
  </si>
  <si>
    <t>288-291</t>
  </si>
  <si>
    <t>Journal of Nuclear Materials</t>
  </si>
  <si>
    <t>60004280;60004280</t>
  </si>
  <si>
    <t>6602572553;7006718297</t>
  </si>
  <si>
    <t>Van Nieuwenhove, R.;Van Oost, G.</t>
  </si>
  <si>
    <t>Koninklijke Militaire School - Ecole Royale Militaire</t>
  </si>
  <si>
    <t>Van Nieuwenhove R.</t>
  </si>
  <si>
    <t>Experimental evidence for sheath effects at the ICRF antenna and ensuing changes in the plasma boundary during ICRF on textor</t>
  </si>
  <si>
    <t>10.1016/0022-3115(89)90284-5</t>
  </si>
  <si>
    <t>2-s2.0-0012193245</t>
  </si>
  <si>
    <t>['¬© 1989', 'surface nearest', 'sputter yield', 'spatial redistribution', 'spatial distribution', 'redeposition agrees', 'redeposited layer', 'physical measurements', 'metal impurities', 'metal concentration', 'jet discharges', 'icrf heating', 'carbon radially', 'bulk material', 'antennae screens']</t>
  </si>
  <si>
    <t>erosion | JET. limiters | redeposition | tokamak</t>
  </si>
  <si>
    <t>Physical measurements of the JET graphite limiter tiles, made before and after exposure to ~ 3000 tokamak discharges, have shown that there is erosion of the surface nearest the plasma and redeposition of the carbon radially further out. The spatial distribution of the erosion/redeposition agrees with a previously proposed analytical model. The sputter yield of the redeposited layer has been measured and found to be similar to bulk material. Metals from the antennae screens are injected into JET discharges during ICRF heating. The spatial redistribution of these metal impurities on the limiter has also been studied. The observed alternate layers of metal and redeposited carbon explains the decay of the metal concentration in the plasma in ohmic discharges following ICRF heated discharges. ¬© 1989.</t>
  </si>
  <si>
    <t>356-362</t>
  </si>
  <si>
    <t>60033317;60033317;60016849;60025104;60026838;60025104;60026838</t>
  </si>
  <si>
    <t>7201778122;7004879006;7006818766;7005140549;55187235000;6602722340;7006460139</t>
  </si>
  <si>
    <t>McCracken, G. M.;Goodall, D. H.J.;Stangeby, P. C.;Coad, J. P.;Roth, J.;Denne, B.;Behrisch, R.</t>
  </si>
  <si>
    <t>United Kingdom;Germany;United Kingdom;Canada</t>
  </si>
  <si>
    <t>Abingdon;Garching bei Munchen;;Toronto</t>
  </si>
  <si>
    <t>Culham Centre for Fusion Energy;Max Planck Institute for Plasma Physics;EFDA-JET;University of Toronto</t>
  </si>
  <si>
    <t>60033317;60026838;60025104;60016849</t>
  </si>
  <si>
    <t>McCracken G.M.</t>
  </si>
  <si>
    <t>Erosion and redeposition at the JET limiters</t>
  </si>
  <si>
    <t>10.1016/0022-3115(89)90294-8</t>
  </si>
  <si>
    <t>2-s2.0-0012533841</t>
  </si>
  <si>
    <t>['nonlinear mixing', 'frequency power', 'fir power', 'fir difference', 'far infrared', 'co2 lasers', '5000 ghz', '250 mw', '200 cm']</t>
  </si>
  <si>
    <t>42.55E | 42.65</t>
  </si>
  <si>
    <t>Tunable, cw, far infrared (FIR) radiation has been generated by nonlinear mixing of radiation from two CO2 lasers in a metal-insulator-metal, (MIM) diode. The FIR difference-frequency power was radiated from the MIM diode antenna to a calibrated indium antimonide bolometer. Two-tenths of a microwatt of FIR power was generated by 250 mW from each of the CO2 lasers. Using the combination of lines from a waveguide CO2 laser, with its larger tuning range, with lines from CO2, N2O, and CO2 isotope lasers promises complete coverage of the entire far infrared band from 100 to 5000 GHz (3-200 cm-1) with stepwise-tunable cw radiation. ¬© 1989 Springer-Verlag.</t>
  </si>
  <si>
    <t>311-313</t>
  </si>
  <si>
    <t>Applied Physics B Photophysics and Laser Chemistry</t>
  </si>
  <si>
    <t>Jennings, D. A.</t>
  </si>
  <si>
    <t>Jennings D.</t>
  </si>
  <si>
    <t>Coherent tunable far infrared radiation</t>
  </si>
  <si>
    <t>10.1007/BF00694187</t>
  </si>
  <si>
    <t>2-s2.0-0024641075</t>
  </si>
  <si>
    <t>['practical examples', 'communication performance', 'beam reconfiguration']</t>
  </si>
  <si>
    <t>The author reviews techniques and technologies for the reconfiguration of communication satellite antennas making reference to the results of recent studies carried out for ESA and INTELSAT. Advantages of the beam reconfiguration for communication performance are discussed with practical examples.</t>
  </si>
  <si>
    <t>Electronic Engineering (London)</t>
  </si>
  <si>
    <t>Rispoli, Francesco</t>
  </si>
  <si>
    <t>Rispoli F.</t>
  </si>
  <si>
    <t>Reconfigurable satellite antennas: a review</t>
  </si>
  <si>
    <t>2-s2.0-0024645918</t>
  </si>
  <si>
    <t>['time deformation', 'radiation patterns', 'obstacles lead', 'main maximum', 'considerable fluctuations']</t>
  </si>
  <si>
    <t>An investigation is carried out of fluctuations in the angles of emergence of radiowaves in the centimeter band along a 18-km closed surface route. It is shown that the space-time deformation of the radiation patterns of a transmitting antenna along routes with obstacles lead to considerable fluctuations in the direction of the main maximum of the pattern with respect to a geometric line connecting corresponding points.</t>
  </si>
  <si>
    <t>;;;</t>
  </si>
  <si>
    <t>6603488444;6505829772;6505714920;6603272834</t>
  </si>
  <si>
    <t>Dagurov, P. N.;Zayakhanov, A. S.;Tsibikov, A. Ye;Chimitdorzhiyev, N. B.</t>
  </si>
  <si>
    <t>Dagurov P.</t>
  </si>
  <si>
    <t>Fluctuations of the direction of the main maximum of a transmitting antenna radiation pattern along closed surface routes</t>
  </si>
  <si>
    <t>2-s2.0-0024648753</t>
  </si>
  <si>
    <t>['quasioptimum structure', 'pass filter', 'optimum parameters', 'nonlinear filtering', 'nonlinear element', 'lock loops', 'elements comprising']</t>
  </si>
  <si>
    <t>The quasioptimum structure of the synchronization of two spatially separated oscillators is obtained on the basis of the theory of nonlinear filtering and stochastic optimum control. The optimum parameters of the elements comprising the structure are chosen. It is shown that two interacting phase-lock loops, in which a low-pass filter is the nonlinear element, constitute such a device.</t>
  </si>
  <si>
    <t>7003546834;6507165679</t>
  </si>
  <si>
    <t>Samoylenko, V. I.;Lygina, I. Yu</t>
  </si>
  <si>
    <t>Samoylenko V.</t>
  </si>
  <si>
    <t>Quasioptimum stochastic phasing of two separated oscillators</t>
  </si>
  <si>
    <t>2-s2.0-0024648774</t>
  </si>
  <si>
    <t>['two causes', 'ground reflections', 'finite distance', 'auxiliary antennas']</t>
  </si>
  <si>
    <t>A method is described for eliminating the antenna gain measurement error deriving from two causes: the finite distance between the antenna under test and the auxiliary antennas, and the effect of ground reflections.</t>
  </si>
  <si>
    <t>83-84</t>
  </si>
  <si>
    <t>Asatryan, D. G.</t>
  </si>
  <si>
    <t>Asatryan D.</t>
  </si>
  <si>
    <t>Decomposition of the interference formula in the two-antenna method</t>
  </si>
  <si>
    <t>2-s2.0-0024648873</t>
  </si>
  <si>
    <t>['spatial processing', 'mathematical modeling']</t>
  </si>
  <si>
    <t>Spatial processing of signals is shown to be possible in principle when the different control levels of a phased antenna array, allowing for a division into subarrays, are combined. The analytical results obtained are verified by the results of a mathematical modeling.</t>
  </si>
  <si>
    <t>37-44</t>
  </si>
  <si>
    <t>7006472158;6507156780;7005716899</t>
  </si>
  <si>
    <t>Abramovich, Yu I.;Ayzin, F. L.;Zelikman, M. I.</t>
  </si>
  <si>
    <t>Abramovich Y.</t>
  </si>
  <si>
    <t>Multilevel spatial filtering in adaptive arrays</t>
  </si>
  <si>
    <t>2-s2.0-0024648902</t>
  </si>
  <si>
    <t>['waves makes', 'single system', 'planar log', 'helical antennas', 'helical antenna']</t>
  </si>
  <si>
    <t>A concept is suggested for the field of a planar log-helical antenna, which makes it possible to isolate waves near the surface of such an antenna that are similar to the fast and slow spatial harmonics of a regular helical structure. It is shown that a consideration of the properties of these waves makes it possible to reduce all aspects of the theory of planar log-helical antennas to a single system and to extend a number of the results to arbitrary helical emitters.</t>
  </si>
  <si>
    <t>20-27</t>
  </si>
  <si>
    <t>6506644712;6602862908</t>
  </si>
  <si>
    <t>Goroshchenya, A. B.;Polonskiy, A. M.</t>
  </si>
  <si>
    <t>Goroshchenya A.</t>
  </si>
  <si>
    <t>Radiation field and near-surface waves in a planar log-helical antenna</t>
  </si>
  <si>
    <t>2-s2.0-0024649414</t>
  </si>
  <si>
    <t>['strip antennas', 'spatial waves', 'slot antennas', 'radiation field', 'isolate separately', 'facilitate calculations', 'energy characteristics', 'directivity patterns', 'dielectric layer']</t>
  </si>
  <si>
    <t>The effectiveness of the tensor Green function method is shown by B.A. Panchenko et al for calculation of the characteristics of strip and slot antennas with a dielectric layer. Selection of the Green function representation for an expansion in terms of the LE and LM wave modes made it possible to simplify the computational operations appreciably, to isolate separately the contribution of surface and spatial waves to the radiation field of strip antennas, and to facilitate calculations of the impedance and energy characteristics and directivity patterns. Equations are written on the basis of the approach of L.B. Felsen et al making it possible to extend the Green tensor function method to the case of media having a relative permeability different from one.</t>
  </si>
  <si>
    <t>132-134</t>
  </si>
  <si>
    <t>Shabunin, S. N.</t>
  </si>
  <si>
    <t>Shabunin S.</t>
  </si>
  <si>
    <t>Green's functions of Maxwell's equations for expansion in terms of LE and LM waves modes for magnetodielectric media</t>
  </si>
  <si>
    <t>2-s2.0-0024649515</t>
  </si>
  <si>
    <t>['similar principle', 'reverse direction', 'reciprocity plays', 'problem consists', 'output oscillations', 'nre ).', 'linear circuits', 'known principle', 'input oscillations', 'important role', 'frequency nœâ', 'frequency mœâ', 'frequency converters', 'energy transmission', 'e .,']</t>
  </si>
  <si>
    <t>The well-known principle of reciprocity plays an important role in the theory of linear circuits and antennas. We will formulate a similar principle, which we call the principle of reversibility, for multiple-frequency converters (MFC) employing nonlinear reactive elements (NRE). We will assume that input oscillations with a frequency mœâ are converted in the MFC by means of the NRE into output oscillations with a frequency of nœâ. The problem consists of determining the conditions for which energy transmission is possible in the MFC in the reverse direction, i.e., a conversion of oscillations with frequency nœâ into oscillations with a frequency nœâ.</t>
  </si>
  <si>
    <t>144-146</t>
  </si>
  <si>
    <t>Novozhilov, O. P.</t>
  </si>
  <si>
    <t>Novozhilov O.</t>
  </si>
  <si>
    <t>Reversibility principle of multiple-frequency conversion using nonlinear reactive elements</t>
  </si>
  <si>
    <t>2-s2.0-0024649738</t>
  </si>
  <si>
    <t>['united kingdom', 'service improvements', 'meet simultaneously', 'lf coverage', 'installations provided', 'engineering techniques', 'energy utilisation', 'earlier generations', 'described briefly', 'author explains', 'article describes']</t>
  </si>
  <si>
    <t>The article describes the modernisation of the LF transmission facilities in the United Kingdom and the results of service improvements, energy utilisation and engineering techniques are compared with those for earlier generations of equipment. The author explains how facilities were provided to meet simultaneously the needs of several broadcast output modes. Installations provided for an extension of LF coverage to Scotland are described briefly.</t>
  </si>
  <si>
    <t>38-57</t>
  </si>
  <si>
    <t>E.B.U. review</t>
  </si>
  <si>
    <t>Preedy, A. R.</t>
  </si>
  <si>
    <t>British Broadcasting Corporation</t>
  </si>
  <si>
    <t>Preedy A.</t>
  </si>
  <si>
    <t>LF broadcast transmission facilities in the United Kingdom</t>
  </si>
  <si>
    <t>2-s2.0-0024649774</t>
  </si>
  <si>
    <t>['spatial filter', 'multibeam field', 'known data', 'decameter waves', 'azimuthal angle']</t>
  </si>
  <si>
    <t>One of the methods for determining the azimuthal angle of arrival of a multibeam field in an ionospheric communications channel using a spatial filter is considered. Known data from the theory of antennas are used, and also the theory of the propagation of decameter waves in the ionosphere.</t>
  </si>
  <si>
    <t>7004391295;57078570500;6602218429</t>
  </si>
  <si>
    <t>Berezin, Yu V.;Korotkov, I. P.;Starchenko, V. V.</t>
  </si>
  <si>
    <t>Berezin Y.</t>
  </si>
  <si>
    <t>Determination of the azimuthal angle of arrival of a multibeam field in an ionospheric communications channel</t>
  </si>
  <si>
    <t>2-s2.0-0024650046</t>
  </si>
  <si>
    <t>['near zone', 'antenna system']</t>
  </si>
  <si>
    <t>The possibility of using a wide band receiver with a focused antenna system for investigating the natural thermal radio radiation of an agitated sea surface in the near zone is examined. It is shown that the wide-band reception regime increases the sensitivity of the receiver-antenna system.</t>
  </si>
  <si>
    <t>54-56</t>
  </si>
  <si>
    <t>7801310759;7003763338;7202839044;7801432307;56615266900;6506260240;57201908310</t>
  </si>
  <si>
    <t>Berevkin, A. A.;Dmitriyev, V. V.;Il'in, V. A.;Lobova, G. N.;Maslennikov, N. M.;Fatykhov, K. Z.;Etkin, V. S.</t>
  </si>
  <si>
    <t>Berevkin A.</t>
  </si>
  <si>
    <t>On the use of focused wide-band antennas for radiohydrophysical studies</t>
  </si>
  <si>
    <t>2-s2.0-0024650174</t>
  </si>
  <si>
    <t>['using antennas', 'primary antenna', 'polarization characteristics', 'directivity characteristic', 'differing degrees', 'different polarizations', 'background signals', 'auxiliary channels', 'adaptive control', 'ac ),']</t>
  </si>
  <si>
    <t>We have analyzed the effect of using antennas, with different polarizations for the primary and auxiliary channels of an autocompensator (AC), on the coefficient of suppression of partially polarized background signals acting along the sidelobes of the directivity characteristic of the primary antenna. We impose identity requirements for the antenna polarization parameters, and show that application of adaptive control by varying the polarization characteristics of the auxiliary channel antennas leads to reduction of the effectiveness of suppression of background signals with differing degrees of polarization.</t>
  </si>
  <si>
    <t>106-110</t>
  </si>
  <si>
    <t>7006637151;6504471375;36892547200</t>
  </si>
  <si>
    <t>Korniyenko, L. G.;Kolos, Yu A.;Mal'tsev, S. A.</t>
  </si>
  <si>
    <t>Korniyenko L.</t>
  </si>
  <si>
    <t>Effectiveness of suppression of partially polarized radio waves by an autocompensator when the antennas for the primary and auxiliary channels differ in polarization</t>
  </si>
  <si>
    <t>2-s2.0-0024650565</t>
  </si>
  <si>
    <t>R01GM030786</t>
  </si>
  <si>
    <t>['rhodobacter capsulatus', 'purple non', 'puc operon', 'prokaryotic dna', 'possible rho', 'photosynthetic tissues', 'photooxidative damage', 'new gene', 'many organisms', 'higher plants', 'genes encoding', 'gene cluster', 'first time', 'escherichia coli', 'e contain', 'designated crtk', 'carotenoid pigments', 'carotenoid genes', 'bacteriochlorophyll biosynthesis']</t>
  </si>
  <si>
    <t>Carotenoid genes | DNA sequence | Escherichia coli-like promoters | Rhodobacter capsulatus | Transcriptional regulation</t>
  </si>
  <si>
    <t>Carotenoid pigments are essential for the protection of both photosynthetic and non-photosynthetic tissues from photooxidative damage. Although carotenoid biosynthesis has been studied in many organisms from bacteria to higher plants, little is known about carotenoid biosynthetic enzymes, or the nature and regulation of the genes encoding them. We report here the first DNA sequence of carotenoid genes from any organism. We have determined the complete nucleotide sequence (11 039 bp) of a gene cluster encoding seven of the eight previously known carotenoid genes (crt A, B, C, D, E, F, I) and a new gene, designated crtK, from Rhodobacter capsulatus, a purple non-sulfur photosynthetic bacterium. The 5‚Ä≤ flanking regions of crtA, I, D and E contain a highly conserved palindromic sequence homologous to the consensus binding site for a variety of prokaryotic DNA-binding regulatory proteins. This putative regulatory palindrome is also found 5‚Ä≤ to the puc operon, encoding the light-harvesting II antenna polypeptides. Escherichia coli-like œÉ70 promoter sequences are located 5‚Ä≤ to crtI and crtD, suggesting for the first time that such promoters may exist in purple photosynthetic bacteria. The crt genes form a minimum of four distinct operons, crtA, crtIBK, crtDC and crtEF, based on inversions of transcriptional orientation within the gene cluster. Possible rho-independent transcription terminators are located 3‚Ä≤ to crtI, B, K, C and F. The 3‚Ä≤ end of crtA may overlap transcription initiation signals for a downstream gene required for bacteriochlorophyll biosynthesis. We have also observed two regions of exceptional amino acid homology between CrtI and CrtD, both of which are dehydrogenases. ¬© 1989 Springer-Verlag.</t>
  </si>
  <si>
    <t>254-268</t>
  </si>
  <si>
    <t>MGG Molecular &amp; General Genetics</t>
  </si>
  <si>
    <t>60025038-60007174;60007174;60007174;60025038-60007174</t>
  </si>
  <si>
    <t>7202411532;7006310960;57213994180;7102850269</t>
  </si>
  <si>
    <t>Armstrong, Gregory A.;Alberti, Marie;Leach, Francesca;Hearst, John E.</t>
  </si>
  <si>
    <t>Berkeley;Berkeley</t>
  </si>
  <si>
    <t>University of California, Berkeley;Lawrence Berkeley National Laboratory</t>
  </si>
  <si>
    <t>60025038;60007174</t>
  </si>
  <si>
    <t>Armstrong G.</t>
  </si>
  <si>
    <t>Nucleotide sequence, organization, and nature of the protein products of the carotenoid biosynthesis gene cluster of Rhodobacter capsulatus</t>
  </si>
  <si>
    <t>10.1007/BF00334364</t>
  </si>
  <si>
    <t>2-s2.0-0024654435</t>
  </si>
  <si>
    <t>319-323</t>
  </si>
  <si>
    <t>;;;;;;;;</t>
  </si>
  <si>
    <t>6701442050;6603109291;6506219858;7004757815;7801689124;6505776782;7103074145;7005715994;6507045418</t>
  </si>
  <si>
    <t>Pushkin, S. B.;Kashcheev, B. L.;Dudnik, B. S.;Koval', Yu A.;Leman, Yu A.;Nestulei, V. I.;Semenov, S. F.;Chernyi, V. I.;Tel'pukhovskii, N. A.</t>
  </si>
  <si>
    <t>Pushkin S.</t>
  </si>
  <si>
    <t>USSR State Standards Commission precision time-standard synchronization system based on meteor radar</t>
  </si>
  <si>
    <t>10.1007/BF00866623</t>
  </si>
  <si>
    <t>2-s2.0-0024737299</t>
  </si>
  <si>
    <t>7102476046;6701793631;16443577100;6506041644</t>
  </si>
  <si>
    <t>Fedorov, Yu A.;Ilyasov, Yu P.;Vdovin, A. S.;Oreshko, V. V.</t>
  </si>
  <si>
    <t>Fedorov Y.</t>
  </si>
  <si>
    <t>Synchronizing the time and frequency standards at the Radio Astronomy Station, Physics Institute, USSR Academy of Sciences, with the state standard for time and frequency</t>
  </si>
  <si>
    <t>10.1007/BF00866625</t>
  </si>
  <si>
    <t>2-s2.0-0024737335</t>
  </si>
  <si>
    <t>['¬© 1989', 'rights reserved', 'relative amount', 'rate constant', 'quantitative relationship', 'normal light', 'light intensity', 'concomitant decrease', 'complex regulation', 'cell cycle', 'approximately 30', 'antenna size']</t>
  </si>
  <si>
    <t>Cell Cycle | Chlorella fusca | Green Algae | Light Intensity | PS II Heterogeneity</t>
  </si>
  <si>
    <t>Fluorescence induction measurements indicate a PS II Œ±/Œ≤heterogeneity in the unicellular green alga Chlorella fusca. Under normal light the relative amount of PS IIŒ± is decreasing from 63% to 43% during the first 8 h of the cell cycle. The rate constant kŒ± shows a concomitant decrease by 20% in the first 4 h. The relative amount and antenna size of PS IIŒ± is restored in the dark. In contrast, PS II Œ≤-centres show the same rate constant during the whole cell cycle. Under low light kŒ± is increased by approximately 30% over the cell cycle, whereas no change of k Œ≤ is observed. It is concluded that the PS II organization of Chlorella is changed both during the cell cycle and the adaptation to light intensity by a complex regulation (i) involving the antenna size of Œ±-centres and (ii) changing the quantitative relationship of fast and slow reaction centres. ¬© 1989, Verlag der Zeitschrift. All rights reserved.</t>
  </si>
  <si>
    <t>243-248</t>
  </si>
  <si>
    <t>60008293-60012279;60008293;60008293</t>
  </si>
  <si>
    <t>56899916700;56899951800;7003617788</t>
  </si>
  <si>
    <t>Scheffczyk, Berthold;Damm, Ingo;Grimme, L. Horst</t>
  </si>
  <si>
    <t>Braunschweig;Bremen</t>
  </si>
  <si>
    <t>Helmholtz Centre for Infection Research (HZI);Universit√§t Bremen</t>
  </si>
  <si>
    <t>60012279;60008293</t>
  </si>
  <si>
    <t>Scheffczyk B.</t>
  </si>
  <si>
    <t>PS II&lt;inf&gt;Œ±/Œ≤&lt;/inf&gt;Heterogeneity during the Cell Cycle of the Unicellular Green Alga Chlorella fusca</t>
  </si>
  <si>
    <t>10.1515/znc-1989-3-412</t>
  </si>
  <si>
    <t>2-s2.0-0345030589</t>
  </si>
  <si>
    <t>['¬© 1989', 'wide range', 'wall conditioning', 'three antennae', 'sol parameters', 'poloidal positions', 'plasma species', 'plasma conditions', 'limiter discharges', 'jet plasma', 'impurity production', 'icrh ).', 'he3 minority', 'folding length', 'edge temperature', 'edge density', 'different toroidal', 'different scenarios', 'density profiles', 'decay exponentially', 'antenna phasing', 'antenna conditioning', 'also compared', '2 mw']</t>
  </si>
  <si>
    <t>ICRH | JET | probes | scrape-off layer</t>
  </si>
  <si>
    <t>Investigation of the scrape-off layer (SOL) at different toroidal and poloidal positions has been carried out in JET for limiter discharges with and without ion cyclotron resonance heating (ICRH). A wide range of plasma conditions (Ip ‚âà1-5 (rmMA), BT ‚âà1.8-3.5 T, „Äàne„Äâ ‚âà (1-5) √ó 1019 m-3), ICRH heating scenarios (H and He3 minority, quadrupole, monopole, dipole antenna phasing) and different machine configurations were investigated. The total ICRH power coupled to the JET plasma was ‚â§ 7.2 MW, when three antennae were used, and ‚â§ 13 MW using eight antennae operation. Limiter discharges were produced with either eight discrete graphite limiters or two full toroidal belt limiters. Density profiles in the SOL were found to decay exponentially with an e-folding length, Œªne, which changes with total input power, wall conditioning and plasma species. The modification of the plasma edge depends on the antenna phasing. The scaling of edge temperature, edge density and impurity production with „Äàne„Äâ and PT for different scenarios is presented. Changes in SOL parameters are also compared with different torus wall and antenna conditioning. ¬© 1989.</t>
  </si>
  <si>
    <t>282-287</t>
  </si>
  <si>
    <t>101113448;60008662;101113448;101113448;60008662;101113448;101113448;101113448</t>
  </si>
  <si>
    <t>6603775337;7003491523;57212335886;6603620704;7201778122;6701368283;7005140549;57198917040</t>
  </si>
  <si>
    <t>Tagle, J. A.;Erents, S. K.;Bures, M.;Brinkschulte, H.;McCracken, G. M.;De Kock, L.;Coad, J. P.;Simpson, J.</t>
  </si>
  <si>
    <t>Oxfordshire;Abingdon</t>
  </si>
  <si>
    <t>Euratom Ukaea Fusion Association;ET Joint Undertaking</t>
  </si>
  <si>
    <t>60008662;101113448</t>
  </si>
  <si>
    <t>Tagle J.A.</t>
  </si>
  <si>
    <t>The effect of different ICRH heating scenarios on the jet scrape-off layer</t>
  </si>
  <si>
    <t>10.1016/0022-3115(89)90283-3</t>
  </si>
  <si>
    <t>2-s2.0-13844312585</t>
  </si>
  <si>
    <t>['¬© 1989', 'tin coating', 'stainless steel', 'sputtering yields', 'rf pulse', 'results obtained', 'plasma action', 'hydrogen permeability', 'essential reduction', 'erosion caused', 'coatings bombarded', 'blister formation', '80 kev']</t>
  </si>
  <si>
    <t>impurity flux | TiN coating | torsatron</t>
  </si>
  <si>
    <t>Results obtained in the study of some properties of vacuum plasma deposited coatings are reported. Hydrogen permeability, sputtering yields of coatings bombarded with He+ and Ar+ ions, blister formation under irradiation with 80 keV He+ ions, and arcing under the plasma action have been measured. As a result, the TiN coating has been found to be essentially more resistant (as compared with stainless steel) to erosion caused by plasma action. Results obtained from experiments in the Uragan-3 torsatron using stainless steel antennas with and without a TiN coating are compared. The employment of TiN-coated antennas ensured an essential reduction (more than by an order of magnitude) of the flux of metal atoms arriving to the plasma during an RF pulse. ¬© 1989.</t>
  </si>
  <si>
    <t>787-790</t>
  </si>
  <si>
    <t>60008794;60008794;60008794;60008794;60008794;60008794;60008794;60008794;60008794;60008794;60008794;60008794;60008794;60008794;60008794;60008794;60008794;60008794</t>
  </si>
  <si>
    <t>57197637035;6603285734;56216464300;7103297794;6602881803;16519424600;6602651551;6602864388;7102770327;6507492098;7006059827;6602677346;7101867419;7004496694;24374973300;6507175649;7006289739;6603559476</t>
  </si>
  <si>
    <t>Vasil'ev, V. V.;Vojtsenya, V. S.;Volkov, E. D.;Volkov, Ya F.;Demidenko, I. I.;Dyatlov, V. G.;Il'enko, B. P.;Kolot, V. Ya;Konovalov, V. G.;Lomino, N. S.;Nazarov, N. I.;Pavlichenko, O. S.;Ovcharenko, V. D.;Polyakova, G. N.;Remez, L. N.;Rubtsov, K. S.;Shapoval, A. N.;Shvets, O. M.</t>
  </si>
  <si>
    <t>Ukraine</t>
  </si>
  <si>
    <t>Kharkiv</t>
  </si>
  <si>
    <t>National Science Center Kharkov Institute of Physics and Technology</t>
  </si>
  <si>
    <t>Vasil'ev V.V.</t>
  </si>
  <si>
    <t>Reduction of the metal impurity flux to the Uragan-3 torsatron plasma by the use of RF TiN-coated antennas</t>
  </si>
  <si>
    <t>10.1016/0022-3115(89)90364-4</t>
  </si>
  <si>
    <t>2-s2.0-33847588881</t>
  </si>
  <si>
    <t>['œ ∫', 'radiation patterns', 'radiating transducer', 'point source', 'measurement method', 'local monitoring', 'iron garnet', 'functions obtained', 'field region', 'experimental study', 'experimental research', 'energy picked', 'dispersion characteristics', 'different angles', 'computational method', 'authors present', 'anisotropic medium']</t>
  </si>
  <si>
    <t>The authors report theoretical and experimental research on diffraction effects associated with the excitation and propagation of surface spin waves. Expressions are derived for the Green's matrix of a point source of surface spin waves in the far-field region, and a simple scalar form of notation for the Green's function of a point source in an anisotropic medium is proposed. This form can be used to calculate the far diffraction field of an arbitrary planar antenna. The Green's functions obtained for the point source are used to calculate the radiation patterns of linear microstrip transducers, as well as the fraction of energy picked up by an analogous transducer positioned opposite the radiating transducer in the far-field region. The computational method is used to reduce the error in local monitoring of the quality of yttrium-iron garnet (YIG) films by the double-measurement method. The authors present the results of an experimental study of the dispersion characteristics of surface spin waves for different angles between Œ∫ and Hi, as well as a theoretical and experimental study of transducers that focus surface spin waves. ¬© 1989 Plenum Publishing Corporation.</t>
  </si>
  <si>
    <t>262-276</t>
  </si>
  <si>
    <t>Soviet Physics Journal</t>
  </si>
  <si>
    <t>16443753200;16441613900</t>
  </si>
  <si>
    <t>Vlaskin, S. V.;Novikov, G. M.</t>
  </si>
  <si>
    <t>Vlaskin S.</t>
  </si>
  <si>
    <t>Spin-wave diffraction in a homogeneous ferromagnetic layer</t>
  </si>
  <si>
    <t>10.1007/BF00897266</t>
  </si>
  <si>
    <t>2-s2.0-34249968073</t>
  </si>
  <si>
    <t>DE-AC02-78ET-51013</t>
  </si>
  <si>
    <t>['¬© 1989', 'z impurities', 'sol plasma', 'sol parameters', 'simultaneously measuring', 'significantly change', 'resonance layer', 'radii greater', 'radial profiles', 'power flow', 'paper presents', 'multifunctional probe', 'measured using', 'main plasma', 'low value', 'icrf antenna', 'faraday shield', 'electron parameters', 'edge region', 'earlier paper', 'density increases', 'crude estimate', 'additional observation', 'absorbed directly']</t>
  </si>
  <si>
    <t>edge | ICRF | impurity</t>
  </si>
  <si>
    <t>This paper presents a characterization of the Alcator C scrape-off layer (SOL) plasma during ICRF second harmonic hydrogen fast wave heating experiments. The SOL plasma parameters were measured using a multifunctional probe, Janus, which is capable of simultaneously measuring the ion and electron parameters both parallel and antiparallel with respect to the toroidal magnetic field. The probe data indicate, at low value of injected RF power, that there is direct edge heating and density increases at radii greater than that of the antenna Faraday shield. Increasing the injected RF power spreads both the temperature and density increases throughout the edge region, flattening the radial profiles. Varying the position of the resonance layer in the main plasma does not significantly change the effect of ICRF on the SOL parameters. Given this single spatial point characterization of the SOL, a crude estimate of power flow into and through the edge plasma indicate that ‚âà 20% of the ICRF power launched from the antenna is absorbed directly in the SOL plasma. Additional observation of the impurity source rates confirms the conclusions of an earlier paper, which attributed increasing central densities of high-Z impurities to the increase in physical sputtering rate at both the ICRF antenna's Faraday shield. ¬© 1989.</t>
  </si>
  <si>
    <t>292-299</t>
  </si>
  <si>
    <t>60022195;60022195;60022195;60022195</t>
  </si>
  <si>
    <t>57097244000;7005276050;22968084800;7103365552</t>
  </si>
  <si>
    <t>Wan, A. S.;Lipschultz, B.;McDermott, F. S.;Terry, J. L.</t>
  </si>
  <si>
    <t>Wan A.</t>
  </si>
  <si>
    <t>The effect of ICRF on the Alcator C scrape-off layer plasma</t>
  </si>
  <si>
    <t>10.1016/0022-3115(89)90285-7</t>
  </si>
  <si>
    <t>2-s2.0-45149142072</t>
  </si>
  <si>
    <t>['¬© 1989', 'well correlated', 'various limiter', 'radial profiles', 'plasma density', 'particle flux', 'neutral beam', 'main impurities', 'localised fluctuations', 'limiter discharges', 'jet tokamak', 'edge parameters']</t>
  </si>
  <si>
    <t>JET | limiter discharge | plasma boundary | X-point discharge</t>
  </si>
  <si>
    <t>The JET tokamak has been operated in various limiter and magnetic separatrix configurations with ohmic, neutral beam and ion cyclotron heating. Radial profiles of plasma density, temperature and particle flux in the scrape-off layer have been measured and scalings with core plasma parameters have been established for the limiter discharges. In the magnetic separatrix configuration, H-modes with energy confinement times up to 1 s have been obtained with neutral beam heating. There are large, localised fluctuations in the edge parameters which appear to be well correlated with the periodic global particle losses. The main impurities are oxygen and carbon. The only significant metallic impurity is nickel which originates from the ion cyclotron heating antennas. ¬© 1989.</t>
  </si>
  <si>
    <t xml:space="preserve">The JET Team, </t>
  </si>
  <si>
    <t>The JET Team</t>
  </si>
  <si>
    <t>The jet plasma boundary with limiter and X-point discharges</t>
  </si>
  <si>
    <t>10.1016/0022-3115(89)90253-5</t>
  </si>
  <si>
    <t>2-s2.0-45149142392</t>
  </si>
  <si>
    <t>['¬© 1989', 'unmelted parts', 'side protectors', 'one year', 'limiter plates', 'kyoto university', 'icrf antennae', 'heliotron e', 'heat flux', 'flux loading', 'flux damage', 'ferromagnetic phase', 'damaged parts', 'damaged area', 'cracks propagated', '5000 discharges', '160 kj', '100 kw']</t>
  </si>
  <si>
    <t>guard limiter | Heliotron E | high-heat-flux | melt | re-solidify</t>
  </si>
  <si>
    <t>We examined the limiter-plates of the side protectors of the ICRF antennae in Heliotron E at Kyoto University, which were damaged by high-heat-flux loading. The limiter plates were exposed to about 5000 discharges during one year of operation. The metallurgical examinations revealed that the heat flux had been more than 100 kW/cm2 and about 2.5-8% of total plasma energy. The damaged area had been loaded with 100-160 kJ. It is estimated that 1021 manganese atoms were released into the plasma by this high-heat-flux damage of the limiter plates. The high-heat-flux damage generated cracks in the plates. Some of the cracks propagated into the unmelted parts. The damaged parts were found to contain a ferromagnetic phase. ¬© 1989.</t>
  </si>
  <si>
    <t>976-981</t>
  </si>
  <si>
    <t>60002414;60008435;60000264;60002414;60002414;60011001;60011001</t>
  </si>
  <si>
    <t>7005928972;16478798000;7202781865;7006816647;35376805400;55573145200;35354801800</t>
  </si>
  <si>
    <t>Fujitsuka, M.;Shikama, T.;Noda, N.;Shinno, H.;Tanabe, T.;Mutoh, T.;Iiyoshi, A.</t>
  </si>
  <si>
    <t>Japan;Japan;Japan;Japan</t>
  </si>
  <si>
    <t>Kyoto;Sendai;Tsukuba;Nagoya</t>
  </si>
  <si>
    <t>Kyoto University;Tohoku University;National Institute for Materials Science;Nagoya University</t>
  </si>
  <si>
    <t>60011001;60008435;60002414;60000264</t>
  </si>
  <si>
    <t>Fujitsuka M.</t>
  </si>
  <si>
    <t>High heat flux damage of the guard limiter in Heliotron E</t>
  </si>
  <si>
    <t>10.1016/0022-3115(89)90396-6</t>
  </si>
  <si>
    <t>2-s2.0-45149143607</t>
  </si>
  <si>
    <t>Fonds De La Recherche Scientifique - FNRS</t>
  </si>
  <si>
    <t>['¬© 1989', 'widely investigated', 'wave spectrum', 'wave field', 'tca tokamak', 'strongly affected', 'strong depletion', 'rf power', 'radio frequency', 'present measurements', 'plasma interaction', 'negative crossing', 'langmuir probes', 'floating potential', 'edge density', 'density rise', 'density increase', 'continuum part', 'better understanding', 'behaviour mentioned', 'behaviour changes', 'basic parameters', 'associated eigenmodes']</t>
  </si>
  <si>
    <t>Alfv√©n wave | scrape-off layer | TCA tokamak</t>
  </si>
  <si>
    <t>The study of the scrape-off layer (SOL) during Alfv√©n wave heating may lead to a better understanding of the antenna-plasma interaction. The scrape-off layer of the TCA tokamak has been widely investigated by means of Langmuir probes. The aim of this work is to present measurements on the influence of the Alfv√©n wave spectrum on the scrape-off layer. These experiments have shown that the plasma boundary layer is strongly affected by the wave field, in particular the ion saturation current and the floating potential. In TCA, as the spectrum evolves due to a density rise, the passage of the Alfv√©n continua and their associated eigenmodes, the Discrete Alfv√©n Wave (DAW) induces a strong depletion in the edge density of up to 70% during the continuum part and a density increase during the crossing of an eigenmode. The floating potential becomes negative during the continua and even more negative crossing the eigenmodes. In case of MHD mode activity, this behaviour changes for power exceeding 100 kW. The profiles of basic parameters are modified, depending on the wave spectrum. MHD mode activity which can occur during the RF (radio frequency) phase considerably alters the behaviour mentioned above. Finally, the modulation of the RF power allows us to characterize the coupling between RF power and typical edge parameters. ¬© 1989.</t>
  </si>
  <si>
    <t>270-275</t>
  </si>
  <si>
    <t>60028186;60028186</t>
  </si>
  <si>
    <t>7102907016;57204260704</t>
  </si>
  <si>
    <t>Martin, Y.;Hollenstein, Ch</t>
  </si>
  <si>
    <t>Martin Y.</t>
  </si>
  <si>
    <t>Influence of the alfv√©n wave spectrum on the scrape-off layer of the tca tokamak</t>
  </si>
  <si>
    <t>002231158990281X</t>
  </si>
  <si>
    <t>10.1016/0022-3115(89)90281-X</t>
  </si>
  <si>
    <t>2-s2.0-45149143749</t>
  </si>
  <si>
    <t>['¬© 1989', 'rf pulse', 'pumping frequency', 'impurity release', 'impurity influx', 'icrf production', 'harmonics produce', 'cr ).', 'antenna surface', '3 torsatron']</t>
  </si>
  <si>
    <t>ICRF heating | impurity | plasma Sheath | potential | torsatron</t>
  </si>
  <si>
    <t>Possible mechanisms responsible for metal impurity release during ICRF production and heating of the plasma are studied with the URAGAN-3 torsatron. It is shown that the edge plasma potential oscillations at the pumping frequency and its harmonics produce an impurity influx from the surface of the helical winding casings (Fe, Cr). The impurity release from the antenna surface (Ti) is caused by a quasisteady ~ 100 eV ion flux arising in the divertor magnetic flux region during the RF pulse. ¬© 1989.</t>
  </si>
  <si>
    <t>458-461</t>
  </si>
  <si>
    <t>60011313;60011313;60011313;60011313;60011313;60011313;60011313;60011313;60011313;60011313</t>
  </si>
  <si>
    <t>7102129803;7102770327;7006059827;55572699500;7004496694;6602533022;7005059656;6601970421;7006289739;6603559476</t>
  </si>
  <si>
    <t>Grigor'eva, L. I.;Konovalov, V. G.;Nazarov, N. I.;Plyusnin, V. V.;Polyakova, G. N.;Skibenko, A. I.;Fomin, I. P.;Chechkin, V. V.;Shapoval, A. N.;Shvets, O. M.</t>
  </si>
  <si>
    <t>Kiev</t>
  </si>
  <si>
    <t>National Academy of Sciences in Ukraine</t>
  </si>
  <si>
    <t>Grigor'eva L.</t>
  </si>
  <si>
    <t>A study of the mechanisms of metal impurity release during ICRF heating in the URAGAN-3 torsatron</t>
  </si>
  <si>
    <t>10.1016/0022-3115(89)90312-7</t>
  </si>
  <si>
    <t>2-s2.0-45149146111</t>
  </si>
  <si>
    <t>['satisfactory result']</t>
  </si>
  <si>
    <t>Antenna | Optimization | Share</t>
  </si>
  <si>
    <t>Module sharing technique for a dual reflector antenna is presented, which makes different apertured main reflectors of the same focus sharing one set of module by means of optimizing the subreflector. To optimize the subreflector, a fast convergence optimization method is given with a satisfactory result. ¬© 1989 Science Press.</t>
  </si>
  <si>
    <t>158-161</t>
  </si>
  <si>
    <t>Journal of Electronics (China)</t>
  </si>
  <si>
    <t>60025578;60025578</t>
  </si>
  <si>
    <t>57071535300;24785665500</t>
  </si>
  <si>
    <t>Guohua, Xu;Yihong, Qi</t>
  </si>
  <si>
    <t>Xi'an</t>
  </si>
  <si>
    <t>Xidian University</t>
  </si>
  <si>
    <t>Guohua X.</t>
  </si>
  <si>
    <t>Module sharing design technique for dual reflector antenna</t>
  </si>
  <si>
    <t>10.1007/BF02778844</t>
  </si>
  <si>
    <t>2-s2.0-51649148811</t>
  </si>
  <si>
    <t>['tracking performences', 'tracking antenna', 'signal target', 'scan kind', 'polarization performances', 'nutating joint', 'nutating conical', 'measured values', 'linear polarization', 'design principle', 'complex structure', 'caught quickly', 'beam deviated', 'antenna show', 'antenna axis', 'also introduced']</t>
  </si>
  <si>
    <t>Automatic-tracking | Conical-scan antenna | Non-nutating feed</t>
  </si>
  <si>
    <t>An introduction of an auto-tracking antenna is given to replace the nutating conical-scan kind. In tracking the signal target with linear polarization, the use of the nutating joint with complex structure can be avoided. The advantages are evident in economy and stability. The design principle of the antenna and feed is also introduced. According to this principle, the antenna has been made. The measured values of the feed and antenna show that the angles of the beam deviated from the antenna axis in any plane are almost the same and the polarization performances are excellent. In tracking the signal target with linear polarization, the target is caught quickly and exactly, and the situation of the antenna is stable. The tracking performences are satisfactory. ¬© 1989 Science Press.</t>
  </si>
  <si>
    <t>179-183</t>
  </si>
  <si>
    <t>24789393500;6505632598</t>
  </si>
  <si>
    <t>Wenpu, Zhou;Rirong, Zhang</t>
  </si>
  <si>
    <t>Wenpu Z.</t>
  </si>
  <si>
    <t>A constant polarization conical-scan antenna without nutating feed</t>
  </si>
  <si>
    <t>10.1007/BF02778847</t>
  </si>
  <si>
    <t>2-s2.0-51649149690</t>
  </si>
  <si>
    <t>['testing functions', 'simple shift', 'radiation pattern', 'numerical results', 'moment method', 'integral equation', 'aperture field']</t>
  </si>
  <si>
    <t>Antenna | Moment method | Planar antenna | Stripline</t>
  </si>
  <si>
    <t>Numerical results of the aperture field, radiation pattern and directivity of a stripline planar antenna element are obtained by the moment method. The difficulty of singularities in the integral equation has been overcome by a simple shift of the testing functions. ¬© 1989 Science Press.</t>
  </si>
  <si>
    <t>148-157</t>
  </si>
  <si>
    <t>60017605;60017605</t>
  </si>
  <si>
    <t>7801364093;24789212100</t>
  </si>
  <si>
    <t>Jinguang, Chen;Wenhong, Shi</t>
  </si>
  <si>
    <t>Fuzhou</t>
  </si>
  <si>
    <t>Fuzhou University</t>
  </si>
  <si>
    <t>Jinguang C.</t>
  </si>
  <si>
    <t>Theoretical study of a stripline planar antenna</t>
  </si>
  <si>
    <t>10.1007/BF02778843</t>
  </si>
  <si>
    <t>2-s2.0-51649154231</t>
  </si>
  <si>
    <t>['¬© 1989', 'xpd within', 'xpd introduced', 'worst case', 'tracking beamwidth', 'standard 15', 'rights reserved', 'negligibly low', 'intelsat specification', 'electrical engineers', 'depolarisation effects', 'crosspolar discrimination', 'computed close', 'boresight shift', 'appropriately scaled', 'antennas enclosed', 'antenna boresight', 'antenna axis', '6 ghz', '4 ghz']</t>
  </si>
  <si>
    <t>Antennas | Crosspolarisation</t>
  </si>
  <si>
    <t>The reduction in size of Intelsat standard ‚ÄòA‚Äô satellite communication antennas from 30¬∑5 m to 15 m in diameter has necessitated the computation of depolarisation effects when the smaller antennas employ metal and dielectric space frame radomes for hardening and protection. Using the standard 15 m antennas enclosed by appropriately scaled-down metal and dielectric space frame radomes, the crosspolar discrimination (XPD) and the boresight shift (BS) have been computed close to antenna axis at 4 and 6 GHz. Comparisons with the larger 30¬∑5 m antennas enclosed by 45 m radomes have been made. It is reported that within 01¬∞ of antenna boresight, the XPD introduced by the radomes does not exceed 33¬∑0 dB as the worst case at 4 GHz. In particular, the Intelsat specification of 30¬∑7 dB for the XPD within the antenna's tracking beamwidth in clear weather conditions for frequency re-use satellite communication systems is satisfied. The BS is negligibly low. ¬© 1989, The Institution of Electrical Engineers. All rights reserved.</t>
  </si>
  <si>
    <t>506-507</t>
  </si>
  <si>
    <t>60029714;60021097</t>
  </si>
  <si>
    <t>6506567818;55806265000</t>
  </si>
  <si>
    <t>Rwabona-Katashaya, S.;Evans, B. G.</t>
  </si>
  <si>
    <t>South Africa;United Kingdom</t>
  </si>
  <si>
    <t>Potchefstroom;Guildford</t>
  </si>
  <si>
    <t>North-West University;University of Surrey</t>
  </si>
  <si>
    <t>Rwabona-Katashaya S.</t>
  </si>
  <si>
    <t>Radome Crosspolarisation on Intelsat Standard ‚ÄòA‚Äô Communication Satellite Antennas</t>
  </si>
  <si>
    <t>10.1049/el:19890346</t>
  </si>
  <si>
    <t>2-s2.0-0024641145</t>
  </si>
  <si>
    <t>['used successfully', 'transmission distance', 'technology makes', 'radar calibration', 'photonic systems', 'microwave applications', 'make use', 'localized extension', 'including systems', 'future applications', 'fiber optics', 'distribution systems', 'communication antennas', 'cable television', 'array radar', 'arbitrary modulation', '20 kilometers', '10 meters']</t>
  </si>
  <si>
    <t>The ability to handle analog signals with arbitrary modulation in photonic systems is a relatively recent development. This technology makes it possible to bring the advantages of fiber optics to rf and microwave transmission systems, including systems that use amplitude modulation (AM). With the devices that are now available, rf or microwave applications now can make use of fiber optic links, whether the transmission distance is 10 meters or 20 kilometers. Fiber optic technology is now being used successfully in a variety of demanding analog applications, including microwave antenna remoting, upgrading of cable television (CATV) distribution systems and localized extension of cellular telephone service. Future applications should include delay lines for radar calibration, as well as feeds for phased-array radar and communication antennas.</t>
  </si>
  <si>
    <t>Photonics Spectra</t>
  </si>
  <si>
    <t>Grimes, Gary</t>
  </si>
  <si>
    <t>Nokia Corporation</t>
  </si>
  <si>
    <t>Grimes G.</t>
  </si>
  <si>
    <t>Where microwave and optics meet</t>
  </si>
  <si>
    <t>2-s2.0-0024656361</t>
  </si>
  <si>
    <t>['solving maxwell', 'magnetic field', 'linear maxwell', 'impulse excitation', 'harmuth ansatz', 'commenter seeks', 'commenter notes']</t>
  </si>
  <si>
    <t>The commenter notes that the intention of M.E. El-Shandwily's paper (1988) is to demonstrate that the linear Maxwell's equations can be applied to the case of a pulse or step-function field change. If this can be demonstrated, then, it is claimed, the Harmuth Ansatz (1986) for solving Maxwell's equations to obtain the magnetic field for impulse excitation is unnecessary. The commenter seeks to show that El-Shandwily actually implements the Harmuth Ansatz, which explains the concurrence of Harmuth's and El-Shandwily's predictions.</t>
  </si>
  <si>
    <t>197-199</t>
  </si>
  <si>
    <t>Barrett, Terence W.</t>
  </si>
  <si>
    <t>Barrett T.</t>
  </si>
  <si>
    <t>Comments on 'Solutions of Maxwell's equations for general nonperiodic waves in lossy media' by M. E. El-Shandwily</t>
  </si>
  <si>
    <t>10.1109/15.18791</t>
  </si>
  <si>
    <t>2-s2.0-0024662910</t>
  </si>
  <si>
    <t>['various dielectric', 'resulting equations', 'radiation characteristics', 'polarized field', 'metallic interfaces', 'magnetic currents', 'forward direction', 'differential equations']</t>
  </si>
  <si>
    <t>A technique for improving the radiation characteristics of resonant dielectric cavity antennas by using a circular conducting ring is proposed. The ring is used as a director in front of the antenna in order to obtain equal E and H plane far field patterns in the forward direction. The analysis of the problem is expressed in terms of integro-differential equations for the equivalent surface electric and magnetic currents on the various dielectric and metallic interfaces of the antenna. The method of moments is used to solve the resulting equations. The effects of the thickness, diameter and height of the ring on the E and H plane radiation patterns as well as the cross-polarized field are presented for cylindrical and hemi-spherical dielectric cavity antennas.</t>
  </si>
  <si>
    <t>158-165</t>
  </si>
  <si>
    <t>60010491;60010491</t>
  </si>
  <si>
    <t>7004922524;7005949569</t>
  </si>
  <si>
    <t>Kishk, Ahmed A.;Elsherbeni, Atef Z.</t>
  </si>
  <si>
    <t>Radiation characteristics of dielectric resonator antennas loaded with a beam-forming ring</t>
  </si>
  <si>
    <t>2-s2.0-0024662973</t>
  </si>
  <si>
    <t>['¬± h', 'values holding', 'sinusoidal waves', 'sinosoidal waves', 'signal transmission', 'resolution angle', 'receiving antenna', 'radiating antenna', 'primarily due', 'nonsinusoidal waves', 'field strength', 'binary waves']</t>
  </si>
  <si>
    <t>The well-known radar equation for sinosoidal waves is extended to apply to nonsinusoidal waves, in particular to binary waves with the two values ¬±E and ¬±H for the electric- and magnetic-field strength during signal transmission. Three major modifications have to be made: 1) the concept of radar cross section is changed; 2) the gain of the radiating antenna and the resolution angle of the receiving antenna are different from the values holding for sinusoidal waves; and 3) the effect of noise is modified, primarily due to the absence of a rectifier.</t>
  </si>
  <si>
    <t>138-147</t>
  </si>
  <si>
    <t>Harmuth, Henning F.</t>
  </si>
  <si>
    <t>Catholic University of America</t>
  </si>
  <si>
    <t>Harmuth H.</t>
  </si>
  <si>
    <t>Radar equation for nonsinusoidal waves</t>
  </si>
  <si>
    <t>10.1109/15.18781</t>
  </si>
  <si>
    <t>2-s2.0-0024663009</t>
  </si>
  <si>
    <t>ATM 8807449</t>
  </si>
  <si>
    <t>['vertical antenna', 'two techniques', 'realistic modeling', 'particularly useful', 'numerically equivalent', 'monopole technique', 'monopole approach', 'magnetic fields', 'ground plane', 'fields using', 'existed regarding', 'equivalence analytically', 'dipole techniques', 'authors show', 'apparent confusion', 'analytical expressions']</t>
  </si>
  <si>
    <t>Two different techniques (monopole and dipole) for calculating the electric and magnetic fields from a distribution of currents and charges are discussed. Both techniques have been used for calculating the fields from lightning. A simple lightning return stroke current model, consisting of a square current pulse traveling up a vertical antenna above a ground plane, is used to compare the two techniques. Analytical expressions are obtained for the fields using each technique. These expressions are shown to be numerically equivalent, but the authors are unable to prove their equivalence analytically. It is concluded that the monopole and the dipole techniques can both be derived from Maxwell's equations and hence that both are correct. In attempting to dispel the apparent confusion that has existed regarding the validity of the monopole technique, the authors show that the monopole approach, as discussed in the literature, is applicable only to upward-traveling current waves and hence is not particularly useful in the realistic modeling of lightning return strokes.</t>
  </si>
  <si>
    <t>60013959;60013959</t>
  </si>
  <si>
    <t>7201682529;7006300896</t>
  </si>
  <si>
    <t>Rubinstein, Marcos;Uman, Martin A.</t>
  </si>
  <si>
    <t>University of Florida</t>
  </si>
  <si>
    <t>Rubinstein M.</t>
  </si>
  <si>
    <t>Methods for calculating the electromagnetic fields from a known source distribution: Application to lightning</t>
  </si>
  <si>
    <t>10.1109/15.18788</t>
  </si>
  <si>
    <t>2-s2.0-0024663201</t>
  </si>
  <si>
    <t>['radiated emissions', 'mode currents', 'ignore common', 'greatly exceed', 'cables ).', 'bear little']</t>
  </si>
  <si>
    <t>It is shown that radiated emissions due to common-mode currents on printed circuit board lands can greatly exceed those due to differential-mode currents. It is concluded that predictions of radiated emissions based solely on differential-mode (transmission-line) currents can bear little, if any, resemblance to actual measured emissions. Therefore, radiated emission prediction models that use only differential-mode (transmission-line) currents and ignore common-mode (antenna) currents are not adequate for the prediction of radiated emissions from printed circuit boards (as well as cables).</t>
  </si>
  <si>
    <t>189-193</t>
  </si>
  <si>
    <t>Paul, Clayton R.</t>
  </si>
  <si>
    <t>Lexington</t>
  </si>
  <si>
    <t>University of Kentucky</t>
  </si>
  <si>
    <t>Paul C.</t>
  </si>
  <si>
    <t>Comparison of the contributions of common-mode and differential-mode currents in radiated emissions</t>
  </si>
  <si>
    <t>10.1109/15.18789</t>
  </si>
  <si>
    <t>2-s2.0-0024666062</t>
  </si>
  <si>
    <t>['transverse orientations', 'quasiwave approach', 'proposed approach', 'isotropic plasma', 'input impedance', 'found within', 'electrical length', 'dipole relative', 'current distribution', 'anistropic plasma']</t>
  </si>
  <si>
    <t>A quasiwave approach to the problem of determining the properties of antennas in an isotropic plasma is formulated. The input impedance and current distribution in a balanced electric dipole for longitudinal and transverse orientations of the dipole relative to an external magnetic field are found within the framework of the proposed approach. An intrinsic electrodynamic scale is introduced that makes it possible to determine the electrical length of the antenna in an anistropic plasma.</t>
  </si>
  <si>
    <t>Yeremin, S. M.</t>
  </si>
  <si>
    <t>Yeremin S.</t>
  </si>
  <si>
    <t>Impedance of an electric dipole in an anisotropic plasma</t>
  </si>
  <si>
    <t>2-s2.0-0024666635</t>
  </si>
  <si>
    <t>['two types', 'plane waveguide', 'open end', 'constructed using', 'boundary conditions']</t>
  </si>
  <si>
    <t>An accurate numerical algorithm for solving the problem of radiation from the open end of a plane waveguide with smoothly varying width is constructed using the incomplete Galerkin method with semiinversion in the boundary conditions. The results of numerical calculations demonstrating that the approach is efficient are presented for two types of irregularity.</t>
  </si>
  <si>
    <t>45-51</t>
  </si>
  <si>
    <t>;;;;</t>
  </si>
  <si>
    <t>6602882360;7004722141;57205242331;7005177292;7006376914</t>
  </si>
  <si>
    <t>Kopenkin, A. D.;Kurayev, A. A.;Slepyan, A. YA;Slepyan, G. YA;Cherepenin, V. A.</t>
  </si>
  <si>
    <t>Kopenkin A.</t>
  </si>
  <si>
    <t>Radiation of waves from the open end of a smoothly irregular waveguide</t>
  </si>
  <si>
    <t>2-s2.0-0024666636</t>
  </si>
  <si>
    <t>['support elements', 'scanning sector', 'rigid supports', 'polarization characteristics', 'orthogonal dipoles', 'matching sections', 'ground plane', 'four legs', 'feed lines', 'dipoles orthogonal', 'circular polarization', 'array increase', 'antenna array', 'also used']</t>
  </si>
  <si>
    <t>We investigate an antenna array (AR) of crossed dipoles supported on four legs by which the orthogonal dipoles are attached to the ground plane. These legs are also used as feed lines and matching sections. An analysis of the polarization characteristics of an antenna array whose radiating elements are crossed dipoles fed in quadrature is presented. It is shown that the support elements (rigid supports) of the dipoles orthogonal to the ground plane, together with a subarray of passive elements embedded in the array increase the scanning sector in which the radiated field approximates to circular polarization.</t>
  </si>
  <si>
    <t>109-111</t>
  </si>
  <si>
    <t>7005006600;7004901004;7005995556</t>
  </si>
  <si>
    <t>Kolosova, T. A.;Surkov, V. I.;Zhukova, A. N.</t>
  </si>
  <si>
    <t>Kolosova T.A.</t>
  </si>
  <si>
    <t>Polarization characteristics of an antenna array of crossed dipoles</t>
  </si>
  <si>
    <t>2-s2.0-0024666676</t>
  </si>
  <si>
    <t>['random error', 'linear antenna', 'fresnel zone']</t>
  </si>
  <si>
    <t>An expression is derived for the average field strength of a linear antenna in the Fresnel zone when there are random phase errors in the distribution of the sources. Graphs are given that characterize the change in the distribution of the average field strength as a function of the coordinates of the point of observation and the parameters of the random error. The integral power characteristics of the field are examined in addition to the local power characteristics.</t>
  </si>
  <si>
    <t>17-24</t>
  </si>
  <si>
    <t>6601974180;6506883287</t>
  </si>
  <si>
    <t>Shifrin, YA S.;Borodavko, YU M.</t>
  </si>
  <si>
    <t>Shifrin Y.</t>
  </si>
  <si>
    <t>Statistics of the field of a linear antenna in the fresnel zone</t>
  </si>
  <si>
    <t>2-s2.0-0024666783</t>
  </si>
  <si>
    <t>['problems involved', 'previous data', 'paa operation', 'device acquires', 'data contained', 'dasdars ),', 'dapas adaptation', 'adaptive devices', 'actual signal']</t>
  </si>
  <si>
    <t>The problems involved in constructing a digital adaptive phased antenna system DAPAS, in which the memory and adaptive devices of the microprocessor are correlated with the actual signal of the phased antenna array, are considered. By introducing into the DAPAS a device that stores actual data and compares them with previous data, it is possible to increase the speed of DAPAS adaptation. This device acquires, stores, and discriminates the actual received signal (DASDARS), which may be compared, at all stages of the PAA operation, with data contained in the memory and AD, and correlated as a function of actual received signals.</t>
  </si>
  <si>
    <t>115-116</t>
  </si>
  <si>
    <t>6602267294;7005505421</t>
  </si>
  <si>
    <t>Afromeyev, A. S.;Naumov, I. A.</t>
  </si>
  <si>
    <t>Afromeyev A.</t>
  </si>
  <si>
    <t>Digital adapted phased antenna system</t>
  </si>
  <si>
    <t>2-s2.0-0024666818</t>
  </si>
  <si>
    <t>['vhs ),', 'user friendly', 'picture enhancement', 'long play', 'key areas', 'fi sound', 'enabled jvc', 'conflicting requirements', 'affordable technology']</t>
  </si>
  <si>
    <t>The Video Home System (VHS), developed by JVC, has become the leading domestic VCR format. It provides reasonable performance and meets the consumer's conflicting requirements of flexibility, affordability and reliability. During its lifetime it has been extended and refined, without compromising compatibility, to include such features as long play, hi-fi sound and 'HQ' picture enhancement. Machines have evolved which are more user friendly, employing wireless remote control, tape index systems and bar-code timer programming. In the price-conscious consumer electronics industry, the constraints of affordable technology and those of tape head manufacture were fundamental in creating the original VHS specification. Now progress in these key areas has enabled JVC to develop 'Super-VHS' (S-VHS), which has the potential to extend picture display quality well beyond VHS's limitations.</t>
  </si>
  <si>
    <t>466-469</t>
  </si>
  <si>
    <t>Electronics &amp; Wireless World</t>
  </si>
  <si>
    <t>Dolman, Peter H.</t>
  </si>
  <si>
    <t>Dolman P.</t>
  </si>
  <si>
    <t>Inside S-VHS</t>
  </si>
  <si>
    <t>2-s2.0-0024666890</t>
  </si>
  <si>
    <t>['surface roughness', 'set normal', 'reflecting properties', 'radar systems', 'radar measurements', 'problems arising', 'paper considers', 'obtaining information', 'electric axis', 'direct processing', 'channel antenna', 'brightness maps']</t>
  </si>
  <si>
    <t>The Venera-15 and -16 automatic interplanetary stations (AIS) carried lateral scanning (LS) and radio-altimeter (RA) radar systems. The electric axis of the RA-channel antenna was set normal to the surface and that of the LS-channel antenna in a direction 10¬∞ off the vertical. Hypsometric and radio-brightness maps of the Northern polar region of Venus were obtained by direct processing of the radar measurements of these channels. This paper considers the problems arising in obtaining information on the reflecting properties of the planet's surface. Data on the surface roughness and the specular reflection coefficient of the Venusian circumpolar region are presented.</t>
  </si>
  <si>
    <t>55-58</t>
  </si>
  <si>
    <t>7102349043;6508089850;6506082248;6504268080;56353444800;7202104608</t>
  </si>
  <si>
    <t>Abramov, A. V.;Grechishchev, A. V.;Zherikhin, N. V.;Zheltikov, I. A.;Levchenko, G. M.;Morozov, A. A.</t>
  </si>
  <si>
    <t>Abramov A.</t>
  </si>
  <si>
    <t>Reflecting properties of the Venusian surface from the radar data of the Venera-15 and -16 automatic interplanetary stations</t>
  </si>
  <si>
    <t>2-s2.0-0024667123</t>
  </si>
  <si>
    <t>['weighting function', 'uniform approximation', 'radiating pattern', 'phase synthesis', 'numerical modeling', 'antenna arrays']</t>
  </si>
  <si>
    <t>A method for the phase synthesis of a radiating pattern (RP) for a given amplitude excitation distribution of the antenna arrays is proposed. An algorithm is given for constructing the weighting function of the mean power criterion which can be used to obtain improved accuracy characteristics of a uniform approximation of the desired radiation pattern on a logarithmic (decibel) scale. Results of numerical modeling are given.</t>
  </si>
  <si>
    <t>6603900630;6603244472</t>
  </si>
  <si>
    <t>Bulkin, V. M.;Kremenetskiy, S. D.</t>
  </si>
  <si>
    <t>Bulkin V.</t>
  </si>
  <si>
    <t>Phase synthesis of a radiation pattern in a uniformly logarithmic approximation</t>
  </si>
  <si>
    <t>2-s2.0-0024667324</t>
  </si>
  <si>
    <t>['total field', 'radiation pattern', 'measurement technique', 'direct radiation', 'antenna mounted', 'also presented']</t>
  </si>
  <si>
    <t>A measurement technique is introduced to simulate the radiation pattern of an antenna mounted on an infinite sized ground plane. The edge diffracted fields from a finite ground plane are measured and then subtracted from the total field to yield only the direct radiation from the antenna that would be present if the antenna were mounted on an infinitely large ground plane. Comparisons with theory are also presented.</t>
  </si>
  <si>
    <t>694-696</t>
  </si>
  <si>
    <t>7004377085;57218985569;7402507033</t>
  </si>
  <si>
    <t>Delgado, H. J.;Williams, J. T.;Long, S. A.</t>
  </si>
  <si>
    <t>Delgado H.J.</t>
  </si>
  <si>
    <t>Subtraction of edge-diffracted fields in antenna radiation patterns for simulation of infinite ground plane</t>
  </si>
  <si>
    <t>2-s2.0-0024667430</t>
  </si>
  <si>
    <t>['radiation power', 'radiation patterns', 'optimum pattern', 'concentration factor', 'aperture antennas']</t>
  </si>
  <si>
    <t>An optimum pattern for which the radiation power concentration factor is maximized is found in the class of radiation patterns with a maximally flat main lobe of circular-aperture antennas. The present paper formulates and solves the problem of maximizing the concentration factor of the radiation power of antennas with a circular axisymmetric aperture in the class of maximally flat radiation patterns.</t>
  </si>
  <si>
    <t>33-39</t>
  </si>
  <si>
    <t>16448437600;6507704865;6507184832</t>
  </si>
  <si>
    <t>Mints, M. YA;Prilepskiy, YE D.;Zaslonko, V. M.</t>
  </si>
  <si>
    <t>Mints M.</t>
  </si>
  <si>
    <t>Optimization of the radiation power concentration factor of an antenna with a circular aperture and a maximally flat radiation pattern</t>
  </si>
  <si>
    <t>2-s2.0-0024667615</t>
  </si>
  <si>
    <t>['taking recourse', 'quiet zone', 'perennially endeavoured', 'paper discusses', 'engineering ingenuity', 'concave domes', 'concave dome', 'complementary wedges']</t>
  </si>
  <si>
    <t>Designers of microwave anechoic chambers (MAC) have perennially endeavoured to improve the performance of the chambers by engineering ingenuity, rather than by taking recourse to high quality absorbers, since the quest is always to achieve better performance by cost competitive designs. This paper puts forth the idea of complementary wedges that can be carved out of the concave domes. While both the concave dome and complementary wedge serve the function of rerouting the reflected signals away from the quiet zone, the latter does the job more effectively. This paper discusses the performance of MAC when complementary wedges are present.</t>
  </si>
  <si>
    <t>60072226;60072226;60072226;60072226</t>
  </si>
  <si>
    <t>7102968953;36017581400;6603281684;7101690000</t>
  </si>
  <si>
    <t>Chandra, M. C.;Subbaiah, P. V.;Babu, L. Sainath;Raju, P. V.Rama</t>
  </si>
  <si>
    <t>Vijayawada</t>
  </si>
  <si>
    <t>Velagapudi Ramakrishna Siddhartha Engineering College</t>
  </si>
  <si>
    <t>Chandra M.C.</t>
  </si>
  <si>
    <t>Complementary wedges and performance of microwave anechoic chambers</t>
  </si>
  <si>
    <t>2-s2.0-0024667632</t>
  </si>
  <si>
    <t>['vast array', 'two frequencies', 'shared aperture', 'satellite stations', 'rapid communication', 'military ground', 'large number', 'frequency bands', 'broad range', 'angular coverage', 'accurate information']</t>
  </si>
  <si>
    <t>Rapid communication of accurate information between military ground, sea, air, and satellite stations is essential. Military communications links involve a large number of frequency bands and targets can be present in a vast array of geometries. For these reasons, multiple object tracking and communication through a shared aperture over a broad range of frequencies and a hemisphere of angular coverage are desired. Phased arrays cannot do this because they can be made to operate at only one or two frequencies. However, a spherical Luneberg lens with several different feeds can accomplish the task.</t>
  </si>
  <si>
    <t>456-458</t>
  </si>
  <si>
    <t>55416558800;36873685800</t>
  </si>
  <si>
    <t>Mitchell, Mark A.;Sandford, John R.</t>
  </si>
  <si>
    <t>Mitchell M.</t>
  </si>
  <si>
    <t>Luneberg lens revival</t>
  </si>
  <si>
    <t>2-s2.0-0024667857</t>
  </si>
  <si>
    <t>['weighting factors', 'three algorithms', 'statistical processing', 'statistical averaging', 'signal power', 'signal amplitude', 'multipath propagation', 'linear averaging', 'interference error', 'finding results', 'effective means', 'complex fading']</t>
  </si>
  <si>
    <t>The purpose is to determine the interference error of an amplitude-type direction finder taking the bearing from the maximum, and to assess the effectiveness, in reducing the effect of multipath propagation under conditions of complex fading (phase and amplitude simultaneously), of three algorithms for statistical processing of direction-finding results: linear averaging, weighted averaging whose weight is proportional to the signal amplitude, and weighted averaging using the signal power as the weighting factors. A theoretical analysis shows that statistical averaging of the bearing is an effective means of reducing the interference error of an amplitude-type direction finder in the presence of complex fading.</t>
  </si>
  <si>
    <t>45-47</t>
  </si>
  <si>
    <t>6506508489;13406786200</t>
  </si>
  <si>
    <t>Barabashov, B. G.;Pelevin, O. Yu</t>
  </si>
  <si>
    <t>Barabashov B.</t>
  </si>
  <si>
    <t>Estimate of the effectiveness of interference-error averaging algorithms of an amplitude-type direction finder</t>
  </si>
  <si>
    <t>2-s2.0-0024667961</t>
  </si>
  <si>
    <t>['wedges since', 'test volume', 'tapered chambers', 'reflectivity level', 'quiet zone', 'protrude slightly', 'paper examines', 'economic way', 'convex domes', 'chamber volume']</t>
  </si>
  <si>
    <t>An economic way of reducing the reflectivity level in the quiet zone of a microwave anechoic chamber (MAC) is by the deployment of wedges that reroute the single bounce specular reflections away from the test volume. This paper examines the viability of convex domes that protrude slightly into the chamber volume as alternatives for wedges. It is established that the convex domes are inferior to the wedges since the former cannot altogether eliminate reflected rays entering the quiet zone. Both rectangular and tapered chambers have been considered.</t>
  </si>
  <si>
    <t>7102968953;6503962160;6603281684;7101690000</t>
  </si>
  <si>
    <t>Chandra, M. C.;Subbbaiah, P. V.;Babu, L. Sainath;Raju, P. V.Rama</t>
  </si>
  <si>
    <t>Chandra M.</t>
  </si>
  <si>
    <t>Viability of convex domes for improvement of performance of microwave anechoic chambers</t>
  </si>
  <si>
    <t>2-s2.0-0024668033</t>
  </si>
  <si>
    <t>['traveling wave', 'rp ),', 'radiation patterns', 'new antenna', 'limited class', 'especially important', 'diminishing amplitude', 'broad class', 'antenna features']</t>
  </si>
  <si>
    <t>In the centimeter wave band a traveling wave antenna is realized relatively simply in the form of a nonsymmetrical strip line. The antenna construction offers the possibility of using printing plate technology for its construction, which is especially important in the development of highly directional antennas. The antenna features a limited class of realizable radiation patterns (RP), with a corresponding current distribution in the form of a traveling wave with diminishing amplitude. A new antenna is proposed in this paper having an arbitrary current distribution along its surface, which enables a broad class of radiation patterns to be realized.</t>
  </si>
  <si>
    <t>20-24</t>
  </si>
  <si>
    <t>7003963010;6603558268;7201567438</t>
  </si>
  <si>
    <t>Tereshin, O. N.;Dvurechenskiy, V. D.;Fedotov, A. Yu</t>
  </si>
  <si>
    <t>Tereshin O.</t>
  </si>
  <si>
    <t>Synthesis of an antenna based on a 'ladder-type' line</t>
  </si>
  <si>
    <t>2-s2.0-0024668170</t>
  </si>
  <si>
    <t>['radiators may', 'practical interest', 'plane ).', 'placed parallel', 'particular attention', 'noticeable directivity', 'dipole center', 'antenna arrays']</t>
  </si>
  <si>
    <t>Radiators, characterized by a noticeable directivity at small electrical dimensions and featuring a single supply source, are of practical interest. Such radiators may be used as receiving TV antennas, as well as elements of antenna arrays or mirror and lens antenna exciters. Particular attention is focussed on radiators with 'nonprotruding' design, i.e., located in the same plane. For this reason, we cosider an antenna system comprising a short symmetric dipole and a narrow plane metallic ring, placed parallel to it at a distance d, whose axis runs through the dipole center (at d = 0, the dipole and ring are in the same plane).</t>
  </si>
  <si>
    <t>7007013967;6507998599</t>
  </si>
  <si>
    <t>Pimenov, Yu V.;Yampol'skiy, A. V.</t>
  </si>
  <si>
    <t>Pimenov Y.</t>
  </si>
  <si>
    <t>Increasing the effectiveness of dipole antennas</t>
  </si>
  <si>
    <t>2-s2.0-0024668240</t>
  </si>
  <si>
    <t>['z axis', 'various norms', 'specifically enable', 'smallest norm', 'rms approximation', 'prescribed pattern', 'numerical examples', 'given including', 'given accuracy', 'directed parallel', 'current smoothness', 'cosecant pattern', 'const plane', 'circular cylinder']</t>
  </si>
  <si>
    <t>The problem of determining the current in a circular cylinder is solved for current having the smallest norm and producing a pattern that approximates a prescribed pattern with a given accuracy. The current is directed parallel to the z axis of the cylinder and is independent of z = const plane. Various norms are given including those dependent on current smoothness. Numerical examples are given which, specifically enable the results of an RMS approximation of a cosecant pattern on a segment and a circle to be compared.</t>
  </si>
  <si>
    <t>25-33</t>
  </si>
  <si>
    <t>7003706658;6507888178</t>
  </si>
  <si>
    <t>Katsenelenbaum, B. Z.;Shalukhin, M. YU</t>
  </si>
  <si>
    <t>Katsenelenbaum B.</t>
  </si>
  <si>
    <t>Optimum current synthesis on a circle</t>
  </si>
  <si>
    <t>2-s2.0-0024668311</t>
  </si>
  <si>
    <t>['single frequency', 'service zones', 'radio stations', 'planned network', 'noise ratios', 'important parameters', 'critical possibilities']</t>
  </si>
  <si>
    <t>When solving actual planning problems, information is needed on the critical loading potential of frequency bands assigned for HF radio broadcasting networks which allows a forecast of the characteristics of a planned network. One of the important parameters which can be used to evaluate the critical possibilities of frequency band utilization is the frequency capacity factor Kf, defined as the number of radio stations that may operate simultaneously on a single frequency while observing, within their own service zones, the accepted protection signal-to-noise ratios. This paper is intended to estimate such a factor under a number of assumptions.</t>
  </si>
  <si>
    <t>6603322231;6505588636;6602958327;7202125217</t>
  </si>
  <si>
    <t>Dotolev, V. G.;Kuz'kina, G. M.;Sergeyev, O. I.;Titov, A. T.</t>
  </si>
  <si>
    <t>Dotolev V.</t>
  </si>
  <si>
    <t>Determination of the number of SW broadcasting radio stations operating simultaneously on a single frequency</t>
  </si>
  <si>
    <t>2-s2.0-0024668855</t>
  </si>
  <si>
    <t>['three components', 'slowest component', 'significantly altered', 'proportional decrease', 'preferential quenching', 'photosystem 2', 'photosynthetic bacteria', 'oxygen evolution', 'observed modification', 'induced quenching', 'fv ).', 'fm ).', 'fast decays', 'concentrations lower', 'concentration range', 'carotenoid bleaching', 'b complexes', 'also measuring', '20 œºm', '1963 ).']</t>
  </si>
  <si>
    <t>chlorophyll fluorescence lifetime | K IrCl  quenching 2 6 | light harvesting complex | Photosystem 2 heterogeneity</t>
  </si>
  <si>
    <t>To understand the origins of the different lifetime components of photosystem 2 (PS2) chlorophyll (Chl) fluorescence we have studied their susceptibility to potassium iridic chloride (K2IrCl6) which has been shown to bleach antenna pigments of photosynthetic bacteria (Loach et al. 1963). The addition of K2IrCl6 to PS2 particles gives rise to a preferential quenching of the variable Chl fluorescence (Fv). At concentrations lower than 20 ŒºM, this is brought about mainly by a decrease in the yield, but not in the lifetime, of the slowest component when all the PS2 reaction centres are closed (FM). The yield of the middle and fast decays are not significantly altered. This type of quenching is not seen with DNB. The iridate-induced quenching of the initial fluorescence level (F0) is due to a proportional decrease in the yield and lifetime of the three components and correlates with the observed modification in the relative quantum yield of oxygen evolution. In this concentration range a bleaching of Chl a is seen. At higher iridate levels, greater than 20 ŒºM, a proportional decrease in the lifetimes and yields of the three kinetic components is seen at FM. These changes are associated with a carotenoid bleaching. In isolated light harvesting Chl a/b complexes of PS2 (LHC2), iridate addition converts a 4 ns decay into a 200 ps emission and both types of bleaching are observed. By also measuring the rate of PS2 trap closure versus iridate concentration, we have discussed the results in terms of excitation energy transfer. ¬© 1989 Kluwer Academic Publishers.</t>
  </si>
  <si>
    <t>173-189</t>
  </si>
  <si>
    <t>60019615;60008134;60008134;60106017</t>
  </si>
  <si>
    <t>7006167383;7101788792;6701397313;7003638379</t>
  </si>
  <si>
    <t>Boussac, A.;Hodges, M.;Briantais, J. M.;Moya, I.</t>
  </si>
  <si>
    <t>Saint-Aubin;Gif-sur-Yvette;Paris</t>
  </si>
  <si>
    <t>Universite Paris-Saclay;CEA Saclay;CNRS Centre National de la Recherche Scientifique</t>
  </si>
  <si>
    <t>60106017;60019615;60008134</t>
  </si>
  <si>
    <t>Boussac A.</t>
  </si>
  <si>
    <t>The quenching characteristics of potassium iridic chloride and their meaning for the origin of chlorophyll fluorescence components</t>
  </si>
  <si>
    <t>10.1007/BF00034125</t>
  </si>
  <si>
    <t>2-s2.0-3042677809</t>
  </si>
  <si>
    <t>['wave region', 'wave imaging', 'quasioptical circuits', 'frequency modulated', 'experiments show', 'dimensional imaging', 'detectors integrated', 'day fets', 'applied usefully', '63 ghz']</t>
  </si>
  <si>
    <t>focal plane array | microstrip | quasioptical | radar</t>
  </si>
  <si>
    <t>The application of field effect transistor (FET) detectors integrated with planar twin dipole microstrip antennas to millimeter-wave imaging has been demonstrated. Circuits were configured as practical heterodyne mixers, as elements in a 2√ó3 element planar focal plane array for imaging, and as receivers in frequency modulated (FM) radars for three-dimensional imaging, at 63 GHz. These experiments show that quasioptical circuits, using conventional present-day FETs and simple printed circuit construction, can be applied usefully in the millimeter-wave region. ¬© 1989 Plenum Publishing Corporation.</t>
  </si>
  <si>
    <t>565-578</t>
  </si>
  <si>
    <t>Millimeter-wave imaging using FET detectors integrated with printed circuit antennas</t>
  </si>
  <si>
    <t>10.1007/BF01043255</t>
  </si>
  <si>
    <t>2-s2.0-34249969973</t>
  </si>
  <si>
    <t>['¬© 1989', 'test mass', 'stable way', 'originally varying', 'normal modes', 'first time']</t>
  </si>
  <si>
    <t>The seismic noise excitation of the normal modes in the three-dimensional Pisa Super Attenuator, to be used in a long base interferometric gravitational antenna, produces large movements of the 400 kg test mass. In this paper it is shown, for the first time, that it is possible to damp, in a stable way, these normal modes using a six-dimensional damping system acting on the second suspended mass instead of the test mass itself, with the purpose not to reintroduce seismic noise. In this way the large displacement normal modes, including the verticals and the rotations, have been damped and the pendulum maximum displacement, originally varying from 15 to 30 Œºm according to the seismic noise intensity, has been reduced to less than 3.4 Œºm allowing locking to a fringe of the interferometer. ¬© 1989.</t>
  </si>
  <si>
    <t>329-333</t>
  </si>
  <si>
    <t>Physics Letters A</t>
  </si>
  <si>
    <t>60028868;60028868;60028868;60028868;60028868;60028868;60028868;60028868</t>
  </si>
  <si>
    <t>35227009000;6603424528;7003777189;7004046447;22943966700;23015157600;57189876378;7003569996</t>
  </si>
  <si>
    <t>Bradaschia, C.;Del Fabbro, R.;Di Fiore, L.;Di Virgilio, A.;Giazotto, A.;Kautzky, H.;Montelatici, V.;Passuello, D.</t>
  </si>
  <si>
    <t>Bradaschia C.</t>
  </si>
  <si>
    <t>First results on the electronic cooling of the Pisa seismic noise super-attenuator for gravitational wave detection</t>
  </si>
  <si>
    <t>0375-9601(89)90900-6</t>
  </si>
  <si>
    <t>10.1016/0375-9601(89)90900-6</t>
  </si>
  <si>
    <t>2-s2.0-0001420446</t>
  </si>
  <si>
    <t>['surface waves', 'structures offer', 'specific need', 'radiation properties', 'millimeter wave', 'gain structures', 'element used', 'electrically thick', 'efficiently radiate', 'discuss considerations', 'dipole antennas', 'dielectric substrates', 'dielectric layers', 'beam patterns', 'arbitrary number', 'analysis techniques', 'also offer', 'also considered']</t>
  </si>
  <si>
    <t>This paper presents calculations of the radiation properties of slot and dipole antennas on electrically thick, grounded, dielectric substrates. These structures offer the possibility of simplifying the fabrication of imaging array antenna structures which operate at millimeter wave and far infrared freqeuncies. They also offer the possiblility of good beam patterns which can be tailored to suit a specific need. We present an analysis of practical layered structures which have beam patterns that are suitable for millimeter wave and far-infrared imaging array applications. We discuss considerations of the choice of dielectric layers with regard to beam patterns, surface wave losses, and the type of element used. The effects of dielectric and ground plane losses in high-gain structures are also considered. Efficiencies and beam patterns for three and five layer structures are presented, although the analysis techniques are extendable to an arbitrary number of layers. It is found that in combination with the use of a twin element configuration, both slot and dipole antennas can overcome the problems of losses to surface waves in the substrate. Consequently, they can be made to efficiently radiate to air on these layered dielectric structures. ¬© 1989 Plenum Publishing Corporation.</t>
  </si>
  <si>
    <t>697-728</t>
  </si>
  <si>
    <t>16454983700;7006694199</t>
  </si>
  <si>
    <t>Rogers, R. L.;Neikirk, D. P.</t>
  </si>
  <si>
    <t>Rogers R.</t>
  </si>
  <si>
    <t>Radiation properties of slot and dipole elements on layered substrates</t>
  </si>
  <si>
    <t>10.1007/BF01009570</t>
  </si>
  <si>
    <t>2-s2.0-0000723984</t>
  </si>
  <si>
    <t>['temperatures lower', 'temperature range', 'temperature effect', 'temperature dependent', 'short time', 'saturating co2', 'reaction center', 'quenching process', 'pinus sylvestris', 'pinus contorta', 'photosystem ii', 'photon yield', 'photoinhibitory conditions', 'mainly caused', 'linear relationship', 'laboratory conditions', 'hardended seedlings', 'fvwithout effect', 'fupon lowering', 'frost hardening', 'f0generally increases', 'excitation energy', 'equally sensitive', 'electron transport', 'antenna complex', 'acclimative state', '77 k', '2 h']</t>
  </si>
  <si>
    <t>conifer | fluorescence | photoinhibition of photosynthesis | photon yield | pine | Pinus contorta | Pinus sylvestris</t>
  </si>
  <si>
    <t>Needles of un-hardened and frost-hardended seedlings of Pinus sylvestris and Pinus contorta were exposed to photoinhibitory photon flux densities at temperatures between 0 and 35¬∞C under laboratory conditions. Photoinhibition of photosynthesis was assayed by measuring oxygen evolution under saturating CO2 in a leaf disc oxygen electrode or by recording of photosystem II fluorescence induction kinetics at 77 K. It was demonstrated that frost hardening of pine did not affect the susceptibility of photosynthesis to short time (2 h) photoinhibition at 15¬∞C. The two pine species irrespective of acclimative state were equally sensitive to photoinhibition as assayed by apparent photon yield analyses of photosynthetic oxygen evolution. Plots of the apparent photon yield of oxygen evolution vs. Fv/Fmrevealed a non-linear relationship. In the temperature range of 15-20¬∞C short term photoinhibition caused a loss of Fvwithout effect on F0. However, photoinhibition at temperatures lower or higher caused F0to increase and decrease, respectively. In fact the decrease of Fvv/Fupon lowering the temperature was mainly caused by the temperature effect on F0. Besides photoinhibition causing the well established quenching of Fvby increased radiationless decay somewhere in the reaction center-antenna complex, it is suggested that F0generally increases as a result of loss of functional reaction centers causing decreased trapping of excitation energy. However, the high temperature induced quenching of F0suggests that the quenching process (or processes) induced under photoinhibitory conditions is temperature dependent; i.e. it increases with the increase of temperature. In pine the photon yield of photosynthesis was much more sensitive to short term photoinhibition than was the rate of light saturated photosynthesis. This difference is explained by photosystem II and electron transport having surplus capacity relative to that of reductive carbon metabolism. ¬© 1989 Kluwer Academic Publishers.</t>
  </si>
  <si>
    <t>261-277</t>
  </si>
  <si>
    <t>60031040;60031040</t>
  </si>
  <si>
    <t>56212852200;6603593335</t>
  </si>
  <si>
    <t>√ñquist, Gunnar;Malmberg, Gunilla</t>
  </si>
  <si>
    <t>Umea</t>
  </si>
  <si>
    <t>Ume√• Universitet</t>
  </si>
  <si>
    <t>√ñquist G.</t>
  </si>
  <si>
    <t>Light and temperature dependent inhibition of photosynthesis in frost-hardened and un-hardened seedlings of pine</t>
  </si>
  <si>
    <t>10.1007/BF00034069</t>
  </si>
  <si>
    <t>2-s2.0-0001694353</t>
  </si>
  <si>
    <t>['young plants', 'various processes', 'various changes', 'two days', 'tolerant dent', 'three populations', 'susceptible populations', 'susceptible one', 'susceptible flint', 'subcellular level', 'six days', 'reaction centers', 'ratio fm', 'night ).', 'necessarily comparable', 'metabolic activity', 'leaf 4', 'full recovery', 'four populations', 'fluorescence technique', 'fluorescence properties', 'fluorescence parameters', 'flint types', 'dent types', 'contrasting resistance', 'common phenomenon', 'antennae pigments', 'absorbed light', '6 days']</t>
  </si>
  <si>
    <t>breeding | chlorophyll fluorescence | chlorosis | cold tolerance | maize | Zea mays L</t>
  </si>
  <si>
    <t>Chlorosis in maize (Zea mays L.) is a common phenomenon in the 12 to 17¬∞C temperature range. A newly developed chlorophyll-fluorescence technique was used to elucidate the underlying subcellular processes of resistance to chlorosis. Four populations were used that were developed by divergent mass selection for contrasting resistance to chlorosis in a cold-tolerant dent and a cold-tolerant flint population. Young plants from the four populations were kept for six days at 17/10, 15/10 and 13/10¬∞C (day/night). After 1, 3 and 6 days various chlorophyll-fluorescence parameters were determined. The measurements were done on leaf 4. Differences were not uniform for all fluorescence properties. The resistant and susceptible populations of the two sets differed for the Q-quenching which is related to the electron transport rate in the chloroplast. For the E-quenching which is related to the Calvin cycle activity, the resistant dent differed significantly from the other three populations. The ratio Fm/Fo (related to the transfer of absorbed light-energy from antennae pigments to reaction centers in the chloroplast) was higher for the resistant dent population than for the susceptible one. The flint types did not differ for this property. Apparently, divergent mass selection for chlorosis resistance resulted in various changes at the subcellular level that are not necessarily comparable for flint and dent types. When after 6 days the temperature was raised from 13¬∞C to 17¬∞C, the fluorescence signals led to the conclusion that there was a full recovery of various processes after two days, except for the metabolic activity of the susceptible flint. ¬© 1989 Kluwer Academic Publishers.</t>
  </si>
  <si>
    <t>235-247</t>
  </si>
  <si>
    <t>60004156;60004156;60004156</t>
  </si>
  <si>
    <t>55398056200;56087574200;6602726258</t>
  </si>
  <si>
    <t>Schapendonk, A. H.C.M.;Dolstra, O.;van Kooten, O.</t>
  </si>
  <si>
    <t>Wageningen</t>
  </si>
  <si>
    <t>Wageningen University &amp; Research</t>
  </si>
  <si>
    <t>Schapendonk A.</t>
  </si>
  <si>
    <t>The use of chlorophyll fluorescence as a screening method for cold tolerance in maize</t>
  </si>
  <si>
    <t>10.1007/BF00034067</t>
  </si>
  <si>
    <t>2-s2.0-0002734335</t>
  </si>
  <si>
    <t>['winds measured', 'wind speeds', 'wind speed', 'various parameters', 'systematic errors', 'previous objections', 'physical quantities', 'pattern scale', 'particular measurement', 'parameters apart', 'natural fading', 'making measurements', 'interferometric applications', 'great caution', 'general shown', 'erroneous measurements', 'discussion examines', 'derived parameters', 'brief introduction', 'assumptions made', 'aspect sensitivities', 'always possible']</t>
  </si>
  <si>
    <t>correlation analysis | interferometry | scatterers | spaced antennas | Winds</t>
  </si>
  <si>
    <t>The spaced antenna method has proved to be an important and relatively inexpensive radar technique for making measurements of atmospheric wind velocities and other parameters. This discussion examines the reliability and accuracies of various parameters which can be measured with the technique. After a brief introduction, a series of comparisons of winds measured by the spaced antenna method and simultaneously by other techniques are presented. It is concluded that when using weak partial reflections in the height range 0-100km, the spaced antenna technique provides reliable estimates of the neutral air motion. Following this the assumptions made in applying the method are considered in more detail. The possibility of systematic errors and the likelihood of erroneous measurements are examined, and the accuracy of any particular measurement of wind speed is discussed. Previous objections to the technique are discussed, and in general shown to be invalid. Other parameters apart from wind speeds can be measured with the spaced antenna technique, such as pattern scale, the rate of natural fading, and angles of arrival. The meanings of these parameters are discussed in terms of physical quantities such as turbulent energy dissipation rates, small-scale gravity wave velocity fluctuations, and aspect sensitivities of scatterers, and it is indicated when and how these derived parameters can be applied to deduce meaningful physical quantities. The need for great caution in making these interpretations is discussed; for example it is not always possible to use the rate of natural fading to estimate the intensity of turbulence, although in some cases this is possible. Finally, interferometric applications of spaced antenna systems are discussed. ¬© 1989 Birkh√§user Verlag.</t>
  </si>
  <si>
    <t>571-604</t>
  </si>
  <si>
    <t>Pure and Applied Geophysics PAGEOPH</t>
  </si>
  <si>
    <t>60009512;60011001;60017695</t>
  </si>
  <si>
    <t>23166780300;7202957110;7003907481</t>
  </si>
  <si>
    <t>Hocking, W. K.;May, P.;R√∂ttger, J.</t>
  </si>
  <si>
    <t>Germany;Japan;Australia</t>
  </si>
  <si>
    <t>Gottingen;Kyoto;Adelaide</t>
  </si>
  <si>
    <t>Max Planck Institute for Solar System Research;Kyoto University;The University of Adelaide</t>
  </si>
  <si>
    <t>60017695;60011001;60009512</t>
  </si>
  <si>
    <t>Hocking W.</t>
  </si>
  <si>
    <t>Interpretation, reliability and accuracies of parameters deduced by the spaced antenna method in middle atmosphere applications</t>
  </si>
  <si>
    <t>10.1007/BF00874475</t>
  </si>
  <si>
    <t>2-s2.0-0024483929</t>
  </si>
  <si>
    <t>['zonal flow', 'reflection technique', 'poker flat', 'period 1984', 'particular reference', 'northern hemisphere', 'mawson station', 'latitude conjugate', 'equinoctial changeovers', 'antenna partial', 'altitude variations', '67 ¬∞', '35 ¬∞']</t>
  </si>
  <si>
    <t>Mean circulation | mesosphere | planetary waves | Southern Hemisphere</t>
  </si>
  <si>
    <t>HF radar stations (utilizing the spaced-antenna partial-reflection technique) located at Adelaide (35¬∞S, 138¬∞E) and Mawson Station (67¬∞S, 63¬∞E) have observed horizontal mesospheric winds continuously since mid-1984. Observations in the period 1984-87 are compared with the Northern Hemisphere [latitude conjugate] stations of Kyoto (35¬∞N, 136¬∞E) and Poker Flat (65¬∞N, 147¬∞W), and with satellite-derived circulation models. Particular reference is made to the equinoctial changeovers in zonal flow and to the temporal and altitude variations in the planetary wave activity at Mawson and Adelaide. ¬© 1989 Birkh√§user Verlag.</t>
  </si>
  <si>
    <t>303-318</t>
  </si>
  <si>
    <t>7401658887;7202620125</t>
  </si>
  <si>
    <t>Phillips, A.;Vincent, R. A.</t>
  </si>
  <si>
    <t>Phillips A.</t>
  </si>
  <si>
    <t>Radar observations of prevailing winds and waves in the Southern Hemisphere mesosphere and lower thermosphere</t>
  </si>
  <si>
    <t>10.1007/BF00874462</t>
  </si>
  <si>
    <t>2-s2.0-0024484177</t>
  </si>
  <si>
    <t>['similar radar', 'scott base', 'ross island', 'reflection spaced', 'recent models', 'november 1982', 'general agreement', '80 km']</t>
  </si>
  <si>
    <t>high latitude | Mesosphere | partial reflection radar | Southern Hemisphere | winds</t>
  </si>
  <si>
    <t>A medium frequency partial-reflection spaced-antenna wind radar was installed at Scott Base (78S) on Ross Island, Antarctica, in November 1982. Results from this radar for the period December 1982 to October 1984 inclusive are compared with simultaneous measurements made with a similar radar at Christchurch (44S), N. Z. Monthly mean zonal winds measured at 80 km are compared with recent models for the Southern Hemisphere middle atmosphere. There is a general agreement with the models but there is evidence that the Christchurch winter flow was atypical in 1983. ¬© 1989 Birkh√§user Verlag.</t>
  </si>
  <si>
    <t>291-301</t>
  </si>
  <si>
    <t>Fraser, G. J.</t>
  </si>
  <si>
    <t>New Zealand</t>
  </si>
  <si>
    <t>Christchurch</t>
  </si>
  <si>
    <t>University of Canterbury</t>
  </si>
  <si>
    <t>Fraser G.</t>
  </si>
  <si>
    <t>Monthly mean winds in the mesosphere at 44S and 78S</t>
  </si>
  <si>
    <t>10.1007/BF00874461</t>
  </si>
  <si>
    <t>2-s2.0-0024527374</t>
  </si>
  <si>
    <t>['œ ≤', 'œ ±', '¬© 1989', 'whatman de', 'terminal domain', 'structurally related', 'sephadex lh', 'rights reserved', 'presumably n', 'photosynthetic membranes', 'photosynthetic membrane', 'organic solvents', 'less homologous', 'hydrophobic stretch', 'gel filtration', 'extensively dialyzed', 'extended n', 'exchange chromatography', 'carboxypeptidase digestion', 'bacterial membrane', 'b 880', 'applying ion', 'antenna polypeptides', 'additional step', '52 resin', '42 %).', '32 resin']</t>
  </si>
  <si>
    <t>Amino Acid Sequence | B880 Antenna Complex | Light-Harvesting Polypeptide | Purple Non-Sulfur Bacterium | Rhodopseudomonas marina</t>
  </si>
  <si>
    <t>The antenna complex B880 of Rp. marina has been isolated by applying ion-exchange chromatography on Whatman DE-52 resin and sucrose density centrifugation of LDAO-sol-ubilized photosynthetic membranes. The antenna polypeptides B880-Œ± and B 880-Œ≤ were prepared by organic solvent extraction of extensively dialyzed and freeze-dried B880 antenna complex material or photosynthetic membranes. Gel filtration on Sephadex LH-60 and ion-exchange chromatography on Whatman DE-32 resin in the presence of organic solvents and an additional step on a C-8 reversed phase column yielded pure Œ±- and Œ≤ -apoproteins. Their complete primary structures have been elucidated using automated Edman degradation and carboxypeptidase digestion. According to quantitative Edman degradation the ratio of B 880-Œ±and B 880-Œ≤ has been determined as 1:1 in the isolated antenna complex as well as in the photosynthetic membrane. B 880-Œ± of Rp. marina, presumably N-formylated, consists of 52 amino acid residues and is 75, 56, 52 and 44% homologous to the corresponding core antenna polypeptides of Rs. rubrum, Rp. viridis, Rb. capsulatus and Rb. sphaeroides. In contrast, B 880-Œ≤ (56 amino acid residues) is less homologous to the corresponding core Œ≤ -antenna polypeptides of the same strains (57. 51. 41 and 42%). It shows an extended N-terminal domain as compared to the B 880-Œ± polypeptide. Apart from the typical structural features of bacterial membrane-bound antenna polypeptides (three domain structure. His-residue in the hydrophobic stretch) the antenna polypeptides of Rp. marina are structurally related to polypeptides of core antenna complexes with strong near infra-red circular dichroism signals. ¬© 1989, Walter de Gruyter. All rights reserved.</t>
  </si>
  <si>
    <t>407-414</t>
  </si>
  <si>
    <t>60025858;60025858;60025858;60025858;60025858;60025858;60025858</t>
  </si>
  <si>
    <t>6603669964;6505879969;13611433800;7401890961;7006674721;6601930506;7006345218</t>
  </si>
  <si>
    <t>Brunisholz, Ren√© A.;Bissig, I.;Wagner-Huber, R.;Frank, G.;Suter, F.;Niederer, E.;Zuber, H.</t>
  </si>
  <si>
    <t>Brunisholz R.</t>
  </si>
  <si>
    <t>The Primary Structures of the Core Antenna Polypeptides from Rhodopseudomonas marina</t>
  </si>
  <si>
    <t>10.1515/znc-1989-5-612</t>
  </si>
  <si>
    <t>2-s2.0-0024660768</t>
  </si>
  <si>
    <t>['tuner position', 'transmitting antenna', 'stirred method', 'shielding effectiveness', 'reference antenna', 'power radiated', 'measurement results', 'eut divided', 'determined statistically', 'db ),', 'cable placed']</t>
  </si>
  <si>
    <t>The mode-stirred method for measuring the SE of cables and connectors is outlined in MIL-STD-1344A Method 3008. The method involves measuring the leakage at the connector pair interface or into the cable placed in a chamber. The connectors or cable under test, referred to hereafter as the EUT, are exposed to the electromagnetic fields established inside the chamber by power radiated from the transmitting antenna. Measurement results are given in terms of the power, PEUT, coupled to the EUT divided by the power, PREF, coupled to the reference antenna. The shielding effectiveness (SE) of the EUT in decibels (db), is then defined as, where the values of PEUT and PREF are determined statistically as a function of tuner position.</t>
  </si>
  <si>
    <t>Connector Specifier</t>
  </si>
  <si>
    <t>60023053;60023053</t>
  </si>
  <si>
    <t>7402706491;7004818584</t>
  </si>
  <si>
    <t>Crawford, M. L.;Ladbury, J. M.</t>
  </si>
  <si>
    <t>Crawford M.</t>
  </si>
  <si>
    <t>Mode-stirred chamber for measuring shielding effectiveness of cables and connectors. Assessing MIL-STD-1344A Method 3008</t>
  </si>
  <si>
    <t>2-s2.0-0024680148</t>
  </si>
  <si>
    <t>['undertaken aims', 'software model', 'satellite terminals', 'receiver technology', 'realistic environment', 'operational situations', 'key areas', 'future development', 'ebs scheme', 'earth station', 'control algorithms', 'considerable potential']</t>
  </si>
  <si>
    <t>The emergence of the electronic beam squint (EBS) satellite-tracking technique offers the possibility of low-cost, high-performance systems suitable for earth station, maritime and satellite terminals. Initial work done by the originating researchers laid the foundations for future development and demonstrated the considerable potential of the technique. Work now being undertaken aims to further current knowledge significantly by examining a number of key areas, including feed design, application of control algorithms and receiver technology. As part of this exercise, the development of a software model of a complete EBS system has been undertaken. The simulation package provides a realistic environment in which differing system configurations and operational situations have been investigated. The paper, following an introduction to the EBS scheme, describes the model and software package developed, presents initial results, and analyses the implications for future implementation strategies.</t>
  </si>
  <si>
    <t>181-188</t>
  </si>
  <si>
    <t>7102282160;35449666300</t>
  </si>
  <si>
    <t>Hawkins, G. J.;Edwards, D. J.</t>
  </si>
  <si>
    <t>Hawkins G.</t>
  </si>
  <si>
    <t>Operational analysis of electronic tracking schemes</t>
  </si>
  <si>
    <t>2-s2.0-0024680869</t>
  </si>
  <si>
    <t>['ways couplers', 'using waveguide', 'two ku', 'tree structures', 'thought appropriate', 'signals radiated', 'rapid evaluation', 'problems related', 'particular role', 'particular attention', 'ffma ).', 'also devoted']</t>
  </si>
  <si>
    <t>Active antennas play a particular role in new satellite communications systems. The ability to process the signals radiated at low power level allows the realization of the beam forming networks not only using waveguide but also planar technology. That brings remarkable advantages in terms of weight and dimensions. In this paper two different beam forming network (BFN) configurations are investigated: Parallel Planes BFN, based on a series of tree structures of two-ways couplers, and a Chaining Combining Matrix, which employs the Chaining Combining structures. The results are thought appropriate to be implemented in two Ku-band active antenna systems for Western European proposed coverage, i.e. the Near Field Multibeam Antenna (NFMA) and the Far Field Multibeam Antenna (FFMA). Particular attention has been also devoted to the problems related to a rapid evaluation of the weight of the beam forming networks as function of the input and output ports number.</t>
  </si>
  <si>
    <t>397-407</t>
  </si>
  <si>
    <t>Space communication and broadcasting</t>
  </si>
  <si>
    <t>35609915000;7102395884;7004622027</t>
  </si>
  <si>
    <t>Bartolucci, G.;Giannini, F.;Paoloni, C.</t>
  </si>
  <si>
    <t>Bartolucci G.</t>
  </si>
  <si>
    <t>Beam forming networks for active antenna systems</t>
  </si>
  <si>
    <t>2-s2.0-0024683650</t>
  </si>
  <si>
    <t>['worthwhile savings', 'two full', 'therefore possible', 'scale antennas', 'radiators suspended', 'model measurements', 'directional radiation', 'directional antennas', 'different numbers', 'construction costs', 'configurations using', 'computations using', 'article describes', 'arranged angle', '10 db']</t>
  </si>
  <si>
    <t>The article describes a medium-frequency transmitting antenna comprising specially-arranged angle-radiators suspended from a high support mast. This type of antenna offers much broader bandwidth than conventional cylindrical cage antennas and can be used for omnidirectional or directional radiation. Two full-scale antennas have been constructed around masts with different numbers of guy-ropes, and optimized by computations using the method of moments and by model measurements. Various design concepts are described for directional antennas; a front-to-back ratio better than -10 dB can be achieved in configurations using a single support mast. Worthwhile savings are therefore possible in terms of materials and construction costs.</t>
  </si>
  <si>
    <t>98-105</t>
  </si>
  <si>
    <t>106602119;106602119</t>
  </si>
  <si>
    <t>7801684280;6603265136</t>
  </si>
  <si>
    <t>Tippe, W.;Potschkat, G.</t>
  </si>
  <si>
    <t>Inst fuer Rundfunktechnik</t>
  </si>
  <si>
    <t>Tippe W.</t>
  </si>
  <si>
    <t>MF transmitting antennas combined with high grounded support masts</t>
  </si>
  <si>
    <t>2-s2.0-0024684952</t>
  </si>
  <si>
    <t>['whitening filter', 'statistical modeling', 'insignificant quantity', 'computational complexity', 'apparatus failures', 'antenna array']</t>
  </si>
  <si>
    <t>The influence of apparatus failures in a whitening filter on the efficiency of adaptive signal processing in an antenna array is considered. A modification of a signal processing algorithm is proposed which reduces the losses in the efficiency of processing as a consequence of failures to an insignificant quantity under the condition of redundancy of the degrees of freedom of the antenna array. The results of statistical modeling of the algorithm and an evaluation of its computational complexity are presented.</t>
  </si>
  <si>
    <t>69-72</t>
  </si>
  <si>
    <t>57225693038;7006136167;6504475978</t>
  </si>
  <si>
    <t>Polyakov, G. A.;Kuzin, S. S.;Klyuyev, E. A.</t>
  </si>
  <si>
    <t>Polyakov G.A.</t>
  </si>
  <si>
    <t>Failure-resistant spatial signal processing algorithm based on a whitening filter</t>
  </si>
  <si>
    <t>2-s2.0-0024684989</t>
  </si>
  <si>
    <t>['rough edge', 'experimental investigation', 'decoupling device']</t>
  </si>
  <si>
    <t>The results of an experimental investigation of the attenuation of an electromagnetic field propagating along a sharp, rough conducting edge are given. It is shown that the rough edge can be used as a decoupling device.</t>
  </si>
  <si>
    <t>80-82</t>
  </si>
  <si>
    <t>6602853323;56396932400;6603314024</t>
  </si>
  <si>
    <t>Lomukhin, Yu L.;Damdinov, B. B.;Chimitdorzhiev, N. B.</t>
  </si>
  <si>
    <t>Lomukhin Y.</t>
  </si>
  <si>
    <t>Mutual coupling of antennas placed over the rough edge of a half-plane</t>
  </si>
  <si>
    <t>2-s2.0-0024685050</t>
  </si>
  <si>
    <t>['semimajor axes', 'scattered field', 'rigorous solution', 'numerical calculations', 'explicit form', 'diffraction problem', 'asymptotic expansions', 'approximations found']</t>
  </si>
  <si>
    <t>Asymptotic expansions of the scattered field in terms of the small parameter b/a - the ratio of the lengths of the semiminor and semimajor axes of a spheroid - are obtained on the basis of a rigorous solution of the diffraction problem. Numerical calculations are carried out for the scattering efficiency factor and the radar scattering factor for ratios a/b = 10, 50, 100. The areas of applicability of the approximations found in explicit form are indicated.</t>
  </si>
  <si>
    <t>36-45</t>
  </si>
  <si>
    <t>Farafonov, V. G.</t>
  </si>
  <si>
    <t>Farafonov V.</t>
  </si>
  <si>
    <t>Scattering of a plane electromagnetic wave by a highly prolate perfectly conducting spheroid</t>
  </si>
  <si>
    <t>2-s2.0-0024685088</t>
  </si>
  <si>
    <t>['wave scattering', 'statistical characteristics', 'scattered field', 'rigorous solution', 'random fluctuations', 'physical pattern', 'nonequidistant array', 'finite number', 'electromagnetic wave', 'arbitrary separation']</t>
  </si>
  <si>
    <t>We will ascertain the principal laws governing the physical pattern of scattering of an electromagnetic wave by an array, the elements of which experience random fluctuations of the coordinate in the plane of the array. To do this we will consider an array, formed by a finite number of thin perfectly conducting strips with an arbitrary separation between them. The statistical characteristics of the amplitude of the scattered field when a plane electromagnetic wave is diffracted by a bounded strip array with random fluctuations in the arrangement of the elements, obtained by means of a rigorous solution of the problem of wave scattering by a nonequidistant array, are investigated.</t>
  </si>
  <si>
    <t>27-35</t>
  </si>
  <si>
    <t>57212047917;6602162008;54419121500</t>
  </si>
  <si>
    <t>Vorob'yev, S. N.;Zamyatin, Ye V.;Prosvirnin, S. L.</t>
  </si>
  <si>
    <t>Vorob'yev S.</t>
  </si>
  <si>
    <t>Scattering of electromagnetic waves by a bounded strip array with random fluctuations in the arrangement of the elements</t>
  </si>
  <si>
    <t>2-s2.0-0024685543</t>
  </si>
  <si>
    <t>['transparency distribution', 'spherical surface', 'resonator antenna', 'resonant frequency', 'radiation pattern', 'prescribed pattern', 'inner body', 'also represented']</t>
  </si>
  <si>
    <t>A method is proposed for designing a resonator antenna with a semitransparent external spherical surface and a internal impedance solid of rotation so that one of the eigenmodes has a radiation pattern as close to the prescribed pattern as possible. The resonator antenna is an axisymmetric design formed by a semitransparent spherical surface and an inner impedance body. The Q of the resonator and the resonant frequency are also represented. The result of the calculation is the transparency distribution of the spherical surface, the shape of the inner body and the impedance distribution along this surface.</t>
  </si>
  <si>
    <t>20-26</t>
  </si>
  <si>
    <t>6603550149;7004714672;7006135844</t>
  </si>
  <si>
    <t>Korshunova, Ye N.;Sivov, A. N.;Shatrov, A. D.</t>
  </si>
  <si>
    <t>Korshunova Y.</t>
  </si>
  <si>
    <t>Synthesis of a resonator antenna with a spherical external surface for a given vector radiation pattern</t>
  </si>
  <si>
    <t>2-s2.0-0024685664</t>
  </si>
  <si>
    <t>['using signals', 'surface layer', 'spectral processing', 'radio signals', 'phase distortions', 'optimal parameters', 'electromagnetic waves']</t>
  </si>
  <si>
    <t>A basis is given for the optimal parameters of radio signals in the sub-surface sounding systems at depths of up to one meter based on an analysis of the amplitude and phase distortions of electromagnetic waves when propagating in the surface layer of natural mineralized soil. The prospect of using signals with linear frequency modulation when detecting local dielectric anomalies in the soil is indicated and a procedure for their correlation-spectral processing is discussed.</t>
  </si>
  <si>
    <t>7004850705;6507539223;57225685934;6603417873</t>
  </si>
  <si>
    <t>Andreyev, G. A.;Agratin, S. G.;Gladyshev, G. A.;Stankevich, O. K.</t>
  </si>
  <si>
    <t>Andreyev G.A.</t>
  </si>
  <si>
    <t>Detection of dielectric anomalies in the soil from the reflection of LFM DMW</t>
  </si>
  <si>
    <t>2-s2.0-0024685799</t>
  </si>
  <si>
    <t>['radiation pattern', 'multibeam interference', 'ionospheric channel']</t>
  </si>
  <si>
    <t>The radiation pattern of a phased antenna array, intended to suppress multibeam interference propagating in an ionospheric channel, is investigated. The results are illustrated by considering the suppression of multibeam interference by a four-element spatial flter.</t>
  </si>
  <si>
    <t>44-47</t>
  </si>
  <si>
    <t>7004391295;57078570500</t>
  </si>
  <si>
    <t>Berezin, Yu V.;Korotkov, I. P.</t>
  </si>
  <si>
    <t>Four-element spatial filter which suppresses multibeam interference</t>
  </si>
  <si>
    <t>2-s2.0-0024686023</t>
  </si>
  <si>
    <t>['mathematical model']</t>
  </si>
  <si>
    <t>A mathematical model of a waveguide adaptive antenna array is proposed and the results of calculations which illustrate the application of this model are presented.</t>
  </si>
  <si>
    <t>7004486751;7004903129;6603202013</t>
  </si>
  <si>
    <t>Tarasenko, O. M.;Gabriel'yan, D. D.;Shatskiy, V. V.</t>
  </si>
  <si>
    <t>Tarasenko O.</t>
  </si>
  <si>
    <t>Determination of the characteristics of a waveguide adaptive antenna array under steady-state conditions</t>
  </si>
  <si>
    <t>2-s2.0-0024686024</t>
  </si>
  <si>
    <t>['waves offer', 'sourced package', 'satellite reception', 'prototype system', 'many small', 'extra antennas', 'delivering multi', 'channels eliminates', 'channel television', 'cable reaches']</t>
  </si>
  <si>
    <t>Millimetre-waves offer an exciting new opportunity for delivering multi-channel television to the home. M3VDS is economical and quick to install, and can bring 25 channels to millions of viewers in many small/medium size towns quite soon, long before cable reaches them beyond the turn of the century. Its single entry point for a multi-sourced package of channels eliminates the need for extra antennas for multi-satellite reception. A prototype system has been established at Saxmundham, Suffolk, to demonstrate both the concept the gallium arsenide monolithic integrated circuit technology developed as the key to cost effective receivers.</t>
  </si>
  <si>
    <t>710-722</t>
  </si>
  <si>
    <t>Cable television engineering</t>
  </si>
  <si>
    <t>Pilgrim, M.;Scott, R. P.I.;Carver, R. D.;Ellis, B. J.</t>
  </si>
  <si>
    <t>M&lt;sup&gt;3&lt;/sup&gt;VDS Saxmundham demonstrator. Multichannel TV distribution by mm-waves</t>
  </si>
  <si>
    <t>2-s2.0-0024686354</t>
  </si>
  <si>
    <t>['sectional shape', 'plane wave', 'magnetic current', 'integral equation', 'cylindrical cavity', 'calculated numerically', 'arbitrary cross', 'arbitrary cavity']</t>
  </si>
  <si>
    <t>The problem of the excitation of a plane wave of a cylindrical cavity of arbitrary cross-sectional shape through an aperture in a flat, ideally conducting screen is considered. An integral equation for the magnetic current in the aperture is given and Green's function of an arbitrary cavity is calculated numerically.</t>
  </si>
  <si>
    <t>7102325801;6603061340</t>
  </si>
  <si>
    <t>Petrov, B. M.;Koshkid'ko, V. G.</t>
  </si>
  <si>
    <t>Petrov B.</t>
  </si>
  <si>
    <t>Method of analyzing electromagnetic fields scattered by a slot in a cylindrical resonator with a flange</t>
  </si>
  <si>
    <t>2-s2.0-0024686412</t>
  </si>
  <si>
    <t>['whose wavelength', 'small compared', 'radiation resistance', 'magnetic field', 'limiting value', 'ferrite film', 'analytic expressions']</t>
  </si>
  <si>
    <t>Analytic expressions are obtained for the line radiation resistance of a metallic strip lying at the surface of a ferrite film and radiating surface magnetostatic waves (SMSW) whose wavelength is small compared to the width of the strip. It is shown that as the wavelength of the excited waves decreases the limiting value of the line radiation resistance is non-zero; this is due to peculiarities in the spectrum of SMSW for a metallized ferrite film. The dependence of the radiation resistance on magnetic field, width of the strip and thickness of the ferrite film is investigated.</t>
  </si>
  <si>
    <t>114-121</t>
  </si>
  <si>
    <t>Vugal'ter, G. A.</t>
  </si>
  <si>
    <t>Vugal'ter G.</t>
  </si>
  <si>
    <t>Excitation of short-wavelength surface magnetostatic waves by a metallic strip</t>
  </si>
  <si>
    <t>2-s2.0-0024686470</t>
  </si>
  <si>
    <t>['unbalanced stoichiometry', 'ultrastructural analysis', 'two photosystems', 'time regulations', 'state transitions', 'ratio accounts', 'photosystems without', 'photosystem ii', 'photosynthetic unit', 'organized like', 'nonappressed membranes', 'new insights', 'nearly four', 'molar ratio', 'light adaptation', 'high light', 'high concentration', 'harvesting antenna', 'extremely unequal', 'energy distribution', 'energy absorbed', 'contains 60', 'chlorophyll b']</t>
  </si>
  <si>
    <t>green algae | light adaptation | photosystems | state 1-state 2 transitions | thylakoid stacking</t>
  </si>
  <si>
    <t>The chlorophyll b-containing alga Mantoniella squamata was analyzed with respect to its capacity to balance the energy distribution from the light-harvesting antenna to photosystem I or photosystem II. It was shown, that this alga is unable to alter the absorption cross section of the two photosystems in terms of short-time regulations (state transitions). The energy absorbed by the LHC, which contains 60% of total photosynthetic pigments, is transferred to both photosystems without any preference. The stoichiometry of the two photosystems is found to be extremely unequal and variable during light adaptation. In high light, the molar ratio of P-680 per P-700 is found to be two, whereas under low light conditions this ratio accounts to nearly four. This very unbalanced stoichiometry of the reaction centers gives some new insights into the concept of the photosynthetic unit as well as in the importance of the regulation of the energy distribution. It is assumed that the high concentration of photosystem II can be understood as a mechanism to prevent the overexcitation of photosystem I. In addition, the changes im membrane protein pattern are not accompanied by variations in the ratio of appressed to nonappressed membranes as probed by ultrastructural analysis. It is suggested that the thylakoids are organized like a homogenous pigment bed. The lack of state transitions can be interpreted as a consequence of this unusual membrane morphology. ¬© 1989 Kluwer Academic Publishers.</t>
  </si>
  <si>
    <t>221-233</t>
  </si>
  <si>
    <t>60031216;60031216;60031216</t>
  </si>
  <si>
    <t>7409933123;16440903800;16441393500</t>
  </si>
  <si>
    <t>Wilhelm, Christian;Kr√§mer, Petra;Lenartz-Weiler, Iris</t>
  </si>
  <si>
    <t>Mainz</t>
  </si>
  <si>
    <t>Johannes Gutenberg-Universit√§t Mainz</t>
  </si>
  <si>
    <t>Wilhelm C.</t>
  </si>
  <si>
    <t>The energy distribution between the photosystems and light-induced changes in the stoichiometry of system I and II reaction centers in the chlorophyll b-containing alga Mantoniella squamata (Prasinophyceae)</t>
  </si>
  <si>
    <t>10.1007/BF00034066</t>
  </si>
  <si>
    <t>2-s2.0-0343674597</t>
  </si>
  <si>
    <t>['weak evidence', 'three morphs', 'taken place', 'surf zone', 'smaller scale', 'scale distributions', 'relative similarity', 'relative dissimilarity', 'overlapping large', 'morph along', 'local populations', 'last century', 'isolated biotas', 'introductions may', 'geographical ranges', 'geminate morphs', 'geminate divergence', 'excirolana braziliensis', 'eastern pacific', 'dispersal capabilities', 'caribbean sea', 'body size', 'allopatry since']</t>
  </si>
  <si>
    <t>The Isthmus of Panama rose approximately 3 million years before the present (mybp) and isolated biotas in the tropical eastern Pacific from those in the Caribbean Sea. Populations that were split by the Isthmus and have evolved in allopatry since that time are known as geminates. The surf zone/beach isopod Excirolana braziliensis Richardson was examined between 1984 and 1989 to test the hypothesis that divergence in geminate isopod morphology has occurred, and that geminate divergence is greater than divergence between local populations from the same coastline. Three morphs of Excirolana braziliensis, one in the Caribbean and two in the eastern Pacific, were discovered using numerical taxonomic methods that adjust for body size. The two Pacific morphs have overlapping large-scale distributions, but those morphs are segregated on a smaller scale by beach. We inferred that one Pacific morph and one Caribbean morph were geminates, based on their relative similarity in shape, their geographical ranges, and natural history information about the organism's dispersal capabilities. The origin of the third morph probably predates the Isthmus of Panama, given its relative dissimilarity from the geminate morphs. The presumed geminates differ primarily with respect to the rostrum, antennae and one male reproductive structure. Divergence between geminates is greater than divergence between local populations of any morph along a coastline. Because only one morph occurs in the Caribbean, that region contains less morphological variation than the eastern Pacific, which contains two morphs. There was weak evidence that some introductions may have taken place in the last century from the Caribbean to the Pacific; however, introductions have not masked the pattern of divergence that has developed over millions of years. ¬© 1989 Springer-Verlag.</t>
  </si>
  <si>
    <t>143-152</t>
  </si>
  <si>
    <t>Marine Biology</t>
  </si>
  <si>
    <t>60013609;60013609</t>
  </si>
  <si>
    <t>7201643752;6602931034</t>
  </si>
  <si>
    <t>Weinberg, J. R.;Starczak, V. R.</t>
  </si>
  <si>
    <t>Woods Hole</t>
  </si>
  <si>
    <t>Woods Hole Oceanographic Institution</t>
  </si>
  <si>
    <t>Weinberg J.R.</t>
  </si>
  <si>
    <t>Morphological divergence of Eastern Pacific and Caribbean isopods: effects of a land barrier and the Panama Canal</t>
  </si>
  <si>
    <t>10.1007/BF00543341</t>
  </si>
  <si>
    <t>2-s2.0-15644379163</t>
  </si>
  <si>
    <t>507-513</t>
  </si>
  <si>
    <t>57117510900;7005641775</t>
  </si>
  <si>
    <t>Gorbunov, S. A.;Potapova, T. L.</t>
  </si>
  <si>
    <t>Gorbunov S.</t>
  </si>
  <si>
    <t>The perturbed zone near a spherical antenna and its capacitance in a collision-free plasma at the frequencies between those of plasma ions and electrons</t>
  </si>
  <si>
    <t>10.1007/BF01058171</t>
  </si>
  <si>
    <t>2-s2.0-34249956893</t>
  </si>
  <si>
    <t>594-596</t>
  </si>
  <si>
    <t>Letunov, L. A.</t>
  </si>
  <si>
    <t>Letunov L.</t>
  </si>
  <si>
    <t>Operation of the FK2-(20-26) amplitude-phasemeter in the mode of diagnostic checking of phased antenna array channels</t>
  </si>
  <si>
    <t>10.1007/BF00867913</t>
  </si>
  <si>
    <t>2-s2.0-34249967633</t>
  </si>
  <si>
    <t>Suomen Akatemia</t>
  </si>
  <si>
    <t>VR</t>
  </si>
  <si>
    <t>['¬© 1989', 'two subpopulations', 'tightly bound', 'term changes', 'stroma thylakoids', 'spinach thylakoids', 'specific increase', 'rights reserved', 'results show', 'photosystem ii', 'outer pool', 'one outer', 'one inner', 'low light', 'light intensities', 'lhc ii', 'contains mainly', 'antenna size']</t>
  </si>
  <si>
    <t>Antenna Size Acclimation | Light-Harvesting Chlorophyll a/b-Proteins | Photosystem II | Subfractionation | Thylakoid Membrane Organization</t>
  </si>
  <si>
    <t>The main chlorophyll alb protein complex of the chloroplast thylakoid membrane is organized into two subpopulations; one inner which is tightly bound to the photosystem II core and one outer which is bound more loosely or peripherally. In this study. changes in the LHC II composition due to long-term light acclimation were analyzed and quantified in spinach thylakoids and isolated stroma lamellae vesicles. The results show that; photosystem II located in the appressed thylakoid regions (a-centres) which have a relatively large antenna size, contains both the inner and outer LHC II with a predominance of the latter (58‚Äî 70%). At low light the antenna size of the Œ±-center becomes larger due to a specific increase of the outer pool of LHC II. The antenna size of photosystem II in the stroma thylakoids (Œ≤-centres) is smaller and contains mainly or only the inner LHC II pool. In contrast to the a-centres the Œ≤-centres centres do not undergo adaptive changes in their size in response to long-term changes in the light intensities. ¬© 1989, Walter de Gruyter. All rights reserved.</t>
  </si>
  <si>
    <t>403-406</t>
  </si>
  <si>
    <t>60006876;60001950</t>
  </si>
  <si>
    <t>7006474660;7401941729</t>
  </si>
  <si>
    <t>M√§enp√§√§, Pirkko;Andersson, Bertil</t>
  </si>
  <si>
    <t>Finland;Sweden</t>
  </si>
  <si>
    <t>Turku;Stockholm</t>
  </si>
  <si>
    <t>Turun yliopisto;Arrhenius Laboratory</t>
  </si>
  <si>
    <t>M√§enp√§√§ P.</t>
  </si>
  <si>
    <t>Photosystem II Heterogeneity and Long-Term Acclimation of Light-Harvesting</t>
  </si>
  <si>
    <t>10.1515/znc-1989-5-611</t>
  </si>
  <si>
    <t>2-s2.0-84961468979</t>
  </si>
  <si>
    <t>['¬© 1989', 'temperature dependence', 'signal molecule', 'scheme reflects', 'rights reserved', 'receptor region', 'receptor potentials', 'molecular processes', 'molecular level', 'hysteresis phenomenon']</t>
  </si>
  <si>
    <t>Electroantennogram | Electrosensillogram | Optimum Curves Hysteresis | Temperature Dependence</t>
  </si>
  <si>
    <t>By recording the temperature dependence of electroantennograms with Lepidoptera antennae optimum curves were obtained, and a hysteresis phenomenon was observed by passing temperature cycles. The latter also occur with single cell recording (electrosensillogram) in the receptor potentials as well as in the number of action potentials released per second. The results of the measurements are discussed on a molecular level, a scheme reflects the molecular processes which eventually are involved in the interaction of a signal molecule and receptor region. ¬© 1989, Walter de Gruyter. All rights reserved.</t>
  </si>
  <si>
    <t>333-344</t>
  </si>
  <si>
    <t>60000765;60000765</t>
  </si>
  <si>
    <t>7006503853;6505558415</t>
  </si>
  <si>
    <t>Bestmann, Hans J√ºrgen;Dippold, Klaus</t>
  </si>
  <si>
    <t>Erlangen</t>
  </si>
  <si>
    <t>Friedrich-Alexander-Universit√§t Erlangen-N√ºrnberg</t>
  </si>
  <si>
    <t>Bestmann H.</t>
  </si>
  <si>
    <t>Temperature Dependence of Electrophysiological Responses of Lepidopteran Antennae</t>
  </si>
  <si>
    <t>10.1515/znc-1989-5-601</t>
  </si>
  <si>
    <t>2-s2.0-84961496551</t>
  </si>
  <si>
    <t>North Atlantic Treaty Organization</t>
  </si>
  <si>
    <t>NATO</t>
  </si>
  <si>
    <t>['¬© 1989', 'us earlier', 'results support', 'ps ii', 'produce fluorescence', 'higher plants', 'global analysis', 'exciton equilibration', 'exciting light', 'antenna chlorophylls', '15 ps']</t>
  </si>
  <si>
    <t>Anti-Stokes-shifted fluorescence | Chlorophyll antenna | Exciton | Time-resolved fluorescence</t>
  </si>
  <si>
    <t>The antenna chlorophylls in higher plants can produce fluorescence that is blue-shifted (anti-Stokes-shifted) relative to the exciting light. Global analysis of the time-resolved fluorescence spectra resolves an ultrafast fluorescence emission component with a lifetime of about 15 ps which is attributed to exciton equilibration in the antenna. These results support the hypothesis that the overall exciton decay kinetics in PS I and PS II is trap-limited as suggested by us earlier. ¬© 1989.</t>
  </si>
  <si>
    <t>285-288</t>
  </si>
  <si>
    <t>60072285;60072285;60072285</t>
  </si>
  <si>
    <t>16463790600;6602426350;35501122300</t>
  </si>
  <si>
    <t>McCauley, Steven W.;Bittersmann, Edith;Holzwarth, Alfred R.</t>
  </si>
  <si>
    <t>Mulheim an der Ruhr</t>
  </si>
  <si>
    <t>Max Planck Institute for Chemical Energy Conversion</t>
  </si>
  <si>
    <t>McCauley S.</t>
  </si>
  <si>
    <t>Time-resolved ultrafast blue-shifted fluorescence from pea chloroplasts</t>
  </si>
  <si>
    <t>10.1016/0014-5793(89)80642-8</t>
  </si>
  <si>
    <t>2-s2.0-0001611262</t>
  </si>
  <si>
    <t>['¬© 1989', 'would make', 'two species', 'total number', 'thus reducing', 'territorial behaviour', 'species recruited', 'special setae', 'rapid current', 'quickly descending', 'predatory fish', 'practically devoid', 'potential morsel', 'pereopods 3', 'observations suggest', 'nutritive substance', 'nutritional value', 'like structure', 'like dyopedos', 'less attractive', 'highest abundance', 'higher level', 'high degree', 'functional morphology', 'food individuals', 'fishes examined', 'faecal pellets', 'enhanced aggressiveness', 'dyopedos monacanthus', 'dyopedos defends', 'distributional overlap', 'collects seston', 'close presence', 'area studied']</t>
  </si>
  <si>
    <t>Amphipod | Defence | Dulichia | Dyopedos | Mast-building | Mucus thread</t>
  </si>
  <si>
    <t>Dyopedos monacanthus (Metzger) and D. porrectus Bate secrete numerous threads of mucus from special setae and a solid spinning thread from each of the pereopods 3-4. The threads are used for the construction of a mast-like structure on the bottom out of sediment, seston, and faecal pellets, and for handling collected seston. The mast serves Dyopedos to reach a higher level with more rapid current. Dyopedos feeds mainly on seston, which it sieves from the current with its richly setose antennae. The mast is a territory. Enlarged second gnathopods and enhanced aggressiveness in the males are manifestations of territorial behaviour and hierarchism. The two species tolerate the close presence of each other when on their own masts but do not tolerate each other on the same mast. Methods of mast-building, locomotion, and feeding, and features of functional morphology and behaviour are described. Dyopedos monacanthus accepts weaker currents than D. porrectus. According to data from fish stomach contents, the two species were nearly equally common in the area studied and had a high degree of distributional overlap. From April to October, both species recruited, attained their highest abundance, and were most intensely preyed upon by fish. Dyopedos was found in 17% of the fishes examined and made up 9% of the total number of food individuals in them. Observations suggest that Dyopedos defends itself against a predatory fish by quickly descending from its high feeding position and clutching the mast tightly lengthwise. This would make it impossible for the fish to ingest it without also ingesting a section of the mast, which is practically devoid of nutritive substance. By thus reducing the nutritional value of the potential morsel, Dyopedos would make itself less attractive as prey. Dulichia tuberculata Boeck probably also builds masts but, in contrast to Dyopedos, can also sit directly on the bottom when feeding. Like Dyopedos, it collects seston from the current with its antennae, the structure of which suggests that aesthetascal mucus threads, rather than setae, are used for seston-collecting by this species. ¬© 1989.</t>
  </si>
  <si>
    <t>253-272</t>
  </si>
  <si>
    <t>60016437;60016437</t>
  </si>
  <si>
    <t>56965349300;6602305636</t>
  </si>
  <si>
    <t>Mattson, S.;Cedhagen, T.</t>
  </si>
  <si>
    <t>G√∂teborgs Universitet</t>
  </si>
  <si>
    <t>Mattson S.</t>
  </si>
  <si>
    <t>Aspects of the behaviour and ecology of Dyopedos monacanthus (Metzger) and D. porrectus Bate, with comparative notes on Dulichia tuberculata Boeck (Crustacea: Amphipoda: Podoceridae)</t>
  </si>
  <si>
    <t>10.1016/0022-0981(89)90078-6</t>
  </si>
  <si>
    <t>2-s2.0-0024873388</t>
  </si>
  <si>
    <t>['¬© 1989', 'waveguide model', 'wave analysis', 'rights reserved', 'microstrip leaky', 'field radiation', 'electrical engineers']</t>
  </si>
  <si>
    <t>Antennas | Microstrip</t>
  </si>
  <si>
    <t>A full-wave analysis of a microstrip leaky-wave structure excited by the dominant LSM mode is presented. This approach is based on the waveguide model in which Galerkin's method is applied. Then, the far-field radiation can be computed from near fields using Fourier transforms. ¬© 1989, The Institution of Electrical Engineers. All rights reserved.</t>
  </si>
  <si>
    <t>870-871</t>
  </si>
  <si>
    <t>60028112;60028112</t>
  </si>
  <si>
    <t>7006461011;7007171277</t>
  </si>
  <si>
    <t>Ghomi, M.;Baudrand, H.</t>
  </si>
  <si>
    <t>Full-wave analysis of microstrip leaky-wave antenna</t>
  </si>
  <si>
    <t>10.1049/el:19890586</t>
  </si>
  <si>
    <t>2-s2.0-0024680496</t>
  </si>
  <si>
    <t>['¬© 1989', 'rights reserved', 'electrical engineers']</t>
  </si>
  <si>
    <t>Antenna arrays | Antennas | Waveguide antennas</t>
  </si>
  <si>
    <t>The effect of finite rectangular groundplane size on the side-lobes of linear slotted waveguide arrays is discussed. ¬© 1989, The Institution of Electrical Engineers. All rights reserved.</t>
  </si>
  <si>
    <t>858-860</t>
  </si>
  <si>
    <t>60021902;60013272</t>
  </si>
  <si>
    <t>57203176700;35560866400</t>
  </si>
  <si>
    <t>McNamara, D. A.;Botha, L.</t>
  </si>
  <si>
    <t>South Africa;South Africa</t>
  </si>
  <si>
    <t>Pretoria;Pretoria</t>
  </si>
  <si>
    <t>University of Pretoria;The Council for Scientific and Industrial Research</t>
  </si>
  <si>
    <t>Effect of finite rectangular groundplane on near-in sidelobes of small linear slotted waveguide arrays</t>
  </si>
  <si>
    <t>10.1049/el:19890578</t>
  </si>
  <si>
    <t>2-s2.0-0024683333</t>
  </si>
  <si>
    <t>['¬© 1989', 'rights reserved', 'numerical computation', 'letter gives', 'interference resonance', 'good agreement', 'experimental measurements', 'equivalent circuit', 'electromagnetic pulses', 'electrical engineers', 'coaxial probe', 'circuit takes', 'analytical model']</t>
  </si>
  <si>
    <t>Antennas | Equivalent circuits | Microstrip</t>
  </si>
  <si>
    <t>This letter gives an interpretation of interference resonance in a microstrip patch antenna fed with coaxial probe and illuminated by electromagnetic pulses. An equivalent circuit is established over a wide frequency range. This circuit takes into account the interference resonance that we show in this study. Very good agreement is obtained between the analytical model, the numerical computation and the experimental measurements. ¬© 1989, The Institution of Electrical Engineers. All rights reserved.</t>
  </si>
  <si>
    <t>868-870</t>
  </si>
  <si>
    <t>60008447;60008447;60008447</t>
  </si>
  <si>
    <t>6602436044;6505555902;7004363654</t>
  </si>
  <si>
    <t>Seaux, J. P.;Jecko, A.;Reineix, A.</t>
  </si>
  <si>
    <t>Seaux J.</t>
  </si>
  <si>
    <t>Interference resonance of microstrip patch antenna fed with coaxial probe</t>
  </si>
  <si>
    <t>10.1049/el:19890585</t>
  </si>
  <si>
    <t>2-s2.0-0024683761</t>
  </si>
  <si>
    <t>weighted matrix_7:3</t>
  </si>
  <si>
    <t>weighted matrix_5:5</t>
  </si>
  <si>
    <t>weighted matrix_3:7</t>
  </si>
  <si>
    <t>if</t>
  </si>
  <si>
    <t>fund_sponsor</t>
  </si>
  <si>
    <t>fund_no</t>
  </si>
  <si>
    <t>fund_acr</t>
  </si>
  <si>
    <t>openaccess</t>
  </si>
  <si>
    <t>max-min</t>
  </si>
  <si>
    <t>citation_norm</t>
  </si>
  <si>
    <t>average_citation</t>
  </si>
  <si>
    <t>citedby_count</t>
  </si>
  <si>
    <t>Rake Keyword</t>
  </si>
  <si>
    <t>authkeywords</t>
  </si>
  <si>
    <t>description</t>
  </si>
  <si>
    <t>pageRange</t>
  </si>
  <si>
    <t>article_number</t>
  </si>
  <si>
    <t>issueIdentifier</t>
  </si>
  <si>
    <t>volume</t>
  </si>
  <si>
    <t>aggregationType</t>
  </si>
  <si>
    <t>eIssn</t>
  </si>
  <si>
    <t>source_id</t>
  </si>
  <si>
    <t>issn</t>
  </si>
  <si>
    <t>sjr_norm</t>
  </si>
  <si>
    <t>sjr</t>
  </si>
  <si>
    <t>publicationName</t>
  </si>
  <si>
    <t>coverDisplayDate</t>
  </si>
  <si>
    <t>Year Gap</t>
  </si>
  <si>
    <t>Year</t>
  </si>
  <si>
    <t>coverDate</t>
  </si>
  <si>
    <t>author_afids</t>
  </si>
  <si>
    <t>author_ids</t>
  </si>
  <si>
    <t>author_names</t>
  </si>
  <si>
    <t>author_count</t>
  </si>
  <si>
    <t>affiliation_country</t>
  </si>
  <si>
    <t>affiliation_city</t>
  </si>
  <si>
    <t>affilname</t>
  </si>
  <si>
    <t>afid</t>
  </si>
  <si>
    <t>creator</t>
  </si>
  <si>
    <t>subtypeDescription</t>
  </si>
  <si>
    <t>subtype</t>
  </si>
  <si>
    <t>title</t>
  </si>
  <si>
    <t>pubmed_id</t>
  </si>
  <si>
    <t>pii</t>
  </si>
  <si>
    <t>doi</t>
  </si>
  <si>
    <t>eid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</si>
</sst>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0" x14ac:knownFonts="1">
    <font>
      <sz val="12"/>
      <color theme="1"/>
      <name val="Calibri"/>
      <family val="2"/>
      <scheme val="minor"/>
    </font>
    <font>
      <sz val="12"/>
      <color rgb="FF006100"/>
      <name val="Calibri"/>
      <family val="2"/>
      <scheme val="minor"/>
    </font>
    <font>
      <sz val="12"/>
      <color rgb="FF9C0006"/>
      <name val="Calibri"/>
      <family val="2"/>
      <scheme val="minor"/>
    </font>
    <font>
      <sz val="12"/>
      <color rgb="FF3F3F76"/>
      <name val="Calibri"/>
      <family val="2"/>
      <scheme val="minor"/>
    </font>
    <font>
      <sz val="12"/>
      <color rgb="FFFF0000"/>
      <name val="Calibri"/>
      <family val="2"/>
      <scheme val="minor"/>
    </font>
    <font>
      <b/>
      <sz val="12"/>
      <color theme="1"/>
      <name val="Calibri"/>
      <family val="2"/>
      <scheme val="minor"/>
    </font>
    <font>
      <b/>
      <sz val="12"/>
      <color rgb="FF3F3F76"/>
      <name val="Calibri"/>
      <family val="2"/>
      <scheme val="minor"/>
    </font>
    <font>
      <b/>
      <sz val="11"/>
      <color theme="1"/>
      <name val="Calibri"/>
      <family val="2"/>
      <scheme val="minor"/>
    </font>
    <font>
      <b/>
      <sz val="12"/>
      <color rgb="FF006100"/>
      <name val="Calibri"/>
      <family val="2"/>
      <scheme val="minor"/>
    </font>
    <font>
      <b/>
      <sz val="12"/>
      <color rgb="FF9C0006"/>
      <name val="Calibri"/>
      <family val="2"/>
      <scheme val="minor"/>
    </font>
  </fonts>
  <fills count="8">
    <fill>
      <patternFill patternType="none"/>
    </fill>
    <fill>
      <patternFill patternType="gray125"/>
    </fill>
    <fill>
      <patternFill patternType="solid">
        <fgColor rgb="FFC6EFCE"/>
      </patternFill>
    </fill>
    <fill>
      <patternFill patternType="solid">
        <fgColor rgb="FFFFC7CE"/>
      </patternFill>
    </fill>
    <fill>
      <patternFill patternType="solid">
        <fgColor rgb="FFFFCC99"/>
      </patternFill>
    </fill>
    <fill>
      <patternFill patternType="solid">
        <fgColor rgb="FFFFFF00"/>
        <bgColor indexed="64"/>
      </patternFill>
    </fill>
    <fill>
      <patternFill patternType="solid">
        <fgColor theme="2" tint="-9.9978637043366805E-2"/>
        <bgColor indexed="64"/>
      </patternFill>
    </fill>
    <fill>
      <patternFill patternType="solid">
        <fgColor theme="2"/>
        <bgColor indexed="64"/>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auto="1"/>
      </left>
      <right style="thin">
        <color auto="1"/>
      </right>
      <top style="thin">
        <color auto="1"/>
      </top>
      <bottom style="thin">
        <color auto="1"/>
      </bottom>
      <diagonal/>
    </border>
  </borders>
  <cellStyleXfs count="4">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1" applyNumberFormat="0" applyAlignment="0" applyProtection="0"/>
  </cellStyleXfs>
  <cellXfs count="21">
    <xf numFmtId="0" fontId="0" fillId="0" borderId="0" xfId="0"/>
    <xf numFmtId="0" fontId="3" fillId="4" borderId="1" xfId="3"/>
    <xf numFmtId="0" fontId="0" fillId="5" borderId="0" xfId="0" applyFill="1"/>
    <xf numFmtId="2" fontId="1" fillId="0" borderId="0" xfId="1" applyNumberFormat="1" applyFill="1"/>
    <xf numFmtId="2" fontId="1" fillId="2" borderId="0" xfId="1" applyNumberFormat="1"/>
    <xf numFmtId="2" fontId="0" fillId="5" borderId="0" xfId="0" applyNumberFormat="1" applyFill="1"/>
    <xf numFmtId="0" fontId="2" fillId="3" borderId="0" xfId="2"/>
    <xf numFmtId="164" fontId="0" fillId="0" borderId="0" xfId="0" applyNumberFormat="1"/>
    <xf numFmtId="0" fontId="0" fillId="6" borderId="0" xfId="0" applyFill="1"/>
    <xf numFmtId="16" fontId="0" fillId="0" borderId="0" xfId="0" applyNumberFormat="1"/>
    <xf numFmtId="17" fontId="0" fillId="0" borderId="0" xfId="0" applyNumberFormat="1"/>
    <xf numFmtId="0" fontId="4" fillId="0" borderId="0" xfId="0" applyFont="1"/>
    <xf numFmtId="0" fontId="0" fillId="7" borderId="0" xfId="0" applyFill="1"/>
    <xf numFmtId="0" fontId="6" fillId="0" borderId="1" xfId="3" applyFont="1" applyFill="1"/>
    <xf numFmtId="0" fontId="7" fillId="0" borderId="2" xfId="0" applyFont="1" applyBorder="1" applyAlignment="1">
      <alignment horizontal="center" vertical="top"/>
    </xf>
    <xf numFmtId="0" fontId="5" fillId="0" borderId="0" xfId="0" applyFont="1"/>
    <xf numFmtId="2" fontId="8" fillId="0" borderId="0" xfId="1" applyNumberFormat="1" applyFont="1" applyFill="1"/>
    <xf numFmtId="2" fontId="5" fillId="0" borderId="0" xfId="0" applyNumberFormat="1" applyFont="1"/>
    <xf numFmtId="0" fontId="7" fillId="0" borderId="0" xfId="0" applyFont="1" applyAlignment="1">
      <alignment horizontal="center" vertical="top"/>
    </xf>
    <xf numFmtId="0" fontId="9" fillId="0" borderId="0" xfId="2" applyFont="1" applyFill="1" applyBorder="1" applyAlignment="1">
      <alignment horizontal="center" vertical="top"/>
    </xf>
    <xf numFmtId="164" fontId="5" fillId="0" borderId="0" xfId="0" applyNumberFormat="1" applyFont="1"/>
  </cellXfs>
  <cellStyles count="4">
    <cellStyle name="Bad" xfId="2" builtinId="27"/>
    <cellStyle name="Good" xfId="1" builtinId="26"/>
    <cellStyle name="Input" xfId="3"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year_data/antenna_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tenna_all"/>
      <sheetName val="Sheet2"/>
      <sheetName val="&lt;=1980"/>
      <sheetName val="&lt;=1985"/>
      <sheetName val="1990"/>
      <sheetName val="1991"/>
      <sheetName val="1992"/>
      <sheetName val="1993"/>
      <sheetName val="1994"/>
      <sheetName val="1995"/>
    </sheetNames>
    <sheetDataSet>
      <sheetData sheetId="0"/>
      <sheetData sheetId="1"/>
      <sheetData sheetId="2"/>
      <sheetData sheetId="3"/>
      <sheetData sheetId="4"/>
      <sheetData sheetId="5"/>
      <sheetData sheetId="6"/>
      <sheetData sheetId="7"/>
      <sheetData sheetId="8"/>
      <sheetData sheetId="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E01F6-572E-C046-BD5F-7F924B78AD9D}">
  <dimension ref="A1:AW815"/>
  <sheetViews>
    <sheetView tabSelected="1" topLeftCell="AI1" workbookViewId="0">
      <selection activeCell="AW41" sqref="AW41"/>
    </sheetView>
  </sheetViews>
  <sheetFormatPr baseColWidth="10" defaultRowHeight="16" x14ac:dyDescent="0.2"/>
  <sheetData>
    <row r="1" spans="1:49" s="12" customFormat="1" x14ac:dyDescent="0.2">
      <c r="A1" s="15"/>
      <c r="B1" s="15" t="s">
        <v>9163</v>
      </c>
      <c r="C1" s="15" t="s">
        <v>9162</v>
      </c>
      <c r="D1" s="15" t="s">
        <v>9161</v>
      </c>
      <c r="E1" s="15" t="s">
        <v>9160</v>
      </c>
      <c r="F1" s="15" t="s">
        <v>9159</v>
      </c>
      <c r="G1" s="15" t="s">
        <v>9158</v>
      </c>
      <c r="H1" s="15" t="s">
        <v>9157</v>
      </c>
      <c r="I1" s="15" t="s">
        <v>9156</v>
      </c>
      <c r="J1" s="15" t="s">
        <v>9155</v>
      </c>
      <c r="K1" s="15" t="s">
        <v>9154</v>
      </c>
      <c r="L1" s="15" t="s">
        <v>9153</v>
      </c>
      <c r="M1" s="15" t="s">
        <v>9152</v>
      </c>
      <c r="N1" s="15" t="s">
        <v>9151</v>
      </c>
      <c r="O1" s="15" t="s">
        <v>9150</v>
      </c>
      <c r="P1" s="15" t="s">
        <v>9149</v>
      </c>
      <c r="Q1" s="15" t="s">
        <v>9148</v>
      </c>
      <c r="R1" s="20" t="s">
        <v>9147</v>
      </c>
      <c r="S1" s="15" t="s">
        <v>9146</v>
      </c>
      <c r="T1" s="15" t="s">
        <v>9146</v>
      </c>
      <c r="U1" s="15" t="s">
        <v>9145</v>
      </c>
      <c r="V1" s="20" t="s">
        <v>9144</v>
      </c>
      <c r="W1" s="15" t="s">
        <v>9143</v>
      </c>
      <c r="X1" s="14" t="s">
        <v>9142</v>
      </c>
      <c r="Y1" s="19" t="s">
        <v>9141</v>
      </c>
      <c r="Z1" s="18" t="s">
        <v>9126</v>
      </c>
      <c r="AA1" s="15" t="s">
        <v>9140</v>
      </c>
      <c r="AB1" s="15" t="s">
        <v>9139</v>
      </c>
      <c r="AC1" s="15" t="s">
        <v>9138</v>
      </c>
      <c r="AD1" s="15" t="s">
        <v>9137</v>
      </c>
      <c r="AE1" s="15" t="s">
        <v>9136</v>
      </c>
      <c r="AF1" s="15" t="s">
        <v>9135</v>
      </c>
      <c r="AG1" s="15" t="s">
        <v>9134</v>
      </c>
      <c r="AH1" s="15" t="s">
        <v>9133</v>
      </c>
      <c r="AI1" s="15" t="s">
        <v>9132</v>
      </c>
      <c r="AJ1" s="15" t="s">
        <v>9131</v>
      </c>
      <c r="AK1" s="14" t="s">
        <v>9130</v>
      </c>
      <c r="AL1" s="15" t="s">
        <v>9129</v>
      </c>
      <c r="AM1" s="17" t="s">
        <v>9128</v>
      </c>
      <c r="AN1" s="16" t="s">
        <v>9127</v>
      </c>
      <c r="AO1" s="16" t="s">
        <v>9126</v>
      </c>
      <c r="AP1" s="15" t="s">
        <v>9125</v>
      </c>
      <c r="AQ1" s="15" t="s">
        <v>9124</v>
      </c>
      <c r="AR1" s="15" t="s">
        <v>9123</v>
      </c>
      <c r="AS1" s="15" t="s">
        <v>9122</v>
      </c>
      <c r="AT1" s="14" t="s">
        <v>9121</v>
      </c>
      <c r="AU1" s="13" t="s">
        <v>9120</v>
      </c>
      <c r="AV1" s="13" t="s">
        <v>9119</v>
      </c>
      <c r="AW1" s="13" t="s">
        <v>9118</v>
      </c>
    </row>
    <row r="2" spans="1:49" x14ac:dyDescent="0.2">
      <c r="A2">
        <v>0</v>
      </c>
      <c r="B2" t="s">
        <v>9117</v>
      </c>
      <c r="C2" t="s">
        <v>9116</v>
      </c>
      <c r="F2" t="s">
        <v>9115</v>
      </c>
      <c r="G2" t="s">
        <v>15</v>
      </c>
      <c r="H2" t="s">
        <v>14</v>
      </c>
      <c r="I2" t="s">
        <v>9114</v>
      </c>
      <c r="J2">
        <v>60008447</v>
      </c>
      <c r="K2" t="s">
        <v>5206</v>
      </c>
      <c r="L2" t="s">
        <v>5205</v>
      </c>
      <c r="M2" t="s">
        <v>72</v>
      </c>
      <c r="N2">
        <v>3</v>
      </c>
      <c r="O2" t="s">
        <v>9113</v>
      </c>
      <c r="P2" t="s">
        <v>9112</v>
      </c>
      <c r="Q2" t="s">
        <v>9111</v>
      </c>
      <c r="R2" s="7">
        <v>32681</v>
      </c>
      <c r="S2" s="8">
        <f t="shared" ref="S2:S35" si="0">YEAR(R2)</f>
        <v>1989</v>
      </c>
      <c r="T2" s="8">
        <v>1989</v>
      </c>
      <c r="U2" s="8">
        <f t="shared" ref="U2:U35" si="1">2022-T2</f>
        <v>33</v>
      </c>
      <c r="V2" s="7">
        <v>32681</v>
      </c>
      <c r="W2" t="s">
        <v>2469</v>
      </c>
      <c r="X2" s="2">
        <v>0.375</v>
      </c>
      <c r="Y2" s="6">
        <f t="shared" ref="Y2:Y65" si="2">(X2-$Z$4)/($Z$3-$Z$4)</f>
        <v>1.0010410827260351E-2</v>
      </c>
      <c r="AA2">
        <v>135194</v>
      </c>
      <c r="AB2">
        <v>24918</v>
      </c>
      <c r="AD2" t="s">
        <v>5</v>
      </c>
      <c r="AE2">
        <v>25</v>
      </c>
      <c r="AF2">
        <v>13</v>
      </c>
      <c r="AH2" t="s">
        <v>9110</v>
      </c>
      <c r="AI2" t="s">
        <v>9109</v>
      </c>
      <c r="AJ2" t="s">
        <v>9108</v>
      </c>
      <c r="AK2" t="s">
        <v>9107</v>
      </c>
      <c r="AL2">
        <v>0</v>
      </c>
      <c r="AM2" s="5">
        <f t="shared" ref="AM2:AM35" si="3">AL2/U2</f>
        <v>0</v>
      </c>
      <c r="AN2" s="4">
        <f t="shared" ref="AN2:AN65" si="4">(AM2-$AO$4)/($AO$3-$AO$4)</f>
        <v>0</v>
      </c>
      <c r="AO2" s="3"/>
      <c r="AP2">
        <v>0</v>
      </c>
      <c r="AR2" t="s">
        <v>0</v>
      </c>
      <c r="AT2" s="2">
        <v>1.3140000000000001</v>
      </c>
      <c r="AU2" s="1">
        <f t="shared" ref="AU2:AU35" si="5">(Y2*0.7+AN2*0.3)*100</f>
        <v>0.70072875790822453</v>
      </c>
      <c r="AV2" s="1">
        <f t="shared" ref="AV2:AV35" si="6">(Y2*0.5+AN2*0.5)*100</f>
        <v>0.5005205413630176</v>
      </c>
      <c r="AW2" s="1">
        <f t="shared" ref="AW2:AW35" si="7">(Y2*0.3+AN2*0.7)*100</f>
        <v>0.30031232481781051</v>
      </c>
    </row>
    <row r="3" spans="1:49" x14ac:dyDescent="0.2">
      <c r="A3">
        <v>1</v>
      </c>
      <c r="B3" t="s">
        <v>9106</v>
      </c>
      <c r="C3" t="s">
        <v>9105</v>
      </c>
      <c r="F3" t="s">
        <v>9104</v>
      </c>
      <c r="G3" t="s">
        <v>15</v>
      </c>
      <c r="H3" t="s">
        <v>14</v>
      </c>
      <c r="I3" t="s">
        <v>3225</v>
      </c>
      <c r="J3" t="s">
        <v>9098</v>
      </c>
      <c r="K3" t="s">
        <v>9103</v>
      </c>
      <c r="L3" t="s">
        <v>9102</v>
      </c>
      <c r="M3" t="s">
        <v>9101</v>
      </c>
      <c r="N3">
        <v>2</v>
      </c>
      <c r="O3" t="s">
        <v>9100</v>
      </c>
      <c r="P3" t="s">
        <v>9099</v>
      </c>
      <c r="Q3" t="s">
        <v>9098</v>
      </c>
      <c r="R3" s="7">
        <v>32681</v>
      </c>
      <c r="S3" s="8">
        <f t="shared" si="0"/>
        <v>1989</v>
      </c>
      <c r="T3" s="8">
        <v>1989</v>
      </c>
      <c r="U3" s="8">
        <f t="shared" si="1"/>
        <v>33</v>
      </c>
      <c r="V3" s="7">
        <v>32681</v>
      </c>
      <c r="W3" t="s">
        <v>2469</v>
      </c>
      <c r="X3" s="2">
        <v>0.375</v>
      </c>
      <c r="Y3" s="6">
        <f t="shared" si="2"/>
        <v>1.0010410827260351E-2</v>
      </c>
      <c r="Z3">
        <v>37.460999999999999</v>
      </c>
      <c r="AA3">
        <v>135194</v>
      </c>
      <c r="AB3">
        <v>24918</v>
      </c>
      <c r="AD3" t="s">
        <v>5</v>
      </c>
      <c r="AE3">
        <v>25</v>
      </c>
      <c r="AF3">
        <v>13</v>
      </c>
      <c r="AH3" t="s">
        <v>9097</v>
      </c>
      <c r="AI3" t="s">
        <v>9096</v>
      </c>
      <c r="AJ3" t="s">
        <v>9095</v>
      </c>
      <c r="AK3" t="s">
        <v>9094</v>
      </c>
      <c r="AL3">
        <v>2</v>
      </c>
      <c r="AM3" s="5">
        <f t="shared" si="3"/>
        <v>6.0606060606060608E-2</v>
      </c>
      <c r="AN3" s="4">
        <f t="shared" si="4"/>
        <v>9.1792594632428032E-5</v>
      </c>
      <c r="AO3" s="3">
        <v>660.25</v>
      </c>
      <c r="AP3">
        <v>0</v>
      </c>
      <c r="AR3" t="s">
        <v>0</v>
      </c>
      <c r="AT3" s="2">
        <v>1.3140000000000001</v>
      </c>
      <c r="AU3" s="1">
        <f t="shared" si="5"/>
        <v>0.70348253574719743</v>
      </c>
      <c r="AV3" s="1">
        <f t="shared" si="6"/>
        <v>0.50511017109463896</v>
      </c>
      <c r="AW3" s="1">
        <f t="shared" si="7"/>
        <v>0.30673780644208049</v>
      </c>
    </row>
    <row r="4" spans="1:49" x14ac:dyDescent="0.2">
      <c r="A4">
        <v>2</v>
      </c>
      <c r="B4" t="s">
        <v>9093</v>
      </c>
      <c r="C4" t="s">
        <v>9092</v>
      </c>
      <c r="F4" t="s">
        <v>9091</v>
      </c>
      <c r="G4" t="s">
        <v>15</v>
      </c>
      <c r="H4" t="s">
        <v>14</v>
      </c>
      <c r="I4" t="s">
        <v>7856</v>
      </c>
      <c r="J4">
        <v>60028112</v>
      </c>
      <c r="K4" t="s">
        <v>2663</v>
      </c>
      <c r="L4" t="s">
        <v>2662</v>
      </c>
      <c r="M4" t="s">
        <v>72</v>
      </c>
      <c r="N4">
        <v>2</v>
      </c>
      <c r="O4" t="s">
        <v>9090</v>
      </c>
      <c r="P4" t="s">
        <v>9089</v>
      </c>
      <c r="Q4" t="s">
        <v>9088</v>
      </c>
      <c r="R4" s="7">
        <v>32681</v>
      </c>
      <c r="S4" s="8">
        <f t="shared" si="0"/>
        <v>1989</v>
      </c>
      <c r="T4" s="8">
        <v>1989</v>
      </c>
      <c r="U4" s="8">
        <f t="shared" si="1"/>
        <v>33</v>
      </c>
      <c r="V4" s="7">
        <v>32681</v>
      </c>
      <c r="W4" t="s">
        <v>2469</v>
      </c>
      <c r="X4" s="2">
        <v>0.375</v>
      </c>
      <c r="Y4" s="6">
        <f t="shared" si="2"/>
        <v>1.0010410827260351E-2</v>
      </c>
      <c r="Z4">
        <v>0</v>
      </c>
      <c r="AA4">
        <v>135194</v>
      </c>
      <c r="AB4">
        <v>24918</v>
      </c>
      <c r="AD4" t="s">
        <v>5</v>
      </c>
      <c r="AE4">
        <v>25</v>
      </c>
      <c r="AF4">
        <v>13</v>
      </c>
      <c r="AH4" t="s">
        <v>9087</v>
      </c>
      <c r="AI4" t="s">
        <v>9086</v>
      </c>
      <c r="AJ4" t="s">
        <v>9085</v>
      </c>
      <c r="AK4" t="s">
        <v>9084</v>
      </c>
      <c r="AL4">
        <v>11</v>
      </c>
      <c r="AM4" s="5">
        <f t="shared" si="3"/>
        <v>0.33333333333333331</v>
      </c>
      <c r="AN4" s="4">
        <f t="shared" si="4"/>
        <v>5.048592704783541E-4</v>
      </c>
      <c r="AO4" s="3">
        <v>0</v>
      </c>
      <c r="AP4">
        <v>0</v>
      </c>
      <c r="AR4" t="s">
        <v>0</v>
      </c>
      <c r="AT4" s="2">
        <v>1.3140000000000001</v>
      </c>
      <c r="AU4" s="1">
        <f t="shared" si="5"/>
        <v>0.71587453602257523</v>
      </c>
      <c r="AV4" s="1">
        <f t="shared" si="6"/>
        <v>0.52576350488693535</v>
      </c>
      <c r="AW4" s="1">
        <f t="shared" si="7"/>
        <v>0.33565247375129531</v>
      </c>
    </row>
    <row r="5" spans="1:49" x14ac:dyDescent="0.2">
      <c r="A5">
        <v>3</v>
      </c>
      <c r="B5" t="s">
        <v>9083</v>
      </c>
      <c r="C5" t="s">
        <v>9082</v>
      </c>
      <c r="D5">
        <v>22098189900786</v>
      </c>
      <c r="F5" t="s">
        <v>9081</v>
      </c>
      <c r="G5" t="s">
        <v>15</v>
      </c>
      <c r="H5" t="s">
        <v>14</v>
      </c>
      <c r="I5" t="s">
        <v>9080</v>
      </c>
      <c r="J5">
        <v>60016437</v>
      </c>
      <c r="K5" t="s">
        <v>9079</v>
      </c>
      <c r="L5" t="s">
        <v>2173</v>
      </c>
      <c r="M5" t="s">
        <v>10</v>
      </c>
      <c r="N5">
        <v>2</v>
      </c>
      <c r="O5" t="s">
        <v>9078</v>
      </c>
      <c r="P5" t="s">
        <v>9077</v>
      </c>
      <c r="Q5" t="s">
        <v>9076</v>
      </c>
      <c r="R5" s="7">
        <v>32665</v>
      </c>
      <c r="S5" s="8">
        <f t="shared" si="0"/>
        <v>1989</v>
      </c>
      <c r="T5" s="8">
        <v>1989</v>
      </c>
      <c r="U5" s="8">
        <f t="shared" si="1"/>
        <v>33</v>
      </c>
      <c r="V5" s="7">
        <v>32665</v>
      </c>
      <c r="W5" t="s">
        <v>5906</v>
      </c>
      <c r="X5" s="2">
        <v>0.96499999999999997</v>
      </c>
      <c r="Y5" s="6">
        <f t="shared" si="2"/>
        <v>2.5760123862149969E-2</v>
      </c>
      <c r="AA5">
        <v>220981</v>
      </c>
      <c r="AB5">
        <v>29606</v>
      </c>
      <c r="AD5" t="s">
        <v>5</v>
      </c>
      <c r="AE5">
        <v>127</v>
      </c>
      <c r="AF5">
        <v>3</v>
      </c>
      <c r="AH5" t="s">
        <v>9075</v>
      </c>
      <c r="AI5" t="s">
        <v>9074</v>
      </c>
      <c r="AJ5" t="s">
        <v>9073</v>
      </c>
      <c r="AK5" t="s">
        <v>9072</v>
      </c>
      <c r="AL5">
        <v>45</v>
      </c>
      <c r="AM5" s="5">
        <f t="shared" si="3"/>
        <v>1.3636363636363635</v>
      </c>
      <c r="AN5" s="4">
        <f t="shared" si="4"/>
        <v>2.0653333792296307E-3</v>
      </c>
      <c r="AO5" s="3"/>
      <c r="AP5">
        <v>0</v>
      </c>
      <c r="AR5" t="s">
        <v>0</v>
      </c>
      <c r="AT5" s="2" t="s">
        <v>19</v>
      </c>
      <c r="AU5" s="1">
        <f t="shared" si="5"/>
        <v>1.8651686717273865</v>
      </c>
      <c r="AV5" s="1">
        <f t="shared" si="6"/>
        <v>1.3912728620689798</v>
      </c>
      <c r="AW5" s="1">
        <f t="shared" si="7"/>
        <v>0.91737705241057321</v>
      </c>
    </row>
    <row r="6" spans="1:49" x14ac:dyDescent="0.2">
      <c r="A6">
        <v>4</v>
      </c>
      <c r="B6" t="s">
        <v>9071</v>
      </c>
      <c r="C6" t="s">
        <v>9070</v>
      </c>
      <c r="D6">
        <v>14579389806428</v>
      </c>
      <c r="F6" t="s">
        <v>9069</v>
      </c>
      <c r="G6" t="s">
        <v>15</v>
      </c>
      <c r="H6" t="s">
        <v>14</v>
      </c>
      <c r="I6" t="s">
        <v>9068</v>
      </c>
      <c r="J6">
        <v>60072285</v>
      </c>
      <c r="K6" t="s">
        <v>9067</v>
      </c>
      <c r="L6" t="s">
        <v>9066</v>
      </c>
      <c r="M6" t="s">
        <v>259</v>
      </c>
      <c r="N6">
        <v>3</v>
      </c>
      <c r="O6" t="s">
        <v>9065</v>
      </c>
      <c r="P6" t="s">
        <v>9064</v>
      </c>
      <c r="Q6" t="s">
        <v>9063</v>
      </c>
      <c r="R6" s="7">
        <v>32664</v>
      </c>
      <c r="S6" s="8">
        <f t="shared" si="0"/>
        <v>1989</v>
      </c>
      <c r="T6" s="8">
        <v>1989</v>
      </c>
      <c r="U6" s="8">
        <f t="shared" si="1"/>
        <v>33</v>
      </c>
      <c r="V6" s="7">
        <v>32664</v>
      </c>
      <c r="W6" t="s">
        <v>8147</v>
      </c>
      <c r="X6" s="2">
        <v>1.593</v>
      </c>
      <c r="Y6" s="6">
        <f t="shared" si="2"/>
        <v>4.2524225194201973E-2</v>
      </c>
      <c r="AA6">
        <v>145793</v>
      </c>
      <c r="AB6">
        <v>17481</v>
      </c>
      <c r="AD6" t="s">
        <v>5</v>
      </c>
      <c r="AE6">
        <v>249</v>
      </c>
      <c r="AF6">
        <v>2</v>
      </c>
      <c r="AH6" t="s">
        <v>9062</v>
      </c>
      <c r="AI6" t="s">
        <v>9061</v>
      </c>
      <c r="AJ6" t="s">
        <v>9060</v>
      </c>
      <c r="AK6" t="s">
        <v>9059</v>
      </c>
      <c r="AL6">
        <v>14</v>
      </c>
      <c r="AM6" s="5">
        <f t="shared" si="3"/>
        <v>0.42424242424242425</v>
      </c>
      <c r="AN6" s="4">
        <f t="shared" si="4"/>
        <v>6.4254816242699617E-4</v>
      </c>
      <c r="AO6" s="3"/>
      <c r="AP6">
        <v>1</v>
      </c>
      <c r="AQ6" t="s">
        <v>9058</v>
      </c>
      <c r="AR6" t="s">
        <v>0</v>
      </c>
      <c r="AS6" t="s">
        <v>9057</v>
      </c>
      <c r="AT6" s="2">
        <v>4.1239999999999997</v>
      </c>
      <c r="AU6" s="1">
        <f t="shared" si="5"/>
        <v>2.9959722084669478</v>
      </c>
      <c r="AV6" s="1">
        <f t="shared" si="6"/>
        <v>2.1583386678314485</v>
      </c>
      <c r="AW6" s="1">
        <f t="shared" si="7"/>
        <v>1.3207051271959489</v>
      </c>
    </row>
    <row r="7" spans="1:49" x14ac:dyDescent="0.2">
      <c r="A7">
        <v>5</v>
      </c>
      <c r="B7" t="s">
        <v>9056</v>
      </c>
      <c r="C7" t="s">
        <v>9055</v>
      </c>
      <c r="F7" t="s">
        <v>9054</v>
      </c>
      <c r="G7" t="s">
        <v>15</v>
      </c>
      <c r="H7" t="s">
        <v>14</v>
      </c>
      <c r="I7" t="s">
        <v>9053</v>
      </c>
      <c r="J7">
        <v>60000765</v>
      </c>
      <c r="K7" t="s">
        <v>9052</v>
      </c>
      <c r="L7" t="s">
        <v>9051</v>
      </c>
      <c r="M7" t="s">
        <v>259</v>
      </c>
      <c r="N7">
        <v>2</v>
      </c>
      <c r="O7" t="s">
        <v>9050</v>
      </c>
      <c r="P7" t="s">
        <v>9049</v>
      </c>
      <c r="Q7" t="s">
        <v>9048</v>
      </c>
      <c r="R7" s="7">
        <v>32660</v>
      </c>
      <c r="S7" s="8">
        <f t="shared" si="0"/>
        <v>1989</v>
      </c>
      <c r="T7" s="8">
        <v>1989</v>
      </c>
      <c r="U7" s="8">
        <f t="shared" si="1"/>
        <v>33</v>
      </c>
      <c r="V7" s="7">
        <v>32660</v>
      </c>
      <c r="W7" t="s">
        <v>151</v>
      </c>
      <c r="X7" s="2">
        <v>0.30099999999999999</v>
      </c>
      <c r="Y7" s="6">
        <f t="shared" si="2"/>
        <v>8.0350230906809754E-3</v>
      </c>
      <c r="AA7">
        <v>9395075</v>
      </c>
      <c r="AB7">
        <v>14954</v>
      </c>
      <c r="AC7">
        <v>18657125</v>
      </c>
      <c r="AD7" t="s">
        <v>5</v>
      </c>
      <c r="AE7">
        <v>44</v>
      </c>
      <c r="AF7" s="9">
        <v>44352</v>
      </c>
      <c r="AH7" t="s">
        <v>9047</v>
      </c>
      <c r="AI7" t="s">
        <v>9046</v>
      </c>
      <c r="AJ7" t="s">
        <v>9045</v>
      </c>
      <c r="AK7" t="s">
        <v>9044</v>
      </c>
      <c r="AL7">
        <v>10</v>
      </c>
      <c r="AM7" s="5">
        <f t="shared" si="3"/>
        <v>0.30303030303030304</v>
      </c>
      <c r="AN7" s="4">
        <f t="shared" si="4"/>
        <v>4.5896297316214016E-4</v>
      </c>
      <c r="AO7" s="3"/>
      <c r="AP7">
        <v>1</v>
      </c>
      <c r="AQ7" t="s">
        <v>1761</v>
      </c>
      <c r="AR7" t="s">
        <v>0</v>
      </c>
      <c r="AS7" t="s">
        <v>1760</v>
      </c>
      <c r="AT7" s="2" t="s">
        <v>19</v>
      </c>
      <c r="AU7" s="1">
        <f t="shared" si="5"/>
        <v>0.57622050554253246</v>
      </c>
      <c r="AV7" s="1">
        <f t="shared" si="6"/>
        <v>0.42469930319215576</v>
      </c>
      <c r="AW7" s="1">
        <f t="shared" si="7"/>
        <v>0.27317810084177907</v>
      </c>
    </row>
    <row r="8" spans="1:49" x14ac:dyDescent="0.2">
      <c r="A8">
        <v>6</v>
      </c>
      <c r="B8" t="s">
        <v>9043</v>
      </c>
      <c r="C8" t="s">
        <v>9042</v>
      </c>
      <c r="F8" t="s">
        <v>9041</v>
      </c>
      <c r="G8" t="s">
        <v>15</v>
      </c>
      <c r="H8" t="s">
        <v>14</v>
      </c>
      <c r="I8" t="s">
        <v>9040</v>
      </c>
      <c r="J8" t="s">
        <v>9034</v>
      </c>
      <c r="K8" t="s">
        <v>9039</v>
      </c>
      <c r="L8" t="s">
        <v>9038</v>
      </c>
      <c r="M8" t="s">
        <v>9037</v>
      </c>
      <c r="N8">
        <v>2</v>
      </c>
      <c r="O8" t="s">
        <v>9036</v>
      </c>
      <c r="P8" t="s">
        <v>9035</v>
      </c>
      <c r="Q8" t="s">
        <v>9034</v>
      </c>
      <c r="R8" s="7">
        <v>32660</v>
      </c>
      <c r="S8" s="8">
        <f t="shared" si="0"/>
        <v>1989</v>
      </c>
      <c r="T8" s="8">
        <v>1989</v>
      </c>
      <c r="U8" s="8">
        <f t="shared" si="1"/>
        <v>33</v>
      </c>
      <c r="V8" s="7">
        <v>32660</v>
      </c>
      <c r="W8" t="s">
        <v>151</v>
      </c>
      <c r="X8" s="2">
        <v>0.30099999999999999</v>
      </c>
      <c r="Y8" s="6">
        <f t="shared" si="2"/>
        <v>8.0350230906809754E-3</v>
      </c>
      <c r="AA8">
        <v>9395075</v>
      </c>
      <c r="AB8">
        <v>14954</v>
      </c>
      <c r="AC8">
        <v>18657125</v>
      </c>
      <c r="AD8" t="s">
        <v>5</v>
      </c>
      <c r="AE8">
        <v>44</v>
      </c>
      <c r="AF8" s="9">
        <v>44352</v>
      </c>
      <c r="AH8" t="s">
        <v>9033</v>
      </c>
      <c r="AI8" t="s">
        <v>9032</v>
      </c>
      <c r="AJ8" t="s">
        <v>9031</v>
      </c>
      <c r="AK8" t="s">
        <v>9030</v>
      </c>
      <c r="AL8">
        <v>28</v>
      </c>
      <c r="AM8" s="5">
        <f t="shared" si="3"/>
        <v>0.84848484848484851</v>
      </c>
      <c r="AN8" s="4">
        <f t="shared" si="4"/>
        <v>1.2850963248539923E-3</v>
      </c>
      <c r="AO8" s="3"/>
      <c r="AP8">
        <v>1</v>
      </c>
      <c r="AQ8" t="s">
        <v>9029</v>
      </c>
      <c r="AR8" t="s">
        <v>0</v>
      </c>
      <c r="AS8" t="s">
        <v>9028</v>
      </c>
      <c r="AT8" s="2" t="s">
        <v>19</v>
      </c>
      <c r="AU8" s="1">
        <f t="shared" si="5"/>
        <v>0.60100450609328793</v>
      </c>
      <c r="AV8" s="1">
        <f t="shared" si="6"/>
        <v>0.46600597077674838</v>
      </c>
      <c r="AW8" s="1">
        <f t="shared" si="7"/>
        <v>0.33100743546020872</v>
      </c>
    </row>
    <row r="9" spans="1:49" x14ac:dyDescent="0.2">
      <c r="A9">
        <v>7</v>
      </c>
      <c r="B9" t="s">
        <v>9027</v>
      </c>
      <c r="C9" t="s">
        <v>9026</v>
      </c>
      <c r="F9" t="s">
        <v>9025</v>
      </c>
      <c r="G9" t="s">
        <v>15</v>
      </c>
      <c r="H9" t="s">
        <v>14</v>
      </c>
      <c r="I9" t="s">
        <v>9024</v>
      </c>
      <c r="N9">
        <v>1</v>
      </c>
      <c r="O9" t="s">
        <v>9023</v>
      </c>
      <c r="P9">
        <v>6602223914</v>
      </c>
      <c r="R9" s="7">
        <v>32660</v>
      </c>
      <c r="S9" s="8">
        <f t="shared" si="0"/>
        <v>1989</v>
      </c>
      <c r="T9" s="8">
        <v>1989</v>
      </c>
      <c r="U9" s="8">
        <f t="shared" si="1"/>
        <v>33</v>
      </c>
      <c r="V9" s="7">
        <v>32660</v>
      </c>
      <c r="W9" t="s">
        <v>3481</v>
      </c>
      <c r="X9" s="2">
        <v>0.14899999999999999</v>
      </c>
      <c r="Y9" s="6">
        <f t="shared" si="2"/>
        <v>3.977469902031446E-3</v>
      </c>
      <c r="AA9">
        <v>5431972</v>
      </c>
      <c r="AB9">
        <v>15425</v>
      </c>
      <c r="AC9">
        <v>15738906</v>
      </c>
      <c r="AD9" t="s">
        <v>5</v>
      </c>
      <c r="AE9">
        <v>32</v>
      </c>
      <c r="AF9">
        <v>6</v>
      </c>
      <c r="AH9" t="s">
        <v>9022</v>
      </c>
      <c r="AL9">
        <v>0</v>
      </c>
      <c r="AM9" s="5">
        <f t="shared" si="3"/>
        <v>0</v>
      </c>
      <c r="AN9" s="4">
        <f t="shared" si="4"/>
        <v>0</v>
      </c>
      <c r="AO9" s="3"/>
      <c r="AP9">
        <v>0</v>
      </c>
      <c r="AR9" t="s">
        <v>0</v>
      </c>
      <c r="AT9" s="2" t="s">
        <v>19</v>
      </c>
      <c r="AU9" s="1">
        <f t="shared" si="5"/>
        <v>0.2784228931422012</v>
      </c>
      <c r="AV9" s="1">
        <f t="shared" si="6"/>
        <v>0.19887349510157229</v>
      </c>
      <c r="AW9" s="1">
        <f t="shared" si="7"/>
        <v>0.11932409706094337</v>
      </c>
    </row>
    <row r="10" spans="1:49" x14ac:dyDescent="0.2">
      <c r="A10">
        <v>8</v>
      </c>
      <c r="B10" t="s">
        <v>9021</v>
      </c>
      <c r="C10" t="s">
        <v>9020</v>
      </c>
      <c r="F10" t="s">
        <v>9019</v>
      </c>
      <c r="G10" t="s">
        <v>15</v>
      </c>
      <c r="H10" t="s">
        <v>14</v>
      </c>
      <c r="I10" t="s">
        <v>9018</v>
      </c>
      <c r="N10">
        <v>2</v>
      </c>
      <c r="O10" t="s">
        <v>9017</v>
      </c>
      <c r="P10" t="s">
        <v>9016</v>
      </c>
      <c r="Q10" t="s">
        <v>1071</v>
      </c>
      <c r="R10" s="7">
        <v>32660</v>
      </c>
      <c r="S10" s="8">
        <f t="shared" si="0"/>
        <v>1989</v>
      </c>
      <c r="T10" s="8">
        <v>1989</v>
      </c>
      <c r="U10" s="8">
        <f t="shared" si="1"/>
        <v>33</v>
      </c>
      <c r="V10" s="7">
        <v>32660</v>
      </c>
      <c r="W10" t="s">
        <v>6551</v>
      </c>
      <c r="X10" s="2">
        <v>0.318</v>
      </c>
      <c r="Y10" s="6">
        <f t="shared" si="2"/>
        <v>8.4888283815167786E-3</v>
      </c>
      <c r="AA10">
        <v>338443</v>
      </c>
      <c r="AB10">
        <v>27160</v>
      </c>
      <c r="AC10">
        <v>15739120</v>
      </c>
      <c r="AD10" t="s">
        <v>5</v>
      </c>
      <c r="AE10">
        <v>32</v>
      </c>
      <c r="AF10">
        <v>6</v>
      </c>
      <c r="AH10" t="s">
        <v>9015</v>
      </c>
      <c r="AL10">
        <v>0</v>
      </c>
      <c r="AM10" s="5">
        <f t="shared" si="3"/>
        <v>0</v>
      </c>
      <c r="AN10" s="4">
        <f t="shared" si="4"/>
        <v>0</v>
      </c>
      <c r="AO10" s="3"/>
      <c r="AP10">
        <v>0</v>
      </c>
      <c r="AR10" t="s">
        <v>0</v>
      </c>
      <c r="AT10" s="2">
        <v>0.77</v>
      </c>
      <c r="AU10" s="1">
        <f t="shared" si="5"/>
        <v>0.59421798670617454</v>
      </c>
      <c r="AV10" s="1">
        <f t="shared" si="6"/>
        <v>0.42444141907583893</v>
      </c>
      <c r="AW10" s="1">
        <f t="shared" si="7"/>
        <v>0.25466485144550338</v>
      </c>
    </row>
    <row r="11" spans="1:49" x14ac:dyDescent="0.2">
      <c r="A11">
        <v>9</v>
      </c>
      <c r="B11" t="s">
        <v>9014</v>
      </c>
      <c r="C11" t="s">
        <v>9013</v>
      </c>
      <c r="F11" t="s">
        <v>9012</v>
      </c>
      <c r="G11" t="s">
        <v>15</v>
      </c>
      <c r="H11" t="s">
        <v>14</v>
      </c>
      <c r="I11" t="s">
        <v>9011</v>
      </c>
      <c r="J11">
        <v>60013609</v>
      </c>
      <c r="K11" t="s">
        <v>9010</v>
      </c>
      <c r="L11" t="s">
        <v>9009</v>
      </c>
      <c r="M11" t="s">
        <v>23</v>
      </c>
      <c r="N11">
        <v>2</v>
      </c>
      <c r="O11" t="s">
        <v>9008</v>
      </c>
      <c r="P11" t="s">
        <v>9007</v>
      </c>
      <c r="Q11" t="s">
        <v>9006</v>
      </c>
      <c r="R11" s="7">
        <v>32660</v>
      </c>
      <c r="S11" s="8">
        <f t="shared" si="0"/>
        <v>1989</v>
      </c>
      <c r="T11" s="8">
        <v>1989</v>
      </c>
      <c r="U11" s="8">
        <f t="shared" si="1"/>
        <v>33</v>
      </c>
      <c r="V11" s="7">
        <v>32660</v>
      </c>
      <c r="W11" t="s">
        <v>9005</v>
      </c>
      <c r="X11" s="2">
        <v>0.93</v>
      </c>
      <c r="Y11" s="6">
        <f t="shared" si="2"/>
        <v>2.4825818851605671E-2</v>
      </c>
      <c r="AA11">
        <v>253162</v>
      </c>
      <c r="AB11">
        <v>12165</v>
      </c>
      <c r="AC11">
        <v>14321793</v>
      </c>
      <c r="AD11" t="s">
        <v>5</v>
      </c>
      <c r="AE11">
        <v>103</v>
      </c>
      <c r="AF11">
        <v>2</v>
      </c>
      <c r="AH11" t="s">
        <v>9004</v>
      </c>
      <c r="AI11" t="s">
        <v>9003</v>
      </c>
      <c r="AK11" t="s">
        <v>9002</v>
      </c>
      <c r="AL11">
        <v>23</v>
      </c>
      <c r="AM11" s="5">
        <f t="shared" si="3"/>
        <v>0.69696969696969702</v>
      </c>
      <c r="AN11" s="4">
        <f t="shared" si="4"/>
        <v>1.0556148382729225E-3</v>
      </c>
      <c r="AO11" s="3"/>
      <c r="AP11">
        <v>0</v>
      </c>
      <c r="AR11" t="s">
        <v>0</v>
      </c>
      <c r="AT11" s="2">
        <v>2.573</v>
      </c>
      <c r="AU11" s="1">
        <f t="shared" si="5"/>
        <v>1.7694757647605845</v>
      </c>
      <c r="AV11" s="1">
        <f t="shared" si="6"/>
        <v>1.2940716844939297</v>
      </c>
      <c r="AW11" s="1">
        <f t="shared" si="7"/>
        <v>0.81866760422727469</v>
      </c>
    </row>
    <row r="12" spans="1:49" x14ac:dyDescent="0.2">
      <c r="A12">
        <v>10</v>
      </c>
      <c r="B12" t="s">
        <v>9001</v>
      </c>
      <c r="C12" t="s">
        <v>9000</v>
      </c>
      <c r="F12" t="s">
        <v>8999</v>
      </c>
      <c r="G12" t="s">
        <v>15</v>
      </c>
      <c r="H12" t="s">
        <v>14</v>
      </c>
      <c r="I12" t="s">
        <v>8998</v>
      </c>
      <c r="J12">
        <v>60031216</v>
      </c>
      <c r="K12" t="s">
        <v>8997</v>
      </c>
      <c r="L12" t="s">
        <v>8996</v>
      </c>
      <c r="M12" t="s">
        <v>259</v>
      </c>
      <c r="N12">
        <v>3</v>
      </c>
      <c r="O12" t="s">
        <v>8995</v>
      </c>
      <c r="P12" t="s">
        <v>8994</v>
      </c>
      <c r="Q12" t="s">
        <v>8993</v>
      </c>
      <c r="R12" s="7">
        <v>32660</v>
      </c>
      <c r="S12" s="8">
        <f t="shared" si="0"/>
        <v>1989</v>
      </c>
      <c r="T12" s="8">
        <v>1989</v>
      </c>
      <c r="U12" s="8">
        <f t="shared" si="1"/>
        <v>33</v>
      </c>
      <c r="V12" s="7">
        <v>32660</v>
      </c>
      <c r="W12" t="s">
        <v>192</v>
      </c>
      <c r="X12" s="2">
        <v>1.1579999999999999</v>
      </c>
      <c r="Y12" s="6">
        <f t="shared" si="2"/>
        <v>3.0912148634579962E-2</v>
      </c>
      <c r="AA12">
        <v>1668595</v>
      </c>
      <c r="AB12">
        <v>14223</v>
      </c>
      <c r="AC12">
        <v>15735079</v>
      </c>
      <c r="AD12" t="s">
        <v>5</v>
      </c>
      <c r="AE12">
        <v>20</v>
      </c>
      <c r="AF12">
        <v>3</v>
      </c>
      <c r="AH12" t="s">
        <v>8992</v>
      </c>
      <c r="AI12" t="s">
        <v>8991</v>
      </c>
      <c r="AJ12" t="s">
        <v>8990</v>
      </c>
      <c r="AK12" t="s">
        <v>8989</v>
      </c>
      <c r="AL12">
        <v>16</v>
      </c>
      <c r="AM12" s="5">
        <f t="shared" si="3"/>
        <v>0.48484848484848486</v>
      </c>
      <c r="AN12" s="4">
        <f t="shared" si="4"/>
        <v>7.3434075705942426E-4</v>
      </c>
      <c r="AO12" s="3"/>
      <c r="AP12">
        <v>0</v>
      </c>
      <c r="AR12" t="s">
        <v>0</v>
      </c>
      <c r="AT12" s="2">
        <v>3.573</v>
      </c>
      <c r="AU12" s="1">
        <f t="shared" si="5"/>
        <v>2.1858806271323798</v>
      </c>
      <c r="AV12" s="1">
        <f t="shared" si="6"/>
        <v>1.5823244695819694</v>
      </c>
      <c r="AW12" s="1">
        <f t="shared" si="7"/>
        <v>0.97876831203155856</v>
      </c>
    </row>
    <row r="13" spans="1:49" x14ac:dyDescent="0.2">
      <c r="A13">
        <v>11</v>
      </c>
      <c r="B13" t="s">
        <v>8988</v>
      </c>
      <c r="F13" t="s">
        <v>8987</v>
      </c>
      <c r="G13" t="s">
        <v>15</v>
      </c>
      <c r="H13" t="s">
        <v>14</v>
      </c>
      <c r="I13" t="s">
        <v>8986</v>
      </c>
      <c r="N13">
        <v>1</v>
      </c>
      <c r="O13" t="s">
        <v>8985</v>
      </c>
      <c r="P13">
        <v>6603568510</v>
      </c>
      <c r="R13" s="7">
        <v>32660</v>
      </c>
      <c r="S13" s="8">
        <f t="shared" si="0"/>
        <v>1989</v>
      </c>
      <c r="T13" s="8">
        <v>1989</v>
      </c>
      <c r="U13" s="8">
        <f t="shared" si="1"/>
        <v>33</v>
      </c>
      <c r="V13" s="7">
        <v>32660</v>
      </c>
      <c r="W13" t="s">
        <v>1080</v>
      </c>
      <c r="X13" s="2" t="s">
        <v>19</v>
      </c>
      <c r="Y13" s="6" t="e">
        <f t="shared" si="2"/>
        <v>#VALUE!</v>
      </c>
      <c r="AA13">
        <v>87566648</v>
      </c>
      <c r="AB13">
        <v>74127</v>
      </c>
      <c r="AD13" t="s">
        <v>5</v>
      </c>
      <c r="AE13">
        <v>34</v>
      </c>
      <c r="AF13">
        <v>6</v>
      </c>
      <c r="AH13" t="s">
        <v>8984</v>
      </c>
      <c r="AI13" t="s">
        <v>8983</v>
      </c>
      <c r="AK13" t="s">
        <v>8982</v>
      </c>
      <c r="AL13">
        <v>0</v>
      </c>
      <c r="AM13" s="5">
        <f t="shared" si="3"/>
        <v>0</v>
      </c>
      <c r="AN13" s="4">
        <f t="shared" si="4"/>
        <v>0</v>
      </c>
      <c r="AO13" s="3"/>
      <c r="AP13">
        <v>0</v>
      </c>
      <c r="AR13" t="s">
        <v>0</v>
      </c>
      <c r="AT13" s="2" t="s">
        <v>19</v>
      </c>
      <c r="AU13" s="1" t="e">
        <f t="shared" si="5"/>
        <v>#VALUE!</v>
      </c>
      <c r="AV13" s="1" t="e">
        <f t="shared" si="6"/>
        <v>#VALUE!</v>
      </c>
      <c r="AW13" s="1" t="e">
        <f t="shared" si="7"/>
        <v>#VALUE!</v>
      </c>
    </row>
    <row r="14" spans="1:49" x14ac:dyDescent="0.2">
      <c r="A14">
        <v>12</v>
      </c>
      <c r="B14" t="s">
        <v>8981</v>
      </c>
      <c r="F14" t="s">
        <v>8980</v>
      </c>
      <c r="G14" t="s">
        <v>15</v>
      </c>
      <c r="H14" t="s">
        <v>14</v>
      </c>
      <c r="I14" t="s">
        <v>8979</v>
      </c>
      <c r="N14">
        <v>2</v>
      </c>
      <c r="O14" t="s">
        <v>8978</v>
      </c>
      <c r="P14" t="s">
        <v>8977</v>
      </c>
      <c r="Q14" t="s">
        <v>1071</v>
      </c>
      <c r="R14" s="7">
        <v>32660</v>
      </c>
      <c r="S14" s="8">
        <f t="shared" si="0"/>
        <v>1989</v>
      </c>
      <c r="T14" s="8">
        <v>1989</v>
      </c>
      <c r="U14" s="8">
        <f t="shared" si="1"/>
        <v>33</v>
      </c>
      <c r="V14" s="7">
        <v>32660</v>
      </c>
      <c r="W14" t="s">
        <v>1080</v>
      </c>
      <c r="X14" s="2" t="s">
        <v>19</v>
      </c>
      <c r="Y14" s="6" t="e">
        <f t="shared" si="2"/>
        <v>#VALUE!</v>
      </c>
      <c r="AA14">
        <v>87566648</v>
      </c>
      <c r="AB14">
        <v>74127</v>
      </c>
      <c r="AD14" t="s">
        <v>5</v>
      </c>
      <c r="AE14">
        <v>34</v>
      </c>
      <c r="AF14">
        <v>6</v>
      </c>
      <c r="AH14" s="10">
        <v>41913</v>
      </c>
      <c r="AI14" t="s">
        <v>8976</v>
      </c>
      <c r="AK14" t="s">
        <v>8975</v>
      </c>
      <c r="AL14">
        <v>0</v>
      </c>
      <c r="AM14" s="5">
        <f t="shared" si="3"/>
        <v>0</v>
      </c>
      <c r="AN14" s="4">
        <f t="shared" si="4"/>
        <v>0</v>
      </c>
      <c r="AO14" s="3"/>
      <c r="AP14">
        <v>0</v>
      </c>
      <c r="AR14" t="s">
        <v>0</v>
      </c>
      <c r="AT14" s="2" t="s">
        <v>19</v>
      </c>
      <c r="AU14" s="1" t="e">
        <f t="shared" si="5"/>
        <v>#VALUE!</v>
      </c>
      <c r="AV14" s="1" t="e">
        <f t="shared" si="6"/>
        <v>#VALUE!</v>
      </c>
      <c r="AW14" s="1" t="e">
        <f t="shared" si="7"/>
        <v>#VALUE!</v>
      </c>
    </row>
    <row r="15" spans="1:49" x14ac:dyDescent="0.2">
      <c r="A15">
        <v>13</v>
      </c>
      <c r="B15" t="s">
        <v>8974</v>
      </c>
      <c r="F15" t="s">
        <v>8973</v>
      </c>
      <c r="G15" t="s">
        <v>15</v>
      </c>
      <c r="H15" t="s">
        <v>14</v>
      </c>
      <c r="I15" t="s">
        <v>532</v>
      </c>
      <c r="N15">
        <v>4</v>
      </c>
      <c r="O15" t="s">
        <v>8972</v>
      </c>
      <c r="P15" t="s">
        <v>529</v>
      </c>
      <c r="Q15" t="s">
        <v>8284</v>
      </c>
      <c r="R15" s="7">
        <v>32660</v>
      </c>
      <c r="S15" s="8">
        <f t="shared" si="0"/>
        <v>1989</v>
      </c>
      <c r="T15" s="8">
        <v>1989</v>
      </c>
      <c r="U15" s="8">
        <f t="shared" si="1"/>
        <v>33</v>
      </c>
      <c r="V15" s="7">
        <v>32660</v>
      </c>
      <c r="W15" t="s">
        <v>8971</v>
      </c>
      <c r="X15" s="2" t="s">
        <v>19</v>
      </c>
      <c r="Y15" s="6" t="e">
        <f t="shared" si="2"/>
        <v>#VALUE!</v>
      </c>
      <c r="AA15">
        <v>3084213</v>
      </c>
      <c r="AB15">
        <v>39048</v>
      </c>
      <c r="AD15" t="s">
        <v>5</v>
      </c>
      <c r="AE15">
        <v>14</v>
      </c>
      <c r="AF15">
        <v>6</v>
      </c>
      <c r="AH15" t="s">
        <v>8970</v>
      </c>
      <c r="AI15" t="s">
        <v>8969</v>
      </c>
      <c r="AK15" t="s">
        <v>8968</v>
      </c>
      <c r="AL15">
        <v>0</v>
      </c>
      <c r="AM15" s="5">
        <f t="shared" si="3"/>
        <v>0</v>
      </c>
      <c r="AN15" s="4">
        <f t="shared" si="4"/>
        <v>0</v>
      </c>
      <c r="AO15" s="3"/>
      <c r="AP15">
        <v>0</v>
      </c>
      <c r="AR15" t="s">
        <v>0</v>
      </c>
      <c r="AT15" s="2" t="s">
        <v>19</v>
      </c>
      <c r="AU15" s="1" t="e">
        <f t="shared" si="5"/>
        <v>#VALUE!</v>
      </c>
      <c r="AV15" s="1" t="e">
        <f t="shared" si="6"/>
        <v>#VALUE!</v>
      </c>
      <c r="AW15" s="1" t="e">
        <f t="shared" si="7"/>
        <v>#VALUE!</v>
      </c>
    </row>
    <row r="16" spans="1:49" x14ac:dyDescent="0.2">
      <c r="A16">
        <v>14</v>
      </c>
      <c r="B16" t="s">
        <v>8967</v>
      </c>
      <c r="F16" t="s">
        <v>8966</v>
      </c>
      <c r="G16" t="s">
        <v>15</v>
      </c>
      <c r="H16" t="s">
        <v>14</v>
      </c>
      <c r="I16" t="s">
        <v>8965</v>
      </c>
      <c r="N16">
        <v>3</v>
      </c>
      <c r="O16" t="s">
        <v>8964</v>
      </c>
      <c r="P16" t="s">
        <v>8963</v>
      </c>
      <c r="Q16" t="s">
        <v>296</v>
      </c>
      <c r="R16" s="7">
        <v>32660</v>
      </c>
      <c r="S16" s="8">
        <f t="shared" si="0"/>
        <v>1989</v>
      </c>
      <c r="T16" s="8">
        <v>1989</v>
      </c>
      <c r="U16" s="8">
        <f t="shared" si="1"/>
        <v>33</v>
      </c>
      <c r="V16" s="7">
        <v>32660</v>
      </c>
      <c r="W16" t="s">
        <v>1054</v>
      </c>
      <c r="X16" s="2">
        <v>0.14099999999999999</v>
      </c>
      <c r="Y16" s="6">
        <f t="shared" si="2"/>
        <v>3.7639144710498915E-3</v>
      </c>
      <c r="AA16">
        <v>402508</v>
      </c>
      <c r="AB16">
        <v>20868</v>
      </c>
      <c r="AD16" t="s">
        <v>5</v>
      </c>
      <c r="AE16">
        <v>44</v>
      </c>
      <c r="AF16">
        <v>6</v>
      </c>
      <c r="AH16" t="s">
        <v>1701</v>
      </c>
      <c r="AI16" t="s">
        <v>8962</v>
      </c>
      <c r="AK16" t="s">
        <v>8961</v>
      </c>
      <c r="AL16">
        <v>0</v>
      </c>
      <c r="AM16" s="5">
        <f t="shared" si="3"/>
        <v>0</v>
      </c>
      <c r="AN16" s="4">
        <f t="shared" si="4"/>
        <v>0</v>
      </c>
      <c r="AO16" s="3"/>
      <c r="AP16">
        <v>0</v>
      </c>
      <c r="AR16" t="s">
        <v>0</v>
      </c>
      <c r="AT16" s="2" t="s">
        <v>19</v>
      </c>
      <c r="AU16" s="1">
        <f t="shared" si="5"/>
        <v>0.26347401297349238</v>
      </c>
      <c r="AV16" s="1">
        <f t="shared" si="6"/>
        <v>0.18819572355249459</v>
      </c>
      <c r="AW16" s="1">
        <f t="shared" si="7"/>
        <v>0.11291743413149673</v>
      </c>
    </row>
    <row r="17" spans="1:49" x14ac:dyDescent="0.2">
      <c r="A17">
        <v>15</v>
      </c>
      <c r="B17" t="s">
        <v>8960</v>
      </c>
      <c r="F17" t="s">
        <v>8959</v>
      </c>
      <c r="G17" t="s">
        <v>15</v>
      </c>
      <c r="H17" t="s">
        <v>14</v>
      </c>
      <c r="I17" t="s">
        <v>8347</v>
      </c>
      <c r="N17">
        <v>2</v>
      </c>
      <c r="O17" t="s">
        <v>8958</v>
      </c>
      <c r="P17" t="s">
        <v>8957</v>
      </c>
      <c r="Q17" t="s">
        <v>1071</v>
      </c>
      <c r="R17" s="7">
        <v>32660</v>
      </c>
      <c r="S17" s="8">
        <f t="shared" si="0"/>
        <v>1989</v>
      </c>
      <c r="T17" s="8">
        <v>1989</v>
      </c>
      <c r="U17" s="8">
        <f t="shared" si="1"/>
        <v>33</v>
      </c>
      <c r="V17" s="7">
        <v>32660</v>
      </c>
      <c r="W17" t="s">
        <v>1054</v>
      </c>
      <c r="X17" s="2">
        <v>0.14099999999999999</v>
      </c>
      <c r="Y17" s="6">
        <f t="shared" si="2"/>
        <v>3.7639144710498915E-3</v>
      </c>
      <c r="AA17">
        <v>402508</v>
      </c>
      <c r="AB17">
        <v>20868</v>
      </c>
      <c r="AD17" t="s">
        <v>5</v>
      </c>
      <c r="AE17">
        <v>44</v>
      </c>
      <c r="AF17">
        <v>6</v>
      </c>
      <c r="AH17" t="s">
        <v>8956</v>
      </c>
      <c r="AI17" t="s">
        <v>8955</v>
      </c>
      <c r="AK17" t="s">
        <v>8954</v>
      </c>
      <c r="AL17">
        <v>0</v>
      </c>
      <c r="AM17" s="5">
        <f t="shared" si="3"/>
        <v>0</v>
      </c>
      <c r="AN17" s="4">
        <f t="shared" si="4"/>
        <v>0</v>
      </c>
      <c r="AO17" s="3"/>
      <c r="AP17">
        <v>0</v>
      </c>
      <c r="AR17" t="s">
        <v>0</v>
      </c>
      <c r="AT17" s="2" t="s">
        <v>19</v>
      </c>
      <c r="AU17" s="1">
        <f t="shared" si="5"/>
        <v>0.26347401297349238</v>
      </c>
      <c r="AV17" s="1">
        <f t="shared" si="6"/>
        <v>0.18819572355249459</v>
      </c>
      <c r="AW17" s="1">
        <f t="shared" si="7"/>
        <v>0.11291743413149673</v>
      </c>
    </row>
    <row r="18" spans="1:49" x14ac:dyDescent="0.2">
      <c r="A18">
        <v>16</v>
      </c>
      <c r="B18" t="s">
        <v>8953</v>
      </c>
      <c r="F18" t="s">
        <v>8952</v>
      </c>
      <c r="G18" t="s">
        <v>15</v>
      </c>
      <c r="H18" t="s">
        <v>14</v>
      </c>
      <c r="I18" t="s">
        <v>8951</v>
      </c>
      <c r="N18">
        <v>4</v>
      </c>
      <c r="O18" t="s">
        <v>8950</v>
      </c>
      <c r="P18" t="s">
        <v>8949</v>
      </c>
      <c r="Q18" t="s">
        <v>8284</v>
      </c>
      <c r="R18" s="7">
        <v>32660</v>
      </c>
      <c r="S18" s="8">
        <f t="shared" si="0"/>
        <v>1989</v>
      </c>
      <c r="T18" s="8">
        <v>1989</v>
      </c>
      <c r="U18" s="8">
        <f t="shared" si="1"/>
        <v>33</v>
      </c>
      <c r="V18" s="7">
        <v>32660</v>
      </c>
      <c r="W18" t="s">
        <v>1054</v>
      </c>
      <c r="X18" s="2">
        <v>0.14099999999999999</v>
      </c>
      <c r="Y18" s="6">
        <f t="shared" si="2"/>
        <v>3.7639144710498915E-3</v>
      </c>
      <c r="AA18">
        <v>402508</v>
      </c>
      <c r="AB18">
        <v>20868</v>
      </c>
      <c r="AD18" t="s">
        <v>5</v>
      </c>
      <c r="AE18">
        <v>44</v>
      </c>
      <c r="AF18">
        <v>6</v>
      </c>
      <c r="AH18" t="s">
        <v>1070</v>
      </c>
      <c r="AI18" t="s">
        <v>8948</v>
      </c>
      <c r="AK18" t="s">
        <v>8947</v>
      </c>
      <c r="AL18">
        <v>0</v>
      </c>
      <c r="AM18" s="5">
        <f t="shared" si="3"/>
        <v>0</v>
      </c>
      <c r="AN18" s="4">
        <f t="shared" si="4"/>
        <v>0</v>
      </c>
      <c r="AO18" s="3"/>
      <c r="AP18">
        <v>0</v>
      </c>
      <c r="AR18" t="s">
        <v>0</v>
      </c>
      <c r="AT18" s="2" t="s">
        <v>19</v>
      </c>
      <c r="AU18" s="1">
        <f t="shared" si="5"/>
        <v>0.26347401297349238</v>
      </c>
      <c r="AV18" s="1">
        <f t="shared" si="6"/>
        <v>0.18819572355249459</v>
      </c>
      <c r="AW18" s="1">
        <f t="shared" si="7"/>
        <v>0.11291743413149673</v>
      </c>
    </row>
    <row r="19" spans="1:49" x14ac:dyDescent="0.2">
      <c r="A19">
        <v>17</v>
      </c>
      <c r="B19" t="s">
        <v>8946</v>
      </c>
      <c r="F19" t="s">
        <v>8945</v>
      </c>
      <c r="G19" t="s">
        <v>15</v>
      </c>
      <c r="H19" t="s">
        <v>14</v>
      </c>
      <c r="I19" t="s">
        <v>8944</v>
      </c>
      <c r="N19">
        <v>3</v>
      </c>
      <c r="O19" t="s">
        <v>8943</v>
      </c>
      <c r="P19" t="s">
        <v>8942</v>
      </c>
      <c r="Q19" t="s">
        <v>296</v>
      </c>
      <c r="R19" s="7">
        <v>32660</v>
      </c>
      <c r="S19" s="8">
        <f t="shared" si="0"/>
        <v>1989</v>
      </c>
      <c r="T19" s="8">
        <v>1989</v>
      </c>
      <c r="U19" s="8">
        <f t="shared" si="1"/>
        <v>33</v>
      </c>
      <c r="V19" s="7">
        <v>32660</v>
      </c>
      <c r="W19" t="s">
        <v>1080</v>
      </c>
      <c r="X19" s="2" t="s">
        <v>19</v>
      </c>
      <c r="Y19" s="6" t="e">
        <f t="shared" si="2"/>
        <v>#VALUE!</v>
      </c>
      <c r="AA19">
        <v>87566648</v>
      </c>
      <c r="AB19">
        <v>74127</v>
      </c>
      <c r="AD19" t="s">
        <v>5</v>
      </c>
      <c r="AE19">
        <v>34</v>
      </c>
      <c r="AF19">
        <v>6</v>
      </c>
      <c r="AH19" t="s">
        <v>8941</v>
      </c>
      <c r="AI19" t="s">
        <v>8940</v>
      </c>
      <c r="AK19" t="s">
        <v>8939</v>
      </c>
      <c r="AL19">
        <v>0</v>
      </c>
      <c r="AM19" s="5">
        <f t="shared" si="3"/>
        <v>0</v>
      </c>
      <c r="AN19" s="4">
        <f t="shared" si="4"/>
        <v>0</v>
      </c>
      <c r="AO19" s="3"/>
      <c r="AP19">
        <v>0</v>
      </c>
      <c r="AR19" t="s">
        <v>0</v>
      </c>
      <c r="AT19" s="2" t="s">
        <v>19</v>
      </c>
      <c r="AU19" s="1" t="e">
        <f t="shared" si="5"/>
        <v>#VALUE!</v>
      </c>
      <c r="AV19" s="1" t="e">
        <f t="shared" si="6"/>
        <v>#VALUE!</v>
      </c>
      <c r="AW19" s="1" t="e">
        <f t="shared" si="7"/>
        <v>#VALUE!</v>
      </c>
    </row>
    <row r="20" spans="1:49" x14ac:dyDescent="0.2">
      <c r="A20">
        <v>18</v>
      </c>
      <c r="B20" t="s">
        <v>8938</v>
      </c>
      <c r="F20" t="s">
        <v>8937</v>
      </c>
      <c r="G20" t="s">
        <v>15</v>
      </c>
      <c r="H20" t="s">
        <v>14</v>
      </c>
      <c r="I20" t="s">
        <v>8936</v>
      </c>
      <c r="N20">
        <v>3</v>
      </c>
      <c r="O20" t="s">
        <v>8935</v>
      </c>
      <c r="P20" t="s">
        <v>8934</v>
      </c>
      <c r="Q20" t="s">
        <v>296</v>
      </c>
      <c r="R20" s="7">
        <v>32660</v>
      </c>
      <c r="S20" s="8">
        <f t="shared" si="0"/>
        <v>1989</v>
      </c>
      <c r="T20" s="8">
        <v>1989</v>
      </c>
      <c r="U20" s="8">
        <f t="shared" si="1"/>
        <v>33</v>
      </c>
      <c r="V20" s="7">
        <v>32660</v>
      </c>
      <c r="W20" t="s">
        <v>1080</v>
      </c>
      <c r="X20" s="2" t="s">
        <v>19</v>
      </c>
      <c r="Y20" s="6" t="e">
        <f t="shared" si="2"/>
        <v>#VALUE!</v>
      </c>
      <c r="AA20">
        <v>87566648</v>
      </c>
      <c r="AB20">
        <v>74127</v>
      </c>
      <c r="AD20" t="s">
        <v>5</v>
      </c>
      <c r="AE20">
        <v>34</v>
      </c>
      <c r="AF20">
        <v>6</v>
      </c>
      <c r="AH20" t="s">
        <v>8933</v>
      </c>
      <c r="AI20" t="s">
        <v>8932</v>
      </c>
      <c r="AK20" t="s">
        <v>8931</v>
      </c>
      <c r="AL20">
        <v>0</v>
      </c>
      <c r="AM20" s="5">
        <f t="shared" si="3"/>
        <v>0</v>
      </c>
      <c r="AN20" s="4">
        <f t="shared" si="4"/>
        <v>0</v>
      </c>
      <c r="AO20" s="3"/>
      <c r="AP20">
        <v>0</v>
      </c>
      <c r="AR20" t="s">
        <v>0</v>
      </c>
      <c r="AT20" s="2" t="s">
        <v>19</v>
      </c>
      <c r="AU20" s="1" t="e">
        <f t="shared" si="5"/>
        <v>#VALUE!</v>
      </c>
      <c r="AV20" s="1" t="e">
        <f t="shared" si="6"/>
        <v>#VALUE!</v>
      </c>
      <c r="AW20" s="1" t="e">
        <f t="shared" si="7"/>
        <v>#VALUE!</v>
      </c>
    </row>
    <row r="21" spans="1:49" x14ac:dyDescent="0.2">
      <c r="A21">
        <v>19</v>
      </c>
      <c r="B21" t="s">
        <v>8930</v>
      </c>
      <c r="F21" t="s">
        <v>8929</v>
      </c>
      <c r="G21" t="s">
        <v>15</v>
      </c>
      <c r="H21" t="s">
        <v>14</v>
      </c>
      <c r="I21" t="s">
        <v>8928</v>
      </c>
      <c r="N21">
        <v>1</v>
      </c>
      <c r="O21" t="s">
        <v>8927</v>
      </c>
      <c r="P21">
        <v>7003954032</v>
      </c>
      <c r="R21" s="7">
        <v>32660</v>
      </c>
      <c r="S21" s="8">
        <f t="shared" si="0"/>
        <v>1989</v>
      </c>
      <c r="T21" s="8">
        <v>1989</v>
      </c>
      <c r="U21" s="8">
        <f t="shared" si="1"/>
        <v>33</v>
      </c>
      <c r="V21" s="7">
        <v>32660</v>
      </c>
      <c r="W21" t="s">
        <v>1080</v>
      </c>
      <c r="X21" s="2" t="s">
        <v>19</v>
      </c>
      <c r="Y21" s="6" t="e">
        <f t="shared" si="2"/>
        <v>#VALUE!</v>
      </c>
      <c r="AA21">
        <v>87566648</v>
      </c>
      <c r="AB21">
        <v>74127</v>
      </c>
      <c r="AD21" t="s">
        <v>5</v>
      </c>
      <c r="AE21">
        <v>34</v>
      </c>
      <c r="AF21">
        <v>6</v>
      </c>
      <c r="AH21" t="s">
        <v>8926</v>
      </c>
      <c r="AI21" t="s">
        <v>8925</v>
      </c>
      <c r="AK21" t="s">
        <v>8924</v>
      </c>
      <c r="AL21">
        <v>0</v>
      </c>
      <c r="AM21" s="5">
        <f t="shared" si="3"/>
        <v>0</v>
      </c>
      <c r="AN21" s="4">
        <f t="shared" si="4"/>
        <v>0</v>
      </c>
      <c r="AO21" s="3"/>
      <c r="AP21">
        <v>0</v>
      </c>
      <c r="AR21" t="s">
        <v>0</v>
      </c>
      <c r="AT21" s="2" t="s">
        <v>19</v>
      </c>
      <c r="AU21" s="1" t="e">
        <f t="shared" si="5"/>
        <v>#VALUE!</v>
      </c>
      <c r="AV21" s="1" t="e">
        <f t="shared" si="6"/>
        <v>#VALUE!</v>
      </c>
      <c r="AW21" s="1" t="e">
        <f t="shared" si="7"/>
        <v>#VALUE!</v>
      </c>
    </row>
    <row r="22" spans="1:49" x14ac:dyDescent="0.2">
      <c r="A22">
        <v>20</v>
      </c>
      <c r="B22" t="s">
        <v>8923</v>
      </c>
      <c r="F22" t="s">
        <v>8922</v>
      </c>
      <c r="G22" t="s">
        <v>15</v>
      </c>
      <c r="H22" t="s">
        <v>14</v>
      </c>
      <c r="I22" t="s">
        <v>8921</v>
      </c>
      <c r="N22">
        <v>3</v>
      </c>
      <c r="O22" t="s">
        <v>8920</v>
      </c>
      <c r="P22" t="s">
        <v>8919</v>
      </c>
      <c r="Q22" t="s">
        <v>296</v>
      </c>
      <c r="R22" s="7">
        <v>32660</v>
      </c>
      <c r="S22" s="8">
        <f t="shared" si="0"/>
        <v>1989</v>
      </c>
      <c r="T22" s="8">
        <v>1989</v>
      </c>
      <c r="U22" s="8">
        <f t="shared" si="1"/>
        <v>33</v>
      </c>
      <c r="V22" s="7">
        <v>32660</v>
      </c>
      <c r="W22" t="s">
        <v>1054</v>
      </c>
      <c r="X22" s="2">
        <v>0.14099999999999999</v>
      </c>
      <c r="Y22" s="6">
        <f t="shared" si="2"/>
        <v>3.7639144710498915E-3</v>
      </c>
      <c r="AA22">
        <v>402508</v>
      </c>
      <c r="AB22">
        <v>20868</v>
      </c>
      <c r="AD22" t="s">
        <v>5</v>
      </c>
      <c r="AE22">
        <v>44</v>
      </c>
      <c r="AF22">
        <v>6</v>
      </c>
      <c r="AH22" t="s">
        <v>8918</v>
      </c>
      <c r="AI22" t="s">
        <v>8917</v>
      </c>
      <c r="AK22" t="s">
        <v>8916</v>
      </c>
      <c r="AL22">
        <v>0</v>
      </c>
      <c r="AM22" s="5">
        <f t="shared" si="3"/>
        <v>0</v>
      </c>
      <c r="AN22" s="4">
        <f t="shared" si="4"/>
        <v>0</v>
      </c>
      <c r="AO22" s="3"/>
      <c r="AP22">
        <v>0</v>
      </c>
      <c r="AR22" t="s">
        <v>0</v>
      </c>
      <c r="AT22" s="2" t="s">
        <v>19</v>
      </c>
      <c r="AU22" s="1">
        <f t="shared" si="5"/>
        <v>0.26347401297349238</v>
      </c>
      <c r="AV22" s="1">
        <f t="shared" si="6"/>
        <v>0.18819572355249459</v>
      </c>
      <c r="AW22" s="1">
        <f t="shared" si="7"/>
        <v>0.11291743413149673</v>
      </c>
    </row>
    <row r="23" spans="1:49" x14ac:dyDescent="0.2">
      <c r="A23">
        <v>21</v>
      </c>
      <c r="B23" t="s">
        <v>8915</v>
      </c>
      <c r="F23" t="s">
        <v>8914</v>
      </c>
      <c r="G23" t="s">
        <v>15</v>
      </c>
      <c r="H23" t="s">
        <v>14</v>
      </c>
      <c r="I23" t="s">
        <v>8913</v>
      </c>
      <c r="N23">
        <v>3</v>
      </c>
      <c r="O23" t="s">
        <v>8912</v>
      </c>
      <c r="P23" t="s">
        <v>8911</v>
      </c>
      <c r="Q23" t="s">
        <v>296</v>
      </c>
      <c r="R23" s="7">
        <v>32660</v>
      </c>
      <c r="S23" s="8">
        <f t="shared" si="0"/>
        <v>1989</v>
      </c>
      <c r="T23" s="8">
        <v>1989</v>
      </c>
      <c r="U23" s="8">
        <f t="shared" si="1"/>
        <v>33</v>
      </c>
      <c r="V23" s="7">
        <v>32660</v>
      </c>
      <c r="W23" t="s">
        <v>1054</v>
      </c>
      <c r="X23" s="2">
        <v>0.14099999999999999</v>
      </c>
      <c r="Y23" s="6">
        <f t="shared" si="2"/>
        <v>3.7639144710498915E-3</v>
      </c>
      <c r="AA23">
        <v>402508</v>
      </c>
      <c r="AB23">
        <v>20868</v>
      </c>
      <c r="AD23" t="s">
        <v>5</v>
      </c>
      <c r="AE23">
        <v>44</v>
      </c>
      <c r="AF23">
        <v>6</v>
      </c>
      <c r="AH23" t="s">
        <v>8910</v>
      </c>
      <c r="AI23" t="s">
        <v>8909</v>
      </c>
      <c r="AK23" t="s">
        <v>8908</v>
      </c>
      <c r="AL23">
        <v>0</v>
      </c>
      <c r="AM23" s="5">
        <f t="shared" si="3"/>
        <v>0</v>
      </c>
      <c r="AN23" s="4">
        <f t="shared" si="4"/>
        <v>0</v>
      </c>
      <c r="AO23" s="3"/>
      <c r="AP23">
        <v>0</v>
      </c>
      <c r="AR23" t="s">
        <v>0</v>
      </c>
      <c r="AT23" s="2" t="s">
        <v>19</v>
      </c>
      <c r="AU23" s="1">
        <f t="shared" si="5"/>
        <v>0.26347401297349238</v>
      </c>
      <c r="AV23" s="1">
        <f t="shared" si="6"/>
        <v>0.18819572355249459</v>
      </c>
      <c r="AW23" s="1">
        <f t="shared" si="7"/>
        <v>0.11291743413149673</v>
      </c>
    </row>
    <row r="24" spans="1:49" x14ac:dyDescent="0.2">
      <c r="A24">
        <v>22</v>
      </c>
      <c r="B24" t="s">
        <v>8907</v>
      </c>
      <c r="F24" t="s">
        <v>8906</v>
      </c>
      <c r="G24" t="s">
        <v>15</v>
      </c>
      <c r="H24" t="s">
        <v>14</v>
      </c>
      <c r="I24" t="s">
        <v>8905</v>
      </c>
      <c r="J24">
        <v>106602119</v>
      </c>
      <c r="K24" t="s">
        <v>8904</v>
      </c>
      <c r="M24" t="s">
        <v>259</v>
      </c>
      <c r="N24">
        <v>2</v>
      </c>
      <c r="O24" t="s">
        <v>8903</v>
      </c>
      <c r="P24" t="s">
        <v>8902</v>
      </c>
      <c r="Q24" t="s">
        <v>8901</v>
      </c>
      <c r="R24" s="7">
        <v>32660</v>
      </c>
      <c r="S24" s="8">
        <f t="shared" si="0"/>
        <v>1989</v>
      </c>
      <c r="T24" s="8">
        <v>1989</v>
      </c>
      <c r="U24" s="8">
        <f t="shared" si="1"/>
        <v>33</v>
      </c>
      <c r="V24" s="7">
        <v>32660</v>
      </c>
      <c r="W24" t="s">
        <v>8337</v>
      </c>
      <c r="X24" s="2" t="s">
        <v>19</v>
      </c>
      <c r="Y24" s="6" t="e">
        <f t="shared" si="2"/>
        <v>#VALUE!</v>
      </c>
      <c r="AA24">
        <v>3797155</v>
      </c>
      <c r="AB24">
        <v>18354</v>
      </c>
      <c r="AD24" t="s">
        <v>5</v>
      </c>
      <c r="AF24">
        <v>235</v>
      </c>
      <c r="AH24" t="s">
        <v>8900</v>
      </c>
      <c r="AI24" t="s">
        <v>8899</v>
      </c>
      <c r="AK24" t="s">
        <v>8898</v>
      </c>
      <c r="AL24">
        <v>0</v>
      </c>
      <c r="AM24" s="5">
        <f t="shared" si="3"/>
        <v>0</v>
      </c>
      <c r="AN24" s="4">
        <f t="shared" si="4"/>
        <v>0</v>
      </c>
      <c r="AO24" s="3"/>
      <c r="AP24">
        <v>0</v>
      </c>
      <c r="AR24" t="s">
        <v>0</v>
      </c>
      <c r="AT24" s="2" t="s">
        <v>19</v>
      </c>
      <c r="AU24" s="1" t="e">
        <f t="shared" si="5"/>
        <v>#VALUE!</v>
      </c>
      <c r="AV24" s="1" t="e">
        <f t="shared" si="6"/>
        <v>#VALUE!</v>
      </c>
      <c r="AW24" s="1" t="e">
        <f t="shared" si="7"/>
        <v>#VALUE!</v>
      </c>
    </row>
    <row r="25" spans="1:49" x14ac:dyDescent="0.2">
      <c r="A25">
        <v>23</v>
      </c>
      <c r="B25" t="s">
        <v>8897</v>
      </c>
      <c r="F25" t="s">
        <v>8896</v>
      </c>
      <c r="G25" t="s">
        <v>15</v>
      </c>
      <c r="H25" t="s">
        <v>14</v>
      </c>
      <c r="I25" t="s">
        <v>8895</v>
      </c>
      <c r="J25">
        <v>60027509</v>
      </c>
      <c r="K25" t="s">
        <v>2695</v>
      </c>
      <c r="L25" t="s">
        <v>102</v>
      </c>
      <c r="M25" t="s">
        <v>101</v>
      </c>
      <c r="N25">
        <v>3</v>
      </c>
      <c r="O25" t="s">
        <v>8894</v>
      </c>
      <c r="P25" t="s">
        <v>8893</v>
      </c>
      <c r="Q25" t="s">
        <v>2692</v>
      </c>
      <c r="R25" s="7">
        <v>32660</v>
      </c>
      <c r="S25" s="8">
        <f t="shared" si="0"/>
        <v>1989</v>
      </c>
      <c r="T25" s="8">
        <v>1989</v>
      </c>
      <c r="U25" s="8">
        <f t="shared" si="1"/>
        <v>33</v>
      </c>
      <c r="V25" s="7">
        <v>32660</v>
      </c>
      <c r="W25" t="s">
        <v>8892</v>
      </c>
      <c r="X25" s="2" t="s">
        <v>19</v>
      </c>
      <c r="Y25" s="6" t="e">
        <f t="shared" si="2"/>
        <v>#VALUE!</v>
      </c>
      <c r="AA25">
        <v>1679368</v>
      </c>
      <c r="AB25">
        <v>35103</v>
      </c>
      <c r="AD25" t="s">
        <v>5</v>
      </c>
      <c r="AE25">
        <v>6</v>
      </c>
      <c r="AF25">
        <v>5</v>
      </c>
      <c r="AH25" t="s">
        <v>8891</v>
      </c>
      <c r="AI25" t="s">
        <v>8890</v>
      </c>
      <c r="AK25" t="s">
        <v>8889</v>
      </c>
      <c r="AL25">
        <v>1</v>
      </c>
      <c r="AM25" s="5">
        <f t="shared" si="3"/>
        <v>3.0303030303030304E-2</v>
      </c>
      <c r="AN25" s="4">
        <f t="shared" si="4"/>
        <v>4.5896297316214016E-5</v>
      </c>
      <c r="AO25" s="3"/>
      <c r="AP25">
        <v>0</v>
      </c>
      <c r="AR25" t="s">
        <v>0</v>
      </c>
      <c r="AT25" s="2" t="s">
        <v>19</v>
      </c>
      <c r="AU25" s="1" t="e">
        <f t="shared" si="5"/>
        <v>#VALUE!</v>
      </c>
      <c r="AV25" s="1" t="e">
        <f t="shared" si="6"/>
        <v>#VALUE!</v>
      </c>
      <c r="AW25" s="1" t="e">
        <f t="shared" si="7"/>
        <v>#VALUE!</v>
      </c>
    </row>
    <row r="26" spans="1:49" x14ac:dyDescent="0.2">
      <c r="A26">
        <v>24</v>
      </c>
      <c r="B26" t="s">
        <v>8888</v>
      </c>
      <c r="F26" t="s">
        <v>8887</v>
      </c>
      <c r="G26" t="s">
        <v>15</v>
      </c>
      <c r="H26" t="s">
        <v>14</v>
      </c>
      <c r="I26" t="s">
        <v>8886</v>
      </c>
      <c r="J26">
        <v>60020650</v>
      </c>
      <c r="K26" t="s">
        <v>1102</v>
      </c>
      <c r="L26" t="s">
        <v>1101</v>
      </c>
      <c r="M26" t="s">
        <v>792</v>
      </c>
      <c r="N26">
        <v>2</v>
      </c>
      <c r="O26" t="s">
        <v>8885</v>
      </c>
      <c r="P26" t="s">
        <v>8884</v>
      </c>
      <c r="Q26" t="s">
        <v>1098</v>
      </c>
      <c r="R26" s="7">
        <v>32660</v>
      </c>
      <c r="S26" s="8">
        <f t="shared" si="0"/>
        <v>1989</v>
      </c>
      <c r="T26" s="8">
        <v>1989</v>
      </c>
      <c r="U26" s="8">
        <f t="shared" si="1"/>
        <v>33</v>
      </c>
      <c r="V26" s="7">
        <v>32660</v>
      </c>
      <c r="W26" s="11" t="s">
        <v>7665</v>
      </c>
      <c r="X26" s="2">
        <v>2.383</v>
      </c>
      <c r="Y26" s="6">
        <f t="shared" si="2"/>
        <v>6.3612824003630442E-2</v>
      </c>
      <c r="AA26">
        <v>1437100</v>
      </c>
      <c r="AB26">
        <v>60310</v>
      </c>
      <c r="AD26" t="s">
        <v>5</v>
      </c>
      <c r="AE26">
        <v>136</v>
      </c>
      <c r="AF26">
        <v>3</v>
      </c>
      <c r="AH26" t="s">
        <v>8883</v>
      </c>
      <c r="AI26" t="s">
        <v>8882</v>
      </c>
      <c r="AK26" t="s">
        <v>8881</v>
      </c>
      <c r="AL26">
        <v>3</v>
      </c>
      <c r="AM26" s="5">
        <f t="shared" si="3"/>
        <v>9.0909090909090912E-2</v>
      </c>
      <c r="AN26" s="4">
        <f t="shared" si="4"/>
        <v>1.3768889194864205E-4</v>
      </c>
      <c r="AO26" s="3"/>
      <c r="AP26">
        <v>0</v>
      </c>
      <c r="AR26" t="s">
        <v>0</v>
      </c>
      <c r="AT26" s="2" t="s">
        <v>19</v>
      </c>
      <c r="AU26" s="1">
        <f t="shared" si="5"/>
        <v>4.4570283470125895</v>
      </c>
      <c r="AV26" s="1">
        <f t="shared" si="6"/>
        <v>3.1875256447789537</v>
      </c>
      <c r="AW26" s="1">
        <f t="shared" si="7"/>
        <v>1.9180229425453184</v>
      </c>
    </row>
    <row r="27" spans="1:49" x14ac:dyDescent="0.2">
      <c r="A27">
        <v>25</v>
      </c>
      <c r="B27" t="s">
        <v>8880</v>
      </c>
      <c r="F27" t="s">
        <v>8879</v>
      </c>
      <c r="G27" t="s">
        <v>15</v>
      </c>
      <c r="H27" t="s">
        <v>14</v>
      </c>
      <c r="I27" t="s">
        <v>8878</v>
      </c>
      <c r="J27">
        <v>60023053</v>
      </c>
      <c r="K27" t="s">
        <v>3802</v>
      </c>
      <c r="L27" t="s">
        <v>1703</v>
      </c>
      <c r="M27" t="s">
        <v>23</v>
      </c>
      <c r="N27">
        <v>2</v>
      </c>
      <c r="O27" t="s">
        <v>8877</v>
      </c>
      <c r="P27" t="s">
        <v>8876</v>
      </c>
      <c r="Q27" t="s">
        <v>8875</v>
      </c>
      <c r="R27" s="7">
        <v>32660</v>
      </c>
      <c r="S27" s="8">
        <f t="shared" si="0"/>
        <v>1989</v>
      </c>
      <c r="T27" s="8">
        <v>1989</v>
      </c>
      <c r="U27" s="8">
        <f t="shared" si="1"/>
        <v>33</v>
      </c>
      <c r="V27" s="7">
        <v>32660</v>
      </c>
      <c r="W27" t="s">
        <v>8874</v>
      </c>
      <c r="X27" s="2" t="s">
        <v>19</v>
      </c>
      <c r="Y27" s="6" t="e">
        <f t="shared" si="2"/>
        <v>#VALUE!</v>
      </c>
      <c r="AA27">
        <v>87564076</v>
      </c>
      <c r="AB27">
        <v>24234</v>
      </c>
      <c r="AD27" t="s">
        <v>5</v>
      </c>
      <c r="AE27">
        <v>5</v>
      </c>
      <c r="AF27">
        <v>6</v>
      </c>
      <c r="AH27" t="s">
        <v>8622</v>
      </c>
      <c r="AI27" t="s">
        <v>8873</v>
      </c>
      <c r="AK27" t="s">
        <v>8872</v>
      </c>
      <c r="AL27">
        <v>1</v>
      </c>
      <c r="AM27" s="5">
        <f t="shared" si="3"/>
        <v>3.0303030303030304E-2</v>
      </c>
      <c r="AN27" s="4">
        <f t="shared" si="4"/>
        <v>4.5896297316214016E-5</v>
      </c>
      <c r="AO27" s="3"/>
      <c r="AP27">
        <v>0</v>
      </c>
      <c r="AR27" t="s">
        <v>0</v>
      </c>
      <c r="AT27" s="2" t="s">
        <v>19</v>
      </c>
      <c r="AU27" s="1" t="e">
        <f t="shared" si="5"/>
        <v>#VALUE!</v>
      </c>
      <c r="AV27" s="1" t="e">
        <f t="shared" si="6"/>
        <v>#VALUE!</v>
      </c>
      <c r="AW27" s="1" t="e">
        <f t="shared" si="7"/>
        <v>#VALUE!</v>
      </c>
    </row>
    <row r="28" spans="1:49" x14ac:dyDescent="0.2">
      <c r="A28">
        <v>26</v>
      </c>
      <c r="B28" t="s">
        <v>8871</v>
      </c>
      <c r="C28" t="s">
        <v>8870</v>
      </c>
      <c r="E28">
        <v>2669779</v>
      </c>
      <c r="F28" t="s">
        <v>8869</v>
      </c>
      <c r="G28" t="s">
        <v>15</v>
      </c>
      <c r="H28" t="s">
        <v>14</v>
      </c>
      <c r="I28" t="s">
        <v>8868</v>
      </c>
      <c r="J28">
        <v>60025858</v>
      </c>
      <c r="K28" t="s">
        <v>3835</v>
      </c>
      <c r="L28" t="s">
        <v>3834</v>
      </c>
      <c r="M28" t="s">
        <v>3833</v>
      </c>
      <c r="N28">
        <v>7</v>
      </c>
      <c r="O28" t="s">
        <v>8867</v>
      </c>
      <c r="P28" t="s">
        <v>8866</v>
      </c>
      <c r="Q28" t="s">
        <v>8865</v>
      </c>
      <c r="R28" s="7">
        <v>32660</v>
      </c>
      <c r="S28" s="8">
        <f t="shared" si="0"/>
        <v>1989</v>
      </c>
      <c r="T28" s="8">
        <v>1989</v>
      </c>
      <c r="U28" s="8">
        <f t="shared" si="1"/>
        <v>33</v>
      </c>
      <c r="V28" s="7">
        <v>32660</v>
      </c>
      <c r="W28" t="s">
        <v>151</v>
      </c>
      <c r="X28" s="2">
        <v>0.30099999999999999</v>
      </c>
      <c r="Y28" s="6">
        <f t="shared" si="2"/>
        <v>8.0350230906809754E-3</v>
      </c>
      <c r="AA28">
        <v>9395075</v>
      </c>
      <c r="AB28">
        <v>14954</v>
      </c>
      <c r="AC28">
        <v>18657125</v>
      </c>
      <c r="AD28" t="s">
        <v>5</v>
      </c>
      <c r="AE28">
        <v>44</v>
      </c>
      <c r="AF28" s="9">
        <v>44352</v>
      </c>
      <c r="AH28" t="s">
        <v>8864</v>
      </c>
      <c r="AI28" t="s">
        <v>8863</v>
      </c>
      <c r="AJ28" t="s">
        <v>8862</v>
      </c>
      <c r="AK28" t="s">
        <v>8861</v>
      </c>
      <c r="AL28">
        <v>9</v>
      </c>
      <c r="AM28" s="5">
        <f t="shared" si="3"/>
        <v>0.27272727272727271</v>
      </c>
      <c r="AN28" s="4">
        <f t="shared" si="4"/>
        <v>4.1306667584592612E-4</v>
      </c>
      <c r="AO28" s="3"/>
      <c r="AP28">
        <v>1</v>
      </c>
      <c r="AR28" t="s">
        <v>0</v>
      </c>
      <c r="AT28" s="2" t="s">
        <v>19</v>
      </c>
      <c r="AU28" s="1">
        <f t="shared" si="5"/>
        <v>0.57484361662304595</v>
      </c>
      <c r="AV28" s="1">
        <f t="shared" si="6"/>
        <v>0.42240448832634508</v>
      </c>
      <c r="AW28" s="1">
        <f t="shared" si="7"/>
        <v>0.26996536002964411</v>
      </c>
    </row>
    <row r="29" spans="1:49" x14ac:dyDescent="0.2">
      <c r="A29">
        <v>27</v>
      </c>
      <c r="B29" t="s">
        <v>8860</v>
      </c>
      <c r="C29" t="s">
        <v>8859</v>
      </c>
      <c r="F29" t="s">
        <v>8858</v>
      </c>
      <c r="G29" t="s">
        <v>15</v>
      </c>
      <c r="H29" t="s">
        <v>14</v>
      </c>
      <c r="I29" t="s">
        <v>8857</v>
      </c>
      <c r="J29">
        <v>60020585</v>
      </c>
      <c r="K29" t="s">
        <v>8856</v>
      </c>
      <c r="L29" t="s">
        <v>8855</v>
      </c>
      <c r="M29" t="s">
        <v>8854</v>
      </c>
      <c r="N29">
        <v>1</v>
      </c>
      <c r="O29" t="s">
        <v>8853</v>
      </c>
      <c r="P29">
        <v>7201612937</v>
      </c>
      <c r="Q29">
        <v>60020585</v>
      </c>
      <c r="R29" s="7">
        <v>32660</v>
      </c>
      <c r="S29" s="8">
        <f t="shared" si="0"/>
        <v>1989</v>
      </c>
      <c r="T29" s="8">
        <v>1989</v>
      </c>
      <c r="U29" s="8">
        <f t="shared" si="1"/>
        <v>33</v>
      </c>
      <c r="V29" s="7">
        <v>32660</v>
      </c>
      <c r="W29" t="s">
        <v>8827</v>
      </c>
      <c r="X29" s="2" t="s">
        <v>19</v>
      </c>
      <c r="Y29" s="6" t="e">
        <f t="shared" si="2"/>
        <v>#VALUE!</v>
      </c>
      <c r="AA29">
        <v>334553</v>
      </c>
      <c r="AB29">
        <v>28579</v>
      </c>
      <c r="AC29">
        <v>14209136</v>
      </c>
      <c r="AD29" t="s">
        <v>5</v>
      </c>
      <c r="AE29">
        <v>130</v>
      </c>
      <c r="AF29" s="9">
        <v>44257</v>
      </c>
      <c r="AH29" t="s">
        <v>8852</v>
      </c>
      <c r="AI29" t="s">
        <v>8851</v>
      </c>
      <c r="AJ29" t="s">
        <v>8850</v>
      </c>
      <c r="AK29" t="s">
        <v>8849</v>
      </c>
      <c r="AL29">
        <v>18</v>
      </c>
      <c r="AM29" s="5">
        <f t="shared" si="3"/>
        <v>0.54545454545454541</v>
      </c>
      <c r="AN29" s="4">
        <f t="shared" si="4"/>
        <v>8.2613335169185224E-4</v>
      </c>
      <c r="AO29" s="3"/>
      <c r="AP29">
        <v>0</v>
      </c>
      <c r="AR29" t="s">
        <v>0</v>
      </c>
      <c r="AT29" s="2" t="s">
        <v>19</v>
      </c>
      <c r="AU29" s="1" t="e">
        <f t="shared" si="5"/>
        <v>#VALUE!</v>
      </c>
      <c r="AV29" s="1" t="e">
        <f t="shared" si="6"/>
        <v>#VALUE!</v>
      </c>
      <c r="AW29" s="1" t="e">
        <f t="shared" si="7"/>
        <v>#VALUE!</v>
      </c>
    </row>
    <row r="30" spans="1:49" x14ac:dyDescent="0.2">
      <c r="A30">
        <v>28</v>
      </c>
      <c r="B30" t="s">
        <v>8848</v>
      </c>
      <c r="C30" t="s">
        <v>8847</v>
      </c>
      <c r="F30" t="s">
        <v>8846</v>
      </c>
      <c r="G30" t="s">
        <v>15</v>
      </c>
      <c r="H30" t="s">
        <v>14</v>
      </c>
      <c r="I30" t="s">
        <v>8845</v>
      </c>
      <c r="J30">
        <v>60009512</v>
      </c>
      <c r="K30" t="s">
        <v>8078</v>
      </c>
      <c r="L30" t="s">
        <v>8077</v>
      </c>
      <c r="M30" t="s">
        <v>857</v>
      </c>
      <c r="N30">
        <v>2</v>
      </c>
      <c r="O30" t="s">
        <v>8844</v>
      </c>
      <c r="P30" t="s">
        <v>8843</v>
      </c>
      <c r="Q30" t="s">
        <v>8074</v>
      </c>
      <c r="R30" s="7">
        <v>32660</v>
      </c>
      <c r="S30" s="8">
        <f t="shared" si="0"/>
        <v>1989</v>
      </c>
      <c r="T30" s="8">
        <v>1989</v>
      </c>
      <c r="U30" s="8">
        <f t="shared" si="1"/>
        <v>33</v>
      </c>
      <c r="V30" s="7">
        <v>32660</v>
      </c>
      <c r="W30" t="s">
        <v>8827</v>
      </c>
      <c r="X30" s="2" t="s">
        <v>19</v>
      </c>
      <c r="Y30" s="6" t="e">
        <f t="shared" si="2"/>
        <v>#VALUE!</v>
      </c>
      <c r="AA30">
        <v>334553</v>
      </c>
      <c r="AB30">
        <v>28579</v>
      </c>
      <c r="AC30">
        <v>14209136</v>
      </c>
      <c r="AD30" t="s">
        <v>5</v>
      </c>
      <c r="AE30">
        <v>130</v>
      </c>
      <c r="AF30" s="9">
        <v>44257</v>
      </c>
      <c r="AH30" t="s">
        <v>8842</v>
      </c>
      <c r="AI30" t="s">
        <v>8841</v>
      </c>
      <c r="AJ30" t="s">
        <v>8840</v>
      </c>
      <c r="AK30" t="s">
        <v>8839</v>
      </c>
      <c r="AL30">
        <v>7</v>
      </c>
      <c r="AM30" s="5">
        <f t="shared" si="3"/>
        <v>0.21212121212121213</v>
      </c>
      <c r="AN30" s="4">
        <f t="shared" si="4"/>
        <v>3.2127408121349809E-4</v>
      </c>
      <c r="AO30" s="3"/>
      <c r="AP30">
        <v>0</v>
      </c>
      <c r="AR30" t="s">
        <v>0</v>
      </c>
      <c r="AT30" s="2" t="s">
        <v>19</v>
      </c>
      <c r="AU30" s="1" t="e">
        <f t="shared" si="5"/>
        <v>#VALUE!</v>
      </c>
      <c r="AV30" s="1" t="e">
        <f t="shared" si="6"/>
        <v>#VALUE!</v>
      </c>
      <c r="AW30" s="1" t="e">
        <f t="shared" si="7"/>
        <v>#VALUE!</v>
      </c>
    </row>
    <row r="31" spans="1:49" x14ac:dyDescent="0.2">
      <c r="A31">
        <v>29</v>
      </c>
      <c r="B31" t="s">
        <v>8838</v>
      </c>
      <c r="C31" t="s">
        <v>8837</v>
      </c>
      <c r="F31" t="s">
        <v>8836</v>
      </c>
      <c r="G31" t="s">
        <v>15</v>
      </c>
      <c r="H31" t="s">
        <v>14</v>
      </c>
      <c r="I31" t="s">
        <v>8835</v>
      </c>
      <c r="J31" t="s">
        <v>8834</v>
      </c>
      <c r="K31" t="s">
        <v>8833</v>
      </c>
      <c r="L31" t="s">
        <v>8832</v>
      </c>
      <c r="M31" t="s">
        <v>8831</v>
      </c>
      <c r="N31">
        <v>3</v>
      </c>
      <c r="O31" t="s">
        <v>8830</v>
      </c>
      <c r="P31" t="s">
        <v>8829</v>
      </c>
      <c r="Q31" t="s">
        <v>8828</v>
      </c>
      <c r="R31" s="7">
        <v>32660</v>
      </c>
      <c r="S31" s="8">
        <f t="shared" si="0"/>
        <v>1989</v>
      </c>
      <c r="T31" s="8">
        <v>1989</v>
      </c>
      <c r="U31" s="8">
        <f t="shared" si="1"/>
        <v>33</v>
      </c>
      <c r="V31" s="7">
        <v>32660</v>
      </c>
      <c r="W31" t="s">
        <v>8827</v>
      </c>
      <c r="X31" s="2" t="s">
        <v>19</v>
      </c>
      <c r="Y31" s="6" t="e">
        <f t="shared" si="2"/>
        <v>#VALUE!</v>
      </c>
      <c r="AA31">
        <v>334553</v>
      </c>
      <c r="AB31">
        <v>28579</v>
      </c>
      <c r="AC31">
        <v>14209136</v>
      </c>
      <c r="AD31" t="s">
        <v>5</v>
      </c>
      <c r="AE31">
        <v>130</v>
      </c>
      <c r="AF31" s="9">
        <v>44257</v>
      </c>
      <c r="AH31" t="s">
        <v>8826</v>
      </c>
      <c r="AI31" t="s">
        <v>8825</v>
      </c>
      <c r="AJ31" t="s">
        <v>8824</v>
      </c>
      <c r="AK31" t="s">
        <v>8823</v>
      </c>
      <c r="AL31">
        <v>44</v>
      </c>
      <c r="AM31" s="5">
        <f t="shared" si="3"/>
        <v>1.3333333333333333</v>
      </c>
      <c r="AN31" s="4">
        <f t="shared" si="4"/>
        <v>2.0194370819134164E-3</v>
      </c>
      <c r="AO31" s="3"/>
      <c r="AP31">
        <v>0</v>
      </c>
      <c r="AR31" t="s">
        <v>0</v>
      </c>
      <c r="AT31" s="2" t="s">
        <v>19</v>
      </c>
      <c r="AU31" s="1" t="e">
        <f t="shared" si="5"/>
        <v>#VALUE!</v>
      </c>
      <c r="AV31" s="1" t="e">
        <f t="shared" si="6"/>
        <v>#VALUE!</v>
      </c>
      <c r="AW31" s="1" t="e">
        <f t="shared" si="7"/>
        <v>#VALUE!</v>
      </c>
    </row>
    <row r="32" spans="1:49" x14ac:dyDescent="0.2">
      <c r="A32">
        <v>30</v>
      </c>
      <c r="B32" t="s">
        <v>8822</v>
      </c>
      <c r="C32" t="s">
        <v>8821</v>
      </c>
      <c r="F32" t="s">
        <v>8820</v>
      </c>
      <c r="G32" t="s">
        <v>15</v>
      </c>
      <c r="H32" t="s">
        <v>14</v>
      </c>
      <c r="I32" t="s">
        <v>8819</v>
      </c>
      <c r="J32">
        <v>60004156</v>
      </c>
      <c r="K32" t="s">
        <v>8818</v>
      </c>
      <c r="L32" t="s">
        <v>8817</v>
      </c>
      <c r="M32" t="s">
        <v>196</v>
      </c>
      <c r="N32">
        <v>3</v>
      </c>
      <c r="O32" t="s">
        <v>8816</v>
      </c>
      <c r="P32" t="s">
        <v>8815</v>
      </c>
      <c r="Q32" t="s">
        <v>8814</v>
      </c>
      <c r="R32" s="7">
        <v>32660</v>
      </c>
      <c r="S32" s="8">
        <f t="shared" si="0"/>
        <v>1989</v>
      </c>
      <c r="T32" s="8">
        <v>1989</v>
      </c>
      <c r="U32" s="8">
        <f t="shared" si="1"/>
        <v>33</v>
      </c>
      <c r="V32" s="7">
        <v>32660</v>
      </c>
      <c r="W32" t="s">
        <v>192</v>
      </c>
      <c r="X32" s="2">
        <v>1.1579999999999999</v>
      </c>
      <c r="Y32" s="6">
        <f t="shared" si="2"/>
        <v>3.0912148634579962E-2</v>
      </c>
      <c r="AA32">
        <v>1668595</v>
      </c>
      <c r="AB32">
        <v>14223</v>
      </c>
      <c r="AC32">
        <v>15735079</v>
      </c>
      <c r="AD32" t="s">
        <v>5</v>
      </c>
      <c r="AE32">
        <v>20</v>
      </c>
      <c r="AF32">
        <v>3</v>
      </c>
      <c r="AH32" t="s">
        <v>8813</v>
      </c>
      <c r="AI32" t="s">
        <v>8812</v>
      </c>
      <c r="AJ32" t="s">
        <v>8811</v>
      </c>
      <c r="AK32" t="s">
        <v>8810</v>
      </c>
      <c r="AL32">
        <v>22</v>
      </c>
      <c r="AM32" s="5">
        <f t="shared" si="3"/>
        <v>0.66666666666666663</v>
      </c>
      <c r="AN32" s="4">
        <f t="shared" si="4"/>
        <v>1.0097185409567082E-3</v>
      </c>
      <c r="AO32" s="3"/>
      <c r="AP32">
        <v>0</v>
      </c>
      <c r="AR32" t="s">
        <v>0</v>
      </c>
      <c r="AT32" s="2">
        <v>3.573</v>
      </c>
      <c r="AU32" s="1">
        <f t="shared" si="5"/>
        <v>2.1941419606492985</v>
      </c>
      <c r="AV32" s="1">
        <f t="shared" si="6"/>
        <v>1.5960933587768333</v>
      </c>
      <c r="AW32" s="1">
        <f t="shared" si="7"/>
        <v>0.99804475690436834</v>
      </c>
    </row>
    <row r="33" spans="1:49" x14ac:dyDescent="0.2">
      <c r="A33">
        <v>31</v>
      </c>
      <c r="B33" t="s">
        <v>8809</v>
      </c>
      <c r="C33" t="s">
        <v>8808</v>
      </c>
      <c r="F33" t="s">
        <v>8807</v>
      </c>
      <c r="G33" t="s">
        <v>15</v>
      </c>
      <c r="H33" t="s">
        <v>14</v>
      </c>
      <c r="I33" t="s">
        <v>8806</v>
      </c>
      <c r="J33">
        <v>60031040</v>
      </c>
      <c r="K33" t="s">
        <v>8805</v>
      </c>
      <c r="L33" t="s">
        <v>8804</v>
      </c>
      <c r="M33" t="s">
        <v>10</v>
      </c>
      <c r="N33">
        <v>2</v>
      </c>
      <c r="O33" t="s">
        <v>8803</v>
      </c>
      <c r="P33" t="s">
        <v>8802</v>
      </c>
      <c r="Q33" t="s">
        <v>8801</v>
      </c>
      <c r="R33" s="7">
        <v>32660</v>
      </c>
      <c r="S33" s="8">
        <f t="shared" si="0"/>
        <v>1989</v>
      </c>
      <c r="T33" s="8">
        <v>1989</v>
      </c>
      <c r="U33" s="8">
        <f t="shared" si="1"/>
        <v>33</v>
      </c>
      <c r="V33" s="7">
        <v>32660</v>
      </c>
      <c r="W33" t="s">
        <v>192</v>
      </c>
      <c r="X33" s="2">
        <v>1.1579999999999999</v>
      </c>
      <c r="Y33" s="6">
        <f t="shared" si="2"/>
        <v>3.0912148634579962E-2</v>
      </c>
      <c r="AA33">
        <v>1668595</v>
      </c>
      <c r="AB33">
        <v>14223</v>
      </c>
      <c r="AC33">
        <v>15735079</v>
      </c>
      <c r="AD33" t="s">
        <v>5</v>
      </c>
      <c r="AE33">
        <v>20</v>
      </c>
      <c r="AF33">
        <v>3</v>
      </c>
      <c r="AH33" t="s">
        <v>8800</v>
      </c>
      <c r="AI33" t="s">
        <v>8799</v>
      </c>
      <c r="AJ33" t="s">
        <v>8798</v>
      </c>
      <c r="AK33" t="s">
        <v>8797</v>
      </c>
      <c r="AL33">
        <v>36</v>
      </c>
      <c r="AM33" s="5">
        <f t="shared" si="3"/>
        <v>1.0909090909090908</v>
      </c>
      <c r="AN33" s="4">
        <f t="shared" si="4"/>
        <v>1.6522667033837045E-3</v>
      </c>
      <c r="AO33" s="3"/>
      <c r="AP33">
        <v>0</v>
      </c>
      <c r="AR33" t="s">
        <v>0</v>
      </c>
      <c r="AT33" s="2">
        <v>3.573</v>
      </c>
      <c r="AU33" s="1">
        <f t="shared" si="5"/>
        <v>2.2134184055221082</v>
      </c>
      <c r="AV33" s="1">
        <f t="shared" si="6"/>
        <v>1.6282207668981832</v>
      </c>
      <c r="AW33" s="1">
        <f t="shared" si="7"/>
        <v>1.0430231282742581</v>
      </c>
    </row>
    <row r="34" spans="1:49" x14ac:dyDescent="0.2">
      <c r="A34">
        <v>32</v>
      </c>
      <c r="B34" t="s">
        <v>8796</v>
      </c>
      <c r="C34" t="s">
        <v>8795</v>
      </c>
      <c r="F34" t="s">
        <v>8794</v>
      </c>
      <c r="G34" t="s">
        <v>15</v>
      </c>
      <c r="H34" t="s">
        <v>14</v>
      </c>
      <c r="I34" t="s">
        <v>8793</v>
      </c>
      <c r="J34">
        <v>60013372</v>
      </c>
      <c r="K34" t="s">
        <v>1796</v>
      </c>
      <c r="L34" t="s">
        <v>1795</v>
      </c>
      <c r="M34" t="s">
        <v>23</v>
      </c>
      <c r="N34">
        <v>2</v>
      </c>
      <c r="O34" t="s">
        <v>8792</v>
      </c>
      <c r="P34" t="s">
        <v>8791</v>
      </c>
      <c r="Q34" t="s">
        <v>4032</v>
      </c>
      <c r="R34" s="7">
        <v>32660</v>
      </c>
      <c r="S34" s="8">
        <f t="shared" si="0"/>
        <v>1989</v>
      </c>
      <c r="T34" s="8">
        <v>1989</v>
      </c>
      <c r="U34" s="8">
        <f t="shared" si="1"/>
        <v>33</v>
      </c>
      <c r="V34" s="7">
        <v>32660</v>
      </c>
      <c r="W34" t="s">
        <v>6498</v>
      </c>
      <c r="X34" s="2">
        <v>0.61499999999999999</v>
      </c>
      <c r="Y34" s="6">
        <f t="shared" si="2"/>
        <v>1.6417073756706976E-2</v>
      </c>
      <c r="AA34">
        <v>1959271</v>
      </c>
      <c r="AB34">
        <v>12141</v>
      </c>
      <c r="AC34">
        <v>15729559</v>
      </c>
      <c r="AD34" t="s">
        <v>5</v>
      </c>
      <c r="AE34">
        <v>10</v>
      </c>
      <c r="AF34">
        <v>6</v>
      </c>
      <c r="AH34" t="s">
        <v>8790</v>
      </c>
      <c r="AI34" t="s">
        <v>8789</v>
      </c>
      <c r="AK34" t="s">
        <v>8788</v>
      </c>
      <c r="AL34">
        <v>15</v>
      </c>
      <c r="AM34" s="5">
        <f t="shared" si="3"/>
        <v>0.45454545454545453</v>
      </c>
      <c r="AN34" s="4">
        <f t="shared" si="4"/>
        <v>6.8844445974321016E-4</v>
      </c>
      <c r="AO34" s="3"/>
      <c r="AP34">
        <v>0</v>
      </c>
      <c r="AR34" t="s">
        <v>0</v>
      </c>
      <c r="AT34" s="2" t="s">
        <v>19</v>
      </c>
      <c r="AU34" s="1">
        <f t="shared" si="5"/>
        <v>1.1698484967617844</v>
      </c>
      <c r="AV34" s="1">
        <f t="shared" si="6"/>
        <v>0.8552759108225092</v>
      </c>
      <c r="AW34" s="1">
        <f t="shared" si="7"/>
        <v>0.54070332488323392</v>
      </c>
    </row>
    <row r="35" spans="1:49" x14ac:dyDescent="0.2">
      <c r="A35">
        <v>33</v>
      </c>
      <c r="B35" t="s">
        <v>8787</v>
      </c>
      <c r="C35" t="s">
        <v>8786</v>
      </c>
      <c r="D35" t="s">
        <v>8785</v>
      </c>
      <c r="F35" t="s">
        <v>8784</v>
      </c>
      <c r="G35" t="s">
        <v>15</v>
      </c>
      <c r="H35" t="s">
        <v>14</v>
      </c>
      <c r="I35" t="s">
        <v>8783</v>
      </c>
      <c r="J35">
        <v>60028868</v>
      </c>
      <c r="K35" t="s">
        <v>3744</v>
      </c>
      <c r="L35" t="s">
        <v>3743</v>
      </c>
      <c r="M35" t="s">
        <v>101</v>
      </c>
      <c r="N35">
        <v>8</v>
      </c>
      <c r="O35" t="s">
        <v>8782</v>
      </c>
      <c r="P35" t="s">
        <v>8781</v>
      </c>
      <c r="Q35" t="s">
        <v>8780</v>
      </c>
      <c r="R35" s="7">
        <v>32657</v>
      </c>
      <c r="S35" s="8">
        <f t="shared" si="0"/>
        <v>1989</v>
      </c>
      <c r="T35" s="8">
        <v>1989</v>
      </c>
      <c r="U35" s="8">
        <f t="shared" si="1"/>
        <v>33</v>
      </c>
      <c r="V35" s="7">
        <v>32657</v>
      </c>
      <c r="W35" t="s">
        <v>8779</v>
      </c>
      <c r="X35" s="2">
        <v>0.499</v>
      </c>
      <c r="Y35" s="6">
        <f t="shared" si="2"/>
        <v>1.332052000747444E-2</v>
      </c>
      <c r="AA35">
        <v>3759601</v>
      </c>
      <c r="AB35">
        <v>29464</v>
      </c>
      <c r="AD35" t="s">
        <v>5</v>
      </c>
      <c r="AE35">
        <v>137</v>
      </c>
      <c r="AF35" s="9">
        <v>44415</v>
      </c>
      <c r="AH35" t="s">
        <v>8778</v>
      </c>
      <c r="AI35" t="s">
        <v>8777</v>
      </c>
      <c r="AK35" t="s">
        <v>8776</v>
      </c>
      <c r="AL35">
        <v>27</v>
      </c>
      <c r="AM35" s="5">
        <f t="shared" si="3"/>
        <v>0.81818181818181823</v>
      </c>
      <c r="AN35" s="4">
        <f t="shared" si="4"/>
        <v>1.2392000275377785E-3</v>
      </c>
      <c r="AO35" s="3"/>
      <c r="AP35">
        <v>0</v>
      </c>
      <c r="AR35" t="s">
        <v>0</v>
      </c>
      <c r="AT35" s="2">
        <v>2.6539999999999999</v>
      </c>
      <c r="AU35" s="1">
        <f t="shared" si="5"/>
        <v>0.96961240134934412</v>
      </c>
      <c r="AV35" s="1">
        <f t="shared" si="6"/>
        <v>0.7279860017506109</v>
      </c>
      <c r="AW35" s="1">
        <f t="shared" si="7"/>
        <v>0.48635960215187768</v>
      </c>
    </row>
    <row r="36" spans="1:49" x14ac:dyDescent="0.2">
      <c r="A36">
        <v>34</v>
      </c>
      <c r="B36" t="s">
        <v>8775</v>
      </c>
      <c r="C36" t="s">
        <v>8774</v>
      </c>
      <c r="F36" t="s">
        <v>8773</v>
      </c>
      <c r="G36" t="s">
        <v>15</v>
      </c>
      <c r="H36" t="s">
        <v>14</v>
      </c>
      <c r="I36" t="s">
        <v>2291</v>
      </c>
      <c r="J36">
        <v>60027550</v>
      </c>
      <c r="K36" t="s">
        <v>482</v>
      </c>
      <c r="L36" t="s">
        <v>481</v>
      </c>
      <c r="M36" t="s">
        <v>23</v>
      </c>
      <c r="N36">
        <v>2</v>
      </c>
      <c r="O36" t="s">
        <v>2290</v>
      </c>
      <c r="P36" t="s">
        <v>2289</v>
      </c>
      <c r="Q36" t="s">
        <v>2288</v>
      </c>
      <c r="R36" s="7">
        <v>32629</v>
      </c>
      <c r="S36" s="8">
        <f t="shared" ref="S36:S99" si="8">YEAR(R36)</f>
        <v>1989</v>
      </c>
      <c r="T36" s="8">
        <v>1989</v>
      </c>
      <c r="U36" s="8">
        <f t="shared" ref="U36:U99" si="9">2022-T36</f>
        <v>33</v>
      </c>
      <c r="V36" s="7">
        <v>32629</v>
      </c>
      <c r="W36" t="s">
        <v>6498</v>
      </c>
      <c r="X36" s="2">
        <v>0.61499999999999999</v>
      </c>
      <c r="Y36" s="6">
        <f t="shared" si="2"/>
        <v>1.6417073756706976E-2</v>
      </c>
      <c r="AA36">
        <v>1959271</v>
      </c>
      <c r="AB36">
        <v>12141</v>
      </c>
      <c r="AC36">
        <v>15729559</v>
      </c>
      <c r="AD36" t="s">
        <v>5</v>
      </c>
      <c r="AE36">
        <v>10</v>
      </c>
      <c r="AF36">
        <v>5</v>
      </c>
      <c r="AH36" t="s">
        <v>8772</v>
      </c>
      <c r="AI36" t="s">
        <v>8771</v>
      </c>
      <c r="AJ36" t="s">
        <v>8770</v>
      </c>
      <c r="AK36" t="s">
        <v>8769</v>
      </c>
      <c r="AL36">
        <v>11</v>
      </c>
      <c r="AM36" s="5">
        <f t="shared" ref="AM36:AM99" si="10">AL36/U36</f>
        <v>0.33333333333333331</v>
      </c>
      <c r="AN36" s="4">
        <f t="shared" si="4"/>
        <v>5.048592704783541E-4</v>
      </c>
      <c r="AO36" s="3"/>
      <c r="AP36">
        <v>0</v>
      </c>
      <c r="AR36" t="s">
        <v>0</v>
      </c>
      <c r="AT36" s="2" t="s">
        <v>19</v>
      </c>
      <c r="AU36" s="1">
        <f t="shared" ref="AU36:AU99" si="11">(Y36*0.7+AN36*0.3)*100</f>
        <v>1.1643409410838388</v>
      </c>
      <c r="AV36" s="1">
        <f t="shared" ref="AV36:AV99" si="12">(Y36*0.5+AN36*0.5)*100</f>
        <v>0.84609665135926648</v>
      </c>
      <c r="AW36" s="1">
        <f t="shared" ref="AW36:AW99" si="13">(Y36*0.3+AN36*0.7)*100</f>
        <v>0.52785236163469396</v>
      </c>
    </row>
    <row r="37" spans="1:49" x14ac:dyDescent="0.2">
      <c r="A37">
        <v>35</v>
      </c>
      <c r="B37" t="s">
        <v>8768</v>
      </c>
      <c r="C37" t="s">
        <v>8767</v>
      </c>
      <c r="F37" t="s">
        <v>8766</v>
      </c>
      <c r="G37" t="s">
        <v>15</v>
      </c>
      <c r="H37" t="s">
        <v>14</v>
      </c>
      <c r="I37" t="s">
        <v>8765</v>
      </c>
      <c r="J37" t="s">
        <v>8764</v>
      </c>
      <c r="K37" t="s">
        <v>8763</v>
      </c>
      <c r="L37" t="s">
        <v>8762</v>
      </c>
      <c r="M37" t="s">
        <v>6999</v>
      </c>
      <c r="N37">
        <v>4</v>
      </c>
      <c r="O37" t="s">
        <v>8761</v>
      </c>
      <c r="P37" t="s">
        <v>8760</v>
      </c>
      <c r="Q37" t="s">
        <v>8759</v>
      </c>
      <c r="R37" s="7">
        <v>32629</v>
      </c>
      <c r="S37" s="8">
        <f t="shared" si="8"/>
        <v>1989</v>
      </c>
      <c r="T37" s="8">
        <v>1989</v>
      </c>
      <c r="U37" s="8">
        <f t="shared" si="9"/>
        <v>33</v>
      </c>
      <c r="V37" s="7">
        <v>32629</v>
      </c>
      <c r="W37" t="s">
        <v>192</v>
      </c>
      <c r="X37" s="2">
        <v>1.1579999999999999</v>
      </c>
      <c r="Y37" s="6">
        <f t="shared" si="2"/>
        <v>3.0912148634579962E-2</v>
      </c>
      <c r="AA37">
        <v>1668595</v>
      </c>
      <c r="AB37">
        <v>14223</v>
      </c>
      <c r="AC37">
        <v>15735079</v>
      </c>
      <c r="AD37" t="s">
        <v>5</v>
      </c>
      <c r="AE37">
        <v>20</v>
      </c>
      <c r="AF37">
        <v>2</v>
      </c>
      <c r="AH37" t="s">
        <v>8758</v>
      </c>
      <c r="AI37" t="s">
        <v>8757</v>
      </c>
      <c r="AJ37" t="s">
        <v>8756</v>
      </c>
      <c r="AK37" t="s">
        <v>8755</v>
      </c>
      <c r="AL37">
        <v>4</v>
      </c>
      <c r="AM37" s="5">
        <f t="shared" si="10"/>
        <v>0.12121212121212122</v>
      </c>
      <c r="AN37" s="4">
        <f t="shared" si="4"/>
        <v>1.8358518926485606E-4</v>
      </c>
      <c r="AO37" s="3"/>
      <c r="AP37">
        <v>0</v>
      </c>
      <c r="AR37" t="s">
        <v>0</v>
      </c>
      <c r="AT37" s="2">
        <v>3.573</v>
      </c>
      <c r="AU37" s="1">
        <f t="shared" si="11"/>
        <v>2.1693579600985431</v>
      </c>
      <c r="AV37" s="1">
        <f t="shared" si="12"/>
        <v>1.554786691192241</v>
      </c>
      <c r="AW37" s="1">
        <f t="shared" si="13"/>
        <v>0.9402154222859388</v>
      </c>
    </row>
    <row r="38" spans="1:49" x14ac:dyDescent="0.2">
      <c r="A38">
        <v>36</v>
      </c>
      <c r="B38" t="s">
        <v>8754</v>
      </c>
      <c r="F38" t="s">
        <v>8753</v>
      </c>
      <c r="G38" t="s">
        <v>15</v>
      </c>
      <c r="H38" t="s">
        <v>14</v>
      </c>
      <c r="I38" t="s">
        <v>8752</v>
      </c>
      <c r="N38">
        <v>4</v>
      </c>
      <c r="O38" t="s">
        <v>8751</v>
      </c>
      <c r="P38" t="s">
        <v>8750</v>
      </c>
      <c r="Q38" t="s">
        <v>8284</v>
      </c>
      <c r="R38" s="7">
        <v>32629</v>
      </c>
      <c r="S38" s="8">
        <f t="shared" si="8"/>
        <v>1989</v>
      </c>
      <c r="T38" s="8">
        <v>1989</v>
      </c>
      <c r="U38" s="8">
        <f t="shared" si="9"/>
        <v>33</v>
      </c>
      <c r="V38" s="7">
        <v>32629</v>
      </c>
      <c r="W38" t="s">
        <v>1054</v>
      </c>
      <c r="X38" s="2">
        <v>0.14099999999999999</v>
      </c>
      <c r="Y38" s="6">
        <f t="shared" si="2"/>
        <v>3.7639144710498915E-3</v>
      </c>
      <c r="AA38">
        <v>402508</v>
      </c>
      <c r="AB38">
        <v>20868</v>
      </c>
      <c r="AD38" t="s">
        <v>5</v>
      </c>
      <c r="AE38">
        <v>44</v>
      </c>
      <c r="AF38">
        <v>5</v>
      </c>
      <c r="AH38" s="10">
        <v>41548</v>
      </c>
      <c r="AI38" t="s">
        <v>8749</v>
      </c>
      <c r="AK38" t="s">
        <v>8748</v>
      </c>
      <c r="AL38">
        <v>0</v>
      </c>
      <c r="AM38" s="5">
        <f t="shared" si="10"/>
        <v>0</v>
      </c>
      <c r="AN38" s="4">
        <f t="shared" si="4"/>
        <v>0</v>
      </c>
      <c r="AO38" s="3"/>
      <c r="AP38">
        <v>0</v>
      </c>
      <c r="AR38" t="s">
        <v>0</v>
      </c>
      <c r="AT38" s="2" t="s">
        <v>19</v>
      </c>
      <c r="AU38" s="1">
        <f t="shared" si="11"/>
        <v>0.26347401297349238</v>
      </c>
      <c r="AV38" s="1">
        <f t="shared" si="12"/>
        <v>0.18819572355249459</v>
      </c>
      <c r="AW38" s="1">
        <f t="shared" si="13"/>
        <v>0.11291743413149673</v>
      </c>
    </row>
    <row r="39" spans="1:49" x14ac:dyDescent="0.2">
      <c r="A39">
        <v>37</v>
      </c>
      <c r="B39" t="s">
        <v>8747</v>
      </c>
      <c r="F39" t="s">
        <v>8746</v>
      </c>
      <c r="G39" t="s">
        <v>15</v>
      </c>
      <c r="H39" t="s">
        <v>14</v>
      </c>
      <c r="I39" t="s">
        <v>8745</v>
      </c>
      <c r="N39">
        <v>2</v>
      </c>
      <c r="O39" t="s">
        <v>8744</v>
      </c>
      <c r="P39" t="s">
        <v>8743</v>
      </c>
      <c r="Q39" t="s">
        <v>1071</v>
      </c>
      <c r="R39" s="7">
        <v>32629</v>
      </c>
      <c r="S39" s="8">
        <f t="shared" si="8"/>
        <v>1989</v>
      </c>
      <c r="T39" s="8">
        <v>1989</v>
      </c>
      <c r="U39" s="8">
        <f t="shared" si="9"/>
        <v>33</v>
      </c>
      <c r="V39" s="7">
        <v>32629</v>
      </c>
      <c r="W39" t="s">
        <v>1080</v>
      </c>
      <c r="X39" s="2" t="s">
        <v>19</v>
      </c>
      <c r="Y39" s="6" t="e">
        <f t="shared" si="2"/>
        <v>#VALUE!</v>
      </c>
      <c r="AA39">
        <v>87566648</v>
      </c>
      <c r="AB39">
        <v>74127</v>
      </c>
      <c r="AD39" t="s">
        <v>5</v>
      </c>
      <c r="AE39">
        <v>34</v>
      </c>
      <c r="AF39">
        <v>5</v>
      </c>
      <c r="AH39" t="s">
        <v>8742</v>
      </c>
      <c r="AI39" t="s">
        <v>8741</v>
      </c>
      <c r="AK39" t="s">
        <v>8740</v>
      </c>
      <c r="AL39">
        <v>3</v>
      </c>
      <c r="AM39" s="5">
        <f t="shared" si="10"/>
        <v>9.0909090909090912E-2</v>
      </c>
      <c r="AN39" s="4">
        <f t="shared" si="4"/>
        <v>1.3768889194864205E-4</v>
      </c>
      <c r="AO39" s="3"/>
      <c r="AP39">
        <v>0</v>
      </c>
      <c r="AR39" t="s">
        <v>0</v>
      </c>
      <c r="AT39" s="2" t="s">
        <v>19</v>
      </c>
      <c r="AU39" s="1" t="e">
        <f t="shared" si="11"/>
        <v>#VALUE!</v>
      </c>
      <c r="AV39" s="1" t="e">
        <f t="shared" si="12"/>
        <v>#VALUE!</v>
      </c>
      <c r="AW39" s="1" t="e">
        <f t="shared" si="13"/>
        <v>#VALUE!</v>
      </c>
    </row>
    <row r="40" spans="1:49" x14ac:dyDescent="0.2">
      <c r="A40">
        <v>38</v>
      </c>
      <c r="B40" t="s">
        <v>8739</v>
      </c>
      <c r="F40" t="s">
        <v>8738</v>
      </c>
      <c r="G40" t="s">
        <v>15</v>
      </c>
      <c r="H40" t="s">
        <v>14</v>
      </c>
      <c r="I40" t="s">
        <v>8737</v>
      </c>
      <c r="N40">
        <v>2</v>
      </c>
      <c r="O40" t="s">
        <v>8736</v>
      </c>
      <c r="P40" t="s">
        <v>8735</v>
      </c>
      <c r="Q40" t="s">
        <v>1071</v>
      </c>
      <c r="R40" s="7">
        <v>32629</v>
      </c>
      <c r="S40" s="8">
        <f t="shared" si="8"/>
        <v>1989</v>
      </c>
      <c r="T40" s="8">
        <v>1989</v>
      </c>
      <c r="U40" s="8">
        <f t="shared" si="9"/>
        <v>33</v>
      </c>
      <c r="V40" s="7">
        <v>32629</v>
      </c>
      <c r="W40" t="s">
        <v>1054</v>
      </c>
      <c r="X40" s="2">
        <v>0.14099999999999999</v>
      </c>
      <c r="Y40" s="6">
        <f t="shared" si="2"/>
        <v>3.7639144710498915E-3</v>
      </c>
      <c r="AA40">
        <v>402508</v>
      </c>
      <c r="AB40">
        <v>20868</v>
      </c>
      <c r="AD40" t="s">
        <v>5</v>
      </c>
      <c r="AE40">
        <v>44</v>
      </c>
      <c r="AF40">
        <v>5</v>
      </c>
      <c r="AH40" t="s">
        <v>852</v>
      </c>
      <c r="AI40" t="s">
        <v>8734</v>
      </c>
      <c r="AK40" t="s">
        <v>8733</v>
      </c>
      <c r="AL40">
        <v>0</v>
      </c>
      <c r="AM40" s="5">
        <f t="shared" si="10"/>
        <v>0</v>
      </c>
      <c r="AN40" s="4">
        <f t="shared" si="4"/>
        <v>0</v>
      </c>
      <c r="AO40" s="3"/>
      <c r="AP40">
        <v>0</v>
      </c>
      <c r="AR40" t="s">
        <v>0</v>
      </c>
      <c r="AT40" s="2" t="s">
        <v>19</v>
      </c>
      <c r="AU40" s="1">
        <f t="shared" si="11"/>
        <v>0.26347401297349238</v>
      </c>
      <c r="AV40" s="1">
        <f t="shared" si="12"/>
        <v>0.18819572355249459</v>
      </c>
      <c r="AW40" s="1">
        <f t="shared" si="13"/>
        <v>0.11291743413149673</v>
      </c>
    </row>
    <row r="41" spans="1:49" x14ac:dyDescent="0.2">
      <c r="A41">
        <v>39</v>
      </c>
      <c r="B41" t="s">
        <v>8732</v>
      </c>
      <c r="F41" t="s">
        <v>8731</v>
      </c>
      <c r="G41" t="s">
        <v>15</v>
      </c>
      <c r="H41" t="s">
        <v>14</v>
      </c>
      <c r="I41" t="s">
        <v>8730</v>
      </c>
      <c r="N41">
        <v>3</v>
      </c>
      <c r="O41" t="s">
        <v>8729</v>
      </c>
      <c r="P41" t="s">
        <v>8728</v>
      </c>
      <c r="Q41" t="s">
        <v>296</v>
      </c>
      <c r="R41" s="7">
        <v>32629</v>
      </c>
      <c r="S41" s="8">
        <f t="shared" si="8"/>
        <v>1989</v>
      </c>
      <c r="T41" s="8">
        <v>1989</v>
      </c>
      <c r="U41" s="8">
        <f t="shared" si="9"/>
        <v>33</v>
      </c>
      <c r="V41" s="7">
        <v>32629</v>
      </c>
      <c r="W41" t="s">
        <v>1054</v>
      </c>
      <c r="X41" s="2">
        <v>0.14099999999999999</v>
      </c>
      <c r="Y41" s="6">
        <f t="shared" si="2"/>
        <v>3.7639144710498915E-3</v>
      </c>
      <c r="AA41">
        <v>402508</v>
      </c>
      <c r="AB41">
        <v>20868</v>
      </c>
      <c r="AD41" t="s">
        <v>5</v>
      </c>
      <c r="AE41">
        <v>44</v>
      </c>
      <c r="AF41">
        <v>5</v>
      </c>
      <c r="AH41" t="s">
        <v>8727</v>
      </c>
      <c r="AI41" t="s">
        <v>8726</v>
      </c>
      <c r="AK41" t="s">
        <v>8725</v>
      </c>
      <c r="AL41">
        <v>0</v>
      </c>
      <c r="AM41" s="5">
        <f t="shared" si="10"/>
        <v>0</v>
      </c>
      <c r="AN41" s="4">
        <f t="shared" si="4"/>
        <v>0</v>
      </c>
      <c r="AO41" s="3"/>
      <c r="AP41">
        <v>0</v>
      </c>
      <c r="AR41" t="s">
        <v>0</v>
      </c>
      <c r="AT41" s="2" t="s">
        <v>19</v>
      </c>
      <c r="AU41" s="1">
        <f t="shared" si="11"/>
        <v>0.26347401297349238</v>
      </c>
      <c r="AV41" s="1">
        <f t="shared" si="12"/>
        <v>0.18819572355249459</v>
      </c>
      <c r="AW41" s="1">
        <f t="shared" si="13"/>
        <v>0.11291743413149673</v>
      </c>
    </row>
    <row r="42" spans="1:49" x14ac:dyDescent="0.2">
      <c r="A42">
        <v>40</v>
      </c>
      <c r="B42" t="s">
        <v>8724</v>
      </c>
      <c r="F42" t="s">
        <v>8723</v>
      </c>
      <c r="G42" t="s">
        <v>15</v>
      </c>
      <c r="H42" t="s">
        <v>14</v>
      </c>
      <c r="I42" t="s">
        <v>8722</v>
      </c>
      <c r="J42">
        <v>60072226</v>
      </c>
      <c r="K42" t="s">
        <v>8698</v>
      </c>
      <c r="L42" t="s">
        <v>8697</v>
      </c>
      <c r="M42" t="s">
        <v>885</v>
      </c>
      <c r="N42">
        <v>4</v>
      </c>
      <c r="O42" t="s">
        <v>8721</v>
      </c>
      <c r="P42" t="s">
        <v>8720</v>
      </c>
      <c r="Q42" t="s">
        <v>8694</v>
      </c>
      <c r="R42" s="7">
        <v>32629</v>
      </c>
      <c r="S42" s="8">
        <f t="shared" si="8"/>
        <v>1989</v>
      </c>
      <c r="T42" s="8">
        <v>1989</v>
      </c>
      <c r="U42" s="8">
        <f t="shared" si="9"/>
        <v>33</v>
      </c>
      <c r="V42" s="7">
        <v>32629</v>
      </c>
      <c r="W42" t="s">
        <v>7705</v>
      </c>
      <c r="X42" s="2" t="s">
        <v>19</v>
      </c>
      <c r="Y42" s="6" t="e">
        <f t="shared" si="2"/>
        <v>#VALUE!</v>
      </c>
      <c r="AA42">
        <v>2511096</v>
      </c>
      <c r="AB42">
        <v>26110</v>
      </c>
      <c r="AD42" t="s">
        <v>5</v>
      </c>
      <c r="AE42">
        <v>70</v>
      </c>
      <c r="AF42">
        <v>1</v>
      </c>
      <c r="AH42" s="9">
        <v>44477</v>
      </c>
      <c r="AI42" t="s">
        <v>8719</v>
      </c>
      <c r="AK42" t="s">
        <v>8718</v>
      </c>
      <c r="AL42">
        <v>0</v>
      </c>
      <c r="AM42" s="5">
        <f t="shared" si="10"/>
        <v>0</v>
      </c>
      <c r="AN42" s="4">
        <f t="shared" si="4"/>
        <v>0</v>
      </c>
      <c r="AO42" s="3"/>
      <c r="AP42">
        <v>0</v>
      </c>
      <c r="AR42" t="s">
        <v>0</v>
      </c>
      <c r="AT42" s="2" t="s">
        <v>19</v>
      </c>
      <c r="AU42" s="1" t="e">
        <f t="shared" si="11"/>
        <v>#VALUE!</v>
      </c>
      <c r="AV42" s="1" t="e">
        <f t="shared" si="12"/>
        <v>#VALUE!</v>
      </c>
      <c r="AW42" s="1" t="e">
        <f t="shared" si="13"/>
        <v>#VALUE!</v>
      </c>
    </row>
    <row r="43" spans="1:49" x14ac:dyDescent="0.2">
      <c r="A43">
        <v>41</v>
      </c>
      <c r="B43" t="s">
        <v>8717</v>
      </c>
      <c r="F43" t="s">
        <v>8716</v>
      </c>
      <c r="G43" t="s">
        <v>15</v>
      </c>
      <c r="H43" t="s">
        <v>14</v>
      </c>
      <c r="I43" t="s">
        <v>8715</v>
      </c>
      <c r="N43">
        <v>2</v>
      </c>
      <c r="O43" t="s">
        <v>8714</v>
      </c>
      <c r="P43" t="s">
        <v>8713</v>
      </c>
      <c r="Q43" t="s">
        <v>1071</v>
      </c>
      <c r="R43" s="7">
        <v>32629</v>
      </c>
      <c r="S43" s="8">
        <f t="shared" si="8"/>
        <v>1989</v>
      </c>
      <c r="T43" s="8">
        <v>1989</v>
      </c>
      <c r="U43" s="8">
        <f t="shared" si="9"/>
        <v>33</v>
      </c>
      <c r="V43" s="7">
        <v>32629</v>
      </c>
      <c r="W43" t="s">
        <v>1054</v>
      </c>
      <c r="X43" s="2">
        <v>0.14099999999999999</v>
      </c>
      <c r="Y43" s="6">
        <f t="shared" si="2"/>
        <v>3.7639144710498915E-3</v>
      </c>
      <c r="AA43">
        <v>402508</v>
      </c>
      <c r="AB43">
        <v>20868</v>
      </c>
      <c r="AD43" t="s">
        <v>5</v>
      </c>
      <c r="AE43">
        <v>44</v>
      </c>
      <c r="AF43">
        <v>5</v>
      </c>
      <c r="AH43" t="s">
        <v>8712</v>
      </c>
      <c r="AI43" t="s">
        <v>8711</v>
      </c>
      <c r="AK43" t="s">
        <v>8710</v>
      </c>
      <c r="AL43">
        <v>1</v>
      </c>
      <c r="AM43" s="5">
        <f t="shared" si="10"/>
        <v>3.0303030303030304E-2</v>
      </c>
      <c r="AN43" s="4">
        <f t="shared" si="4"/>
        <v>4.5896297316214016E-5</v>
      </c>
      <c r="AO43" s="3"/>
      <c r="AP43">
        <v>0</v>
      </c>
      <c r="AR43" t="s">
        <v>0</v>
      </c>
      <c r="AT43" s="2" t="s">
        <v>19</v>
      </c>
      <c r="AU43" s="1">
        <f t="shared" si="11"/>
        <v>0.26485090189297883</v>
      </c>
      <c r="AV43" s="1">
        <f t="shared" si="12"/>
        <v>0.19049053841830527</v>
      </c>
      <c r="AW43" s="1">
        <f t="shared" si="13"/>
        <v>0.1161301749436317</v>
      </c>
    </row>
    <row r="44" spans="1:49" x14ac:dyDescent="0.2">
      <c r="A44">
        <v>42</v>
      </c>
      <c r="B44" t="s">
        <v>8709</v>
      </c>
      <c r="F44" t="s">
        <v>8708</v>
      </c>
      <c r="G44" t="s">
        <v>15</v>
      </c>
      <c r="H44" t="s">
        <v>14</v>
      </c>
      <c r="I44" t="s">
        <v>8707</v>
      </c>
      <c r="J44">
        <v>60015099</v>
      </c>
      <c r="K44" t="s">
        <v>5259</v>
      </c>
      <c r="L44" t="s">
        <v>2551</v>
      </c>
      <c r="M44" t="s">
        <v>23</v>
      </c>
      <c r="N44">
        <v>2</v>
      </c>
      <c r="O44" t="s">
        <v>8706</v>
      </c>
      <c r="P44" t="s">
        <v>8705</v>
      </c>
      <c r="Q44" t="s">
        <v>5256</v>
      </c>
      <c r="R44" s="7">
        <v>32629</v>
      </c>
      <c r="S44" s="8">
        <f t="shared" si="8"/>
        <v>1989</v>
      </c>
      <c r="T44" s="8">
        <v>1989</v>
      </c>
      <c r="U44" s="8">
        <f t="shared" si="9"/>
        <v>33</v>
      </c>
      <c r="V44" s="7">
        <v>32629</v>
      </c>
      <c r="W44" t="s">
        <v>8656</v>
      </c>
      <c r="X44" s="2" t="s">
        <v>19</v>
      </c>
      <c r="Y44" s="6" t="e">
        <f t="shared" si="2"/>
        <v>#VALUE!</v>
      </c>
      <c r="AA44">
        <v>2663244</v>
      </c>
      <c r="AB44">
        <v>35055</v>
      </c>
      <c r="AD44" t="s">
        <v>5</v>
      </c>
      <c r="AE44">
        <v>96</v>
      </c>
      <c r="AF44">
        <v>1639</v>
      </c>
      <c r="AH44" t="s">
        <v>8704</v>
      </c>
      <c r="AI44" t="s">
        <v>8703</v>
      </c>
      <c r="AK44" t="s">
        <v>8702</v>
      </c>
      <c r="AL44">
        <v>2</v>
      </c>
      <c r="AM44" s="5">
        <f t="shared" si="10"/>
        <v>6.0606060606060608E-2</v>
      </c>
      <c r="AN44" s="4">
        <f t="shared" si="4"/>
        <v>9.1792594632428032E-5</v>
      </c>
      <c r="AO44" s="3"/>
      <c r="AP44">
        <v>0</v>
      </c>
      <c r="AR44" t="s">
        <v>0</v>
      </c>
      <c r="AT44" s="2" t="s">
        <v>19</v>
      </c>
      <c r="AU44" s="1" t="e">
        <f t="shared" si="11"/>
        <v>#VALUE!</v>
      </c>
      <c r="AV44" s="1" t="e">
        <f t="shared" si="12"/>
        <v>#VALUE!</v>
      </c>
      <c r="AW44" s="1" t="e">
        <f t="shared" si="13"/>
        <v>#VALUE!</v>
      </c>
    </row>
    <row r="45" spans="1:49" x14ac:dyDescent="0.2">
      <c r="A45">
        <v>43</v>
      </c>
      <c r="B45" t="s">
        <v>8701</v>
      </c>
      <c r="F45" t="s">
        <v>8700</v>
      </c>
      <c r="G45" t="s">
        <v>15</v>
      </c>
      <c r="H45" t="s">
        <v>14</v>
      </c>
      <c r="I45" t="s">
        <v>8699</v>
      </c>
      <c r="J45">
        <v>60072226</v>
      </c>
      <c r="K45" t="s">
        <v>8698</v>
      </c>
      <c r="L45" t="s">
        <v>8697</v>
      </c>
      <c r="M45" t="s">
        <v>885</v>
      </c>
      <c r="N45">
        <v>4</v>
      </c>
      <c r="O45" t="s">
        <v>8696</v>
      </c>
      <c r="P45" t="s">
        <v>8695</v>
      </c>
      <c r="Q45" t="s">
        <v>8694</v>
      </c>
      <c r="R45" s="7">
        <v>32629</v>
      </c>
      <c r="S45" s="8">
        <f t="shared" si="8"/>
        <v>1989</v>
      </c>
      <c r="T45" s="8">
        <v>1989</v>
      </c>
      <c r="U45" s="8">
        <f t="shared" si="9"/>
        <v>33</v>
      </c>
      <c r="V45" s="7">
        <v>32629</v>
      </c>
      <c r="W45" t="s">
        <v>7705</v>
      </c>
      <c r="X45" s="2" t="s">
        <v>19</v>
      </c>
      <c r="Y45" s="6" t="e">
        <f t="shared" si="2"/>
        <v>#VALUE!</v>
      </c>
      <c r="AA45">
        <v>2511096</v>
      </c>
      <c r="AB45">
        <v>26110</v>
      </c>
      <c r="AD45" t="s">
        <v>5</v>
      </c>
      <c r="AE45">
        <v>70</v>
      </c>
      <c r="AF45">
        <v>1</v>
      </c>
      <c r="AH45" s="9">
        <v>44382</v>
      </c>
      <c r="AI45" t="s">
        <v>8693</v>
      </c>
      <c r="AK45" t="s">
        <v>8692</v>
      </c>
      <c r="AL45">
        <v>0</v>
      </c>
      <c r="AM45" s="5">
        <f t="shared" si="10"/>
        <v>0</v>
      </c>
      <c r="AN45" s="4">
        <f t="shared" si="4"/>
        <v>0</v>
      </c>
      <c r="AO45" s="3"/>
      <c r="AP45">
        <v>0</v>
      </c>
      <c r="AR45" t="s">
        <v>0</v>
      </c>
      <c r="AT45" s="2" t="s">
        <v>19</v>
      </c>
      <c r="AU45" s="1" t="e">
        <f t="shared" si="11"/>
        <v>#VALUE!</v>
      </c>
      <c r="AV45" s="1" t="e">
        <f t="shared" si="12"/>
        <v>#VALUE!</v>
      </c>
      <c r="AW45" s="1" t="e">
        <f t="shared" si="13"/>
        <v>#VALUE!</v>
      </c>
    </row>
    <row r="46" spans="1:49" x14ac:dyDescent="0.2">
      <c r="A46">
        <v>44</v>
      </c>
      <c r="B46" t="s">
        <v>8691</v>
      </c>
      <c r="F46" t="s">
        <v>8690</v>
      </c>
      <c r="G46" t="s">
        <v>15</v>
      </c>
      <c r="H46" t="s">
        <v>14</v>
      </c>
      <c r="I46" t="s">
        <v>8689</v>
      </c>
      <c r="N46">
        <v>3</v>
      </c>
      <c r="O46" t="s">
        <v>8688</v>
      </c>
      <c r="P46" t="s">
        <v>8687</v>
      </c>
      <c r="Q46" t="s">
        <v>296</v>
      </c>
      <c r="R46" s="7">
        <v>32629</v>
      </c>
      <c r="S46" s="8">
        <f t="shared" si="8"/>
        <v>1989</v>
      </c>
      <c r="T46" s="8">
        <v>1989</v>
      </c>
      <c r="U46" s="8">
        <f t="shared" si="9"/>
        <v>33</v>
      </c>
      <c r="V46" s="7">
        <v>32629</v>
      </c>
      <c r="W46" t="s">
        <v>1080</v>
      </c>
      <c r="X46" s="2" t="s">
        <v>19</v>
      </c>
      <c r="Y46" s="6" t="e">
        <f t="shared" si="2"/>
        <v>#VALUE!</v>
      </c>
      <c r="AA46">
        <v>87566648</v>
      </c>
      <c r="AB46">
        <v>74127</v>
      </c>
      <c r="AD46" t="s">
        <v>5</v>
      </c>
      <c r="AE46">
        <v>34</v>
      </c>
      <c r="AF46">
        <v>5</v>
      </c>
      <c r="AH46" t="s">
        <v>8686</v>
      </c>
      <c r="AI46" t="s">
        <v>8685</v>
      </c>
      <c r="AK46" t="s">
        <v>8684</v>
      </c>
      <c r="AL46">
        <v>0</v>
      </c>
      <c r="AM46" s="5">
        <f t="shared" si="10"/>
        <v>0</v>
      </c>
      <c r="AN46" s="4">
        <f t="shared" si="4"/>
        <v>0</v>
      </c>
      <c r="AO46" s="3"/>
      <c r="AP46">
        <v>0</v>
      </c>
      <c r="AR46" t="s">
        <v>0</v>
      </c>
      <c r="AT46" s="2" t="s">
        <v>19</v>
      </c>
      <c r="AU46" s="1" t="e">
        <f t="shared" si="11"/>
        <v>#VALUE!</v>
      </c>
      <c r="AV46" s="1" t="e">
        <f t="shared" si="12"/>
        <v>#VALUE!</v>
      </c>
      <c r="AW46" s="1" t="e">
        <f t="shared" si="13"/>
        <v>#VALUE!</v>
      </c>
    </row>
    <row r="47" spans="1:49" x14ac:dyDescent="0.2">
      <c r="A47">
        <v>45</v>
      </c>
      <c r="B47" t="s">
        <v>8683</v>
      </c>
      <c r="F47" t="s">
        <v>8682</v>
      </c>
      <c r="G47" t="s">
        <v>15</v>
      </c>
      <c r="H47" t="s">
        <v>14</v>
      </c>
      <c r="I47" t="s">
        <v>8681</v>
      </c>
      <c r="J47">
        <v>60005837</v>
      </c>
      <c r="K47" t="s">
        <v>1654</v>
      </c>
      <c r="L47" t="s">
        <v>1165</v>
      </c>
      <c r="M47" t="s">
        <v>23</v>
      </c>
      <c r="N47">
        <v>3</v>
      </c>
      <c r="O47" t="s">
        <v>8680</v>
      </c>
      <c r="P47" t="s">
        <v>8679</v>
      </c>
      <c r="Q47" t="s">
        <v>1651</v>
      </c>
      <c r="R47" s="7">
        <v>32629</v>
      </c>
      <c r="S47" s="8">
        <f t="shared" si="8"/>
        <v>1989</v>
      </c>
      <c r="T47" s="8">
        <v>1989</v>
      </c>
      <c r="U47" s="8">
        <f t="shared" si="9"/>
        <v>33</v>
      </c>
      <c r="V47" s="7">
        <v>32509</v>
      </c>
      <c r="W47" t="s">
        <v>2469</v>
      </c>
      <c r="X47" s="2">
        <v>0.375</v>
      </c>
      <c r="Y47" s="6">
        <f t="shared" si="2"/>
        <v>1.0010410827260351E-2</v>
      </c>
      <c r="AA47">
        <v>135194</v>
      </c>
      <c r="AB47">
        <v>24918</v>
      </c>
      <c r="AD47" t="s">
        <v>5</v>
      </c>
      <c r="AE47">
        <v>25</v>
      </c>
      <c r="AF47">
        <v>11</v>
      </c>
      <c r="AH47" t="s">
        <v>8678</v>
      </c>
      <c r="AI47" t="s">
        <v>8677</v>
      </c>
      <c r="AK47" t="s">
        <v>8676</v>
      </c>
      <c r="AL47">
        <v>7</v>
      </c>
      <c r="AM47" s="5">
        <f t="shared" si="10"/>
        <v>0.21212121212121213</v>
      </c>
      <c r="AN47" s="4">
        <f t="shared" si="4"/>
        <v>3.2127408121349809E-4</v>
      </c>
      <c r="AO47" s="3"/>
      <c r="AP47">
        <v>0</v>
      </c>
      <c r="AR47" t="s">
        <v>0</v>
      </c>
      <c r="AT47" s="2">
        <v>1.3140000000000001</v>
      </c>
      <c r="AU47" s="1">
        <f t="shared" si="11"/>
        <v>0.71036698034462953</v>
      </c>
      <c r="AV47" s="1">
        <f t="shared" si="12"/>
        <v>0.51658424542369241</v>
      </c>
      <c r="AW47" s="1">
        <f t="shared" si="13"/>
        <v>0.32280151050275541</v>
      </c>
    </row>
    <row r="48" spans="1:49" x14ac:dyDescent="0.2">
      <c r="A48">
        <v>46</v>
      </c>
      <c r="B48" t="s">
        <v>8675</v>
      </c>
      <c r="F48" t="s">
        <v>8674</v>
      </c>
      <c r="G48" t="s">
        <v>15</v>
      </c>
      <c r="H48" t="s">
        <v>14</v>
      </c>
      <c r="I48" t="s">
        <v>8673</v>
      </c>
      <c r="N48">
        <v>2</v>
      </c>
      <c r="O48" t="s">
        <v>8672</v>
      </c>
      <c r="P48" t="s">
        <v>8671</v>
      </c>
      <c r="Q48" t="s">
        <v>1071</v>
      </c>
      <c r="R48" s="7">
        <v>32629</v>
      </c>
      <c r="S48" s="8">
        <f t="shared" si="8"/>
        <v>1989</v>
      </c>
      <c r="T48" s="8">
        <v>1989</v>
      </c>
      <c r="U48" s="8">
        <f t="shared" si="9"/>
        <v>33</v>
      </c>
      <c r="V48" s="7">
        <v>32629</v>
      </c>
      <c r="W48" t="s">
        <v>1080</v>
      </c>
      <c r="X48" s="2" t="s">
        <v>19</v>
      </c>
      <c r="Y48" s="6" t="e">
        <f t="shared" si="2"/>
        <v>#VALUE!</v>
      </c>
      <c r="AA48">
        <v>87566648</v>
      </c>
      <c r="AB48">
        <v>74127</v>
      </c>
      <c r="AD48" t="s">
        <v>5</v>
      </c>
      <c r="AE48">
        <v>34</v>
      </c>
      <c r="AF48">
        <v>5</v>
      </c>
      <c r="AH48" s="10">
        <v>42614</v>
      </c>
      <c r="AI48" t="s">
        <v>8670</v>
      </c>
      <c r="AK48" t="s">
        <v>8669</v>
      </c>
      <c r="AL48">
        <v>0</v>
      </c>
      <c r="AM48" s="5">
        <f t="shared" si="10"/>
        <v>0</v>
      </c>
      <c r="AN48" s="4">
        <f t="shared" si="4"/>
        <v>0</v>
      </c>
      <c r="AO48" s="3"/>
      <c r="AP48">
        <v>0</v>
      </c>
      <c r="AR48" t="s">
        <v>0</v>
      </c>
      <c r="AT48" s="2" t="s">
        <v>19</v>
      </c>
      <c r="AU48" s="1" t="e">
        <f t="shared" si="11"/>
        <v>#VALUE!</v>
      </c>
      <c r="AV48" s="1" t="e">
        <f t="shared" si="12"/>
        <v>#VALUE!</v>
      </c>
      <c r="AW48" s="1" t="e">
        <f t="shared" si="13"/>
        <v>#VALUE!</v>
      </c>
    </row>
    <row r="49" spans="1:49" x14ac:dyDescent="0.2">
      <c r="A49">
        <v>47</v>
      </c>
      <c r="B49" t="s">
        <v>8668</v>
      </c>
      <c r="F49" t="s">
        <v>8667</v>
      </c>
      <c r="G49" t="s">
        <v>15</v>
      </c>
      <c r="H49" t="s">
        <v>14</v>
      </c>
      <c r="I49" t="s">
        <v>8666</v>
      </c>
      <c r="N49">
        <v>6</v>
      </c>
      <c r="O49" t="s">
        <v>8665</v>
      </c>
      <c r="P49" t="s">
        <v>8664</v>
      </c>
      <c r="Q49" t="s">
        <v>2386</v>
      </c>
      <c r="R49" s="7">
        <v>32629</v>
      </c>
      <c r="S49" s="8">
        <f t="shared" si="8"/>
        <v>1989</v>
      </c>
      <c r="T49" s="8">
        <v>1989</v>
      </c>
      <c r="U49" s="8">
        <f t="shared" si="9"/>
        <v>33</v>
      </c>
      <c r="V49" s="7">
        <v>32629</v>
      </c>
      <c r="W49" t="s">
        <v>1054</v>
      </c>
      <c r="X49" s="2">
        <v>0.14099999999999999</v>
      </c>
      <c r="Y49" s="6">
        <f t="shared" si="2"/>
        <v>3.7639144710498915E-3</v>
      </c>
      <c r="AA49">
        <v>402508</v>
      </c>
      <c r="AB49">
        <v>20868</v>
      </c>
      <c r="AD49" t="s">
        <v>5</v>
      </c>
      <c r="AE49">
        <v>44</v>
      </c>
      <c r="AF49">
        <v>5</v>
      </c>
      <c r="AH49" t="s">
        <v>8663</v>
      </c>
      <c r="AI49" t="s">
        <v>8662</v>
      </c>
      <c r="AK49" t="s">
        <v>8661</v>
      </c>
      <c r="AL49">
        <v>0</v>
      </c>
      <c r="AM49" s="5">
        <f t="shared" si="10"/>
        <v>0</v>
      </c>
      <c r="AN49" s="4">
        <f t="shared" si="4"/>
        <v>0</v>
      </c>
      <c r="AO49" s="3"/>
      <c r="AP49">
        <v>0</v>
      </c>
      <c r="AR49" t="s">
        <v>0</v>
      </c>
      <c r="AT49" s="2" t="s">
        <v>19</v>
      </c>
      <c r="AU49" s="1">
        <f t="shared" si="11"/>
        <v>0.26347401297349238</v>
      </c>
      <c r="AV49" s="1">
        <f t="shared" si="12"/>
        <v>0.18819572355249459</v>
      </c>
      <c r="AW49" s="1">
        <f t="shared" si="13"/>
        <v>0.11291743413149673</v>
      </c>
    </row>
    <row r="50" spans="1:49" x14ac:dyDescent="0.2">
      <c r="A50">
        <v>48</v>
      </c>
      <c r="B50" t="s">
        <v>8660</v>
      </c>
      <c r="F50" t="s">
        <v>8659</v>
      </c>
      <c r="G50" t="s">
        <v>15</v>
      </c>
      <c r="H50" t="s">
        <v>14</v>
      </c>
      <c r="I50" t="s">
        <v>8658</v>
      </c>
      <c r="N50">
        <v>1</v>
      </c>
      <c r="O50" t="s">
        <v>8657</v>
      </c>
      <c r="P50">
        <v>7003550594</v>
      </c>
      <c r="R50" s="7">
        <v>32629</v>
      </c>
      <c r="S50" s="8">
        <f t="shared" si="8"/>
        <v>1989</v>
      </c>
      <c r="T50" s="8">
        <v>1989</v>
      </c>
      <c r="U50" s="8">
        <f t="shared" si="9"/>
        <v>33</v>
      </c>
      <c r="V50" s="7">
        <v>32629</v>
      </c>
      <c r="W50" t="s">
        <v>8656</v>
      </c>
      <c r="X50" s="2" t="s">
        <v>19</v>
      </c>
      <c r="Y50" s="6" t="e">
        <f t="shared" si="2"/>
        <v>#VALUE!</v>
      </c>
      <c r="AA50">
        <v>2663244</v>
      </c>
      <c r="AB50">
        <v>35055</v>
      </c>
      <c r="AD50" t="s">
        <v>5</v>
      </c>
      <c r="AE50">
        <v>96</v>
      </c>
      <c r="AF50">
        <v>1639</v>
      </c>
      <c r="AH50" t="s">
        <v>8655</v>
      </c>
      <c r="AI50" t="s">
        <v>8654</v>
      </c>
      <c r="AK50" t="s">
        <v>8653</v>
      </c>
      <c r="AL50">
        <v>1</v>
      </c>
      <c r="AM50" s="5">
        <f t="shared" si="10"/>
        <v>3.0303030303030304E-2</v>
      </c>
      <c r="AN50" s="4">
        <f t="shared" si="4"/>
        <v>4.5896297316214016E-5</v>
      </c>
      <c r="AO50" s="3"/>
      <c r="AP50">
        <v>0</v>
      </c>
      <c r="AR50" t="s">
        <v>0</v>
      </c>
      <c r="AT50" s="2" t="s">
        <v>19</v>
      </c>
      <c r="AU50" s="1" t="e">
        <f t="shared" si="11"/>
        <v>#VALUE!</v>
      </c>
      <c r="AV50" s="1" t="e">
        <f t="shared" si="12"/>
        <v>#VALUE!</v>
      </c>
      <c r="AW50" s="1" t="e">
        <f t="shared" si="13"/>
        <v>#VALUE!</v>
      </c>
    </row>
    <row r="51" spans="1:49" x14ac:dyDescent="0.2">
      <c r="A51">
        <v>49</v>
      </c>
      <c r="B51" t="s">
        <v>8652</v>
      </c>
      <c r="F51" t="s">
        <v>8651</v>
      </c>
      <c r="G51" t="s">
        <v>15</v>
      </c>
      <c r="H51" t="s">
        <v>14</v>
      </c>
      <c r="I51" t="s">
        <v>8650</v>
      </c>
      <c r="N51">
        <v>2</v>
      </c>
      <c r="O51" t="s">
        <v>8649</v>
      </c>
      <c r="P51" t="s">
        <v>8648</v>
      </c>
      <c r="Q51" t="s">
        <v>1071</v>
      </c>
      <c r="R51" s="7">
        <v>32629</v>
      </c>
      <c r="S51" s="8">
        <f t="shared" si="8"/>
        <v>1989</v>
      </c>
      <c r="T51" s="8">
        <v>1989</v>
      </c>
      <c r="U51" s="8">
        <f t="shared" si="9"/>
        <v>33</v>
      </c>
      <c r="V51" s="7">
        <v>32629</v>
      </c>
      <c r="W51" t="s">
        <v>1054</v>
      </c>
      <c r="X51" s="2">
        <v>0.14099999999999999</v>
      </c>
      <c r="Y51" s="6">
        <f t="shared" si="2"/>
        <v>3.7639144710498915E-3</v>
      </c>
      <c r="AA51">
        <v>402508</v>
      </c>
      <c r="AB51">
        <v>20868</v>
      </c>
      <c r="AD51" t="s">
        <v>5</v>
      </c>
      <c r="AE51">
        <v>44</v>
      </c>
      <c r="AF51">
        <v>5</v>
      </c>
      <c r="AH51" t="s">
        <v>8647</v>
      </c>
      <c r="AI51" t="s">
        <v>8646</v>
      </c>
      <c r="AK51" t="s">
        <v>8645</v>
      </c>
      <c r="AL51">
        <v>0</v>
      </c>
      <c r="AM51" s="5">
        <f t="shared" si="10"/>
        <v>0</v>
      </c>
      <c r="AN51" s="4">
        <f t="shared" si="4"/>
        <v>0</v>
      </c>
      <c r="AO51" s="3"/>
      <c r="AP51">
        <v>0</v>
      </c>
      <c r="AR51" t="s">
        <v>0</v>
      </c>
      <c r="AT51" s="2" t="s">
        <v>19</v>
      </c>
      <c r="AU51" s="1">
        <f t="shared" si="11"/>
        <v>0.26347401297349238</v>
      </c>
      <c r="AV51" s="1">
        <f t="shared" si="12"/>
        <v>0.18819572355249459</v>
      </c>
      <c r="AW51" s="1">
        <f t="shared" si="13"/>
        <v>0.11291743413149673</v>
      </c>
    </row>
    <row r="52" spans="1:49" x14ac:dyDescent="0.2">
      <c r="A52">
        <v>50</v>
      </c>
      <c r="B52" t="s">
        <v>8644</v>
      </c>
      <c r="F52" t="s">
        <v>8643</v>
      </c>
      <c r="G52" t="s">
        <v>15</v>
      </c>
      <c r="H52" t="s">
        <v>14</v>
      </c>
      <c r="I52" t="s">
        <v>8642</v>
      </c>
      <c r="N52">
        <v>2</v>
      </c>
      <c r="O52" t="s">
        <v>8641</v>
      </c>
      <c r="P52" t="s">
        <v>8640</v>
      </c>
      <c r="Q52" t="s">
        <v>1071</v>
      </c>
      <c r="R52" s="7">
        <v>32629</v>
      </c>
      <c r="S52" s="8">
        <f t="shared" si="8"/>
        <v>1989</v>
      </c>
      <c r="T52" s="8">
        <v>1989</v>
      </c>
      <c r="U52" s="8">
        <f t="shared" si="9"/>
        <v>33</v>
      </c>
      <c r="V52" s="7">
        <v>32629</v>
      </c>
      <c r="W52" t="s">
        <v>1080</v>
      </c>
      <c r="X52" s="2" t="s">
        <v>19</v>
      </c>
      <c r="Y52" s="6" t="e">
        <f t="shared" si="2"/>
        <v>#VALUE!</v>
      </c>
      <c r="AA52">
        <v>87566648</v>
      </c>
      <c r="AB52">
        <v>74127</v>
      </c>
      <c r="AD52" t="s">
        <v>5</v>
      </c>
      <c r="AE52">
        <v>34</v>
      </c>
      <c r="AF52">
        <v>5</v>
      </c>
      <c r="AH52" t="s">
        <v>8639</v>
      </c>
      <c r="AI52" t="s">
        <v>8638</v>
      </c>
      <c r="AK52" t="s">
        <v>8637</v>
      </c>
      <c r="AL52">
        <v>0</v>
      </c>
      <c r="AM52" s="5">
        <f t="shared" si="10"/>
        <v>0</v>
      </c>
      <c r="AN52" s="4">
        <f t="shared" si="4"/>
        <v>0</v>
      </c>
      <c r="AO52" s="3"/>
      <c r="AP52">
        <v>0</v>
      </c>
      <c r="AR52" t="s">
        <v>0</v>
      </c>
      <c r="AT52" s="2" t="s">
        <v>19</v>
      </c>
      <c r="AU52" s="1" t="e">
        <f t="shared" si="11"/>
        <v>#VALUE!</v>
      </c>
      <c r="AV52" s="1" t="e">
        <f t="shared" si="12"/>
        <v>#VALUE!</v>
      </c>
      <c r="AW52" s="1" t="e">
        <f t="shared" si="13"/>
        <v>#VALUE!</v>
      </c>
    </row>
    <row r="53" spans="1:49" x14ac:dyDescent="0.2">
      <c r="A53">
        <v>51</v>
      </c>
      <c r="B53" t="s">
        <v>8636</v>
      </c>
      <c r="F53" t="s">
        <v>8635</v>
      </c>
      <c r="G53" t="s">
        <v>15</v>
      </c>
      <c r="H53" t="s">
        <v>14</v>
      </c>
      <c r="I53" t="s">
        <v>8634</v>
      </c>
      <c r="N53">
        <v>3</v>
      </c>
      <c r="O53" t="s">
        <v>8633</v>
      </c>
      <c r="P53" t="s">
        <v>8632</v>
      </c>
      <c r="Q53" t="s">
        <v>296</v>
      </c>
      <c r="R53" s="7">
        <v>32629</v>
      </c>
      <c r="S53" s="8">
        <f t="shared" si="8"/>
        <v>1989</v>
      </c>
      <c r="T53" s="8">
        <v>1989</v>
      </c>
      <c r="U53" s="8">
        <f t="shared" si="9"/>
        <v>33</v>
      </c>
      <c r="V53" s="7">
        <v>32629</v>
      </c>
      <c r="W53" t="s">
        <v>1054</v>
      </c>
      <c r="X53" s="2">
        <v>0.14099999999999999</v>
      </c>
      <c r="Y53" s="6">
        <f t="shared" si="2"/>
        <v>3.7639144710498915E-3</v>
      </c>
      <c r="AA53">
        <v>402508</v>
      </c>
      <c r="AB53">
        <v>20868</v>
      </c>
      <c r="AD53" t="s">
        <v>5</v>
      </c>
      <c r="AE53">
        <v>44</v>
      </c>
      <c r="AF53">
        <v>5</v>
      </c>
      <c r="AH53" t="s">
        <v>8631</v>
      </c>
      <c r="AI53" t="s">
        <v>8630</v>
      </c>
      <c r="AK53" t="s">
        <v>8629</v>
      </c>
      <c r="AL53">
        <v>0</v>
      </c>
      <c r="AM53" s="5">
        <f t="shared" si="10"/>
        <v>0</v>
      </c>
      <c r="AN53" s="4">
        <f t="shared" si="4"/>
        <v>0</v>
      </c>
      <c r="AO53" s="3"/>
      <c r="AP53">
        <v>0</v>
      </c>
      <c r="AR53" t="s">
        <v>0</v>
      </c>
      <c r="AT53" s="2" t="s">
        <v>19</v>
      </c>
      <c r="AU53" s="1">
        <f t="shared" si="11"/>
        <v>0.26347401297349238</v>
      </c>
      <c r="AV53" s="1">
        <f t="shared" si="12"/>
        <v>0.18819572355249459</v>
      </c>
      <c r="AW53" s="1">
        <f t="shared" si="13"/>
        <v>0.11291743413149673</v>
      </c>
    </row>
    <row r="54" spans="1:49" x14ac:dyDescent="0.2">
      <c r="A54">
        <v>52</v>
      </c>
      <c r="B54" t="s">
        <v>8628</v>
      </c>
      <c r="F54" t="s">
        <v>8627</v>
      </c>
      <c r="G54" t="s">
        <v>15</v>
      </c>
      <c r="H54" t="s">
        <v>14</v>
      </c>
      <c r="I54" t="s">
        <v>8626</v>
      </c>
      <c r="N54">
        <v>5</v>
      </c>
      <c r="O54" t="s">
        <v>8625</v>
      </c>
      <c r="P54" t="s">
        <v>8624</v>
      </c>
      <c r="Q54" t="s">
        <v>8623</v>
      </c>
      <c r="R54" s="7">
        <v>32629</v>
      </c>
      <c r="S54" s="8">
        <f t="shared" si="8"/>
        <v>1989</v>
      </c>
      <c r="T54" s="8">
        <v>1989</v>
      </c>
      <c r="U54" s="8">
        <f t="shared" si="9"/>
        <v>33</v>
      </c>
      <c r="V54" s="7">
        <v>32629</v>
      </c>
      <c r="W54" t="s">
        <v>1080</v>
      </c>
      <c r="X54" s="2" t="s">
        <v>19</v>
      </c>
      <c r="Y54" s="6" t="e">
        <f t="shared" si="2"/>
        <v>#VALUE!</v>
      </c>
      <c r="AA54">
        <v>87566648</v>
      </c>
      <c r="AB54">
        <v>74127</v>
      </c>
      <c r="AD54" t="s">
        <v>5</v>
      </c>
      <c r="AE54">
        <v>34</v>
      </c>
      <c r="AF54">
        <v>5</v>
      </c>
      <c r="AH54" t="s">
        <v>8622</v>
      </c>
      <c r="AI54" t="s">
        <v>8621</v>
      </c>
      <c r="AK54" t="s">
        <v>8620</v>
      </c>
      <c r="AL54">
        <v>0</v>
      </c>
      <c r="AM54" s="5">
        <f t="shared" si="10"/>
        <v>0</v>
      </c>
      <c r="AN54" s="4">
        <f t="shared" si="4"/>
        <v>0</v>
      </c>
      <c r="AO54" s="3"/>
      <c r="AP54">
        <v>0</v>
      </c>
      <c r="AR54" t="s">
        <v>0</v>
      </c>
      <c r="AT54" s="2" t="s">
        <v>19</v>
      </c>
      <c r="AU54" s="1" t="e">
        <f t="shared" si="11"/>
        <v>#VALUE!</v>
      </c>
      <c r="AV54" s="1" t="e">
        <f t="shared" si="12"/>
        <v>#VALUE!</v>
      </c>
      <c r="AW54" s="1" t="e">
        <f t="shared" si="13"/>
        <v>#VALUE!</v>
      </c>
    </row>
    <row r="55" spans="1:49" x14ac:dyDescent="0.2">
      <c r="A55">
        <v>53</v>
      </c>
      <c r="B55" t="s">
        <v>8619</v>
      </c>
      <c r="F55" t="s">
        <v>8618</v>
      </c>
      <c r="G55" t="s">
        <v>15</v>
      </c>
      <c r="H55" t="s">
        <v>14</v>
      </c>
      <c r="I55" t="s">
        <v>8617</v>
      </c>
      <c r="N55">
        <v>1</v>
      </c>
      <c r="O55" t="s">
        <v>8616</v>
      </c>
      <c r="P55">
        <v>6603276155</v>
      </c>
      <c r="R55" s="7">
        <v>32629</v>
      </c>
      <c r="S55" s="8">
        <f t="shared" si="8"/>
        <v>1989</v>
      </c>
      <c r="T55" s="8">
        <v>1989</v>
      </c>
      <c r="U55" s="8">
        <f t="shared" si="9"/>
        <v>33</v>
      </c>
      <c r="V55" s="7">
        <v>32629</v>
      </c>
      <c r="W55" t="s">
        <v>1080</v>
      </c>
      <c r="X55" s="2" t="s">
        <v>19</v>
      </c>
      <c r="Y55" s="6" t="e">
        <f t="shared" si="2"/>
        <v>#VALUE!</v>
      </c>
      <c r="AA55">
        <v>87566648</v>
      </c>
      <c r="AB55">
        <v>74127</v>
      </c>
      <c r="AD55" t="s">
        <v>5</v>
      </c>
      <c r="AE55">
        <v>34</v>
      </c>
      <c r="AF55">
        <v>5</v>
      </c>
      <c r="AH55" s="9">
        <v>44409</v>
      </c>
      <c r="AI55" t="s">
        <v>8615</v>
      </c>
      <c r="AK55" t="s">
        <v>8614</v>
      </c>
      <c r="AL55">
        <v>0</v>
      </c>
      <c r="AM55" s="5">
        <f t="shared" si="10"/>
        <v>0</v>
      </c>
      <c r="AN55" s="4">
        <f t="shared" si="4"/>
        <v>0</v>
      </c>
      <c r="AO55" s="3"/>
      <c r="AP55">
        <v>0</v>
      </c>
      <c r="AR55" t="s">
        <v>0</v>
      </c>
      <c r="AT55" s="2" t="s">
        <v>19</v>
      </c>
      <c r="AU55" s="1" t="e">
        <f t="shared" si="11"/>
        <v>#VALUE!</v>
      </c>
      <c r="AV55" s="1" t="e">
        <f t="shared" si="12"/>
        <v>#VALUE!</v>
      </c>
      <c r="AW55" s="1" t="e">
        <f t="shared" si="13"/>
        <v>#VALUE!</v>
      </c>
    </row>
    <row r="56" spans="1:49" x14ac:dyDescent="0.2">
      <c r="A56">
        <v>54</v>
      </c>
      <c r="B56" t="s">
        <v>8613</v>
      </c>
      <c r="C56" t="s">
        <v>8612</v>
      </c>
      <c r="F56" t="s">
        <v>8611</v>
      </c>
      <c r="G56" t="s">
        <v>15</v>
      </c>
      <c r="H56" t="s">
        <v>14</v>
      </c>
      <c r="I56" t="s">
        <v>8610</v>
      </c>
      <c r="J56">
        <v>60015941</v>
      </c>
      <c r="K56" t="s">
        <v>8609</v>
      </c>
      <c r="L56" t="s">
        <v>8608</v>
      </c>
      <c r="M56" t="s">
        <v>23</v>
      </c>
      <c r="N56">
        <v>1</v>
      </c>
      <c r="O56" t="s">
        <v>8607</v>
      </c>
      <c r="P56">
        <v>35584728700</v>
      </c>
      <c r="Q56">
        <v>60015941</v>
      </c>
      <c r="R56" s="7">
        <v>32629</v>
      </c>
      <c r="S56" s="8">
        <f t="shared" si="8"/>
        <v>1989</v>
      </c>
      <c r="T56" s="8">
        <v>1989</v>
      </c>
      <c r="U56" s="8">
        <f t="shared" si="9"/>
        <v>33</v>
      </c>
      <c r="V56" s="7">
        <v>32629</v>
      </c>
      <c r="W56" t="s">
        <v>1551</v>
      </c>
      <c r="X56" s="2">
        <v>0.65500000000000003</v>
      </c>
      <c r="Y56" s="6">
        <f t="shared" si="2"/>
        <v>1.7484850911614749E-2</v>
      </c>
      <c r="AA56">
        <v>189375</v>
      </c>
      <c r="AB56">
        <v>26051</v>
      </c>
      <c r="AD56" t="s">
        <v>5</v>
      </c>
      <c r="AE56">
        <v>31</v>
      </c>
      <c r="AF56">
        <v>2</v>
      </c>
      <c r="AH56" t="s">
        <v>8606</v>
      </c>
      <c r="AI56" t="s">
        <v>8605</v>
      </c>
      <c r="AK56" t="s">
        <v>8604</v>
      </c>
      <c r="AL56">
        <v>196</v>
      </c>
      <c r="AM56" s="5">
        <f t="shared" si="10"/>
        <v>5.9393939393939394</v>
      </c>
      <c r="AN56" s="4">
        <f t="shared" si="4"/>
        <v>8.9956742739779466E-3</v>
      </c>
      <c r="AO56" s="3"/>
      <c r="AP56">
        <v>0</v>
      </c>
      <c r="AR56" t="s">
        <v>0</v>
      </c>
      <c r="AT56" s="2" t="s">
        <v>19</v>
      </c>
      <c r="AU56" s="1">
        <f t="shared" si="11"/>
        <v>1.4938097920323707</v>
      </c>
      <c r="AV56" s="1">
        <f t="shared" si="12"/>
        <v>1.3240262592796348</v>
      </c>
      <c r="AW56" s="1">
        <f t="shared" si="13"/>
        <v>1.1542427265268989</v>
      </c>
    </row>
    <row r="57" spans="1:49" x14ac:dyDescent="0.2">
      <c r="A57">
        <v>55</v>
      </c>
      <c r="B57" t="s">
        <v>8603</v>
      </c>
      <c r="C57" t="s">
        <v>8602</v>
      </c>
      <c r="F57" t="s">
        <v>8601</v>
      </c>
      <c r="G57" t="s">
        <v>15</v>
      </c>
      <c r="H57" t="s">
        <v>14</v>
      </c>
      <c r="I57" t="s">
        <v>8600</v>
      </c>
      <c r="J57">
        <v>60013959</v>
      </c>
      <c r="K57" t="s">
        <v>8599</v>
      </c>
      <c r="L57" t="s">
        <v>1271</v>
      </c>
      <c r="M57" t="s">
        <v>23</v>
      </c>
      <c r="N57">
        <v>2</v>
      </c>
      <c r="O57" t="s">
        <v>8598</v>
      </c>
      <c r="P57" t="s">
        <v>8597</v>
      </c>
      <c r="Q57" t="s">
        <v>8596</v>
      </c>
      <c r="R57" s="7">
        <v>32629</v>
      </c>
      <c r="S57" s="8">
        <f t="shared" si="8"/>
        <v>1989</v>
      </c>
      <c r="T57" s="8">
        <v>1989</v>
      </c>
      <c r="U57" s="8">
        <f t="shared" si="9"/>
        <v>33</v>
      </c>
      <c r="V57" s="7">
        <v>32629</v>
      </c>
      <c r="W57" t="s">
        <v>1551</v>
      </c>
      <c r="X57" s="2">
        <v>0.65500000000000003</v>
      </c>
      <c r="Y57" s="6">
        <f t="shared" si="2"/>
        <v>1.7484850911614749E-2</v>
      </c>
      <c r="AA57">
        <v>189375</v>
      </c>
      <c r="AB57">
        <v>26051</v>
      </c>
      <c r="AD57" t="s">
        <v>5</v>
      </c>
      <c r="AE57">
        <v>31</v>
      </c>
      <c r="AF57">
        <v>2</v>
      </c>
      <c r="AH57" t="s">
        <v>6290</v>
      </c>
      <c r="AI57" t="s">
        <v>8595</v>
      </c>
      <c r="AK57" t="s">
        <v>8594</v>
      </c>
      <c r="AL57">
        <v>113</v>
      </c>
      <c r="AM57" s="5">
        <f t="shared" si="10"/>
        <v>3.4242424242424243</v>
      </c>
      <c r="AN57" s="4">
        <f t="shared" si="4"/>
        <v>5.1862815967321837E-3</v>
      </c>
      <c r="AO57" s="3"/>
      <c r="AP57">
        <v>0</v>
      </c>
      <c r="AQ57" t="s">
        <v>618</v>
      </c>
      <c r="AR57" t="s">
        <v>8593</v>
      </c>
      <c r="AS57" t="s">
        <v>616</v>
      </c>
      <c r="AT57" s="2" t="s">
        <v>19</v>
      </c>
      <c r="AU57" s="1">
        <f t="shared" si="11"/>
        <v>1.3795280117149977</v>
      </c>
      <c r="AV57" s="1">
        <f t="shared" si="12"/>
        <v>1.1335566254173466</v>
      </c>
      <c r="AW57" s="1">
        <f t="shared" si="13"/>
        <v>0.88758523911969534</v>
      </c>
    </row>
    <row r="58" spans="1:49" x14ac:dyDescent="0.2">
      <c r="A58">
        <v>56</v>
      </c>
      <c r="B58" t="s">
        <v>8592</v>
      </c>
      <c r="C58" t="s">
        <v>8591</v>
      </c>
      <c r="F58" t="s">
        <v>8590</v>
      </c>
      <c r="G58" t="s">
        <v>15</v>
      </c>
      <c r="H58" t="s">
        <v>14</v>
      </c>
      <c r="I58" t="s">
        <v>8589</v>
      </c>
      <c r="J58">
        <v>60020444</v>
      </c>
      <c r="K58" t="s">
        <v>8588</v>
      </c>
      <c r="L58" t="s">
        <v>24</v>
      </c>
      <c r="M58" t="s">
        <v>23</v>
      </c>
      <c r="N58">
        <v>1</v>
      </c>
      <c r="O58" t="s">
        <v>8587</v>
      </c>
      <c r="P58">
        <v>7005064847</v>
      </c>
      <c r="Q58">
        <v>60020444</v>
      </c>
      <c r="R58" s="7">
        <v>32629</v>
      </c>
      <c r="S58" s="8">
        <f t="shared" si="8"/>
        <v>1989</v>
      </c>
      <c r="T58" s="8">
        <v>1989</v>
      </c>
      <c r="U58" s="8">
        <f t="shared" si="9"/>
        <v>33</v>
      </c>
      <c r="V58" s="7">
        <v>32629</v>
      </c>
      <c r="W58" t="s">
        <v>1551</v>
      </c>
      <c r="X58" s="2">
        <v>0.65500000000000003</v>
      </c>
      <c r="Y58" s="6">
        <f t="shared" si="2"/>
        <v>1.7484850911614749E-2</v>
      </c>
      <c r="AA58">
        <v>189375</v>
      </c>
      <c r="AB58">
        <v>26051</v>
      </c>
      <c r="AD58" t="s">
        <v>5</v>
      </c>
      <c r="AE58">
        <v>31</v>
      </c>
      <c r="AF58">
        <v>2</v>
      </c>
      <c r="AH58" t="s">
        <v>8586</v>
      </c>
      <c r="AI58" t="s">
        <v>8585</v>
      </c>
      <c r="AK58" t="s">
        <v>8584</v>
      </c>
      <c r="AL58">
        <v>4</v>
      </c>
      <c r="AM58" s="5">
        <f t="shared" si="10"/>
        <v>0.12121212121212122</v>
      </c>
      <c r="AN58" s="4">
        <f t="shared" si="4"/>
        <v>1.8358518926485606E-4</v>
      </c>
      <c r="AO58" s="3"/>
      <c r="AP58">
        <v>0</v>
      </c>
      <c r="AR58" t="s">
        <v>0</v>
      </c>
      <c r="AT58" s="2" t="s">
        <v>19</v>
      </c>
      <c r="AU58" s="1">
        <f t="shared" si="11"/>
        <v>1.229447119490978</v>
      </c>
      <c r="AV58" s="1">
        <f t="shared" si="12"/>
        <v>0.88342180504398027</v>
      </c>
      <c r="AW58" s="1">
        <f t="shared" si="13"/>
        <v>0.53739649059698236</v>
      </c>
    </row>
    <row r="59" spans="1:49" x14ac:dyDescent="0.2">
      <c r="A59">
        <v>57</v>
      </c>
      <c r="B59" t="s">
        <v>8583</v>
      </c>
      <c r="F59" t="s">
        <v>8582</v>
      </c>
      <c r="G59" t="s">
        <v>15</v>
      </c>
      <c r="H59" t="s">
        <v>14</v>
      </c>
      <c r="I59" t="s">
        <v>3571</v>
      </c>
      <c r="J59">
        <v>60010491</v>
      </c>
      <c r="K59" t="s">
        <v>2562</v>
      </c>
      <c r="L59" t="s">
        <v>2561</v>
      </c>
      <c r="M59" t="s">
        <v>23</v>
      </c>
      <c r="N59">
        <v>2</v>
      </c>
      <c r="O59" t="s">
        <v>8581</v>
      </c>
      <c r="P59" t="s">
        <v>8580</v>
      </c>
      <c r="Q59" t="s">
        <v>8579</v>
      </c>
      <c r="R59" s="7">
        <v>32629</v>
      </c>
      <c r="S59" s="8">
        <f t="shared" si="8"/>
        <v>1989</v>
      </c>
      <c r="T59" s="8">
        <v>1989</v>
      </c>
      <c r="U59" s="8">
        <f t="shared" si="9"/>
        <v>33</v>
      </c>
      <c r="V59" s="7">
        <v>32629</v>
      </c>
      <c r="W59" t="s">
        <v>7934</v>
      </c>
      <c r="X59" s="2">
        <v>0.54700000000000004</v>
      </c>
      <c r="Y59" s="6">
        <f t="shared" si="2"/>
        <v>1.4601852593363766E-2</v>
      </c>
      <c r="AA59">
        <v>11096</v>
      </c>
      <c r="AB59">
        <v>31211</v>
      </c>
      <c r="AD59" t="s">
        <v>5</v>
      </c>
      <c r="AE59">
        <v>43</v>
      </c>
      <c r="AF59">
        <v>3</v>
      </c>
      <c r="AH59" t="s">
        <v>8578</v>
      </c>
      <c r="AI59" t="s">
        <v>8577</v>
      </c>
      <c r="AK59" t="s">
        <v>8576</v>
      </c>
      <c r="AL59">
        <v>4</v>
      </c>
      <c r="AM59" s="5">
        <f t="shared" si="10"/>
        <v>0.12121212121212122</v>
      </c>
      <c r="AN59" s="4">
        <f t="shared" si="4"/>
        <v>1.8358518926485606E-4</v>
      </c>
      <c r="AO59" s="3"/>
      <c r="AP59">
        <v>0</v>
      </c>
      <c r="AR59" t="s">
        <v>0</v>
      </c>
      <c r="AT59" s="2" t="s">
        <v>19</v>
      </c>
      <c r="AU59" s="1">
        <f t="shared" si="11"/>
        <v>1.0276372372134093</v>
      </c>
      <c r="AV59" s="1">
        <f t="shared" si="12"/>
        <v>0.73927188913143105</v>
      </c>
      <c r="AW59" s="1">
        <f t="shared" si="13"/>
        <v>0.45090654104945288</v>
      </c>
    </row>
    <row r="60" spans="1:49" x14ac:dyDescent="0.2">
      <c r="A60">
        <v>58</v>
      </c>
      <c r="B60" t="s">
        <v>8575</v>
      </c>
      <c r="C60" t="s">
        <v>8574</v>
      </c>
      <c r="F60" t="s">
        <v>8573</v>
      </c>
      <c r="G60" t="s">
        <v>15</v>
      </c>
      <c r="H60" t="s">
        <v>14</v>
      </c>
      <c r="I60" t="s">
        <v>8572</v>
      </c>
      <c r="J60">
        <v>60030821</v>
      </c>
      <c r="K60" t="s">
        <v>1747</v>
      </c>
      <c r="L60" t="s">
        <v>1746</v>
      </c>
      <c r="M60" t="s">
        <v>23</v>
      </c>
      <c r="N60">
        <v>1</v>
      </c>
      <c r="O60" t="s">
        <v>8571</v>
      </c>
      <c r="P60">
        <v>24524536100</v>
      </c>
      <c r="Q60">
        <v>60030821</v>
      </c>
      <c r="R60" s="7">
        <v>32629</v>
      </c>
      <c r="S60" s="8">
        <f t="shared" si="8"/>
        <v>1989</v>
      </c>
      <c r="T60" s="8">
        <v>1989</v>
      </c>
      <c r="U60" s="8">
        <f t="shared" si="9"/>
        <v>33</v>
      </c>
      <c r="V60" s="7">
        <v>32629</v>
      </c>
      <c r="W60" t="s">
        <v>1551</v>
      </c>
      <c r="X60" s="2">
        <v>0.65500000000000003</v>
      </c>
      <c r="Y60" s="6">
        <f t="shared" si="2"/>
        <v>1.7484850911614749E-2</v>
      </c>
      <c r="AA60">
        <v>189375</v>
      </c>
      <c r="AB60">
        <v>26051</v>
      </c>
      <c r="AD60" t="s">
        <v>5</v>
      </c>
      <c r="AE60">
        <v>31</v>
      </c>
      <c r="AF60">
        <v>2</v>
      </c>
      <c r="AH60" t="s">
        <v>8570</v>
      </c>
      <c r="AI60" t="s">
        <v>8569</v>
      </c>
      <c r="AK60" t="s">
        <v>8568</v>
      </c>
      <c r="AL60">
        <v>1</v>
      </c>
      <c r="AM60" s="5">
        <f t="shared" si="10"/>
        <v>3.0303030303030304E-2</v>
      </c>
      <c r="AN60" s="4">
        <f t="shared" si="4"/>
        <v>4.5896297316214016E-5</v>
      </c>
      <c r="AO60" s="3"/>
      <c r="AP60">
        <v>0</v>
      </c>
      <c r="AR60" t="s">
        <v>0</v>
      </c>
      <c r="AT60" s="2" t="s">
        <v>19</v>
      </c>
      <c r="AU60" s="1">
        <f t="shared" si="11"/>
        <v>1.2253164527325187</v>
      </c>
      <c r="AV60" s="1">
        <f t="shared" si="12"/>
        <v>0.87653736044654806</v>
      </c>
      <c r="AW60" s="1">
        <f t="shared" si="13"/>
        <v>0.52775826816057747</v>
      </c>
    </row>
    <row r="61" spans="1:49" x14ac:dyDescent="0.2">
      <c r="A61">
        <v>59</v>
      </c>
      <c r="B61" t="s">
        <v>8567</v>
      </c>
      <c r="F61" t="s">
        <v>8566</v>
      </c>
      <c r="G61" t="s">
        <v>15</v>
      </c>
      <c r="H61" t="s">
        <v>14</v>
      </c>
      <c r="I61" t="s">
        <v>8565</v>
      </c>
      <c r="J61">
        <v>60026638</v>
      </c>
      <c r="K61" t="s">
        <v>8564</v>
      </c>
      <c r="L61" t="s">
        <v>6925</v>
      </c>
      <c r="M61" t="s">
        <v>6924</v>
      </c>
      <c r="N61">
        <v>1</v>
      </c>
      <c r="O61" t="s">
        <v>8563</v>
      </c>
      <c r="P61">
        <v>7005457510</v>
      </c>
      <c r="Q61">
        <v>60026638</v>
      </c>
      <c r="R61" s="7">
        <v>32629</v>
      </c>
      <c r="S61" s="8">
        <f t="shared" si="8"/>
        <v>1989</v>
      </c>
      <c r="T61" s="8">
        <v>1989</v>
      </c>
      <c r="U61" s="8">
        <f t="shared" si="9"/>
        <v>33</v>
      </c>
      <c r="V61" s="7">
        <v>32629</v>
      </c>
      <c r="W61" t="s">
        <v>8562</v>
      </c>
      <c r="X61" s="2">
        <v>0.11600000000000001</v>
      </c>
      <c r="Y61" s="6">
        <f t="shared" si="2"/>
        <v>3.0965537492325355E-3</v>
      </c>
      <c r="AA61">
        <v>7311230</v>
      </c>
      <c r="AB61">
        <v>12865</v>
      </c>
      <c r="AD61" t="s">
        <v>5</v>
      </c>
      <c r="AE61">
        <v>23</v>
      </c>
      <c r="AF61">
        <v>5</v>
      </c>
      <c r="AI61" t="s">
        <v>8561</v>
      </c>
      <c r="AK61" t="s">
        <v>8560</v>
      </c>
      <c r="AL61">
        <v>1</v>
      </c>
      <c r="AM61" s="5">
        <f t="shared" si="10"/>
        <v>3.0303030303030304E-2</v>
      </c>
      <c r="AN61" s="4">
        <f t="shared" si="4"/>
        <v>4.5896297316214016E-5</v>
      </c>
      <c r="AO61" s="3"/>
      <c r="AP61">
        <v>0</v>
      </c>
      <c r="AR61" t="s">
        <v>0</v>
      </c>
      <c r="AT61" s="2" t="s">
        <v>19</v>
      </c>
      <c r="AU61" s="1">
        <f t="shared" si="11"/>
        <v>0.21813565136576391</v>
      </c>
      <c r="AV61" s="1">
        <f t="shared" si="12"/>
        <v>0.15712250232743746</v>
      </c>
      <c r="AW61" s="1">
        <f t="shared" si="13"/>
        <v>9.6109353289111049E-2</v>
      </c>
    </row>
    <row r="62" spans="1:49" x14ac:dyDescent="0.2">
      <c r="A62">
        <v>60</v>
      </c>
      <c r="B62" t="s">
        <v>8559</v>
      </c>
      <c r="C62" t="s">
        <v>8558</v>
      </c>
      <c r="F62" t="s">
        <v>8557</v>
      </c>
      <c r="G62" t="s">
        <v>15</v>
      </c>
      <c r="H62" t="s">
        <v>14</v>
      </c>
      <c r="I62" t="s">
        <v>8556</v>
      </c>
      <c r="J62" t="s">
        <v>8550</v>
      </c>
      <c r="K62" t="s">
        <v>8555</v>
      </c>
      <c r="L62" t="s">
        <v>8554</v>
      </c>
      <c r="M62" t="s">
        <v>8553</v>
      </c>
      <c r="N62">
        <v>2</v>
      </c>
      <c r="O62" t="s">
        <v>8552</v>
      </c>
      <c r="P62" t="s">
        <v>8551</v>
      </c>
      <c r="Q62" t="s">
        <v>8550</v>
      </c>
      <c r="R62" s="7">
        <v>32611</v>
      </c>
      <c r="S62" s="8">
        <f t="shared" si="8"/>
        <v>1989</v>
      </c>
      <c r="T62" s="8">
        <v>1989</v>
      </c>
      <c r="U62" s="8">
        <f t="shared" si="9"/>
        <v>33</v>
      </c>
      <c r="V62" s="7">
        <v>32611</v>
      </c>
      <c r="W62" t="s">
        <v>2469</v>
      </c>
      <c r="X62" s="2">
        <v>0.375</v>
      </c>
      <c r="Y62" s="6">
        <f t="shared" si="2"/>
        <v>1.0010410827260351E-2</v>
      </c>
      <c r="AA62">
        <v>135194</v>
      </c>
      <c r="AB62">
        <v>24918</v>
      </c>
      <c r="AD62" t="s">
        <v>5</v>
      </c>
      <c r="AE62">
        <v>25</v>
      </c>
      <c r="AF62">
        <v>8</v>
      </c>
      <c r="AH62" t="s">
        <v>8549</v>
      </c>
      <c r="AI62" t="s">
        <v>8548</v>
      </c>
      <c r="AJ62" t="s">
        <v>8547</v>
      </c>
      <c r="AK62" t="s">
        <v>8546</v>
      </c>
      <c r="AL62">
        <v>1</v>
      </c>
      <c r="AM62" s="5">
        <f t="shared" si="10"/>
        <v>3.0303030303030304E-2</v>
      </c>
      <c r="AN62" s="4">
        <f t="shared" si="4"/>
        <v>4.5896297316214016E-5</v>
      </c>
      <c r="AO62" s="3"/>
      <c r="AP62">
        <v>0</v>
      </c>
      <c r="AR62" t="s">
        <v>0</v>
      </c>
      <c r="AT62" s="2">
        <v>1.3140000000000001</v>
      </c>
      <c r="AU62" s="1">
        <f t="shared" si="11"/>
        <v>0.70210564682771104</v>
      </c>
      <c r="AV62" s="1">
        <f t="shared" si="12"/>
        <v>0.50281535622882823</v>
      </c>
      <c r="AW62" s="1">
        <f t="shared" si="13"/>
        <v>0.30352506562994552</v>
      </c>
    </row>
    <row r="63" spans="1:49" x14ac:dyDescent="0.2">
      <c r="A63">
        <v>61</v>
      </c>
      <c r="B63" t="s">
        <v>8545</v>
      </c>
      <c r="C63" t="s">
        <v>8544</v>
      </c>
      <c r="F63" t="s">
        <v>8543</v>
      </c>
      <c r="G63" t="s">
        <v>15</v>
      </c>
      <c r="H63" t="s">
        <v>14</v>
      </c>
      <c r="I63" t="s">
        <v>8542</v>
      </c>
      <c r="J63">
        <v>60017605</v>
      </c>
      <c r="K63" t="s">
        <v>8541</v>
      </c>
      <c r="L63" t="s">
        <v>8540</v>
      </c>
      <c r="M63" t="s">
        <v>1641</v>
      </c>
      <c r="N63">
        <v>2</v>
      </c>
      <c r="O63" t="s">
        <v>8539</v>
      </c>
      <c r="P63" t="s">
        <v>8538</v>
      </c>
      <c r="Q63" t="s">
        <v>8537</v>
      </c>
      <c r="R63" s="7">
        <v>32599</v>
      </c>
      <c r="S63" s="8">
        <f t="shared" si="8"/>
        <v>1989</v>
      </c>
      <c r="T63" s="8">
        <v>1989</v>
      </c>
      <c r="U63" s="8">
        <f t="shared" si="9"/>
        <v>33</v>
      </c>
      <c r="V63" s="7">
        <v>32599</v>
      </c>
      <c r="W63" t="s">
        <v>8513</v>
      </c>
      <c r="X63" s="2">
        <v>0.11700000000000001</v>
      </c>
      <c r="Y63" s="6">
        <f t="shared" si="2"/>
        <v>3.1232481781052297E-3</v>
      </c>
      <c r="AA63">
        <v>2179822</v>
      </c>
      <c r="AB63">
        <v>5300152612</v>
      </c>
      <c r="AC63">
        <v>19930615</v>
      </c>
      <c r="AD63" t="s">
        <v>5</v>
      </c>
      <c r="AE63">
        <v>6</v>
      </c>
      <c r="AF63">
        <v>2</v>
      </c>
      <c r="AH63" t="s">
        <v>8536</v>
      </c>
      <c r="AI63" t="s">
        <v>8535</v>
      </c>
      <c r="AJ63" t="s">
        <v>8534</v>
      </c>
      <c r="AK63" t="s">
        <v>8533</v>
      </c>
      <c r="AL63">
        <v>0</v>
      </c>
      <c r="AM63" s="5">
        <f t="shared" si="10"/>
        <v>0</v>
      </c>
      <c r="AN63" s="4">
        <f t="shared" si="4"/>
        <v>0</v>
      </c>
      <c r="AO63" s="3"/>
      <c r="AP63">
        <v>0</v>
      </c>
      <c r="AR63" t="s">
        <v>0</v>
      </c>
      <c r="AT63" s="2" t="s">
        <v>19</v>
      </c>
      <c r="AU63" s="1">
        <f t="shared" si="11"/>
        <v>0.21862737246736608</v>
      </c>
      <c r="AV63" s="1">
        <f t="shared" si="12"/>
        <v>0.15616240890526148</v>
      </c>
      <c r="AW63" s="1">
        <f t="shared" si="13"/>
        <v>9.3697445343156896E-2</v>
      </c>
    </row>
    <row r="64" spans="1:49" x14ac:dyDescent="0.2">
      <c r="A64">
        <v>62</v>
      </c>
      <c r="B64" t="s">
        <v>8532</v>
      </c>
      <c r="C64" t="s">
        <v>8531</v>
      </c>
      <c r="F64" t="s">
        <v>8530</v>
      </c>
      <c r="G64" t="s">
        <v>15</v>
      </c>
      <c r="H64" t="s">
        <v>14</v>
      </c>
      <c r="I64" t="s">
        <v>8529</v>
      </c>
      <c r="N64">
        <v>2</v>
      </c>
      <c r="O64" t="s">
        <v>8528</v>
      </c>
      <c r="P64" t="s">
        <v>8527</v>
      </c>
      <c r="Q64" t="s">
        <v>1071</v>
      </c>
      <c r="R64" s="7">
        <v>32599</v>
      </c>
      <c r="S64" s="8">
        <f t="shared" si="8"/>
        <v>1989</v>
      </c>
      <c r="T64" s="8">
        <v>1989</v>
      </c>
      <c r="U64" s="8">
        <f t="shared" si="9"/>
        <v>33</v>
      </c>
      <c r="V64" s="7">
        <v>32599</v>
      </c>
      <c r="W64" t="s">
        <v>8513</v>
      </c>
      <c r="X64" s="2">
        <v>0.11700000000000001</v>
      </c>
      <c r="Y64" s="6">
        <f t="shared" si="2"/>
        <v>3.1232481781052297E-3</v>
      </c>
      <c r="AA64">
        <v>2179822</v>
      </c>
      <c r="AB64">
        <v>5300152612</v>
      </c>
      <c r="AC64">
        <v>19930615</v>
      </c>
      <c r="AD64" t="s">
        <v>5</v>
      </c>
      <c r="AE64">
        <v>6</v>
      </c>
      <c r="AF64">
        <v>2</v>
      </c>
      <c r="AH64" t="s">
        <v>8526</v>
      </c>
      <c r="AI64" t="s">
        <v>8525</v>
      </c>
      <c r="AJ64" t="s">
        <v>8524</v>
      </c>
      <c r="AK64" t="s">
        <v>8523</v>
      </c>
      <c r="AL64">
        <v>0</v>
      </c>
      <c r="AM64" s="5">
        <f t="shared" si="10"/>
        <v>0</v>
      </c>
      <c r="AN64" s="4">
        <f t="shared" si="4"/>
        <v>0</v>
      </c>
      <c r="AO64" s="3"/>
      <c r="AP64">
        <v>0</v>
      </c>
      <c r="AR64" t="s">
        <v>0</v>
      </c>
      <c r="AT64" s="2" t="s">
        <v>19</v>
      </c>
      <c r="AU64" s="1">
        <f t="shared" si="11"/>
        <v>0.21862737246736608</v>
      </c>
      <c r="AV64" s="1">
        <f t="shared" si="12"/>
        <v>0.15616240890526148</v>
      </c>
      <c r="AW64" s="1">
        <f t="shared" si="13"/>
        <v>9.3697445343156896E-2</v>
      </c>
    </row>
    <row r="65" spans="1:49" x14ac:dyDescent="0.2">
      <c r="A65">
        <v>63</v>
      </c>
      <c r="B65" t="s">
        <v>8522</v>
      </c>
      <c r="C65" t="s">
        <v>8521</v>
      </c>
      <c r="F65" t="s">
        <v>8520</v>
      </c>
      <c r="G65" t="s">
        <v>15</v>
      </c>
      <c r="H65" t="s">
        <v>14</v>
      </c>
      <c r="I65" t="s">
        <v>8519</v>
      </c>
      <c r="J65">
        <v>60025578</v>
      </c>
      <c r="K65" t="s">
        <v>8518</v>
      </c>
      <c r="L65" t="s">
        <v>8517</v>
      </c>
      <c r="M65" t="s">
        <v>1641</v>
      </c>
      <c r="N65">
        <v>2</v>
      </c>
      <c r="O65" t="s">
        <v>8516</v>
      </c>
      <c r="P65" t="s">
        <v>8515</v>
      </c>
      <c r="Q65" t="s">
        <v>8514</v>
      </c>
      <c r="R65" s="7">
        <v>32599</v>
      </c>
      <c r="S65" s="8">
        <f t="shared" si="8"/>
        <v>1989</v>
      </c>
      <c r="T65" s="8">
        <v>1989</v>
      </c>
      <c r="U65" s="8">
        <f t="shared" si="9"/>
        <v>33</v>
      </c>
      <c r="V65" s="7">
        <v>32599</v>
      </c>
      <c r="W65" t="s">
        <v>8513</v>
      </c>
      <c r="X65" s="2">
        <v>0.11700000000000001</v>
      </c>
      <c r="Y65" s="6">
        <f t="shared" si="2"/>
        <v>3.1232481781052297E-3</v>
      </c>
      <c r="AA65">
        <v>2179822</v>
      </c>
      <c r="AB65">
        <v>5300152612</v>
      </c>
      <c r="AC65">
        <v>19930615</v>
      </c>
      <c r="AD65" t="s">
        <v>5</v>
      </c>
      <c r="AE65">
        <v>6</v>
      </c>
      <c r="AF65">
        <v>2</v>
      </c>
      <c r="AH65" t="s">
        <v>8512</v>
      </c>
      <c r="AI65" t="s">
        <v>8511</v>
      </c>
      <c r="AJ65" t="s">
        <v>8510</v>
      </c>
      <c r="AK65" t="s">
        <v>8509</v>
      </c>
      <c r="AL65">
        <v>0</v>
      </c>
      <c r="AM65" s="5">
        <f t="shared" si="10"/>
        <v>0</v>
      </c>
      <c r="AN65" s="4">
        <f t="shared" si="4"/>
        <v>0</v>
      </c>
      <c r="AO65" s="3"/>
      <c r="AP65">
        <v>0</v>
      </c>
      <c r="AR65" t="s">
        <v>0</v>
      </c>
      <c r="AT65" s="2" t="s">
        <v>19</v>
      </c>
      <c r="AU65" s="1">
        <f t="shared" si="11"/>
        <v>0.21862737246736608</v>
      </c>
      <c r="AV65" s="1">
        <f t="shared" si="12"/>
        <v>0.15616240890526148</v>
      </c>
      <c r="AW65" s="1">
        <f t="shared" si="13"/>
        <v>9.3697445343156896E-2</v>
      </c>
    </row>
    <row r="66" spans="1:49" x14ac:dyDescent="0.2">
      <c r="A66">
        <v>64</v>
      </c>
      <c r="B66" t="s">
        <v>8508</v>
      </c>
      <c r="C66" t="s">
        <v>8507</v>
      </c>
      <c r="D66">
        <v>22311589903127</v>
      </c>
      <c r="F66" t="s">
        <v>8506</v>
      </c>
      <c r="G66" t="s">
        <v>15</v>
      </c>
      <c r="H66" t="s">
        <v>14</v>
      </c>
      <c r="I66" t="s">
        <v>8505</v>
      </c>
      <c r="J66">
        <v>60011313</v>
      </c>
      <c r="K66" t="s">
        <v>8504</v>
      </c>
      <c r="L66" t="s">
        <v>8503</v>
      </c>
      <c r="M66" t="s">
        <v>8431</v>
      </c>
      <c r="N66">
        <v>10</v>
      </c>
      <c r="O66" t="s">
        <v>8502</v>
      </c>
      <c r="P66" t="s">
        <v>8501</v>
      </c>
      <c r="Q66" t="s">
        <v>8500</v>
      </c>
      <c r="R66" s="7">
        <v>32599</v>
      </c>
      <c r="S66" s="8">
        <f t="shared" si="8"/>
        <v>1989</v>
      </c>
      <c r="T66" s="8">
        <v>1989</v>
      </c>
      <c r="U66" s="8">
        <f t="shared" si="9"/>
        <v>33</v>
      </c>
      <c r="V66" s="7">
        <v>32599</v>
      </c>
      <c r="W66" t="s">
        <v>8241</v>
      </c>
      <c r="X66" s="2">
        <v>1.123</v>
      </c>
      <c r="Y66" s="6">
        <f t="shared" ref="Y66:Y129" si="14">(X66-$Z$4)/($Z$3-$Z$4)</f>
        <v>2.9977843624035664E-2</v>
      </c>
      <c r="AA66">
        <v>223115</v>
      </c>
      <c r="AB66">
        <v>29021</v>
      </c>
      <c r="AD66" t="s">
        <v>5</v>
      </c>
      <c r="AE66" t="s">
        <v>6215</v>
      </c>
      <c r="AF66" t="s">
        <v>5662</v>
      </c>
      <c r="AH66" t="s">
        <v>8499</v>
      </c>
      <c r="AI66" t="s">
        <v>8498</v>
      </c>
      <c r="AJ66" t="s">
        <v>8497</v>
      </c>
      <c r="AK66" t="s">
        <v>8496</v>
      </c>
      <c r="AL66">
        <v>7</v>
      </c>
      <c r="AM66" s="5">
        <f t="shared" si="10"/>
        <v>0.21212121212121213</v>
      </c>
      <c r="AN66" s="4">
        <f t="shared" ref="AN66:AN129" si="15">(AM66-$AO$4)/($AO$3-$AO$4)</f>
        <v>3.2127408121349809E-4</v>
      </c>
      <c r="AO66" s="3"/>
      <c r="AP66">
        <v>0</v>
      </c>
      <c r="AR66" t="s">
        <v>0</v>
      </c>
      <c r="AT66" s="2">
        <v>2.9359999999999999</v>
      </c>
      <c r="AU66" s="1">
        <f t="shared" si="11"/>
        <v>2.1080872761189013</v>
      </c>
      <c r="AV66" s="1">
        <f t="shared" si="12"/>
        <v>1.5149558852624581</v>
      </c>
      <c r="AW66" s="1">
        <f t="shared" si="13"/>
        <v>0.92182449440601477</v>
      </c>
    </row>
    <row r="67" spans="1:49" x14ac:dyDescent="0.2">
      <c r="A67">
        <v>65</v>
      </c>
      <c r="B67" t="s">
        <v>8495</v>
      </c>
      <c r="C67" t="s">
        <v>8494</v>
      </c>
      <c r="D67" t="s">
        <v>8493</v>
      </c>
      <c r="F67" t="s">
        <v>8492</v>
      </c>
      <c r="G67" t="s">
        <v>15</v>
      </c>
      <c r="H67" t="s">
        <v>14</v>
      </c>
      <c r="I67" t="s">
        <v>8491</v>
      </c>
      <c r="J67">
        <v>60028186</v>
      </c>
      <c r="K67" t="s">
        <v>6801</v>
      </c>
      <c r="L67" t="s">
        <v>6800</v>
      </c>
      <c r="M67" t="s">
        <v>3833</v>
      </c>
      <c r="N67">
        <v>2</v>
      </c>
      <c r="O67" t="s">
        <v>8490</v>
      </c>
      <c r="P67" t="s">
        <v>8489</v>
      </c>
      <c r="Q67" t="s">
        <v>8488</v>
      </c>
      <c r="R67" s="7">
        <v>32599</v>
      </c>
      <c r="S67" s="8">
        <f t="shared" si="8"/>
        <v>1989</v>
      </c>
      <c r="T67" s="8">
        <v>1989</v>
      </c>
      <c r="U67" s="8">
        <f t="shared" si="9"/>
        <v>33</v>
      </c>
      <c r="V67" s="7">
        <v>32599</v>
      </c>
      <c r="W67" t="s">
        <v>8241</v>
      </c>
      <c r="X67" s="2">
        <v>1.123</v>
      </c>
      <c r="Y67" s="6">
        <f t="shared" si="14"/>
        <v>2.9977843624035664E-2</v>
      </c>
      <c r="AA67">
        <v>223115</v>
      </c>
      <c r="AB67">
        <v>29021</v>
      </c>
      <c r="AD67" t="s">
        <v>5</v>
      </c>
      <c r="AE67" t="s">
        <v>6215</v>
      </c>
      <c r="AF67" t="s">
        <v>5662</v>
      </c>
      <c r="AH67" t="s">
        <v>8487</v>
      </c>
      <c r="AI67" t="s">
        <v>8486</v>
      </c>
      <c r="AJ67" t="s">
        <v>8485</v>
      </c>
      <c r="AK67" t="s">
        <v>8484</v>
      </c>
      <c r="AL67">
        <v>3</v>
      </c>
      <c r="AM67" s="5">
        <f t="shared" si="10"/>
        <v>9.0909090909090912E-2</v>
      </c>
      <c r="AN67" s="4">
        <f t="shared" si="15"/>
        <v>1.3768889194864205E-4</v>
      </c>
      <c r="AO67" s="3"/>
      <c r="AP67">
        <v>0</v>
      </c>
      <c r="AR67" t="s">
        <v>0</v>
      </c>
      <c r="AS67" t="s">
        <v>8483</v>
      </c>
      <c r="AT67" s="2">
        <v>2.9359999999999999</v>
      </c>
      <c r="AU67" s="1">
        <f t="shared" si="11"/>
        <v>2.1025797204409558</v>
      </c>
      <c r="AV67" s="1">
        <f t="shared" si="12"/>
        <v>1.5057766257992151</v>
      </c>
      <c r="AW67" s="1">
        <f t="shared" si="13"/>
        <v>0.90897353115747481</v>
      </c>
    </row>
    <row r="68" spans="1:49" x14ac:dyDescent="0.2">
      <c r="A68">
        <v>66</v>
      </c>
      <c r="B68" t="s">
        <v>8482</v>
      </c>
      <c r="C68" t="s">
        <v>8481</v>
      </c>
      <c r="D68">
        <v>22311589903966</v>
      </c>
      <c r="F68" t="s">
        <v>8480</v>
      </c>
      <c r="G68" t="s">
        <v>15</v>
      </c>
      <c r="H68" t="s">
        <v>14</v>
      </c>
      <c r="I68" t="s">
        <v>8479</v>
      </c>
      <c r="J68" t="s">
        <v>8478</v>
      </c>
      <c r="K68" t="s">
        <v>8477</v>
      </c>
      <c r="L68" t="s">
        <v>8476</v>
      </c>
      <c r="M68" t="s">
        <v>8475</v>
      </c>
      <c r="N68">
        <v>7</v>
      </c>
      <c r="O68" t="s">
        <v>8474</v>
      </c>
      <c r="P68" t="s">
        <v>8473</v>
      </c>
      <c r="Q68" t="s">
        <v>8472</v>
      </c>
      <c r="R68" s="7">
        <v>32599</v>
      </c>
      <c r="S68" s="8">
        <f t="shared" si="8"/>
        <v>1989</v>
      </c>
      <c r="T68" s="8">
        <v>1989</v>
      </c>
      <c r="U68" s="8">
        <f t="shared" si="9"/>
        <v>33</v>
      </c>
      <c r="V68" s="7">
        <v>32599</v>
      </c>
      <c r="W68" t="s">
        <v>8241</v>
      </c>
      <c r="X68" s="2">
        <v>1.123</v>
      </c>
      <c r="Y68" s="6">
        <f t="shared" si="14"/>
        <v>2.9977843624035664E-2</v>
      </c>
      <c r="AA68">
        <v>223115</v>
      </c>
      <c r="AB68">
        <v>29021</v>
      </c>
      <c r="AD68" t="s">
        <v>5</v>
      </c>
      <c r="AE68" t="s">
        <v>6215</v>
      </c>
      <c r="AF68" t="s">
        <v>5662</v>
      </c>
      <c r="AH68" t="s">
        <v>8471</v>
      </c>
      <c r="AI68" t="s">
        <v>8470</v>
      </c>
      <c r="AJ68" t="s">
        <v>8469</v>
      </c>
      <c r="AK68" t="s">
        <v>8468</v>
      </c>
      <c r="AL68">
        <v>0</v>
      </c>
      <c r="AM68" s="5">
        <f t="shared" si="10"/>
        <v>0</v>
      </c>
      <c r="AN68" s="4">
        <f t="shared" si="15"/>
        <v>0</v>
      </c>
      <c r="AO68" s="3"/>
      <c r="AP68">
        <v>0</v>
      </c>
      <c r="AR68" t="s">
        <v>0</v>
      </c>
      <c r="AT68" s="2">
        <v>2.9359999999999999</v>
      </c>
      <c r="AU68" s="1">
        <f t="shared" si="11"/>
        <v>2.0984490536824962</v>
      </c>
      <c r="AV68" s="1">
        <f t="shared" si="12"/>
        <v>1.4988921812017832</v>
      </c>
      <c r="AW68" s="1">
        <f t="shared" si="13"/>
        <v>0.89933530872106993</v>
      </c>
    </row>
    <row r="69" spans="1:49" x14ac:dyDescent="0.2">
      <c r="A69">
        <v>67</v>
      </c>
      <c r="B69" t="s">
        <v>8467</v>
      </c>
      <c r="C69" t="s">
        <v>8466</v>
      </c>
      <c r="D69">
        <v>22311589902535</v>
      </c>
      <c r="F69" t="s">
        <v>8465</v>
      </c>
      <c r="G69" t="s">
        <v>15</v>
      </c>
      <c r="H69" t="s">
        <v>14</v>
      </c>
      <c r="I69" t="s">
        <v>8464</v>
      </c>
      <c r="J69">
        <v>60025104</v>
      </c>
      <c r="K69" t="s">
        <v>6846</v>
      </c>
      <c r="M69" t="s">
        <v>792</v>
      </c>
      <c r="N69">
        <v>1</v>
      </c>
      <c r="O69" t="s">
        <v>8463</v>
      </c>
      <c r="P69">
        <v>22995560100</v>
      </c>
      <c r="Q69">
        <v>60025104</v>
      </c>
      <c r="R69" s="7">
        <v>32599</v>
      </c>
      <c r="S69" s="8">
        <f t="shared" si="8"/>
        <v>1989</v>
      </c>
      <c r="T69" s="8">
        <v>1989</v>
      </c>
      <c r="U69" s="8">
        <f t="shared" si="9"/>
        <v>33</v>
      </c>
      <c r="V69" s="7">
        <v>32599</v>
      </c>
      <c r="W69" t="s">
        <v>8241</v>
      </c>
      <c r="X69" s="2">
        <v>1.123</v>
      </c>
      <c r="Y69" s="6">
        <f t="shared" si="14"/>
        <v>2.9977843624035664E-2</v>
      </c>
      <c r="AA69">
        <v>223115</v>
      </c>
      <c r="AB69">
        <v>29021</v>
      </c>
      <c r="AD69" t="s">
        <v>5</v>
      </c>
      <c r="AE69" t="s">
        <v>6215</v>
      </c>
      <c r="AF69" t="s">
        <v>5662</v>
      </c>
      <c r="AH69" s="10">
        <v>41334</v>
      </c>
      <c r="AI69" t="s">
        <v>8462</v>
      </c>
      <c r="AJ69" t="s">
        <v>8461</v>
      </c>
      <c r="AK69" t="s">
        <v>8460</v>
      </c>
      <c r="AL69">
        <v>2</v>
      </c>
      <c r="AM69" s="5">
        <f t="shared" si="10"/>
        <v>6.0606060606060608E-2</v>
      </c>
      <c r="AN69" s="4">
        <f t="shared" si="15"/>
        <v>9.1792594632428032E-5</v>
      </c>
      <c r="AO69" s="3"/>
      <c r="AP69">
        <v>0</v>
      </c>
      <c r="AR69" t="s">
        <v>0</v>
      </c>
      <c r="AT69" s="2">
        <v>2.9359999999999999</v>
      </c>
      <c r="AU69" s="1">
        <f t="shared" si="11"/>
        <v>2.1012028315214692</v>
      </c>
      <c r="AV69" s="1">
        <f t="shared" si="12"/>
        <v>1.5034818109334045</v>
      </c>
      <c r="AW69" s="1">
        <f t="shared" si="13"/>
        <v>0.90576079034533996</v>
      </c>
    </row>
    <row r="70" spans="1:49" x14ac:dyDescent="0.2">
      <c r="A70">
        <v>68</v>
      </c>
      <c r="B70" t="s">
        <v>8459</v>
      </c>
      <c r="C70" t="s">
        <v>8458</v>
      </c>
      <c r="D70">
        <v>22311589902857</v>
      </c>
      <c r="F70" t="s">
        <v>8457</v>
      </c>
      <c r="G70" t="s">
        <v>15</v>
      </c>
      <c r="H70" t="s">
        <v>14</v>
      </c>
      <c r="I70" t="s">
        <v>8456</v>
      </c>
      <c r="J70">
        <v>60022195</v>
      </c>
      <c r="K70" t="s">
        <v>376</v>
      </c>
      <c r="L70" t="s">
        <v>324</v>
      </c>
      <c r="M70" t="s">
        <v>23</v>
      </c>
      <c r="N70">
        <v>4</v>
      </c>
      <c r="O70" t="s">
        <v>8455</v>
      </c>
      <c r="P70" t="s">
        <v>8454</v>
      </c>
      <c r="Q70" t="s">
        <v>8453</v>
      </c>
      <c r="R70" s="7">
        <v>32599</v>
      </c>
      <c r="S70" s="8">
        <f t="shared" si="8"/>
        <v>1989</v>
      </c>
      <c r="T70" s="8">
        <v>1989</v>
      </c>
      <c r="U70" s="8">
        <f t="shared" si="9"/>
        <v>33</v>
      </c>
      <c r="V70" s="7">
        <v>32599</v>
      </c>
      <c r="W70" t="s">
        <v>8241</v>
      </c>
      <c r="X70" s="2">
        <v>1.123</v>
      </c>
      <c r="Y70" s="6">
        <f t="shared" si="14"/>
        <v>2.9977843624035664E-2</v>
      </c>
      <c r="AA70">
        <v>223115</v>
      </c>
      <c r="AB70">
        <v>29021</v>
      </c>
      <c r="AD70" t="s">
        <v>5</v>
      </c>
      <c r="AE70" t="s">
        <v>6215</v>
      </c>
      <c r="AF70" t="s">
        <v>5662</v>
      </c>
      <c r="AH70" t="s">
        <v>8452</v>
      </c>
      <c r="AI70" t="s">
        <v>8451</v>
      </c>
      <c r="AJ70" t="s">
        <v>8450</v>
      </c>
      <c r="AK70" t="s">
        <v>8449</v>
      </c>
      <c r="AL70">
        <v>12</v>
      </c>
      <c r="AM70" s="5">
        <f t="shared" si="10"/>
        <v>0.36363636363636365</v>
      </c>
      <c r="AN70" s="4">
        <f t="shared" si="15"/>
        <v>5.5075556779456819E-4</v>
      </c>
      <c r="AO70" s="3"/>
      <c r="AP70">
        <v>0</v>
      </c>
      <c r="AQ70" t="s">
        <v>2130</v>
      </c>
      <c r="AR70" t="s">
        <v>8448</v>
      </c>
      <c r="AS70" t="s">
        <v>2129</v>
      </c>
      <c r="AT70" s="2">
        <v>2.9359999999999999</v>
      </c>
      <c r="AU70" s="1">
        <f t="shared" si="11"/>
        <v>2.1149717207163334</v>
      </c>
      <c r="AV70" s="1">
        <f t="shared" si="12"/>
        <v>1.5264299595915116</v>
      </c>
      <c r="AW70" s="1">
        <f t="shared" si="13"/>
        <v>0.93788819846668969</v>
      </c>
    </row>
    <row r="71" spans="1:49" x14ac:dyDescent="0.2">
      <c r="A71">
        <v>69</v>
      </c>
      <c r="B71" t="s">
        <v>8447</v>
      </c>
      <c r="C71" t="s">
        <v>8446</v>
      </c>
      <c r="F71" t="s">
        <v>8445</v>
      </c>
      <c r="G71" t="s">
        <v>15</v>
      </c>
      <c r="H71" t="s">
        <v>14</v>
      </c>
      <c r="I71" t="s">
        <v>8444</v>
      </c>
      <c r="N71">
        <v>2</v>
      </c>
      <c r="O71" t="s">
        <v>8443</v>
      </c>
      <c r="P71" t="s">
        <v>8442</v>
      </c>
      <c r="Q71" t="s">
        <v>1071</v>
      </c>
      <c r="R71" s="7">
        <v>32599</v>
      </c>
      <c r="S71" s="8">
        <f t="shared" si="8"/>
        <v>1989</v>
      </c>
      <c r="T71" s="8">
        <v>1989</v>
      </c>
      <c r="U71" s="8">
        <f t="shared" si="9"/>
        <v>33</v>
      </c>
      <c r="V71" s="7">
        <v>32599</v>
      </c>
      <c r="W71" t="s">
        <v>8441</v>
      </c>
      <c r="X71" s="2" t="s">
        <v>19</v>
      </c>
      <c r="Y71" s="6" t="e">
        <f t="shared" si="14"/>
        <v>#VALUE!</v>
      </c>
      <c r="AA71">
        <v>385697</v>
      </c>
      <c r="AB71">
        <v>33903</v>
      </c>
      <c r="AC71">
        <v>15739228</v>
      </c>
      <c r="AD71" t="s">
        <v>5</v>
      </c>
      <c r="AE71">
        <v>32</v>
      </c>
      <c r="AF71">
        <v>4</v>
      </c>
      <c r="AH71" t="s">
        <v>8440</v>
      </c>
      <c r="AI71" t="s">
        <v>8439</v>
      </c>
      <c r="AK71" t="s">
        <v>8438</v>
      </c>
      <c r="AL71">
        <v>1</v>
      </c>
      <c r="AM71" s="5">
        <f t="shared" si="10"/>
        <v>3.0303030303030304E-2</v>
      </c>
      <c r="AN71" s="4">
        <f t="shared" si="15"/>
        <v>4.5896297316214016E-5</v>
      </c>
      <c r="AO71" s="3"/>
      <c r="AP71">
        <v>0</v>
      </c>
      <c r="AR71" t="s">
        <v>0</v>
      </c>
      <c r="AT71" s="2" t="s">
        <v>19</v>
      </c>
      <c r="AU71" s="1" t="e">
        <f t="shared" si="11"/>
        <v>#VALUE!</v>
      </c>
      <c r="AV71" s="1" t="e">
        <f t="shared" si="12"/>
        <v>#VALUE!</v>
      </c>
      <c r="AW71" s="1" t="e">
        <f t="shared" si="13"/>
        <v>#VALUE!</v>
      </c>
    </row>
    <row r="72" spans="1:49" x14ac:dyDescent="0.2">
      <c r="A72">
        <v>70</v>
      </c>
      <c r="B72" t="s">
        <v>8437</v>
      </c>
      <c r="C72" t="s">
        <v>8436</v>
      </c>
      <c r="D72">
        <v>22311589903644</v>
      </c>
      <c r="F72" t="s">
        <v>8435</v>
      </c>
      <c r="G72" t="s">
        <v>15</v>
      </c>
      <c r="H72" t="s">
        <v>14</v>
      </c>
      <c r="I72" t="s">
        <v>8434</v>
      </c>
      <c r="J72">
        <v>60008794</v>
      </c>
      <c r="K72" t="s">
        <v>8433</v>
      </c>
      <c r="L72" t="s">
        <v>8432</v>
      </c>
      <c r="M72" t="s">
        <v>8431</v>
      </c>
      <c r="N72">
        <v>18</v>
      </c>
      <c r="O72" t="s">
        <v>8430</v>
      </c>
      <c r="P72" t="s">
        <v>8429</v>
      </c>
      <c r="Q72" t="s">
        <v>8428</v>
      </c>
      <c r="R72" s="7">
        <v>32599</v>
      </c>
      <c r="S72" s="8">
        <f t="shared" si="8"/>
        <v>1989</v>
      </c>
      <c r="T72" s="8">
        <v>1989</v>
      </c>
      <c r="U72" s="8">
        <f t="shared" si="9"/>
        <v>33</v>
      </c>
      <c r="V72" s="7">
        <v>32599</v>
      </c>
      <c r="W72" t="s">
        <v>8241</v>
      </c>
      <c r="X72" s="2">
        <v>1.123</v>
      </c>
      <c r="Y72" s="6">
        <f t="shared" si="14"/>
        <v>2.9977843624035664E-2</v>
      </c>
      <c r="AA72">
        <v>223115</v>
      </c>
      <c r="AB72">
        <v>29021</v>
      </c>
      <c r="AD72" t="s">
        <v>5</v>
      </c>
      <c r="AE72" t="s">
        <v>6215</v>
      </c>
      <c r="AF72" t="s">
        <v>5662</v>
      </c>
      <c r="AH72" t="s">
        <v>8427</v>
      </c>
      <c r="AI72" t="s">
        <v>8426</v>
      </c>
      <c r="AJ72" t="s">
        <v>8425</v>
      </c>
      <c r="AK72" t="s">
        <v>8424</v>
      </c>
      <c r="AL72">
        <v>4</v>
      </c>
      <c r="AM72" s="5">
        <f t="shared" si="10"/>
        <v>0.12121212121212122</v>
      </c>
      <c r="AN72" s="4">
        <f t="shared" si="15"/>
        <v>1.8358518926485606E-4</v>
      </c>
      <c r="AO72" s="3"/>
      <c r="AP72">
        <v>0</v>
      </c>
      <c r="AR72" t="s">
        <v>0</v>
      </c>
      <c r="AT72" s="2">
        <v>2.9359999999999999</v>
      </c>
      <c r="AU72" s="1">
        <f t="shared" si="11"/>
        <v>2.1039566093604423</v>
      </c>
      <c r="AV72" s="1">
        <f t="shared" si="12"/>
        <v>1.508071440665026</v>
      </c>
      <c r="AW72" s="1">
        <f t="shared" si="13"/>
        <v>0.91218627196960989</v>
      </c>
    </row>
    <row r="73" spans="1:49" x14ac:dyDescent="0.2">
      <c r="A73">
        <v>71</v>
      </c>
      <c r="B73" t="s">
        <v>8423</v>
      </c>
      <c r="C73" t="s">
        <v>8422</v>
      </c>
      <c r="D73">
        <v>22311589902833</v>
      </c>
      <c r="F73" t="s">
        <v>8421</v>
      </c>
      <c r="G73" t="s">
        <v>15</v>
      </c>
      <c r="H73" t="s">
        <v>14</v>
      </c>
      <c r="I73" t="s">
        <v>8420</v>
      </c>
      <c r="J73" t="s">
        <v>8419</v>
      </c>
      <c r="K73" t="s">
        <v>8418</v>
      </c>
      <c r="L73" t="s">
        <v>8417</v>
      </c>
      <c r="M73" t="s">
        <v>169</v>
      </c>
      <c r="N73">
        <v>8</v>
      </c>
      <c r="O73" t="s">
        <v>8416</v>
      </c>
      <c r="P73" t="s">
        <v>8415</v>
      </c>
      <c r="Q73" t="s">
        <v>8414</v>
      </c>
      <c r="R73" s="7">
        <v>32599</v>
      </c>
      <c r="S73" s="8">
        <f t="shared" si="8"/>
        <v>1989</v>
      </c>
      <c r="T73" s="8">
        <v>1989</v>
      </c>
      <c r="U73" s="8">
        <f t="shared" si="9"/>
        <v>33</v>
      </c>
      <c r="V73" s="7">
        <v>32599</v>
      </c>
      <c r="W73" t="s">
        <v>8241</v>
      </c>
      <c r="X73" s="2">
        <v>1.123</v>
      </c>
      <c r="Y73" s="6">
        <f t="shared" si="14"/>
        <v>2.9977843624035664E-2</v>
      </c>
      <c r="AA73">
        <v>223115</v>
      </c>
      <c r="AB73">
        <v>29021</v>
      </c>
      <c r="AD73" t="s">
        <v>5</v>
      </c>
      <c r="AE73" t="s">
        <v>6215</v>
      </c>
      <c r="AF73" t="s">
        <v>5662</v>
      </c>
      <c r="AH73" t="s">
        <v>8413</v>
      </c>
      <c r="AI73" t="s">
        <v>8412</v>
      </c>
      <c r="AJ73" t="s">
        <v>8411</v>
      </c>
      <c r="AK73" t="s">
        <v>8410</v>
      </c>
      <c r="AL73">
        <v>14</v>
      </c>
      <c r="AM73" s="5">
        <f t="shared" si="10"/>
        <v>0.42424242424242425</v>
      </c>
      <c r="AN73" s="4">
        <f t="shared" si="15"/>
        <v>6.4254816242699617E-4</v>
      </c>
      <c r="AO73" s="3"/>
      <c r="AP73">
        <v>0</v>
      </c>
      <c r="AR73" t="s">
        <v>0</v>
      </c>
      <c r="AT73" s="2">
        <v>2.9359999999999999</v>
      </c>
      <c r="AU73" s="1">
        <f t="shared" si="11"/>
        <v>2.1177254985553065</v>
      </c>
      <c r="AV73" s="1">
        <f t="shared" si="12"/>
        <v>1.5310195893231329</v>
      </c>
      <c r="AW73" s="1">
        <f t="shared" si="13"/>
        <v>0.94431368009095973</v>
      </c>
    </row>
    <row r="74" spans="1:49" x14ac:dyDescent="0.2">
      <c r="A74">
        <v>72</v>
      </c>
      <c r="B74" t="s">
        <v>8409</v>
      </c>
      <c r="C74" t="s">
        <v>8408</v>
      </c>
      <c r="F74" t="s">
        <v>8407</v>
      </c>
      <c r="G74" t="s">
        <v>15</v>
      </c>
      <c r="H74" t="s">
        <v>14</v>
      </c>
      <c r="I74" t="s">
        <v>8406</v>
      </c>
      <c r="J74" t="s">
        <v>8405</v>
      </c>
      <c r="K74" t="s">
        <v>8404</v>
      </c>
      <c r="L74" t="s">
        <v>8403</v>
      </c>
      <c r="M74" t="s">
        <v>7880</v>
      </c>
      <c r="N74">
        <v>3</v>
      </c>
      <c r="O74" t="s">
        <v>8402</v>
      </c>
      <c r="P74" t="s">
        <v>8401</v>
      </c>
      <c r="Q74" t="s">
        <v>8400</v>
      </c>
      <c r="R74" s="7">
        <v>32599</v>
      </c>
      <c r="S74" s="8">
        <f t="shared" si="8"/>
        <v>1989</v>
      </c>
      <c r="T74" s="8">
        <v>1989</v>
      </c>
      <c r="U74" s="8">
        <f t="shared" si="9"/>
        <v>33</v>
      </c>
      <c r="V74" s="7">
        <v>32599</v>
      </c>
      <c r="W74" t="s">
        <v>151</v>
      </c>
      <c r="X74" s="2">
        <v>0.30099999999999999</v>
      </c>
      <c r="Y74" s="6">
        <f t="shared" si="14"/>
        <v>8.0350230906809754E-3</v>
      </c>
      <c r="AA74">
        <v>9395075</v>
      </c>
      <c r="AB74">
        <v>14954</v>
      </c>
      <c r="AC74">
        <v>18657125</v>
      </c>
      <c r="AD74" t="s">
        <v>5</v>
      </c>
      <c r="AE74">
        <v>44</v>
      </c>
      <c r="AF74" s="9">
        <v>44289</v>
      </c>
      <c r="AH74" t="s">
        <v>8399</v>
      </c>
      <c r="AI74" t="s">
        <v>8398</v>
      </c>
      <c r="AJ74" t="s">
        <v>8397</v>
      </c>
      <c r="AK74" t="s">
        <v>8396</v>
      </c>
      <c r="AL74">
        <v>2</v>
      </c>
      <c r="AM74" s="5">
        <f t="shared" si="10"/>
        <v>6.0606060606060608E-2</v>
      </c>
      <c r="AN74" s="4">
        <f t="shared" si="15"/>
        <v>9.1792594632428032E-5</v>
      </c>
      <c r="AO74" s="3"/>
      <c r="AP74">
        <v>1</v>
      </c>
      <c r="AR74" t="s">
        <v>0</v>
      </c>
      <c r="AT74" s="2" t="s">
        <v>19</v>
      </c>
      <c r="AU74" s="1">
        <f t="shared" si="11"/>
        <v>0.56520539418664106</v>
      </c>
      <c r="AV74" s="1">
        <f t="shared" si="12"/>
        <v>0.40634078426567022</v>
      </c>
      <c r="AW74" s="1">
        <f t="shared" si="13"/>
        <v>0.24747617434469921</v>
      </c>
    </row>
    <row r="75" spans="1:49" x14ac:dyDescent="0.2">
      <c r="A75">
        <v>73</v>
      </c>
      <c r="B75" t="s">
        <v>8395</v>
      </c>
      <c r="C75" t="s">
        <v>8394</v>
      </c>
      <c r="F75" t="s">
        <v>8393</v>
      </c>
      <c r="G75" t="s">
        <v>15</v>
      </c>
      <c r="H75" t="s">
        <v>14</v>
      </c>
      <c r="I75" t="s">
        <v>8392</v>
      </c>
      <c r="N75">
        <v>4</v>
      </c>
      <c r="O75" t="s">
        <v>8391</v>
      </c>
      <c r="P75" t="s">
        <v>8390</v>
      </c>
      <c r="Q75" t="s">
        <v>8284</v>
      </c>
      <c r="R75" s="7">
        <v>32599</v>
      </c>
      <c r="S75" s="8">
        <f t="shared" si="8"/>
        <v>1989</v>
      </c>
      <c r="T75" s="8">
        <v>1989</v>
      </c>
      <c r="U75" s="8">
        <f t="shared" si="9"/>
        <v>33</v>
      </c>
      <c r="V75" s="7">
        <v>32599</v>
      </c>
      <c r="W75" t="s">
        <v>3481</v>
      </c>
      <c r="X75" s="2">
        <v>0.14899999999999999</v>
      </c>
      <c r="Y75" s="6">
        <f t="shared" si="14"/>
        <v>3.977469902031446E-3</v>
      </c>
      <c r="AA75">
        <v>5431972</v>
      </c>
      <c r="AB75">
        <v>15425</v>
      </c>
      <c r="AC75">
        <v>15738906</v>
      </c>
      <c r="AD75" t="s">
        <v>5</v>
      </c>
      <c r="AE75">
        <v>32</v>
      </c>
      <c r="AF75">
        <v>4</v>
      </c>
      <c r="AH75" t="s">
        <v>4018</v>
      </c>
      <c r="AL75">
        <v>0</v>
      </c>
      <c r="AM75" s="5">
        <f t="shared" si="10"/>
        <v>0</v>
      </c>
      <c r="AN75" s="4">
        <f t="shared" si="15"/>
        <v>0</v>
      </c>
      <c r="AO75" s="3"/>
      <c r="AP75">
        <v>0</v>
      </c>
      <c r="AR75" t="s">
        <v>0</v>
      </c>
      <c r="AT75" s="2" t="s">
        <v>19</v>
      </c>
      <c r="AU75" s="1">
        <f t="shared" si="11"/>
        <v>0.2784228931422012</v>
      </c>
      <c r="AV75" s="1">
        <f t="shared" si="12"/>
        <v>0.19887349510157229</v>
      </c>
      <c r="AW75" s="1">
        <f t="shared" si="13"/>
        <v>0.11932409706094337</v>
      </c>
    </row>
    <row r="76" spans="1:49" x14ac:dyDescent="0.2">
      <c r="A76">
        <v>74</v>
      </c>
      <c r="B76" t="s">
        <v>8389</v>
      </c>
      <c r="C76" t="s">
        <v>8388</v>
      </c>
      <c r="F76" t="s">
        <v>8387</v>
      </c>
      <c r="G76" t="s">
        <v>15</v>
      </c>
      <c r="H76" t="s">
        <v>14</v>
      </c>
      <c r="I76" t="s">
        <v>8386</v>
      </c>
      <c r="N76">
        <v>9</v>
      </c>
      <c r="O76" t="s">
        <v>8385</v>
      </c>
      <c r="P76" t="s">
        <v>8384</v>
      </c>
      <c r="Q76" t="s">
        <v>8383</v>
      </c>
      <c r="R76" s="7">
        <v>32599</v>
      </c>
      <c r="S76" s="8">
        <f t="shared" si="8"/>
        <v>1989</v>
      </c>
      <c r="T76" s="8">
        <v>1989</v>
      </c>
      <c r="U76" s="8">
        <f t="shared" si="9"/>
        <v>33</v>
      </c>
      <c r="V76" s="7">
        <v>32599</v>
      </c>
      <c r="W76" t="s">
        <v>3481</v>
      </c>
      <c r="X76" s="2">
        <v>0.14899999999999999</v>
      </c>
      <c r="Y76" s="6">
        <f t="shared" si="14"/>
        <v>3.977469902031446E-3</v>
      </c>
      <c r="AA76">
        <v>5431972</v>
      </c>
      <c r="AB76">
        <v>15425</v>
      </c>
      <c r="AC76">
        <v>15738906</v>
      </c>
      <c r="AD76" t="s">
        <v>5</v>
      </c>
      <c r="AE76">
        <v>32</v>
      </c>
      <c r="AF76">
        <v>4</v>
      </c>
      <c r="AH76" t="s">
        <v>8382</v>
      </c>
      <c r="AL76">
        <v>0</v>
      </c>
      <c r="AM76" s="5">
        <f t="shared" si="10"/>
        <v>0</v>
      </c>
      <c r="AN76" s="4">
        <f t="shared" si="15"/>
        <v>0</v>
      </c>
      <c r="AO76" s="3"/>
      <c r="AP76">
        <v>0</v>
      </c>
      <c r="AR76" t="s">
        <v>0</v>
      </c>
      <c r="AT76" s="2" t="s">
        <v>19</v>
      </c>
      <c r="AU76" s="1">
        <f t="shared" si="11"/>
        <v>0.2784228931422012</v>
      </c>
      <c r="AV76" s="1">
        <f t="shared" si="12"/>
        <v>0.19887349510157229</v>
      </c>
      <c r="AW76" s="1">
        <f t="shared" si="13"/>
        <v>0.11932409706094337</v>
      </c>
    </row>
    <row r="77" spans="1:49" x14ac:dyDescent="0.2">
      <c r="A77">
        <v>75</v>
      </c>
      <c r="B77" t="s">
        <v>8381</v>
      </c>
      <c r="C77" t="s">
        <v>8380</v>
      </c>
      <c r="E77">
        <v>2747617</v>
      </c>
      <c r="F77" t="s">
        <v>8379</v>
      </c>
      <c r="G77" t="s">
        <v>15</v>
      </c>
      <c r="H77" t="s">
        <v>14</v>
      </c>
      <c r="I77" t="s">
        <v>8378</v>
      </c>
      <c r="J77" t="s">
        <v>8377</v>
      </c>
      <c r="K77" t="s">
        <v>8376</v>
      </c>
      <c r="L77" t="s">
        <v>8375</v>
      </c>
      <c r="M77" t="s">
        <v>86</v>
      </c>
      <c r="N77">
        <v>4</v>
      </c>
      <c r="O77" t="s">
        <v>8374</v>
      </c>
      <c r="P77" t="s">
        <v>8373</v>
      </c>
      <c r="Q77" t="s">
        <v>8372</v>
      </c>
      <c r="R77" s="7">
        <v>32599</v>
      </c>
      <c r="S77" s="8">
        <f t="shared" si="8"/>
        <v>1989</v>
      </c>
      <c r="T77" s="8">
        <v>1989</v>
      </c>
      <c r="U77" s="8">
        <f t="shared" si="9"/>
        <v>33</v>
      </c>
      <c r="V77" s="7">
        <v>32599</v>
      </c>
      <c r="W77" t="s">
        <v>8371</v>
      </c>
      <c r="X77" s="2" t="s">
        <v>19</v>
      </c>
      <c r="Y77" s="6" t="e">
        <f t="shared" si="14"/>
        <v>#VALUE!</v>
      </c>
      <c r="AA77">
        <v>268925</v>
      </c>
      <c r="AB77">
        <v>32876</v>
      </c>
      <c r="AC77">
        <v>16174623</v>
      </c>
      <c r="AD77" t="s">
        <v>5</v>
      </c>
      <c r="AE77">
        <v>216</v>
      </c>
      <c r="AF77" s="9">
        <v>44257</v>
      </c>
      <c r="AH77" t="s">
        <v>8370</v>
      </c>
      <c r="AI77" t="s">
        <v>8369</v>
      </c>
      <c r="AJ77" t="s">
        <v>8368</v>
      </c>
      <c r="AK77" t="s">
        <v>8367</v>
      </c>
      <c r="AL77">
        <v>256</v>
      </c>
      <c r="AM77" s="5">
        <f t="shared" si="10"/>
        <v>7.7575757575757578</v>
      </c>
      <c r="AN77" s="4">
        <f t="shared" si="15"/>
        <v>1.1749452112950788E-2</v>
      </c>
      <c r="AO77" s="3"/>
      <c r="AP77">
        <v>0</v>
      </c>
      <c r="AQ77" t="s">
        <v>3018</v>
      </c>
      <c r="AR77" t="s">
        <v>8366</v>
      </c>
      <c r="AS77" t="s">
        <v>3016</v>
      </c>
      <c r="AT77" s="2" t="s">
        <v>19</v>
      </c>
      <c r="AU77" s="1" t="e">
        <f t="shared" si="11"/>
        <v>#VALUE!</v>
      </c>
      <c r="AV77" s="1" t="e">
        <f t="shared" si="12"/>
        <v>#VALUE!</v>
      </c>
      <c r="AW77" s="1" t="e">
        <f t="shared" si="13"/>
        <v>#VALUE!</v>
      </c>
    </row>
    <row r="78" spans="1:49" x14ac:dyDescent="0.2">
      <c r="A78">
        <v>76</v>
      </c>
      <c r="B78" t="s">
        <v>8365</v>
      </c>
      <c r="F78" t="s">
        <v>8364</v>
      </c>
      <c r="G78" t="s">
        <v>15</v>
      </c>
      <c r="H78" t="s">
        <v>14</v>
      </c>
      <c r="I78" t="s">
        <v>8363</v>
      </c>
      <c r="N78">
        <v>3</v>
      </c>
      <c r="O78" t="s">
        <v>8362</v>
      </c>
      <c r="P78" t="s">
        <v>8361</v>
      </c>
      <c r="Q78" t="s">
        <v>296</v>
      </c>
      <c r="R78" s="7">
        <v>32599</v>
      </c>
      <c r="S78" s="8">
        <f t="shared" si="8"/>
        <v>1989</v>
      </c>
      <c r="T78" s="8">
        <v>1989</v>
      </c>
      <c r="U78" s="8">
        <f t="shared" si="9"/>
        <v>33</v>
      </c>
      <c r="V78" s="7">
        <v>32599</v>
      </c>
      <c r="W78" t="s">
        <v>1080</v>
      </c>
      <c r="X78" s="2" t="s">
        <v>19</v>
      </c>
      <c r="Y78" s="6" t="e">
        <f t="shared" si="14"/>
        <v>#VALUE!</v>
      </c>
      <c r="AA78">
        <v>87566648</v>
      </c>
      <c r="AB78">
        <v>74127</v>
      </c>
      <c r="AD78" t="s">
        <v>5</v>
      </c>
      <c r="AE78">
        <v>34</v>
      </c>
      <c r="AF78">
        <v>4</v>
      </c>
      <c r="AH78" t="s">
        <v>8360</v>
      </c>
      <c r="AI78" t="s">
        <v>8359</v>
      </c>
      <c r="AK78" t="s">
        <v>8358</v>
      </c>
      <c r="AL78">
        <v>0</v>
      </c>
      <c r="AM78" s="5">
        <f t="shared" si="10"/>
        <v>0</v>
      </c>
      <c r="AN78" s="4">
        <f t="shared" si="15"/>
        <v>0</v>
      </c>
      <c r="AO78" s="3"/>
      <c r="AP78">
        <v>0</v>
      </c>
      <c r="AR78" t="s">
        <v>0</v>
      </c>
      <c r="AT78" s="2" t="s">
        <v>19</v>
      </c>
      <c r="AU78" s="1" t="e">
        <f t="shared" si="11"/>
        <v>#VALUE!</v>
      </c>
      <c r="AV78" s="1" t="e">
        <f t="shared" si="12"/>
        <v>#VALUE!</v>
      </c>
      <c r="AW78" s="1" t="e">
        <f t="shared" si="13"/>
        <v>#VALUE!</v>
      </c>
    </row>
    <row r="79" spans="1:49" x14ac:dyDescent="0.2">
      <c r="A79">
        <v>77</v>
      </c>
      <c r="B79" t="s">
        <v>8357</v>
      </c>
      <c r="F79" t="s">
        <v>8356</v>
      </c>
      <c r="G79" t="s">
        <v>15</v>
      </c>
      <c r="H79" t="s">
        <v>14</v>
      </c>
      <c r="I79" t="s">
        <v>8355</v>
      </c>
      <c r="N79">
        <v>7</v>
      </c>
      <c r="O79" t="s">
        <v>8354</v>
      </c>
      <c r="P79" t="s">
        <v>8353</v>
      </c>
      <c r="Q79" t="s">
        <v>336</v>
      </c>
      <c r="R79" s="7">
        <v>32599</v>
      </c>
      <c r="S79" s="8">
        <f t="shared" si="8"/>
        <v>1989</v>
      </c>
      <c r="T79" s="8">
        <v>1989</v>
      </c>
      <c r="U79" s="8">
        <f t="shared" si="9"/>
        <v>33</v>
      </c>
      <c r="V79" s="7">
        <v>32599</v>
      </c>
      <c r="W79" t="s">
        <v>1080</v>
      </c>
      <c r="X79" s="2" t="s">
        <v>19</v>
      </c>
      <c r="Y79" s="6" t="e">
        <f t="shared" si="14"/>
        <v>#VALUE!</v>
      </c>
      <c r="AA79">
        <v>87566648</v>
      </c>
      <c r="AB79">
        <v>74127</v>
      </c>
      <c r="AD79" t="s">
        <v>5</v>
      </c>
      <c r="AE79">
        <v>34</v>
      </c>
      <c r="AF79">
        <v>4</v>
      </c>
      <c r="AH79" t="s">
        <v>8352</v>
      </c>
      <c r="AI79" t="s">
        <v>8351</v>
      </c>
      <c r="AK79" t="s">
        <v>8350</v>
      </c>
      <c r="AL79">
        <v>0</v>
      </c>
      <c r="AM79" s="5">
        <f t="shared" si="10"/>
        <v>0</v>
      </c>
      <c r="AN79" s="4">
        <f t="shared" si="15"/>
        <v>0</v>
      </c>
      <c r="AO79" s="3"/>
      <c r="AP79">
        <v>0</v>
      </c>
      <c r="AR79" t="s">
        <v>0</v>
      </c>
      <c r="AT79" s="2" t="s">
        <v>19</v>
      </c>
      <c r="AU79" s="1" t="e">
        <f t="shared" si="11"/>
        <v>#VALUE!</v>
      </c>
      <c r="AV79" s="1" t="e">
        <f t="shared" si="12"/>
        <v>#VALUE!</v>
      </c>
      <c r="AW79" s="1" t="e">
        <f t="shared" si="13"/>
        <v>#VALUE!</v>
      </c>
    </row>
    <row r="80" spans="1:49" x14ac:dyDescent="0.2">
      <c r="A80">
        <v>78</v>
      </c>
      <c r="B80" t="s">
        <v>8349</v>
      </c>
      <c r="F80" t="s">
        <v>8348</v>
      </c>
      <c r="G80" t="s">
        <v>15</v>
      </c>
      <c r="H80" t="s">
        <v>14</v>
      </c>
      <c r="I80" t="s">
        <v>8347</v>
      </c>
      <c r="N80">
        <v>3</v>
      </c>
      <c r="O80" t="s">
        <v>8346</v>
      </c>
      <c r="P80" t="s">
        <v>8345</v>
      </c>
      <c r="Q80" t="s">
        <v>296</v>
      </c>
      <c r="R80" s="7">
        <v>32599</v>
      </c>
      <c r="S80" s="8">
        <f t="shared" si="8"/>
        <v>1989</v>
      </c>
      <c r="T80" s="8">
        <v>1989</v>
      </c>
      <c r="U80" s="8">
        <f t="shared" si="9"/>
        <v>33</v>
      </c>
      <c r="V80" s="7">
        <v>32599</v>
      </c>
      <c r="W80" t="s">
        <v>1054</v>
      </c>
      <c r="X80" s="2">
        <v>0.14099999999999999</v>
      </c>
      <c r="Y80" s="6">
        <f t="shared" si="14"/>
        <v>3.7639144710498915E-3</v>
      </c>
      <c r="AA80">
        <v>402508</v>
      </c>
      <c r="AB80">
        <v>20868</v>
      </c>
      <c r="AD80" t="s">
        <v>5</v>
      </c>
      <c r="AE80">
        <v>44</v>
      </c>
      <c r="AF80">
        <v>4</v>
      </c>
      <c r="AH80" s="9">
        <v>44317</v>
      </c>
      <c r="AI80" t="s">
        <v>8344</v>
      </c>
      <c r="AK80" t="s">
        <v>8343</v>
      </c>
      <c r="AL80">
        <v>0</v>
      </c>
      <c r="AM80" s="5">
        <f t="shared" si="10"/>
        <v>0</v>
      </c>
      <c r="AN80" s="4">
        <f t="shared" si="15"/>
        <v>0</v>
      </c>
      <c r="AO80" s="3"/>
      <c r="AP80">
        <v>0</v>
      </c>
      <c r="AR80" t="s">
        <v>0</v>
      </c>
      <c r="AT80" s="2" t="s">
        <v>19</v>
      </c>
      <c r="AU80" s="1">
        <f t="shared" si="11"/>
        <v>0.26347401297349238</v>
      </c>
      <c r="AV80" s="1">
        <f t="shared" si="12"/>
        <v>0.18819572355249459</v>
      </c>
      <c r="AW80" s="1">
        <f t="shared" si="13"/>
        <v>0.11291743413149673</v>
      </c>
    </row>
    <row r="81" spans="1:49" x14ac:dyDescent="0.2">
      <c r="A81">
        <v>79</v>
      </c>
      <c r="B81" t="s">
        <v>8342</v>
      </c>
      <c r="F81" t="s">
        <v>8341</v>
      </c>
      <c r="G81" t="s">
        <v>15</v>
      </c>
      <c r="H81" t="s">
        <v>14</v>
      </c>
      <c r="I81" t="s">
        <v>8340</v>
      </c>
      <c r="J81">
        <v>60091909</v>
      </c>
      <c r="K81" t="s">
        <v>8339</v>
      </c>
      <c r="L81" t="s">
        <v>1480</v>
      </c>
      <c r="M81" t="s">
        <v>792</v>
      </c>
      <c r="N81">
        <v>1</v>
      </c>
      <c r="O81" t="s">
        <v>8338</v>
      </c>
      <c r="P81">
        <v>6506974710</v>
      </c>
      <c r="Q81">
        <v>60091909</v>
      </c>
      <c r="R81" s="7">
        <v>32599</v>
      </c>
      <c r="S81" s="8">
        <f t="shared" si="8"/>
        <v>1989</v>
      </c>
      <c r="T81" s="8">
        <v>1989</v>
      </c>
      <c r="U81" s="8">
        <f t="shared" si="9"/>
        <v>33</v>
      </c>
      <c r="V81" s="7">
        <v>32599</v>
      </c>
      <c r="W81" t="s">
        <v>8337</v>
      </c>
      <c r="X81" s="2" t="s">
        <v>19</v>
      </c>
      <c r="Y81" s="6" t="e">
        <f t="shared" si="14"/>
        <v>#VALUE!</v>
      </c>
      <c r="AA81">
        <v>3797155</v>
      </c>
      <c r="AB81">
        <v>18354</v>
      </c>
      <c r="AD81" t="s">
        <v>5</v>
      </c>
      <c r="AF81">
        <v>234</v>
      </c>
      <c r="AH81" t="s">
        <v>8336</v>
      </c>
      <c r="AI81" t="s">
        <v>8335</v>
      </c>
      <c r="AK81" t="s">
        <v>8334</v>
      </c>
      <c r="AL81">
        <v>0</v>
      </c>
      <c r="AM81" s="5">
        <f t="shared" si="10"/>
        <v>0</v>
      </c>
      <c r="AN81" s="4">
        <f t="shared" si="15"/>
        <v>0</v>
      </c>
      <c r="AO81" s="3"/>
      <c r="AP81">
        <v>0</v>
      </c>
      <c r="AR81" t="s">
        <v>0</v>
      </c>
      <c r="AT81" s="2" t="s">
        <v>19</v>
      </c>
      <c r="AU81" s="1" t="e">
        <f t="shared" si="11"/>
        <v>#VALUE!</v>
      </c>
      <c r="AV81" s="1" t="e">
        <f t="shared" si="12"/>
        <v>#VALUE!</v>
      </c>
      <c r="AW81" s="1" t="e">
        <f t="shared" si="13"/>
        <v>#VALUE!</v>
      </c>
    </row>
    <row r="82" spans="1:49" x14ac:dyDescent="0.2">
      <c r="A82">
        <v>80</v>
      </c>
      <c r="B82" t="s">
        <v>8333</v>
      </c>
      <c r="F82" t="s">
        <v>8332</v>
      </c>
      <c r="G82" t="s">
        <v>15</v>
      </c>
      <c r="H82" t="s">
        <v>14</v>
      </c>
      <c r="I82" t="s">
        <v>8331</v>
      </c>
      <c r="N82">
        <v>1</v>
      </c>
      <c r="O82" t="s">
        <v>8330</v>
      </c>
      <c r="P82">
        <v>6603869026</v>
      </c>
      <c r="R82" s="7">
        <v>32599</v>
      </c>
      <c r="S82" s="8">
        <f t="shared" si="8"/>
        <v>1989</v>
      </c>
      <c r="T82" s="8">
        <v>1989</v>
      </c>
      <c r="U82" s="8">
        <f t="shared" si="9"/>
        <v>33</v>
      </c>
      <c r="V82" s="7">
        <v>32599</v>
      </c>
      <c r="W82" t="s">
        <v>1080</v>
      </c>
      <c r="X82" s="2" t="s">
        <v>19</v>
      </c>
      <c r="Y82" s="6" t="e">
        <f t="shared" si="14"/>
        <v>#VALUE!</v>
      </c>
      <c r="AA82">
        <v>87566648</v>
      </c>
      <c r="AB82">
        <v>74127</v>
      </c>
      <c r="AD82" t="s">
        <v>5</v>
      </c>
      <c r="AE82">
        <v>34</v>
      </c>
      <c r="AF82">
        <v>4</v>
      </c>
      <c r="AH82" t="s">
        <v>8329</v>
      </c>
      <c r="AI82" t="s">
        <v>8328</v>
      </c>
      <c r="AK82" t="s">
        <v>8327</v>
      </c>
      <c r="AL82">
        <v>0</v>
      </c>
      <c r="AM82" s="5">
        <f t="shared" si="10"/>
        <v>0</v>
      </c>
      <c r="AN82" s="4">
        <f t="shared" si="15"/>
        <v>0</v>
      </c>
      <c r="AO82" s="3"/>
      <c r="AP82">
        <v>0</v>
      </c>
      <c r="AR82" t="s">
        <v>0</v>
      </c>
      <c r="AT82" s="2" t="s">
        <v>19</v>
      </c>
      <c r="AU82" s="1" t="e">
        <f t="shared" si="11"/>
        <v>#VALUE!</v>
      </c>
      <c r="AV82" s="1" t="e">
        <f t="shared" si="12"/>
        <v>#VALUE!</v>
      </c>
      <c r="AW82" s="1" t="e">
        <f t="shared" si="13"/>
        <v>#VALUE!</v>
      </c>
    </row>
    <row r="83" spans="1:49" x14ac:dyDescent="0.2">
      <c r="A83">
        <v>81</v>
      </c>
      <c r="B83" t="s">
        <v>8326</v>
      </c>
      <c r="F83" t="s">
        <v>8325</v>
      </c>
      <c r="G83" t="s">
        <v>15</v>
      </c>
      <c r="H83" t="s">
        <v>14</v>
      </c>
      <c r="I83" t="s">
        <v>8324</v>
      </c>
      <c r="N83">
        <v>1</v>
      </c>
      <c r="O83" t="s">
        <v>8323</v>
      </c>
      <c r="P83">
        <v>16025300900</v>
      </c>
      <c r="R83" s="7">
        <v>32599</v>
      </c>
      <c r="S83" s="8">
        <f t="shared" si="8"/>
        <v>1989</v>
      </c>
      <c r="T83" s="8">
        <v>1989</v>
      </c>
      <c r="U83" s="8">
        <f t="shared" si="9"/>
        <v>33</v>
      </c>
      <c r="V83" s="7">
        <v>32599</v>
      </c>
      <c r="W83" t="s">
        <v>1080</v>
      </c>
      <c r="X83" s="2" t="s">
        <v>19</v>
      </c>
      <c r="Y83" s="6" t="e">
        <f t="shared" si="14"/>
        <v>#VALUE!</v>
      </c>
      <c r="AA83">
        <v>87566648</v>
      </c>
      <c r="AB83">
        <v>74127</v>
      </c>
      <c r="AD83" t="s">
        <v>5</v>
      </c>
      <c r="AE83">
        <v>34</v>
      </c>
      <c r="AF83">
        <v>4</v>
      </c>
      <c r="AH83" t="s">
        <v>8322</v>
      </c>
      <c r="AI83" t="s">
        <v>8321</v>
      </c>
      <c r="AK83" t="s">
        <v>8320</v>
      </c>
      <c r="AL83">
        <v>1</v>
      </c>
      <c r="AM83" s="5">
        <f t="shared" si="10"/>
        <v>3.0303030303030304E-2</v>
      </c>
      <c r="AN83" s="4">
        <f t="shared" si="15"/>
        <v>4.5896297316214016E-5</v>
      </c>
      <c r="AO83" s="3"/>
      <c r="AP83">
        <v>0</v>
      </c>
      <c r="AR83" t="s">
        <v>0</v>
      </c>
      <c r="AT83" s="2" t="s">
        <v>19</v>
      </c>
      <c r="AU83" s="1" t="e">
        <f t="shared" si="11"/>
        <v>#VALUE!</v>
      </c>
      <c r="AV83" s="1" t="e">
        <f t="shared" si="12"/>
        <v>#VALUE!</v>
      </c>
      <c r="AW83" s="1" t="e">
        <f t="shared" si="13"/>
        <v>#VALUE!</v>
      </c>
    </row>
    <row r="84" spans="1:49" x14ac:dyDescent="0.2">
      <c r="A84">
        <v>82</v>
      </c>
      <c r="B84" t="s">
        <v>8319</v>
      </c>
      <c r="F84" t="s">
        <v>8318</v>
      </c>
      <c r="G84" t="s">
        <v>15</v>
      </c>
      <c r="H84" t="s">
        <v>14</v>
      </c>
      <c r="I84" t="s">
        <v>8317</v>
      </c>
      <c r="N84">
        <v>2</v>
      </c>
      <c r="O84" t="s">
        <v>8316</v>
      </c>
      <c r="P84" t="s">
        <v>8315</v>
      </c>
      <c r="Q84" t="s">
        <v>1071</v>
      </c>
      <c r="R84" s="7">
        <v>32599</v>
      </c>
      <c r="S84" s="8">
        <f t="shared" si="8"/>
        <v>1989</v>
      </c>
      <c r="T84" s="8">
        <v>1989</v>
      </c>
      <c r="U84" s="8">
        <f t="shared" si="9"/>
        <v>33</v>
      </c>
      <c r="V84" s="7">
        <v>32599</v>
      </c>
      <c r="W84" t="s">
        <v>1080</v>
      </c>
      <c r="X84" s="2" t="s">
        <v>19</v>
      </c>
      <c r="Y84" s="6" t="e">
        <f t="shared" si="14"/>
        <v>#VALUE!</v>
      </c>
      <c r="AA84">
        <v>87566648</v>
      </c>
      <c r="AB84">
        <v>74127</v>
      </c>
      <c r="AD84" t="s">
        <v>5</v>
      </c>
      <c r="AE84">
        <v>34</v>
      </c>
      <c r="AF84">
        <v>4</v>
      </c>
      <c r="AH84" t="s">
        <v>8314</v>
      </c>
      <c r="AI84" t="s">
        <v>8313</v>
      </c>
      <c r="AK84" t="s">
        <v>8312</v>
      </c>
      <c r="AL84">
        <v>0</v>
      </c>
      <c r="AM84" s="5">
        <f t="shared" si="10"/>
        <v>0</v>
      </c>
      <c r="AN84" s="4">
        <f t="shared" si="15"/>
        <v>0</v>
      </c>
      <c r="AO84" s="3"/>
      <c r="AP84">
        <v>0</v>
      </c>
      <c r="AR84" t="s">
        <v>0</v>
      </c>
      <c r="AT84" s="2" t="s">
        <v>19</v>
      </c>
      <c r="AU84" s="1" t="e">
        <f t="shared" si="11"/>
        <v>#VALUE!</v>
      </c>
      <c r="AV84" s="1" t="e">
        <f t="shared" si="12"/>
        <v>#VALUE!</v>
      </c>
      <c r="AW84" s="1" t="e">
        <f t="shared" si="13"/>
        <v>#VALUE!</v>
      </c>
    </row>
    <row r="85" spans="1:49" x14ac:dyDescent="0.2">
      <c r="A85">
        <v>83</v>
      </c>
      <c r="B85" t="s">
        <v>8311</v>
      </c>
      <c r="F85" t="s">
        <v>8310</v>
      </c>
      <c r="G85" t="s">
        <v>15</v>
      </c>
      <c r="H85" t="s">
        <v>14</v>
      </c>
      <c r="I85" t="s">
        <v>8309</v>
      </c>
      <c r="N85">
        <v>3</v>
      </c>
      <c r="O85" t="s">
        <v>8308</v>
      </c>
      <c r="P85" t="s">
        <v>8307</v>
      </c>
      <c r="Q85" t="s">
        <v>296</v>
      </c>
      <c r="R85" s="7">
        <v>32599</v>
      </c>
      <c r="S85" s="8">
        <f t="shared" si="8"/>
        <v>1989</v>
      </c>
      <c r="T85" s="8">
        <v>1989</v>
      </c>
      <c r="U85" s="8">
        <f t="shared" si="9"/>
        <v>33</v>
      </c>
      <c r="V85" s="7">
        <v>32599</v>
      </c>
      <c r="W85" t="s">
        <v>1080</v>
      </c>
      <c r="X85" s="2" t="s">
        <v>19</v>
      </c>
      <c r="Y85" s="6" t="e">
        <f t="shared" si="14"/>
        <v>#VALUE!</v>
      </c>
      <c r="AA85">
        <v>87566648</v>
      </c>
      <c r="AB85">
        <v>74127</v>
      </c>
      <c r="AD85" t="s">
        <v>5</v>
      </c>
      <c r="AE85">
        <v>34</v>
      </c>
      <c r="AF85">
        <v>4</v>
      </c>
      <c r="AH85" t="s">
        <v>8306</v>
      </c>
      <c r="AI85" t="s">
        <v>8305</v>
      </c>
      <c r="AK85" t="s">
        <v>8304</v>
      </c>
      <c r="AL85">
        <v>1</v>
      </c>
      <c r="AM85" s="5">
        <f t="shared" si="10"/>
        <v>3.0303030303030304E-2</v>
      </c>
      <c r="AN85" s="4">
        <f t="shared" si="15"/>
        <v>4.5896297316214016E-5</v>
      </c>
      <c r="AO85" s="3"/>
      <c r="AP85">
        <v>0</v>
      </c>
      <c r="AR85" t="s">
        <v>0</v>
      </c>
      <c r="AT85" s="2" t="s">
        <v>19</v>
      </c>
      <c r="AU85" s="1" t="e">
        <f t="shared" si="11"/>
        <v>#VALUE!</v>
      </c>
      <c r="AV85" s="1" t="e">
        <f t="shared" si="12"/>
        <v>#VALUE!</v>
      </c>
      <c r="AW85" s="1" t="e">
        <f t="shared" si="13"/>
        <v>#VALUE!</v>
      </c>
    </row>
    <row r="86" spans="1:49" x14ac:dyDescent="0.2">
      <c r="A86">
        <v>84</v>
      </c>
      <c r="B86" t="s">
        <v>8303</v>
      </c>
      <c r="F86" t="s">
        <v>8302</v>
      </c>
      <c r="G86" t="s">
        <v>15</v>
      </c>
      <c r="H86" t="s">
        <v>14</v>
      </c>
      <c r="I86" t="s">
        <v>8301</v>
      </c>
      <c r="N86">
        <v>1</v>
      </c>
      <c r="O86" t="s">
        <v>8300</v>
      </c>
      <c r="P86">
        <v>6602446855</v>
      </c>
      <c r="R86" s="7">
        <v>32599</v>
      </c>
      <c r="S86" s="8">
        <f t="shared" si="8"/>
        <v>1989</v>
      </c>
      <c r="T86" s="8">
        <v>1989</v>
      </c>
      <c r="U86" s="8">
        <f t="shared" si="9"/>
        <v>33</v>
      </c>
      <c r="V86" s="7">
        <v>32599</v>
      </c>
      <c r="W86" t="s">
        <v>1054</v>
      </c>
      <c r="X86" s="2">
        <v>0.14099999999999999</v>
      </c>
      <c r="Y86" s="6">
        <f t="shared" si="14"/>
        <v>3.7639144710498915E-3</v>
      </c>
      <c r="AA86">
        <v>402508</v>
      </c>
      <c r="AB86">
        <v>20868</v>
      </c>
      <c r="AD86" t="s">
        <v>5</v>
      </c>
      <c r="AE86">
        <v>44</v>
      </c>
      <c r="AF86">
        <v>4</v>
      </c>
      <c r="AH86" t="s">
        <v>8299</v>
      </c>
      <c r="AI86" t="s">
        <v>8298</v>
      </c>
      <c r="AK86" t="s">
        <v>8297</v>
      </c>
      <c r="AL86">
        <v>0</v>
      </c>
      <c r="AM86" s="5">
        <f t="shared" si="10"/>
        <v>0</v>
      </c>
      <c r="AN86" s="4">
        <f t="shared" si="15"/>
        <v>0</v>
      </c>
      <c r="AO86" s="3"/>
      <c r="AP86">
        <v>0</v>
      </c>
      <c r="AR86" t="s">
        <v>0</v>
      </c>
      <c r="AT86" s="2" t="s">
        <v>19</v>
      </c>
      <c r="AU86" s="1">
        <f t="shared" si="11"/>
        <v>0.26347401297349238</v>
      </c>
      <c r="AV86" s="1">
        <f t="shared" si="12"/>
        <v>0.18819572355249459</v>
      </c>
      <c r="AW86" s="1">
        <f t="shared" si="13"/>
        <v>0.11291743413149673</v>
      </c>
    </row>
    <row r="87" spans="1:49" x14ac:dyDescent="0.2">
      <c r="A87">
        <v>85</v>
      </c>
      <c r="B87" t="s">
        <v>8296</v>
      </c>
      <c r="F87" t="s">
        <v>8295</v>
      </c>
      <c r="G87" t="s">
        <v>15</v>
      </c>
      <c r="H87" t="s">
        <v>14</v>
      </c>
      <c r="I87" t="s">
        <v>8294</v>
      </c>
      <c r="N87">
        <v>2</v>
      </c>
      <c r="O87" t="s">
        <v>8293</v>
      </c>
      <c r="P87" t="s">
        <v>8292</v>
      </c>
      <c r="Q87" t="s">
        <v>1071</v>
      </c>
      <c r="R87" s="7">
        <v>32599</v>
      </c>
      <c r="S87" s="8">
        <f t="shared" si="8"/>
        <v>1989</v>
      </c>
      <c r="T87" s="8">
        <v>1989</v>
      </c>
      <c r="U87" s="8">
        <f t="shared" si="9"/>
        <v>33</v>
      </c>
      <c r="V87" s="7">
        <v>32599</v>
      </c>
      <c r="W87" t="s">
        <v>1080</v>
      </c>
      <c r="X87" s="2" t="s">
        <v>19</v>
      </c>
      <c r="Y87" s="6" t="e">
        <f t="shared" si="14"/>
        <v>#VALUE!</v>
      </c>
      <c r="AA87">
        <v>87566648</v>
      </c>
      <c r="AB87">
        <v>74127</v>
      </c>
      <c r="AD87" t="s">
        <v>5</v>
      </c>
      <c r="AE87">
        <v>34</v>
      </c>
      <c r="AF87">
        <v>4</v>
      </c>
      <c r="AH87" t="s">
        <v>1461</v>
      </c>
      <c r="AI87" t="s">
        <v>8291</v>
      </c>
      <c r="AK87" t="s">
        <v>8290</v>
      </c>
      <c r="AL87">
        <v>0</v>
      </c>
      <c r="AM87" s="5">
        <f t="shared" si="10"/>
        <v>0</v>
      </c>
      <c r="AN87" s="4">
        <f t="shared" si="15"/>
        <v>0</v>
      </c>
      <c r="AO87" s="3"/>
      <c r="AP87">
        <v>0</v>
      </c>
      <c r="AR87" t="s">
        <v>0</v>
      </c>
      <c r="AT87" s="2" t="s">
        <v>19</v>
      </c>
      <c r="AU87" s="1" t="e">
        <f t="shared" si="11"/>
        <v>#VALUE!</v>
      </c>
      <c r="AV87" s="1" t="e">
        <f t="shared" si="12"/>
        <v>#VALUE!</v>
      </c>
      <c r="AW87" s="1" t="e">
        <f t="shared" si="13"/>
        <v>#VALUE!</v>
      </c>
    </row>
    <row r="88" spans="1:49" x14ac:dyDescent="0.2">
      <c r="A88">
        <v>86</v>
      </c>
      <c r="B88" t="s">
        <v>8289</v>
      </c>
      <c r="F88" t="s">
        <v>8288</v>
      </c>
      <c r="G88" t="s">
        <v>15</v>
      </c>
      <c r="H88" t="s">
        <v>14</v>
      </c>
      <c r="I88" t="s">
        <v>8287</v>
      </c>
      <c r="N88">
        <v>4</v>
      </c>
      <c r="O88" t="s">
        <v>8286</v>
      </c>
      <c r="P88" t="s">
        <v>8285</v>
      </c>
      <c r="Q88" t="s">
        <v>8284</v>
      </c>
      <c r="R88" s="7">
        <v>32599</v>
      </c>
      <c r="S88" s="8">
        <f t="shared" si="8"/>
        <v>1989</v>
      </c>
      <c r="T88" s="8">
        <v>1989</v>
      </c>
      <c r="U88" s="8">
        <f t="shared" si="9"/>
        <v>33</v>
      </c>
      <c r="V88" s="7">
        <v>32599</v>
      </c>
      <c r="W88" t="s">
        <v>1054</v>
      </c>
      <c r="X88" s="2">
        <v>0.14099999999999999</v>
      </c>
      <c r="Y88" s="6">
        <f t="shared" si="14"/>
        <v>3.7639144710498915E-3</v>
      </c>
      <c r="AA88">
        <v>402508</v>
      </c>
      <c r="AB88">
        <v>20868</v>
      </c>
      <c r="AD88" t="s">
        <v>5</v>
      </c>
      <c r="AE88">
        <v>44</v>
      </c>
      <c r="AF88">
        <v>4</v>
      </c>
      <c r="AH88" t="s">
        <v>1486</v>
      </c>
      <c r="AI88" t="s">
        <v>8283</v>
      </c>
      <c r="AK88" t="s">
        <v>8282</v>
      </c>
      <c r="AL88">
        <v>0</v>
      </c>
      <c r="AM88" s="5">
        <f t="shared" si="10"/>
        <v>0</v>
      </c>
      <c r="AN88" s="4">
        <f t="shared" si="15"/>
        <v>0</v>
      </c>
      <c r="AO88" s="3"/>
      <c r="AP88">
        <v>0</v>
      </c>
      <c r="AR88" t="s">
        <v>0</v>
      </c>
      <c r="AT88" s="2" t="s">
        <v>19</v>
      </c>
      <c r="AU88" s="1">
        <f t="shared" si="11"/>
        <v>0.26347401297349238</v>
      </c>
      <c r="AV88" s="1">
        <f t="shared" si="12"/>
        <v>0.18819572355249459</v>
      </c>
      <c r="AW88" s="1">
        <f t="shared" si="13"/>
        <v>0.11291743413149673</v>
      </c>
    </row>
    <row r="89" spans="1:49" x14ac:dyDescent="0.2">
      <c r="A89">
        <v>87</v>
      </c>
      <c r="B89" t="s">
        <v>8281</v>
      </c>
      <c r="F89" t="s">
        <v>8280</v>
      </c>
      <c r="G89" t="s">
        <v>15</v>
      </c>
      <c r="H89" t="s">
        <v>14</v>
      </c>
      <c r="I89" t="s">
        <v>8279</v>
      </c>
      <c r="J89">
        <v>60084299</v>
      </c>
      <c r="K89" t="s">
        <v>8023</v>
      </c>
      <c r="L89" t="s">
        <v>102</v>
      </c>
      <c r="M89" t="s">
        <v>101</v>
      </c>
      <c r="N89">
        <v>1</v>
      </c>
      <c r="O89" t="s">
        <v>8278</v>
      </c>
      <c r="P89">
        <v>55505101900</v>
      </c>
      <c r="Q89">
        <v>60084299</v>
      </c>
      <c r="R89" s="7">
        <v>32599</v>
      </c>
      <c r="S89" s="8">
        <f t="shared" si="8"/>
        <v>1989</v>
      </c>
      <c r="T89" s="8">
        <v>1989</v>
      </c>
      <c r="U89" s="8">
        <f t="shared" si="9"/>
        <v>33</v>
      </c>
      <c r="V89" s="7">
        <v>32599</v>
      </c>
      <c r="W89" t="s">
        <v>8277</v>
      </c>
      <c r="X89" s="2" t="s">
        <v>19</v>
      </c>
      <c r="Y89" s="6" t="e">
        <f t="shared" si="14"/>
        <v>#VALUE!</v>
      </c>
      <c r="AA89">
        <v>134902</v>
      </c>
      <c r="AB89">
        <v>32898</v>
      </c>
      <c r="AD89" t="s">
        <v>5</v>
      </c>
      <c r="AE89">
        <v>61</v>
      </c>
      <c r="AF89">
        <v>748</v>
      </c>
      <c r="AI89" t="s">
        <v>8276</v>
      </c>
      <c r="AK89" t="s">
        <v>8275</v>
      </c>
      <c r="AL89">
        <v>0</v>
      </c>
      <c r="AM89" s="5">
        <f t="shared" si="10"/>
        <v>0</v>
      </c>
      <c r="AN89" s="4">
        <f t="shared" si="15"/>
        <v>0</v>
      </c>
      <c r="AO89" s="3"/>
      <c r="AP89">
        <v>0</v>
      </c>
      <c r="AR89" t="s">
        <v>0</v>
      </c>
      <c r="AT89" s="2" t="s">
        <v>19</v>
      </c>
      <c r="AU89" s="1" t="e">
        <f t="shared" si="11"/>
        <v>#VALUE!</v>
      </c>
      <c r="AV89" s="1" t="e">
        <f t="shared" si="12"/>
        <v>#VALUE!</v>
      </c>
      <c r="AW89" s="1" t="e">
        <f t="shared" si="13"/>
        <v>#VALUE!</v>
      </c>
    </row>
    <row r="90" spans="1:49" x14ac:dyDescent="0.2">
      <c r="A90">
        <v>88</v>
      </c>
      <c r="B90" t="s">
        <v>8274</v>
      </c>
      <c r="C90" t="s">
        <v>8273</v>
      </c>
      <c r="F90" t="s">
        <v>8272</v>
      </c>
      <c r="G90" t="s">
        <v>15</v>
      </c>
      <c r="H90" t="s">
        <v>14</v>
      </c>
      <c r="I90" t="s">
        <v>8271</v>
      </c>
      <c r="J90">
        <v>60023053</v>
      </c>
      <c r="K90" t="s">
        <v>3802</v>
      </c>
      <c r="L90" t="s">
        <v>1703</v>
      </c>
      <c r="M90" t="s">
        <v>23</v>
      </c>
      <c r="N90">
        <v>1</v>
      </c>
      <c r="O90" t="s">
        <v>8270</v>
      </c>
      <c r="P90">
        <v>7103249766</v>
      </c>
      <c r="Q90">
        <v>60023053</v>
      </c>
      <c r="R90" s="7">
        <v>32599</v>
      </c>
      <c r="S90" s="8">
        <f t="shared" si="8"/>
        <v>1989</v>
      </c>
      <c r="T90" s="8">
        <v>1989</v>
      </c>
      <c r="U90" s="8">
        <f t="shared" si="9"/>
        <v>33</v>
      </c>
      <c r="V90" s="7">
        <v>32599</v>
      </c>
      <c r="W90" t="s">
        <v>8269</v>
      </c>
      <c r="X90" s="2" t="s">
        <v>19</v>
      </c>
      <c r="Y90" s="6" t="e">
        <f t="shared" si="14"/>
        <v>#VALUE!</v>
      </c>
      <c r="AA90">
        <v>7217269</v>
      </c>
      <c r="AB90">
        <v>39311</v>
      </c>
      <c r="AC90">
        <v>14320649</v>
      </c>
      <c r="AD90" t="s">
        <v>5</v>
      </c>
      <c r="AE90">
        <v>48</v>
      </c>
      <c r="AF90">
        <v>4</v>
      </c>
      <c r="AH90" t="s">
        <v>8268</v>
      </c>
      <c r="AI90" t="s">
        <v>8267</v>
      </c>
      <c r="AJ90" t="s">
        <v>8266</v>
      </c>
      <c r="AK90" t="s">
        <v>8265</v>
      </c>
      <c r="AL90">
        <v>2</v>
      </c>
      <c r="AM90" s="5">
        <f t="shared" si="10"/>
        <v>6.0606060606060608E-2</v>
      </c>
      <c r="AN90" s="4">
        <f t="shared" si="15"/>
        <v>9.1792594632428032E-5</v>
      </c>
      <c r="AO90" s="3"/>
      <c r="AP90">
        <v>0</v>
      </c>
      <c r="AR90" t="s">
        <v>0</v>
      </c>
      <c r="AT90" s="2" t="s">
        <v>19</v>
      </c>
      <c r="AU90" s="1" t="e">
        <f t="shared" si="11"/>
        <v>#VALUE!</v>
      </c>
      <c r="AV90" s="1" t="e">
        <f t="shared" si="12"/>
        <v>#VALUE!</v>
      </c>
      <c r="AW90" s="1" t="e">
        <f t="shared" si="13"/>
        <v>#VALUE!</v>
      </c>
    </row>
    <row r="91" spans="1:49" x14ac:dyDescent="0.2">
      <c r="A91">
        <v>89</v>
      </c>
      <c r="B91" t="s">
        <v>8264</v>
      </c>
      <c r="C91" t="s">
        <v>8263</v>
      </c>
      <c r="D91">
        <v>22311589902948</v>
      </c>
      <c r="F91" t="s">
        <v>8262</v>
      </c>
      <c r="G91" t="s">
        <v>15</v>
      </c>
      <c r="H91" t="s">
        <v>14</v>
      </c>
      <c r="I91" t="s">
        <v>8261</v>
      </c>
      <c r="J91" t="s">
        <v>8260</v>
      </c>
      <c r="K91" t="s">
        <v>8259</v>
      </c>
      <c r="L91" t="s">
        <v>8258</v>
      </c>
      <c r="M91" t="s">
        <v>8257</v>
      </c>
      <c r="N91">
        <v>7</v>
      </c>
      <c r="O91" t="s">
        <v>8256</v>
      </c>
      <c r="P91" t="s">
        <v>8255</v>
      </c>
      <c r="Q91" t="s">
        <v>8254</v>
      </c>
      <c r="R91" s="7">
        <v>32599</v>
      </c>
      <c r="S91" s="8">
        <f t="shared" si="8"/>
        <v>1989</v>
      </c>
      <c r="T91" s="8">
        <v>1989</v>
      </c>
      <c r="U91" s="8">
        <f t="shared" si="9"/>
        <v>33</v>
      </c>
      <c r="V91" s="7">
        <v>32599</v>
      </c>
      <c r="W91" t="s">
        <v>8241</v>
      </c>
      <c r="X91" s="2">
        <v>1.123</v>
      </c>
      <c r="Y91" s="6">
        <f t="shared" si="14"/>
        <v>2.9977843624035664E-2</v>
      </c>
      <c r="AA91">
        <v>223115</v>
      </c>
      <c r="AB91">
        <v>29021</v>
      </c>
      <c r="AD91" t="s">
        <v>5</v>
      </c>
      <c r="AE91" t="s">
        <v>6215</v>
      </c>
      <c r="AF91" t="s">
        <v>5662</v>
      </c>
      <c r="AH91" t="s">
        <v>8253</v>
      </c>
      <c r="AI91" t="s">
        <v>8252</v>
      </c>
      <c r="AJ91" t="s">
        <v>8251</v>
      </c>
      <c r="AK91" t="s">
        <v>8250</v>
      </c>
      <c r="AL91">
        <v>22</v>
      </c>
      <c r="AM91" s="5">
        <f t="shared" si="10"/>
        <v>0.66666666666666663</v>
      </c>
      <c r="AN91" s="4">
        <f t="shared" si="15"/>
        <v>1.0097185409567082E-3</v>
      </c>
      <c r="AO91" s="3"/>
      <c r="AP91">
        <v>0</v>
      </c>
      <c r="AR91" t="s">
        <v>0</v>
      </c>
      <c r="AT91" s="2">
        <v>2.9359999999999999</v>
      </c>
      <c r="AU91" s="1">
        <f t="shared" si="11"/>
        <v>2.1287406099111976</v>
      </c>
      <c r="AV91" s="1">
        <f t="shared" si="12"/>
        <v>1.5493781082496187</v>
      </c>
      <c r="AW91" s="1">
        <f t="shared" si="13"/>
        <v>0.97001560658803943</v>
      </c>
    </row>
    <row r="92" spans="1:49" x14ac:dyDescent="0.2">
      <c r="A92">
        <v>90</v>
      </c>
      <c r="B92" t="s">
        <v>8249</v>
      </c>
      <c r="C92" t="s">
        <v>8248</v>
      </c>
      <c r="D92">
        <v>22311589902845</v>
      </c>
      <c r="F92" t="s">
        <v>8247</v>
      </c>
      <c r="G92" t="s">
        <v>15</v>
      </c>
      <c r="H92" t="s">
        <v>14</v>
      </c>
      <c r="I92" t="s">
        <v>8246</v>
      </c>
      <c r="J92">
        <v>60004280</v>
      </c>
      <c r="K92" t="s">
        <v>8245</v>
      </c>
      <c r="L92" t="s">
        <v>832</v>
      </c>
      <c r="M92" t="s">
        <v>831</v>
      </c>
      <c r="N92">
        <v>2</v>
      </c>
      <c r="O92" t="s">
        <v>8244</v>
      </c>
      <c r="P92" t="s">
        <v>8243</v>
      </c>
      <c r="Q92" t="s">
        <v>8242</v>
      </c>
      <c r="R92" s="7">
        <v>32599</v>
      </c>
      <c r="S92" s="8">
        <f t="shared" si="8"/>
        <v>1989</v>
      </c>
      <c r="T92" s="8">
        <v>1989</v>
      </c>
      <c r="U92" s="8">
        <f t="shared" si="9"/>
        <v>33</v>
      </c>
      <c r="V92" s="7">
        <v>32599</v>
      </c>
      <c r="W92" t="s">
        <v>8241</v>
      </c>
      <c r="X92" s="2">
        <v>1.123</v>
      </c>
      <c r="Y92" s="6">
        <f t="shared" si="14"/>
        <v>2.9977843624035664E-2</v>
      </c>
      <c r="AA92">
        <v>223115</v>
      </c>
      <c r="AB92">
        <v>29021</v>
      </c>
      <c r="AD92" t="s">
        <v>5</v>
      </c>
      <c r="AE92" t="s">
        <v>6215</v>
      </c>
      <c r="AF92" t="s">
        <v>5662</v>
      </c>
      <c r="AH92" t="s">
        <v>8240</v>
      </c>
      <c r="AI92" t="s">
        <v>8239</v>
      </c>
      <c r="AJ92" t="s">
        <v>8238</v>
      </c>
      <c r="AK92" t="s">
        <v>8237</v>
      </c>
      <c r="AL92">
        <v>34</v>
      </c>
      <c r="AM92" s="5">
        <f t="shared" si="10"/>
        <v>1.0303030303030303</v>
      </c>
      <c r="AN92" s="4">
        <f t="shared" si="15"/>
        <v>1.5604741087512765E-3</v>
      </c>
      <c r="AO92" s="3"/>
      <c r="AP92">
        <v>0</v>
      </c>
      <c r="AR92" t="s">
        <v>0</v>
      </c>
      <c r="AT92" s="2">
        <v>2.9359999999999999</v>
      </c>
      <c r="AU92" s="1">
        <f t="shared" si="11"/>
        <v>2.1452632769450348</v>
      </c>
      <c r="AV92" s="1">
        <f t="shared" si="12"/>
        <v>1.5769158866393469</v>
      </c>
      <c r="AW92" s="1">
        <f t="shared" si="13"/>
        <v>1.0085684963336592</v>
      </c>
    </row>
    <row r="93" spans="1:49" x14ac:dyDescent="0.2">
      <c r="A93">
        <v>91</v>
      </c>
      <c r="B93" t="s">
        <v>8236</v>
      </c>
      <c r="C93" t="s">
        <v>8235</v>
      </c>
      <c r="F93" t="s">
        <v>8234</v>
      </c>
      <c r="G93" t="s">
        <v>15</v>
      </c>
      <c r="H93" t="s">
        <v>14</v>
      </c>
      <c r="I93" t="s">
        <v>8233</v>
      </c>
      <c r="J93">
        <v>60007457</v>
      </c>
      <c r="K93" t="s">
        <v>8232</v>
      </c>
      <c r="L93" t="s">
        <v>8057</v>
      </c>
      <c r="M93" t="s">
        <v>3579</v>
      </c>
      <c r="N93">
        <v>1</v>
      </c>
      <c r="O93" t="s">
        <v>8231</v>
      </c>
      <c r="P93">
        <v>15049241600</v>
      </c>
      <c r="Q93">
        <v>60007457</v>
      </c>
      <c r="R93" s="7">
        <v>32599</v>
      </c>
      <c r="S93" s="8">
        <f t="shared" si="8"/>
        <v>1989</v>
      </c>
      <c r="T93" s="8">
        <v>1989</v>
      </c>
      <c r="U93" s="8">
        <f t="shared" si="9"/>
        <v>33</v>
      </c>
      <c r="V93" s="7">
        <v>32599</v>
      </c>
      <c r="W93" t="s">
        <v>192</v>
      </c>
      <c r="X93" s="2">
        <v>1.1579999999999999</v>
      </c>
      <c r="Y93" s="6">
        <f t="shared" si="14"/>
        <v>3.0912148634579962E-2</v>
      </c>
      <c r="AA93">
        <v>1668595</v>
      </c>
      <c r="AB93">
        <v>14223</v>
      </c>
      <c r="AC93">
        <v>15735079</v>
      </c>
      <c r="AD93" t="s">
        <v>5</v>
      </c>
      <c r="AE93">
        <v>20</v>
      </c>
      <c r="AF93">
        <v>1</v>
      </c>
      <c r="AH93" t="s">
        <v>8230</v>
      </c>
      <c r="AI93" t="s">
        <v>8229</v>
      </c>
      <c r="AJ93" t="s">
        <v>8228</v>
      </c>
      <c r="AK93" t="s">
        <v>8227</v>
      </c>
      <c r="AL93">
        <v>19</v>
      </c>
      <c r="AM93" s="5">
        <f t="shared" si="10"/>
        <v>0.5757575757575758</v>
      </c>
      <c r="AN93" s="4">
        <f t="shared" si="15"/>
        <v>8.7202964900806633E-4</v>
      </c>
      <c r="AO93" s="3"/>
      <c r="AP93">
        <v>0</v>
      </c>
      <c r="AR93" t="s">
        <v>0</v>
      </c>
      <c r="AT93" s="2">
        <v>3.573</v>
      </c>
      <c r="AU93" s="1">
        <f t="shared" si="11"/>
        <v>2.1900112938908389</v>
      </c>
      <c r="AV93" s="1">
        <f t="shared" si="12"/>
        <v>1.5892089141794015</v>
      </c>
      <c r="AW93" s="1">
        <f t="shared" si="13"/>
        <v>0.98840653446796345</v>
      </c>
    </row>
    <row r="94" spans="1:49" x14ac:dyDescent="0.2">
      <c r="A94">
        <v>92</v>
      </c>
      <c r="B94" t="s">
        <v>8226</v>
      </c>
      <c r="C94" t="s">
        <v>8225</v>
      </c>
      <c r="F94" t="s">
        <v>8224</v>
      </c>
      <c r="G94" t="s">
        <v>15</v>
      </c>
      <c r="H94" t="s">
        <v>14</v>
      </c>
      <c r="I94" t="s">
        <v>8223</v>
      </c>
      <c r="J94">
        <v>60025038</v>
      </c>
      <c r="K94" t="s">
        <v>404</v>
      </c>
      <c r="L94" t="s">
        <v>403</v>
      </c>
      <c r="M94" t="s">
        <v>23</v>
      </c>
      <c r="N94">
        <v>2</v>
      </c>
      <c r="O94" t="s">
        <v>8222</v>
      </c>
      <c r="P94" t="s">
        <v>8221</v>
      </c>
      <c r="Q94" t="s">
        <v>400</v>
      </c>
      <c r="R94" s="7">
        <v>32599</v>
      </c>
      <c r="S94" s="8">
        <f t="shared" si="8"/>
        <v>1989</v>
      </c>
      <c r="T94" s="8">
        <v>1989</v>
      </c>
      <c r="U94" s="8">
        <f t="shared" si="9"/>
        <v>33</v>
      </c>
      <c r="V94" s="7">
        <v>32599</v>
      </c>
      <c r="W94" t="s">
        <v>192</v>
      </c>
      <c r="X94" s="2">
        <v>1.1579999999999999</v>
      </c>
      <c r="Y94" s="6">
        <f t="shared" si="14"/>
        <v>3.0912148634579962E-2</v>
      </c>
      <c r="AA94">
        <v>1668595</v>
      </c>
      <c r="AB94">
        <v>14223</v>
      </c>
      <c r="AC94">
        <v>15735079</v>
      </c>
      <c r="AD94" t="s">
        <v>5</v>
      </c>
      <c r="AE94">
        <v>20</v>
      </c>
      <c r="AF94">
        <v>1</v>
      </c>
      <c r="AH94" t="s">
        <v>8220</v>
      </c>
      <c r="AI94" t="s">
        <v>8219</v>
      </c>
      <c r="AJ94" t="s">
        <v>8218</v>
      </c>
      <c r="AK94" t="s">
        <v>8217</v>
      </c>
      <c r="AL94">
        <v>33</v>
      </c>
      <c r="AM94" s="5">
        <f t="shared" si="10"/>
        <v>1</v>
      </c>
      <c r="AN94" s="4">
        <f t="shared" si="15"/>
        <v>1.5145778114350624E-3</v>
      </c>
      <c r="AO94" s="3"/>
      <c r="AP94">
        <v>0</v>
      </c>
      <c r="AR94" t="s">
        <v>0</v>
      </c>
      <c r="AT94" s="2">
        <v>3.573</v>
      </c>
      <c r="AU94" s="1">
        <f t="shared" si="11"/>
        <v>2.2092877387636491</v>
      </c>
      <c r="AV94" s="1">
        <f t="shared" si="12"/>
        <v>1.6213363223007513</v>
      </c>
      <c r="AW94" s="1">
        <f t="shared" si="13"/>
        <v>1.0333849058378533</v>
      </c>
    </row>
    <row r="95" spans="1:49" x14ac:dyDescent="0.2">
      <c r="A95">
        <v>93</v>
      </c>
      <c r="B95" t="s">
        <v>8216</v>
      </c>
      <c r="F95" t="s">
        <v>8215</v>
      </c>
      <c r="G95" t="s">
        <v>15</v>
      </c>
      <c r="H95" t="s">
        <v>14</v>
      </c>
      <c r="I95" t="s">
        <v>8214</v>
      </c>
      <c r="J95">
        <v>60025038</v>
      </c>
      <c r="K95" t="s">
        <v>404</v>
      </c>
      <c r="L95" t="s">
        <v>403</v>
      </c>
      <c r="M95" t="s">
        <v>23</v>
      </c>
      <c r="N95">
        <v>3</v>
      </c>
      <c r="O95" t="s">
        <v>8213</v>
      </c>
      <c r="P95" t="s">
        <v>8212</v>
      </c>
      <c r="Q95" t="s">
        <v>2035</v>
      </c>
      <c r="R95" s="7">
        <v>32599</v>
      </c>
      <c r="S95" s="8">
        <f t="shared" si="8"/>
        <v>1989</v>
      </c>
      <c r="T95" s="8">
        <v>1989</v>
      </c>
      <c r="U95" s="8">
        <f t="shared" si="9"/>
        <v>33</v>
      </c>
      <c r="V95" s="7">
        <v>32599</v>
      </c>
      <c r="W95" t="s">
        <v>6419</v>
      </c>
      <c r="X95" s="2">
        <v>1.9750000000000001</v>
      </c>
      <c r="Y95" s="6">
        <f t="shared" si="14"/>
        <v>5.2721497023571186E-2</v>
      </c>
      <c r="AA95">
        <v>320781</v>
      </c>
      <c r="AB95">
        <v>19019</v>
      </c>
      <c r="AD95" t="s">
        <v>5</v>
      </c>
      <c r="AE95">
        <v>30</v>
      </c>
      <c r="AF95">
        <v>3</v>
      </c>
      <c r="AH95" t="s">
        <v>8211</v>
      </c>
      <c r="AI95" t="s">
        <v>8210</v>
      </c>
      <c r="AJ95" t="s">
        <v>8209</v>
      </c>
      <c r="AK95" t="s">
        <v>8208</v>
      </c>
      <c r="AL95">
        <v>48</v>
      </c>
      <c r="AM95" s="5">
        <f t="shared" si="10"/>
        <v>1.4545454545454546</v>
      </c>
      <c r="AN95" s="4">
        <f t="shared" si="15"/>
        <v>2.2030222711782728E-3</v>
      </c>
      <c r="AO95" s="3"/>
      <c r="AP95">
        <v>0</v>
      </c>
      <c r="AQ95" t="s">
        <v>618</v>
      </c>
      <c r="AR95" t="s">
        <v>8207</v>
      </c>
      <c r="AS95" t="s">
        <v>616</v>
      </c>
      <c r="AT95" s="2">
        <v>4.9269999999999996</v>
      </c>
      <c r="AU95" s="1">
        <f t="shared" si="11"/>
        <v>3.7565954597853315</v>
      </c>
      <c r="AV95" s="1">
        <f t="shared" si="12"/>
        <v>2.7462259647374729</v>
      </c>
      <c r="AW95" s="1">
        <f t="shared" si="13"/>
        <v>1.7358564696896144</v>
      </c>
    </row>
    <row r="96" spans="1:49" x14ac:dyDescent="0.2">
      <c r="A96">
        <v>94</v>
      </c>
      <c r="B96" t="s">
        <v>8206</v>
      </c>
      <c r="C96" t="s">
        <v>8205</v>
      </c>
      <c r="F96" t="s">
        <v>8204</v>
      </c>
      <c r="G96" t="s">
        <v>15</v>
      </c>
      <c r="H96" t="s">
        <v>14</v>
      </c>
      <c r="I96" t="s">
        <v>8203</v>
      </c>
      <c r="J96">
        <v>60031701</v>
      </c>
      <c r="K96" t="s">
        <v>2748</v>
      </c>
      <c r="L96" t="s">
        <v>2747</v>
      </c>
      <c r="M96" t="s">
        <v>115</v>
      </c>
      <c r="N96">
        <v>1</v>
      </c>
      <c r="O96" t="s">
        <v>8202</v>
      </c>
      <c r="P96">
        <v>57217640772</v>
      </c>
      <c r="Q96">
        <v>60031701</v>
      </c>
      <c r="R96" s="7">
        <v>32597</v>
      </c>
      <c r="S96" s="8">
        <f t="shared" si="8"/>
        <v>1989</v>
      </c>
      <c r="T96" s="8">
        <v>1989</v>
      </c>
      <c r="U96" s="8">
        <f t="shared" si="9"/>
        <v>33</v>
      </c>
      <c r="V96" s="7">
        <v>32597</v>
      </c>
      <c r="W96" t="s">
        <v>2469</v>
      </c>
      <c r="X96" s="2">
        <v>0.375</v>
      </c>
      <c r="Y96" s="6">
        <f t="shared" si="14"/>
        <v>1.0010410827260351E-2</v>
      </c>
      <c r="AA96">
        <v>135194</v>
      </c>
      <c r="AB96">
        <v>24918</v>
      </c>
      <c r="AD96" t="s">
        <v>5</v>
      </c>
      <c r="AE96">
        <v>25</v>
      </c>
      <c r="AF96">
        <v>7</v>
      </c>
      <c r="AH96" t="s">
        <v>8201</v>
      </c>
      <c r="AI96" t="s">
        <v>8200</v>
      </c>
      <c r="AJ96" t="s">
        <v>8199</v>
      </c>
      <c r="AK96" t="s">
        <v>8198</v>
      </c>
      <c r="AL96">
        <v>2</v>
      </c>
      <c r="AM96" s="5">
        <f t="shared" si="10"/>
        <v>6.0606060606060608E-2</v>
      </c>
      <c r="AN96" s="4">
        <f t="shared" si="15"/>
        <v>9.1792594632428032E-5</v>
      </c>
      <c r="AO96" s="3"/>
      <c r="AP96">
        <v>0</v>
      </c>
      <c r="AR96" t="s">
        <v>0</v>
      </c>
      <c r="AT96" s="2">
        <v>1.3140000000000001</v>
      </c>
      <c r="AU96" s="1">
        <f t="shared" si="11"/>
        <v>0.70348253574719743</v>
      </c>
      <c r="AV96" s="1">
        <f t="shared" si="12"/>
        <v>0.50511017109463896</v>
      </c>
      <c r="AW96" s="1">
        <f t="shared" si="13"/>
        <v>0.30673780644208049</v>
      </c>
    </row>
    <row r="97" spans="1:49" x14ac:dyDescent="0.2">
      <c r="A97">
        <v>95</v>
      </c>
      <c r="B97" t="s">
        <v>8197</v>
      </c>
      <c r="C97" t="s">
        <v>8196</v>
      </c>
      <c r="F97" t="s">
        <v>8195</v>
      </c>
      <c r="G97" t="s">
        <v>15</v>
      </c>
      <c r="H97" t="s">
        <v>14</v>
      </c>
      <c r="I97" t="s">
        <v>8194</v>
      </c>
      <c r="J97" t="s">
        <v>8193</v>
      </c>
      <c r="K97" t="s">
        <v>8192</v>
      </c>
      <c r="L97" t="s">
        <v>8191</v>
      </c>
      <c r="M97" t="s">
        <v>8190</v>
      </c>
      <c r="N97">
        <v>4</v>
      </c>
      <c r="O97" t="s">
        <v>8189</v>
      </c>
      <c r="P97" t="s">
        <v>8188</v>
      </c>
      <c r="Q97" t="s">
        <v>8187</v>
      </c>
      <c r="R97" s="7">
        <v>32597</v>
      </c>
      <c r="S97" s="8">
        <f t="shared" si="8"/>
        <v>1989</v>
      </c>
      <c r="T97" s="8">
        <v>1989</v>
      </c>
      <c r="U97" s="8">
        <f t="shared" si="9"/>
        <v>33</v>
      </c>
      <c r="V97" s="7">
        <v>32597</v>
      </c>
      <c r="W97" t="s">
        <v>2469</v>
      </c>
      <c r="X97" s="2">
        <v>0.375</v>
      </c>
      <c r="Y97" s="6">
        <f t="shared" si="14"/>
        <v>1.0010410827260351E-2</v>
      </c>
      <c r="AA97">
        <v>135194</v>
      </c>
      <c r="AB97">
        <v>24918</v>
      </c>
      <c r="AD97" t="s">
        <v>5</v>
      </c>
      <c r="AE97">
        <v>25</v>
      </c>
      <c r="AF97">
        <v>7</v>
      </c>
      <c r="AH97" t="s">
        <v>8186</v>
      </c>
      <c r="AI97" t="s">
        <v>8185</v>
      </c>
      <c r="AJ97" t="s">
        <v>8184</v>
      </c>
      <c r="AK97" t="s">
        <v>8183</v>
      </c>
      <c r="AL97">
        <v>1</v>
      </c>
      <c r="AM97" s="5">
        <f t="shared" si="10"/>
        <v>3.0303030303030304E-2</v>
      </c>
      <c r="AN97" s="4">
        <f t="shared" si="15"/>
        <v>4.5896297316214016E-5</v>
      </c>
      <c r="AO97" s="3"/>
      <c r="AP97">
        <v>0</v>
      </c>
      <c r="AR97" t="s">
        <v>0</v>
      </c>
      <c r="AT97" s="2">
        <v>1.3140000000000001</v>
      </c>
      <c r="AU97" s="1">
        <f t="shared" si="11"/>
        <v>0.70210564682771104</v>
      </c>
      <c r="AV97" s="1">
        <f t="shared" si="12"/>
        <v>0.50281535622882823</v>
      </c>
      <c r="AW97" s="1">
        <f t="shared" si="13"/>
        <v>0.30352506562994552</v>
      </c>
    </row>
    <row r="98" spans="1:49" x14ac:dyDescent="0.2">
      <c r="A98">
        <v>96</v>
      </c>
      <c r="B98" t="s">
        <v>8182</v>
      </c>
      <c r="C98" t="s">
        <v>8181</v>
      </c>
      <c r="F98" t="s">
        <v>8180</v>
      </c>
      <c r="G98" t="s">
        <v>15</v>
      </c>
      <c r="H98" t="s">
        <v>14</v>
      </c>
      <c r="I98" t="s">
        <v>8179</v>
      </c>
      <c r="J98">
        <v>60032730</v>
      </c>
      <c r="K98" t="s">
        <v>8178</v>
      </c>
      <c r="L98" t="s">
        <v>8177</v>
      </c>
      <c r="M98" t="s">
        <v>885</v>
      </c>
      <c r="N98">
        <v>1</v>
      </c>
      <c r="O98" t="s">
        <v>8176</v>
      </c>
      <c r="P98">
        <v>57208023373</v>
      </c>
      <c r="Q98">
        <v>60032730</v>
      </c>
      <c r="R98" s="7">
        <v>32597</v>
      </c>
      <c r="S98" s="8">
        <f t="shared" si="8"/>
        <v>1989</v>
      </c>
      <c r="T98" s="8">
        <v>1989</v>
      </c>
      <c r="U98" s="8">
        <f t="shared" si="9"/>
        <v>33</v>
      </c>
      <c r="V98" s="7">
        <v>32597</v>
      </c>
      <c r="W98" t="s">
        <v>2469</v>
      </c>
      <c r="X98" s="2">
        <v>0.375</v>
      </c>
      <c r="Y98" s="6">
        <f t="shared" si="14"/>
        <v>1.0010410827260351E-2</v>
      </c>
      <c r="AA98">
        <v>135194</v>
      </c>
      <c r="AB98">
        <v>24918</v>
      </c>
      <c r="AD98" t="s">
        <v>5</v>
      </c>
      <c r="AE98">
        <v>25</v>
      </c>
      <c r="AF98">
        <v>7</v>
      </c>
      <c r="AH98" t="s">
        <v>8175</v>
      </c>
      <c r="AI98" t="s">
        <v>8174</v>
      </c>
      <c r="AJ98" t="s">
        <v>8173</v>
      </c>
      <c r="AK98" t="s">
        <v>8172</v>
      </c>
      <c r="AL98">
        <v>46</v>
      </c>
      <c r="AM98" s="5">
        <f t="shared" si="10"/>
        <v>1.393939393939394</v>
      </c>
      <c r="AN98" s="4">
        <f t="shared" si="15"/>
        <v>2.111229676545845E-3</v>
      </c>
      <c r="AO98" s="3"/>
      <c r="AP98">
        <v>0</v>
      </c>
      <c r="AR98" t="s">
        <v>0</v>
      </c>
      <c r="AT98" s="2">
        <v>1.3140000000000001</v>
      </c>
      <c r="AU98" s="1">
        <f t="shared" si="11"/>
        <v>0.76406564820459999</v>
      </c>
      <c r="AV98" s="1">
        <f t="shared" si="12"/>
        <v>0.60608202519030985</v>
      </c>
      <c r="AW98" s="1">
        <f t="shared" si="13"/>
        <v>0.44809840217601965</v>
      </c>
    </row>
    <row r="99" spans="1:49" x14ac:dyDescent="0.2">
      <c r="A99">
        <v>97</v>
      </c>
      <c r="B99" t="s">
        <v>8171</v>
      </c>
      <c r="C99" t="s">
        <v>8170</v>
      </c>
      <c r="D99">
        <v>22098189900889</v>
      </c>
      <c r="F99" t="s">
        <v>8169</v>
      </c>
      <c r="G99" t="s">
        <v>15</v>
      </c>
      <c r="H99" t="s">
        <v>14</v>
      </c>
      <c r="I99" t="s">
        <v>8168</v>
      </c>
      <c r="J99" t="s">
        <v>8167</v>
      </c>
      <c r="K99" t="s">
        <v>8166</v>
      </c>
      <c r="L99" t="s">
        <v>8165</v>
      </c>
      <c r="M99" t="s">
        <v>86</v>
      </c>
      <c r="N99">
        <v>1</v>
      </c>
      <c r="O99" t="s">
        <v>8164</v>
      </c>
      <c r="P99">
        <v>24354768600</v>
      </c>
      <c r="Q99" t="s">
        <v>8163</v>
      </c>
      <c r="R99" s="7">
        <v>32583</v>
      </c>
      <c r="S99" s="8">
        <f t="shared" si="8"/>
        <v>1989</v>
      </c>
      <c r="T99" s="8">
        <v>1989</v>
      </c>
      <c r="U99" s="8">
        <f t="shared" si="9"/>
        <v>33</v>
      </c>
      <c r="V99" s="7">
        <v>32583</v>
      </c>
      <c r="W99" t="s">
        <v>5906</v>
      </c>
      <c r="X99" s="2">
        <v>0.96499999999999997</v>
      </c>
      <c r="Y99" s="6">
        <f t="shared" si="14"/>
        <v>2.5760123862149969E-2</v>
      </c>
      <c r="AA99">
        <v>220981</v>
      </c>
      <c r="AB99">
        <v>29606</v>
      </c>
      <c r="AD99" t="s">
        <v>5</v>
      </c>
      <c r="AE99">
        <v>126</v>
      </c>
      <c r="AF99">
        <v>2</v>
      </c>
      <c r="AH99" t="s">
        <v>8162</v>
      </c>
      <c r="AI99" t="s">
        <v>8161</v>
      </c>
      <c r="AJ99" t="s">
        <v>8160</v>
      </c>
      <c r="AK99" t="s">
        <v>8159</v>
      </c>
      <c r="AL99">
        <v>35</v>
      </c>
      <c r="AM99" s="5">
        <f t="shared" si="10"/>
        <v>1.0606060606060606</v>
      </c>
      <c r="AN99" s="4">
        <f t="shared" si="15"/>
        <v>1.6063704060674904E-3</v>
      </c>
      <c r="AO99" s="3"/>
      <c r="AP99">
        <v>0</v>
      </c>
      <c r="AQ99" t="s">
        <v>618</v>
      </c>
      <c r="AR99" t="s">
        <v>8158</v>
      </c>
      <c r="AS99" t="s">
        <v>616</v>
      </c>
      <c r="AT99" s="2" t="s">
        <v>19</v>
      </c>
      <c r="AU99" s="1">
        <f t="shared" si="11"/>
        <v>1.8513997825325221</v>
      </c>
      <c r="AV99" s="1">
        <f t="shared" si="12"/>
        <v>1.3683247134108729</v>
      </c>
      <c r="AW99" s="1">
        <f t="shared" si="13"/>
        <v>0.88524964428922326</v>
      </c>
    </row>
    <row r="100" spans="1:49" x14ac:dyDescent="0.2">
      <c r="A100">
        <v>98</v>
      </c>
      <c r="B100" t="s">
        <v>8157</v>
      </c>
      <c r="C100" t="s">
        <v>8156</v>
      </c>
      <c r="D100">
        <v>14579389801899</v>
      </c>
      <c r="F100" t="s">
        <v>8155</v>
      </c>
      <c r="G100" t="s">
        <v>15</v>
      </c>
      <c r="H100" t="s">
        <v>14</v>
      </c>
      <c r="I100" t="s">
        <v>8154</v>
      </c>
      <c r="J100" t="s">
        <v>8148</v>
      </c>
      <c r="K100" t="s">
        <v>8153</v>
      </c>
      <c r="L100" t="s">
        <v>8152</v>
      </c>
      <c r="M100" t="s">
        <v>8151</v>
      </c>
      <c r="N100">
        <v>3</v>
      </c>
      <c r="O100" t="s">
        <v>8150</v>
      </c>
      <c r="P100" t="s">
        <v>8149</v>
      </c>
      <c r="Q100" t="s">
        <v>8148</v>
      </c>
      <c r="R100" s="7">
        <v>32580</v>
      </c>
      <c r="S100" s="8">
        <f t="shared" ref="S100:S163" si="16">YEAR(R100)</f>
        <v>1989</v>
      </c>
      <c r="T100" s="8">
        <v>1989</v>
      </c>
      <c r="U100" s="8">
        <f t="shared" ref="U100:U163" si="17">2022-T100</f>
        <v>33</v>
      </c>
      <c r="V100" s="7">
        <v>32580</v>
      </c>
      <c r="W100" t="s">
        <v>8147</v>
      </c>
      <c r="X100" s="2">
        <v>1.593</v>
      </c>
      <c r="Y100" s="6">
        <f t="shared" si="14"/>
        <v>4.2524225194201973E-2</v>
      </c>
      <c r="AA100">
        <v>145793</v>
      </c>
      <c r="AB100">
        <v>17481</v>
      </c>
      <c r="AD100" t="s">
        <v>5</v>
      </c>
      <c r="AE100">
        <v>245</v>
      </c>
      <c r="AF100" s="9">
        <v>44228</v>
      </c>
      <c r="AH100" t="s">
        <v>8146</v>
      </c>
      <c r="AI100" t="s">
        <v>8145</v>
      </c>
      <c r="AJ100" t="s">
        <v>8144</v>
      </c>
      <c r="AK100" t="s">
        <v>8143</v>
      </c>
      <c r="AL100">
        <v>37</v>
      </c>
      <c r="AM100" s="5">
        <f t="shared" ref="AM100:AM163" si="18">AL100/U100</f>
        <v>1.1212121212121211</v>
      </c>
      <c r="AN100" s="4">
        <f t="shared" si="15"/>
        <v>1.6981630006999184E-3</v>
      </c>
      <c r="AO100" s="3"/>
      <c r="AP100">
        <v>1</v>
      </c>
      <c r="AR100" t="s">
        <v>0</v>
      </c>
      <c r="AT100" s="2">
        <v>4.1239999999999997</v>
      </c>
      <c r="AU100" s="1">
        <f t="shared" ref="AU100:AU163" si="19">(Y100*0.7+AN100*0.3)*100</f>
        <v>3.0276406536151357</v>
      </c>
      <c r="AV100" s="1">
        <f t="shared" ref="AV100:AV163" si="20">(Y100*0.5+AN100*0.5)*100</f>
        <v>2.2111194097450944</v>
      </c>
      <c r="AW100" s="1">
        <f t="shared" ref="AW100:AW163" si="21">(Y100*0.3+AN100*0.7)*100</f>
        <v>1.3945981658750535</v>
      </c>
    </row>
    <row r="101" spans="1:49" x14ac:dyDescent="0.2">
      <c r="A101">
        <v>99</v>
      </c>
      <c r="B101" t="s">
        <v>8142</v>
      </c>
      <c r="C101" t="s">
        <v>8141</v>
      </c>
      <c r="F101" t="s">
        <v>8140</v>
      </c>
      <c r="G101" t="s">
        <v>15</v>
      </c>
      <c r="H101" t="s">
        <v>14</v>
      </c>
      <c r="I101" t="s">
        <v>8139</v>
      </c>
      <c r="J101">
        <v>60005244</v>
      </c>
      <c r="K101" t="s">
        <v>8138</v>
      </c>
      <c r="L101" t="s">
        <v>7925</v>
      </c>
      <c r="M101" t="s">
        <v>1641</v>
      </c>
      <c r="N101">
        <v>3</v>
      </c>
      <c r="O101" t="s">
        <v>8137</v>
      </c>
      <c r="P101" t="s">
        <v>8136</v>
      </c>
      <c r="Q101" t="s">
        <v>8135</v>
      </c>
      <c r="R101" s="7">
        <v>32568</v>
      </c>
      <c r="S101" s="8">
        <f t="shared" si="16"/>
        <v>1989</v>
      </c>
      <c r="T101" s="8">
        <v>1989</v>
      </c>
      <c r="U101" s="8">
        <f t="shared" si="17"/>
        <v>33</v>
      </c>
      <c r="V101" s="7">
        <v>32568</v>
      </c>
      <c r="W101" t="s">
        <v>6498</v>
      </c>
      <c r="X101" s="2">
        <v>0.61499999999999999</v>
      </c>
      <c r="Y101" s="6">
        <f t="shared" si="14"/>
        <v>1.6417073756706976E-2</v>
      </c>
      <c r="AA101">
        <v>1959271</v>
      </c>
      <c r="AB101">
        <v>12141</v>
      </c>
      <c r="AC101">
        <v>15729559</v>
      </c>
      <c r="AD101" t="s">
        <v>5</v>
      </c>
      <c r="AE101">
        <v>10</v>
      </c>
      <c r="AF101">
        <v>3</v>
      </c>
      <c r="AH101" t="s">
        <v>8134</v>
      </c>
      <c r="AI101" t="s">
        <v>8133</v>
      </c>
      <c r="AK101" t="s">
        <v>8132</v>
      </c>
      <c r="AL101">
        <v>2</v>
      </c>
      <c r="AM101" s="5">
        <f t="shared" si="18"/>
        <v>6.0606060606060608E-2</v>
      </c>
      <c r="AN101" s="4">
        <f t="shared" si="15"/>
        <v>9.1792594632428032E-5</v>
      </c>
      <c r="AO101" s="3"/>
      <c r="AP101">
        <v>0</v>
      </c>
      <c r="AR101" t="s">
        <v>0</v>
      </c>
      <c r="AT101" s="2" t="s">
        <v>19</v>
      </c>
      <c r="AU101" s="1">
        <f t="shared" si="19"/>
        <v>1.1519489408084611</v>
      </c>
      <c r="AV101" s="1">
        <f t="shared" si="20"/>
        <v>0.82544331756697009</v>
      </c>
      <c r="AW101" s="1">
        <f t="shared" si="21"/>
        <v>0.49893769432547924</v>
      </c>
    </row>
    <row r="102" spans="1:49" x14ac:dyDescent="0.2">
      <c r="A102">
        <v>100</v>
      </c>
      <c r="B102" t="s">
        <v>8131</v>
      </c>
      <c r="C102" t="s">
        <v>8130</v>
      </c>
      <c r="F102" t="s">
        <v>8129</v>
      </c>
      <c r="G102" t="s">
        <v>15</v>
      </c>
      <c r="H102" t="s">
        <v>14</v>
      </c>
      <c r="I102" t="s">
        <v>8128</v>
      </c>
      <c r="J102">
        <v>60019782</v>
      </c>
      <c r="K102" t="s">
        <v>8127</v>
      </c>
      <c r="L102" t="s">
        <v>8126</v>
      </c>
      <c r="M102" t="s">
        <v>7648</v>
      </c>
      <c r="N102">
        <v>2</v>
      </c>
      <c r="O102" t="s">
        <v>8125</v>
      </c>
      <c r="P102" t="s">
        <v>8124</v>
      </c>
      <c r="Q102" t="s">
        <v>8123</v>
      </c>
      <c r="R102" s="7">
        <v>32568</v>
      </c>
      <c r="S102" s="8">
        <f t="shared" si="16"/>
        <v>1989</v>
      </c>
      <c r="T102" s="8">
        <v>1989</v>
      </c>
      <c r="U102" s="8">
        <f t="shared" si="17"/>
        <v>33</v>
      </c>
      <c r="V102" s="7">
        <v>32568</v>
      </c>
      <c r="W102" t="s">
        <v>8122</v>
      </c>
      <c r="X102" s="2" t="s">
        <v>19</v>
      </c>
      <c r="Y102" s="6" t="e">
        <f t="shared" si="14"/>
        <v>#VALUE!</v>
      </c>
      <c r="AA102">
        <v>1051938</v>
      </c>
      <c r="AB102">
        <v>76824</v>
      </c>
      <c r="AD102" t="s">
        <v>5</v>
      </c>
      <c r="AE102">
        <v>54</v>
      </c>
      <c r="AF102">
        <v>2</v>
      </c>
      <c r="AH102" t="s">
        <v>8121</v>
      </c>
      <c r="AI102" t="s">
        <v>8120</v>
      </c>
      <c r="AJ102" t="s">
        <v>8119</v>
      </c>
      <c r="AK102" t="s">
        <v>8118</v>
      </c>
      <c r="AL102">
        <v>16</v>
      </c>
      <c r="AM102" s="5">
        <f t="shared" si="18"/>
        <v>0.48484848484848486</v>
      </c>
      <c r="AN102" s="4">
        <f t="shared" si="15"/>
        <v>7.3434075705942426E-4</v>
      </c>
      <c r="AO102" s="3"/>
      <c r="AP102">
        <v>1</v>
      </c>
      <c r="AR102" t="s">
        <v>0</v>
      </c>
      <c r="AT102" s="2" t="s">
        <v>19</v>
      </c>
      <c r="AU102" s="1" t="e">
        <f t="shared" si="19"/>
        <v>#VALUE!</v>
      </c>
      <c r="AV102" s="1" t="e">
        <f t="shared" si="20"/>
        <v>#VALUE!</v>
      </c>
      <c r="AW102" s="1" t="e">
        <f t="shared" si="21"/>
        <v>#VALUE!</v>
      </c>
    </row>
    <row r="103" spans="1:49" x14ac:dyDescent="0.2">
      <c r="A103">
        <v>101</v>
      </c>
      <c r="B103" t="s">
        <v>8117</v>
      </c>
      <c r="C103" t="s">
        <v>8116</v>
      </c>
      <c r="F103" t="s">
        <v>8115</v>
      </c>
      <c r="G103" t="s">
        <v>15</v>
      </c>
      <c r="H103" t="s">
        <v>14</v>
      </c>
      <c r="I103" t="s">
        <v>8114</v>
      </c>
      <c r="J103">
        <v>60005038</v>
      </c>
      <c r="K103" t="s">
        <v>8113</v>
      </c>
      <c r="L103" t="s">
        <v>8112</v>
      </c>
      <c r="M103" t="s">
        <v>115</v>
      </c>
      <c r="N103">
        <v>2</v>
      </c>
      <c r="O103" t="s">
        <v>8111</v>
      </c>
      <c r="P103" t="s">
        <v>8110</v>
      </c>
      <c r="Q103" t="s">
        <v>8109</v>
      </c>
      <c r="R103" s="7">
        <v>32568</v>
      </c>
      <c r="S103" s="8">
        <f t="shared" si="16"/>
        <v>1989</v>
      </c>
      <c r="T103" s="8">
        <v>1989</v>
      </c>
      <c r="U103" s="8">
        <f t="shared" si="17"/>
        <v>33</v>
      </c>
      <c r="V103" s="7">
        <v>32568</v>
      </c>
      <c r="W103" t="s">
        <v>8108</v>
      </c>
      <c r="X103" s="2">
        <v>1.3280000000000001</v>
      </c>
      <c r="Y103" s="6">
        <f t="shared" si="14"/>
        <v>3.5450201542937994E-2</v>
      </c>
      <c r="AA103">
        <v>298549</v>
      </c>
      <c r="AB103">
        <v>12925</v>
      </c>
      <c r="AC103">
        <v>14321939</v>
      </c>
      <c r="AD103" t="s">
        <v>5</v>
      </c>
      <c r="AE103">
        <v>78</v>
      </c>
      <c r="AF103">
        <v>4</v>
      </c>
      <c r="AH103" t="s">
        <v>8107</v>
      </c>
      <c r="AI103" t="s">
        <v>8106</v>
      </c>
      <c r="AJ103" t="s">
        <v>8105</v>
      </c>
      <c r="AK103" t="s">
        <v>8104</v>
      </c>
      <c r="AL103">
        <v>26</v>
      </c>
      <c r="AM103" s="5">
        <f t="shared" si="18"/>
        <v>0.78787878787878785</v>
      </c>
      <c r="AN103" s="4">
        <f t="shared" si="15"/>
        <v>1.1933037302215644E-3</v>
      </c>
      <c r="AO103" s="3"/>
      <c r="AP103">
        <v>0</v>
      </c>
      <c r="AR103" t="s">
        <v>0</v>
      </c>
      <c r="AT103" s="2">
        <v>3.2250000000000001</v>
      </c>
      <c r="AU103" s="1">
        <f t="shared" si="19"/>
        <v>2.5173132199123067</v>
      </c>
      <c r="AV103" s="1">
        <f t="shared" si="20"/>
        <v>1.8321752636579778</v>
      </c>
      <c r="AW103" s="1">
        <f t="shared" si="21"/>
        <v>1.1470373074036493</v>
      </c>
    </row>
    <row r="104" spans="1:49" x14ac:dyDescent="0.2">
      <c r="A104">
        <v>102</v>
      </c>
      <c r="B104" t="s">
        <v>8103</v>
      </c>
      <c r="C104" t="s">
        <v>8102</v>
      </c>
      <c r="F104" t="s">
        <v>8101</v>
      </c>
      <c r="G104" t="s">
        <v>15</v>
      </c>
      <c r="H104" t="s">
        <v>14</v>
      </c>
      <c r="I104" t="s">
        <v>8100</v>
      </c>
      <c r="J104" t="s">
        <v>8095</v>
      </c>
      <c r="K104" t="s">
        <v>8099</v>
      </c>
      <c r="L104" t="s">
        <v>8098</v>
      </c>
      <c r="M104" t="s">
        <v>3567</v>
      </c>
      <c r="N104">
        <v>2</v>
      </c>
      <c r="O104" t="s">
        <v>8097</v>
      </c>
      <c r="P104" t="s">
        <v>8096</v>
      </c>
      <c r="Q104" t="s">
        <v>8095</v>
      </c>
      <c r="R104" s="7">
        <v>32568</v>
      </c>
      <c r="S104" s="8">
        <f t="shared" si="16"/>
        <v>1989</v>
      </c>
      <c r="T104" s="8">
        <v>1989</v>
      </c>
      <c r="U104" s="8">
        <f t="shared" si="17"/>
        <v>33</v>
      </c>
      <c r="V104" s="7">
        <v>32568</v>
      </c>
      <c r="W104" t="s">
        <v>8094</v>
      </c>
      <c r="X104" s="2">
        <v>0.39</v>
      </c>
      <c r="Y104" s="6">
        <f t="shared" si="14"/>
        <v>1.0410827260350766E-2</v>
      </c>
      <c r="AA104" t="s">
        <v>8093</v>
      </c>
      <c r="AB104">
        <v>18780</v>
      </c>
      <c r="AC104">
        <v>15315878</v>
      </c>
      <c r="AD104" t="s">
        <v>5</v>
      </c>
      <c r="AE104">
        <v>8</v>
      </c>
      <c r="AF104">
        <v>1</v>
      </c>
      <c r="AH104" t="s">
        <v>8092</v>
      </c>
      <c r="AI104" t="s">
        <v>8091</v>
      </c>
      <c r="AK104" t="s">
        <v>8090</v>
      </c>
      <c r="AL104">
        <v>100</v>
      </c>
      <c r="AM104" s="5">
        <f t="shared" si="18"/>
        <v>3.0303030303030303</v>
      </c>
      <c r="AN104" s="4">
        <f t="shared" si="15"/>
        <v>4.5896297316214011E-3</v>
      </c>
      <c r="AO104" s="3"/>
      <c r="AP104">
        <v>0</v>
      </c>
      <c r="AR104" t="s">
        <v>0</v>
      </c>
      <c r="AT104" s="2" t="s">
        <v>19</v>
      </c>
      <c r="AU104" s="1">
        <f t="shared" si="19"/>
        <v>0.86644680017319564</v>
      </c>
      <c r="AV104" s="1">
        <f t="shared" si="20"/>
        <v>0.75002284959860832</v>
      </c>
      <c r="AW104" s="1">
        <f t="shared" si="21"/>
        <v>0.633598899024021</v>
      </c>
    </row>
    <row r="105" spans="1:49" x14ac:dyDescent="0.2">
      <c r="A105">
        <v>103</v>
      </c>
      <c r="B105" t="s">
        <v>8089</v>
      </c>
      <c r="C105" t="s">
        <v>8088</v>
      </c>
      <c r="F105" t="s">
        <v>8087</v>
      </c>
      <c r="G105" t="s">
        <v>15</v>
      </c>
      <c r="H105" t="s">
        <v>14</v>
      </c>
      <c r="I105" t="s">
        <v>8086</v>
      </c>
      <c r="N105">
        <v>2</v>
      </c>
      <c r="O105" t="s">
        <v>8085</v>
      </c>
      <c r="P105" t="s">
        <v>8084</v>
      </c>
      <c r="Q105" t="s">
        <v>1071</v>
      </c>
      <c r="R105" s="7">
        <v>32568</v>
      </c>
      <c r="S105" s="8">
        <f t="shared" si="16"/>
        <v>1989</v>
      </c>
      <c r="T105" s="8">
        <v>1989</v>
      </c>
      <c r="U105" s="8">
        <f t="shared" si="17"/>
        <v>33</v>
      </c>
      <c r="V105" s="7">
        <v>32568</v>
      </c>
      <c r="W105" t="s">
        <v>3481</v>
      </c>
      <c r="X105" s="2">
        <v>0.14899999999999999</v>
      </c>
      <c r="Y105" s="6">
        <f t="shared" si="14"/>
        <v>3.977469902031446E-3</v>
      </c>
      <c r="AA105">
        <v>5431972</v>
      </c>
      <c r="AB105">
        <v>15425</v>
      </c>
      <c r="AC105">
        <v>15738906</v>
      </c>
      <c r="AD105" t="s">
        <v>5</v>
      </c>
      <c r="AE105">
        <v>32</v>
      </c>
      <c r="AF105">
        <v>3</v>
      </c>
      <c r="AH105" t="s">
        <v>8083</v>
      </c>
      <c r="AL105">
        <v>0</v>
      </c>
      <c r="AM105" s="5">
        <f t="shared" si="18"/>
        <v>0</v>
      </c>
      <c r="AN105" s="4">
        <f t="shared" si="15"/>
        <v>0</v>
      </c>
      <c r="AO105" s="3"/>
      <c r="AP105">
        <v>0</v>
      </c>
      <c r="AR105" t="s">
        <v>0</v>
      </c>
      <c r="AT105" s="2" t="s">
        <v>19</v>
      </c>
      <c r="AU105" s="1">
        <f t="shared" si="19"/>
        <v>0.2784228931422012</v>
      </c>
      <c r="AV105" s="1">
        <f t="shared" si="20"/>
        <v>0.19887349510157229</v>
      </c>
      <c r="AW105" s="1">
        <f t="shared" si="21"/>
        <v>0.11932409706094337</v>
      </c>
    </row>
    <row r="106" spans="1:49" x14ac:dyDescent="0.2">
      <c r="A106">
        <v>104</v>
      </c>
      <c r="B106" t="s">
        <v>8082</v>
      </c>
      <c r="C106" t="s">
        <v>8081</v>
      </c>
      <c r="E106">
        <v>2601437</v>
      </c>
      <c r="F106" t="s">
        <v>8080</v>
      </c>
      <c r="G106" t="s">
        <v>15</v>
      </c>
      <c r="H106" t="s">
        <v>14</v>
      </c>
      <c r="I106" t="s">
        <v>8079</v>
      </c>
      <c r="J106">
        <v>60009512</v>
      </c>
      <c r="K106" t="s">
        <v>8078</v>
      </c>
      <c r="L106" t="s">
        <v>8077</v>
      </c>
      <c r="M106" t="s">
        <v>857</v>
      </c>
      <c r="N106">
        <v>2</v>
      </c>
      <c r="O106" t="s">
        <v>8076</v>
      </c>
      <c r="P106" t="s">
        <v>8075</v>
      </c>
      <c r="Q106" t="s">
        <v>8074</v>
      </c>
      <c r="R106" s="7">
        <v>32568</v>
      </c>
      <c r="S106" s="8">
        <f t="shared" si="16"/>
        <v>1989</v>
      </c>
      <c r="T106" s="8">
        <v>1989</v>
      </c>
      <c r="U106" s="8">
        <f t="shared" si="17"/>
        <v>33</v>
      </c>
      <c r="V106" s="7">
        <v>32568</v>
      </c>
      <c r="W106" t="s">
        <v>8073</v>
      </c>
      <c r="X106" s="2" t="s">
        <v>19</v>
      </c>
      <c r="Y106" s="6" t="e">
        <f t="shared" si="14"/>
        <v>#VALUE!</v>
      </c>
      <c r="AA106">
        <v>1400118</v>
      </c>
      <c r="AB106">
        <v>17979</v>
      </c>
      <c r="AC106">
        <v>17410444</v>
      </c>
      <c r="AD106" t="s">
        <v>5</v>
      </c>
      <c r="AE106">
        <v>27</v>
      </c>
      <c r="AF106">
        <v>2</v>
      </c>
      <c r="AH106" t="s">
        <v>8072</v>
      </c>
      <c r="AI106" t="s">
        <v>8071</v>
      </c>
      <c r="AJ106" t="s">
        <v>8070</v>
      </c>
      <c r="AK106" t="s">
        <v>8069</v>
      </c>
      <c r="AL106">
        <v>2</v>
      </c>
      <c r="AM106" s="5">
        <f t="shared" si="18"/>
        <v>6.0606060606060608E-2</v>
      </c>
      <c r="AN106" s="4">
        <f t="shared" si="15"/>
        <v>9.1792594632428032E-5</v>
      </c>
      <c r="AO106" s="3"/>
      <c r="AP106">
        <v>0</v>
      </c>
      <c r="AR106" t="s">
        <v>0</v>
      </c>
      <c r="AT106" s="2" t="s">
        <v>19</v>
      </c>
      <c r="AU106" s="1" t="e">
        <f t="shared" si="19"/>
        <v>#VALUE!</v>
      </c>
      <c r="AV106" s="1" t="e">
        <f t="shared" si="20"/>
        <v>#VALUE!</v>
      </c>
      <c r="AW106" s="1" t="e">
        <f t="shared" si="21"/>
        <v>#VALUE!</v>
      </c>
    </row>
    <row r="107" spans="1:49" x14ac:dyDescent="0.2">
      <c r="A107">
        <v>105</v>
      </c>
      <c r="B107" t="s">
        <v>8068</v>
      </c>
      <c r="F107" t="s">
        <v>8067</v>
      </c>
      <c r="G107" t="s">
        <v>15</v>
      </c>
      <c r="H107" t="s">
        <v>14</v>
      </c>
      <c r="I107" t="s">
        <v>8066</v>
      </c>
      <c r="N107">
        <v>1</v>
      </c>
      <c r="O107" t="s">
        <v>8065</v>
      </c>
      <c r="P107">
        <v>6701371017</v>
      </c>
      <c r="R107" s="7">
        <v>32568</v>
      </c>
      <c r="S107" s="8">
        <f t="shared" si="16"/>
        <v>1989</v>
      </c>
      <c r="T107" s="8">
        <v>1989</v>
      </c>
      <c r="U107" s="8">
        <f t="shared" si="17"/>
        <v>33</v>
      </c>
      <c r="V107" s="7">
        <v>32568</v>
      </c>
      <c r="W107" t="s">
        <v>1054</v>
      </c>
      <c r="X107" s="2">
        <v>0.14099999999999999</v>
      </c>
      <c r="Y107" s="6">
        <f t="shared" si="14"/>
        <v>3.7639144710498915E-3</v>
      </c>
      <c r="AA107">
        <v>402508</v>
      </c>
      <c r="AB107">
        <v>20868</v>
      </c>
      <c r="AD107" t="s">
        <v>5</v>
      </c>
      <c r="AE107">
        <v>44</v>
      </c>
      <c r="AF107">
        <v>3</v>
      </c>
      <c r="AH107" t="s">
        <v>8064</v>
      </c>
      <c r="AI107" t="s">
        <v>8063</v>
      </c>
      <c r="AK107" t="s">
        <v>8062</v>
      </c>
      <c r="AL107">
        <v>0</v>
      </c>
      <c r="AM107" s="5">
        <f t="shared" si="18"/>
        <v>0</v>
      </c>
      <c r="AN107" s="4">
        <f t="shared" si="15"/>
        <v>0</v>
      </c>
      <c r="AO107" s="3"/>
      <c r="AP107">
        <v>0</v>
      </c>
      <c r="AR107" t="s">
        <v>0</v>
      </c>
      <c r="AT107" s="2" t="s">
        <v>19</v>
      </c>
      <c r="AU107" s="1">
        <f t="shared" si="19"/>
        <v>0.26347401297349238</v>
      </c>
      <c r="AV107" s="1">
        <f t="shared" si="20"/>
        <v>0.18819572355249459</v>
      </c>
      <c r="AW107" s="1">
        <f t="shared" si="21"/>
        <v>0.11291743413149673</v>
      </c>
    </row>
    <row r="108" spans="1:49" x14ac:dyDescent="0.2">
      <c r="A108">
        <v>106</v>
      </c>
      <c r="B108" t="s">
        <v>8061</v>
      </c>
      <c r="F108" t="s">
        <v>8060</v>
      </c>
      <c r="G108" t="s">
        <v>15</v>
      </c>
      <c r="H108" t="s">
        <v>14</v>
      </c>
      <c r="I108" t="s">
        <v>8059</v>
      </c>
      <c r="J108">
        <v>60075230</v>
      </c>
      <c r="K108" t="s">
        <v>8058</v>
      </c>
      <c r="L108" t="s">
        <v>8057</v>
      </c>
      <c r="M108" t="s">
        <v>3579</v>
      </c>
      <c r="N108">
        <v>5</v>
      </c>
      <c r="O108" t="s">
        <v>8056</v>
      </c>
      <c r="P108" t="s">
        <v>8055</v>
      </c>
      <c r="Q108" t="s">
        <v>8054</v>
      </c>
      <c r="R108" s="7">
        <v>32568</v>
      </c>
      <c r="S108" s="8">
        <f t="shared" si="16"/>
        <v>1989</v>
      </c>
      <c r="T108" s="8">
        <v>1989</v>
      </c>
      <c r="U108" s="8">
        <f t="shared" si="17"/>
        <v>33</v>
      </c>
      <c r="V108" s="7">
        <v>32568</v>
      </c>
      <c r="W108" t="s">
        <v>8053</v>
      </c>
      <c r="X108" s="2" t="s">
        <v>19</v>
      </c>
      <c r="Y108" s="6" t="e">
        <f t="shared" si="14"/>
        <v>#VALUE!</v>
      </c>
      <c r="AA108" t="s">
        <v>8052</v>
      </c>
      <c r="AB108">
        <v>36319</v>
      </c>
      <c r="AD108" t="s">
        <v>5</v>
      </c>
      <c r="AE108">
        <v>305</v>
      </c>
      <c r="AF108">
        <v>2</v>
      </c>
      <c r="AH108" t="s">
        <v>8051</v>
      </c>
      <c r="AI108" t="s">
        <v>8050</v>
      </c>
      <c r="AK108" t="s">
        <v>8049</v>
      </c>
      <c r="AL108">
        <v>0</v>
      </c>
      <c r="AM108" s="5">
        <f t="shared" si="18"/>
        <v>0</v>
      </c>
      <c r="AN108" s="4">
        <f t="shared" si="15"/>
        <v>0</v>
      </c>
      <c r="AO108" s="3"/>
      <c r="AP108">
        <v>0</v>
      </c>
      <c r="AR108" t="s">
        <v>0</v>
      </c>
      <c r="AT108" s="2" t="s">
        <v>19</v>
      </c>
      <c r="AU108" s="1" t="e">
        <f t="shared" si="19"/>
        <v>#VALUE!</v>
      </c>
      <c r="AV108" s="1" t="e">
        <f t="shared" si="20"/>
        <v>#VALUE!</v>
      </c>
      <c r="AW108" s="1" t="e">
        <f t="shared" si="21"/>
        <v>#VALUE!</v>
      </c>
    </row>
    <row r="109" spans="1:49" x14ac:dyDescent="0.2">
      <c r="A109">
        <v>107</v>
      </c>
      <c r="B109" t="s">
        <v>8048</v>
      </c>
      <c r="F109" t="s">
        <v>8047</v>
      </c>
      <c r="G109" t="s">
        <v>15</v>
      </c>
      <c r="H109" t="s">
        <v>14</v>
      </c>
      <c r="I109" t="s">
        <v>8046</v>
      </c>
      <c r="N109">
        <v>1</v>
      </c>
      <c r="O109" t="s">
        <v>8045</v>
      </c>
      <c r="P109">
        <v>6701599026</v>
      </c>
      <c r="R109" s="7">
        <v>32568</v>
      </c>
      <c r="S109" s="8">
        <f t="shared" si="16"/>
        <v>1989</v>
      </c>
      <c r="T109" s="8">
        <v>1989</v>
      </c>
      <c r="U109" s="8">
        <f t="shared" si="17"/>
        <v>33</v>
      </c>
      <c r="V109" s="7">
        <v>32568</v>
      </c>
      <c r="W109" t="s">
        <v>1080</v>
      </c>
      <c r="X109" s="2" t="s">
        <v>19</v>
      </c>
      <c r="Y109" s="6" t="e">
        <f t="shared" si="14"/>
        <v>#VALUE!</v>
      </c>
      <c r="AA109">
        <v>87566648</v>
      </c>
      <c r="AB109">
        <v>74127</v>
      </c>
      <c r="AD109" t="s">
        <v>5</v>
      </c>
      <c r="AE109">
        <v>34</v>
      </c>
      <c r="AF109">
        <v>3</v>
      </c>
      <c r="AH109" t="s">
        <v>8044</v>
      </c>
      <c r="AI109" t="s">
        <v>8043</v>
      </c>
      <c r="AK109" t="s">
        <v>8042</v>
      </c>
      <c r="AL109">
        <v>2</v>
      </c>
      <c r="AM109" s="5">
        <f t="shared" si="18"/>
        <v>6.0606060606060608E-2</v>
      </c>
      <c r="AN109" s="4">
        <f t="shared" si="15"/>
        <v>9.1792594632428032E-5</v>
      </c>
      <c r="AO109" s="3"/>
      <c r="AP109">
        <v>0</v>
      </c>
      <c r="AR109" t="s">
        <v>0</v>
      </c>
      <c r="AT109" s="2" t="s">
        <v>19</v>
      </c>
      <c r="AU109" s="1" t="e">
        <f t="shared" si="19"/>
        <v>#VALUE!</v>
      </c>
      <c r="AV109" s="1" t="e">
        <f t="shared" si="20"/>
        <v>#VALUE!</v>
      </c>
      <c r="AW109" s="1" t="e">
        <f t="shared" si="21"/>
        <v>#VALUE!</v>
      </c>
    </row>
    <row r="110" spans="1:49" x14ac:dyDescent="0.2">
      <c r="A110">
        <v>108</v>
      </c>
      <c r="B110" t="s">
        <v>8041</v>
      </c>
      <c r="F110" t="s">
        <v>8040</v>
      </c>
      <c r="G110" t="s">
        <v>15</v>
      </c>
      <c r="H110" t="s">
        <v>14</v>
      </c>
      <c r="I110" t="s">
        <v>8039</v>
      </c>
      <c r="N110">
        <v>2</v>
      </c>
      <c r="O110" t="s">
        <v>8038</v>
      </c>
      <c r="P110" t="s">
        <v>8037</v>
      </c>
      <c r="Q110" t="s">
        <v>1071</v>
      </c>
      <c r="R110" s="7">
        <v>32568</v>
      </c>
      <c r="S110" s="8">
        <f t="shared" si="16"/>
        <v>1989</v>
      </c>
      <c r="T110" s="8">
        <v>1989</v>
      </c>
      <c r="U110" s="8">
        <f t="shared" si="17"/>
        <v>33</v>
      </c>
      <c r="V110" s="7">
        <v>32568</v>
      </c>
      <c r="W110" t="s">
        <v>1054</v>
      </c>
      <c r="X110" s="2">
        <v>0.14099999999999999</v>
      </c>
      <c r="Y110" s="6">
        <f t="shared" si="14"/>
        <v>3.7639144710498915E-3</v>
      </c>
      <c r="AA110">
        <v>402508</v>
      </c>
      <c r="AB110">
        <v>20868</v>
      </c>
      <c r="AD110" t="s">
        <v>5</v>
      </c>
      <c r="AE110">
        <v>44</v>
      </c>
      <c r="AF110">
        <v>3</v>
      </c>
      <c r="AH110" t="s">
        <v>8036</v>
      </c>
      <c r="AI110" t="s">
        <v>8035</v>
      </c>
      <c r="AK110" t="s">
        <v>8034</v>
      </c>
      <c r="AL110">
        <v>0</v>
      </c>
      <c r="AM110" s="5">
        <f t="shared" si="18"/>
        <v>0</v>
      </c>
      <c r="AN110" s="4">
        <f t="shared" si="15"/>
        <v>0</v>
      </c>
      <c r="AO110" s="3"/>
      <c r="AP110">
        <v>0</v>
      </c>
      <c r="AR110" t="s">
        <v>0</v>
      </c>
      <c r="AT110" s="2" t="s">
        <v>19</v>
      </c>
      <c r="AU110" s="1">
        <f t="shared" si="19"/>
        <v>0.26347401297349238</v>
      </c>
      <c r="AV110" s="1">
        <f t="shared" si="20"/>
        <v>0.18819572355249459</v>
      </c>
      <c r="AW110" s="1">
        <f t="shared" si="21"/>
        <v>0.11291743413149673</v>
      </c>
    </row>
    <row r="111" spans="1:49" x14ac:dyDescent="0.2">
      <c r="A111">
        <v>109</v>
      </c>
      <c r="B111" t="s">
        <v>8033</v>
      </c>
      <c r="F111" t="s">
        <v>8032</v>
      </c>
      <c r="G111" t="s">
        <v>15</v>
      </c>
      <c r="H111" t="s">
        <v>14</v>
      </c>
      <c r="I111" t="s">
        <v>8031</v>
      </c>
      <c r="J111">
        <v>60026242</v>
      </c>
      <c r="K111" t="s">
        <v>2434</v>
      </c>
      <c r="L111" t="s">
        <v>2433</v>
      </c>
      <c r="M111" t="s">
        <v>792</v>
      </c>
      <c r="N111">
        <v>1</v>
      </c>
      <c r="O111" t="s">
        <v>8030</v>
      </c>
      <c r="P111">
        <v>6603471368</v>
      </c>
      <c r="Q111">
        <v>60026242</v>
      </c>
      <c r="R111" s="7">
        <v>32568</v>
      </c>
      <c r="S111" s="8">
        <f t="shared" si="16"/>
        <v>1989</v>
      </c>
      <c r="T111" s="8">
        <v>1989</v>
      </c>
      <c r="U111" s="8">
        <f t="shared" si="17"/>
        <v>33</v>
      </c>
      <c r="V111" s="7">
        <v>32568</v>
      </c>
      <c r="W111" t="s">
        <v>7973</v>
      </c>
      <c r="X111" s="2">
        <v>0.125</v>
      </c>
      <c r="Y111" s="6">
        <f t="shared" si="14"/>
        <v>3.3368036090867838E-3</v>
      </c>
      <c r="AA111">
        <v>26557</v>
      </c>
      <c r="AB111">
        <v>40401</v>
      </c>
      <c r="AD111" t="s">
        <v>5</v>
      </c>
      <c r="AE111">
        <v>58</v>
      </c>
      <c r="AF111">
        <v>2</v>
      </c>
      <c r="AH111" t="s">
        <v>8029</v>
      </c>
      <c r="AI111" t="s">
        <v>8028</v>
      </c>
      <c r="AK111" t="s">
        <v>8027</v>
      </c>
      <c r="AL111">
        <v>2</v>
      </c>
      <c r="AM111" s="5">
        <f t="shared" si="18"/>
        <v>6.0606060606060608E-2</v>
      </c>
      <c r="AN111" s="4">
        <f t="shared" si="15"/>
        <v>9.1792594632428032E-5</v>
      </c>
      <c r="AO111" s="3"/>
      <c r="AP111">
        <v>0</v>
      </c>
      <c r="AR111" t="s">
        <v>0</v>
      </c>
      <c r="AT111" s="2" t="s">
        <v>19</v>
      </c>
      <c r="AU111" s="1">
        <f t="shared" si="19"/>
        <v>0.23633003047504766</v>
      </c>
      <c r="AV111" s="1">
        <f t="shared" si="20"/>
        <v>0.1714298101859606</v>
      </c>
      <c r="AW111" s="1">
        <f t="shared" si="21"/>
        <v>0.10652958989687347</v>
      </c>
    </row>
    <row r="112" spans="1:49" x14ac:dyDescent="0.2">
      <c r="A112">
        <v>110</v>
      </c>
      <c r="B112" t="s">
        <v>8026</v>
      </c>
      <c r="F112" t="s">
        <v>8025</v>
      </c>
      <c r="G112" t="s">
        <v>15</v>
      </c>
      <c r="H112" t="s">
        <v>14</v>
      </c>
      <c r="I112" t="s">
        <v>8024</v>
      </c>
      <c r="J112">
        <v>60084299</v>
      </c>
      <c r="K112" t="s">
        <v>8023</v>
      </c>
      <c r="L112" t="s">
        <v>102</v>
      </c>
      <c r="M112" t="s">
        <v>101</v>
      </c>
      <c r="N112">
        <v>2</v>
      </c>
      <c r="O112" t="s">
        <v>8022</v>
      </c>
      <c r="P112" t="s">
        <v>8021</v>
      </c>
      <c r="Q112" t="s">
        <v>8020</v>
      </c>
      <c r="R112" s="7">
        <v>32568</v>
      </c>
      <c r="S112" s="8">
        <f t="shared" si="16"/>
        <v>1989</v>
      </c>
      <c r="T112" s="8">
        <v>1989</v>
      </c>
      <c r="U112" s="8">
        <f t="shared" si="17"/>
        <v>33</v>
      </c>
      <c r="V112" s="7">
        <v>32568</v>
      </c>
      <c r="W112" t="s">
        <v>7973</v>
      </c>
      <c r="X112" s="2">
        <v>0.125</v>
      </c>
      <c r="Y112" s="6">
        <f t="shared" si="14"/>
        <v>3.3368036090867838E-3</v>
      </c>
      <c r="AA112">
        <v>26557</v>
      </c>
      <c r="AB112">
        <v>40401</v>
      </c>
      <c r="AD112" t="s">
        <v>5</v>
      </c>
      <c r="AE112">
        <v>58</v>
      </c>
      <c r="AF112">
        <v>2</v>
      </c>
      <c r="AH112" t="s">
        <v>8019</v>
      </c>
      <c r="AI112" t="s">
        <v>8018</v>
      </c>
      <c r="AK112" t="s">
        <v>8017</v>
      </c>
      <c r="AL112">
        <v>1</v>
      </c>
      <c r="AM112" s="5">
        <f t="shared" si="18"/>
        <v>3.0303030303030304E-2</v>
      </c>
      <c r="AN112" s="4">
        <f t="shared" si="15"/>
        <v>4.5896297316214016E-5</v>
      </c>
      <c r="AO112" s="3"/>
      <c r="AP112">
        <v>0</v>
      </c>
      <c r="AR112" t="s">
        <v>0</v>
      </c>
      <c r="AT112" s="2" t="s">
        <v>19</v>
      </c>
      <c r="AU112" s="1">
        <f t="shared" si="19"/>
        <v>0.23495314155556127</v>
      </c>
      <c r="AV112" s="1">
        <f t="shared" si="20"/>
        <v>0.16913499532014989</v>
      </c>
      <c r="AW112" s="1">
        <f t="shared" si="21"/>
        <v>0.10331684908473848</v>
      </c>
    </row>
    <row r="113" spans="1:49" x14ac:dyDescent="0.2">
      <c r="A113">
        <v>111</v>
      </c>
      <c r="B113" t="s">
        <v>8016</v>
      </c>
      <c r="F113" t="s">
        <v>8015</v>
      </c>
      <c r="G113" t="s">
        <v>15</v>
      </c>
      <c r="H113" t="s">
        <v>14</v>
      </c>
      <c r="I113" t="s">
        <v>8014</v>
      </c>
      <c r="J113">
        <v>60018714</v>
      </c>
      <c r="K113" t="s">
        <v>926</v>
      </c>
      <c r="L113" t="s">
        <v>925</v>
      </c>
      <c r="M113" t="s">
        <v>283</v>
      </c>
      <c r="N113">
        <v>4</v>
      </c>
      <c r="O113" t="s">
        <v>8013</v>
      </c>
      <c r="P113" t="s">
        <v>8012</v>
      </c>
      <c r="Q113" t="s">
        <v>8011</v>
      </c>
      <c r="R113" s="7">
        <v>32568</v>
      </c>
      <c r="S113" s="8">
        <f t="shared" si="16"/>
        <v>1989</v>
      </c>
      <c r="T113" s="8">
        <v>1989</v>
      </c>
      <c r="U113" s="8">
        <f t="shared" si="17"/>
        <v>33</v>
      </c>
      <c r="V113" s="7">
        <v>32568</v>
      </c>
      <c r="W113" t="s">
        <v>8010</v>
      </c>
      <c r="X113" s="2" t="s">
        <v>19</v>
      </c>
      <c r="Y113" s="6" t="e">
        <f t="shared" si="14"/>
        <v>#VALUE!</v>
      </c>
      <c r="AA113">
        <v>82821</v>
      </c>
      <c r="AB113">
        <v>13808</v>
      </c>
      <c r="AD113" t="s">
        <v>5</v>
      </c>
      <c r="AE113">
        <v>35</v>
      </c>
      <c r="AF113">
        <v>1</v>
      </c>
      <c r="AH113" t="s">
        <v>8009</v>
      </c>
      <c r="AI113" t="s">
        <v>8008</v>
      </c>
      <c r="AK113" t="s">
        <v>8007</v>
      </c>
      <c r="AL113">
        <v>0</v>
      </c>
      <c r="AM113" s="5">
        <f t="shared" si="18"/>
        <v>0</v>
      </c>
      <c r="AN113" s="4">
        <f t="shared" si="15"/>
        <v>0</v>
      </c>
      <c r="AO113" s="3"/>
      <c r="AP113">
        <v>0</v>
      </c>
      <c r="AR113" t="s">
        <v>0</v>
      </c>
      <c r="AT113" s="2" t="s">
        <v>19</v>
      </c>
      <c r="AU113" s="1" t="e">
        <f t="shared" si="19"/>
        <v>#VALUE!</v>
      </c>
      <c r="AV113" s="1" t="e">
        <f t="shared" si="20"/>
        <v>#VALUE!</v>
      </c>
      <c r="AW113" s="1" t="e">
        <f t="shared" si="21"/>
        <v>#VALUE!</v>
      </c>
    </row>
    <row r="114" spans="1:49" x14ac:dyDescent="0.2">
      <c r="A114">
        <v>112</v>
      </c>
      <c r="B114" t="s">
        <v>8006</v>
      </c>
      <c r="F114" t="s">
        <v>8005</v>
      </c>
      <c r="G114" t="s">
        <v>15</v>
      </c>
      <c r="H114" t="s">
        <v>14</v>
      </c>
      <c r="I114" t="s">
        <v>8004</v>
      </c>
      <c r="J114">
        <v>60019269</v>
      </c>
      <c r="K114" t="s">
        <v>8003</v>
      </c>
      <c r="L114" t="s">
        <v>8002</v>
      </c>
      <c r="M114" t="s">
        <v>72</v>
      </c>
      <c r="N114">
        <v>1</v>
      </c>
      <c r="O114" t="s">
        <v>8001</v>
      </c>
      <c r="P114">
        <v>7004950320</v>
      </c>
      <c r="Q114">
        <v>60019269</v>
      </c>
      <c r="R114" s="7">
        <v>32568</v>
      </c>
      <c r="S114" s="8">
        <f t="shared" si="16"/>
        <v>1989</v>
      </c>
      <c r="T114" s="8">
        <v>1989</v>
      </c>
      <c r="U114" s="8">
        <f t="shared" si="17"/>
        <v>33</v>
      </c>
      <c r="V114" s="7">
        <v>32568</v>
      </c>
      <c r="W114" t="s">
        <v>7973</v>
      </c>
      <c r="X114" s="2">
        <v>0.125</v>
      </c>
      <c r="Y114" s="6">
        <f t="shared" si="14"/>
        <v>3.3368036090867838E-3</v>
      </c>
      <c r="AA114">
        <v>26557</v>
      </c>
      <c r="AB114">
        <v>40401</v>
      </c>
      <c r="AD114" t="s">
        <v>5</v>
      </c>
      <c r="AE114">
        <v>58</v>
      </c>
      <c r="AF114">
        <v>2</v>
      </c>
      <c r="AH114" t="s">
        <v>8000</v>
      </c>
      <c r="AI114" t="s">
        <v>7999</v>
      </c>
      <c r="AK114" t="s">
        <v>7998</v>
      </c>
      <c r="AL114">
        <v>0</v>
      </c>
      <c r="AM114" s="5">
        <f t="shared" si="18"/>
        <v>0</v>
      </c>
      <c r="AN114" s="4">
        <f t="shared" si="15"/>
        <v>0</v>
      </c>
      <c r="AO114" s="3"/>
      <c r="AP114">
        <v>0</v>
      </c>
      <c r="AR114" t="s">
        <v>0</v>
      </c>
      <c r="AT114" s="2" t="s">
        <v>19</v>
      </c>
      <c r="AU114" s="1">
        <f t="shared" si="19"/>
        <v>0.23357625263607484</v>
      </c>
      <c r="AV114" s="1">
        <f t="shared" si="20"/>
        <v>0.16684018045433918</v>
      </c>
      <c r="AW114" s="1">
        <f t="shared" si="21"/>
        <v>0.10010410827260351</v>
      </c>
    </row>
    <row r="115" spans="1:49" x14ac:dyDescent="0.2">
      <c r="A115">
        <v>113</v>
      </c>
      <c r="B115" t="s">
        <v>7997</v>
      </c>
      <c r="F115" t="s">
        <v>7996</v>
      </c>
      <c r="G115" t="s">
        <v>15</v>
      </c>
      <c r="H115" t="s">
        <v>14</v>
      </c>
      <c r="I115" t="s">
        <v>7995</v>
      </c>
      <c r="J115">
        <v>60032350</v>
      </c>
      <c r="K115" t="s">
        <v>7994</v>
      </c>
      <c r="L115" t="s">
        <v>102</v>
      </c>
      <c r="M115" t="s">
        <v>101</v>
      </c>
      <c r="N115">
        <v>5</v>
      </c>
      <c r="O115" t="s">
        <v>7993</v>
      </c>
      <c r="P115" t="s">
        <v>7992</v>
      </c>
      <c r="Q115" t="s">
        <v>7991</v>
      </c>
      <c r="R115" s="7">
        <v>32568</v>
      </c>
      <c r="S115" s="8">
        <f t="shared" si="16"/>
        <v>1989</v>
      </c>
      <c r="T115" s="8">
        <v>1989</v>
      </c>
      <c r="U115" s="8">
        <f t="shared" si="17"/>
        <v>33</v>
      </c>
      <c r="V115" s="7">
        <v>32568</v>
      </c>
      <c r="W115" t="s">
        <v>7973</v>
      </c>
      <c r="X115" s="2">
        <v>0.125</v>
      </c>
      <c r="Y115" s="6">
        <f t="shared" si="14"/>
        <v>3.3368036090867838E-3</v>
      </c>
      <c r="AA115">
        <v>26557</v>
      </c>
      <c r="AB115">
        <v>40401</v>
      </c>
      <c r="AD115" t="s">
        <v>5</v>
      </c>
      <c r="AE115">
        <v>58</v>
      </c>
      <c r="AF115">
        <v>2</v>
      </c>
      <c r="AH115" t="s">
        <v>7990</v>
      </c>
      <c r="AI115" t="s">
        <v>7989</v>
      </c>
      <c r="AK115" t="s">
        <v>7988</v>
      </c>
      <c r="AL115">
        <v>0</v>
      </c>
      <c r="AM115" s="5">
        <f t="shared" si="18"/>
        <v>0</v>
      </c>
      <c r="AN115" s="4">
        <f t="shared" si="15"/>
        <v>0</v>
      </c>
      <c r="AO115" s="3"/>
      <c r="AP115">
        <v>0</v>
      </c>
      <c r="AR115" t="s">
        <v>0</v>
      </c>
      <c r="AT115" s="2" t="s">
        <v>19</v>
      </c>
      <c r="AU115" s="1">
        <f t="shared" si="19"/>
        <v>0.23357625263607484</v>
      </c>
      <c r="AV115" s="1">
        <f t="shared" si="20"/>
        <v>0.16684018045433918</v>
      </c>
      <c r="AW115" s="1">
        <f t="shared" si="21"/>
        <v>0.10010410827260351</v>
      </c>
    </row>
    <row r="116" spans="1:49" x14ac:dyDescent="0.2">
      <c r="A116">
        <v>114</v>
      </c>
      <c r="B116" t="s">
        <v>7987</v>
      </c>
      <c r="F116" t="s">
        <v>7986</v>
      </c>
      <c r="G116" t="s">
        <v>15</v>
      </c>
      <c r="H116" t="s">
        <v>14</v>
      </c>
      <c r="I116" t="s">
        <v>7985</v>
      </c>
      <c r="J116">
        <v>101363768</v>
      </c>
      <c r="K116" t="s">
        <v>7984</v>
      </c>
      <c r="M116" t="s">
        <v>101</v>
      </c>
      <c r="N116">
        <v>2</v>
      </c>
      <c r="O116" t="s">
        <v>7983</v>
      </c>
      <c r="P116" t="s">
        <v>7982</v>
      </c>
      <c r="Q116" t="s">
        <v>7981</v>
      </c>
      <c r="R116" s="7">
        <v>32568</v>
      </c>
      <c r="S116" s="8">
        <f t="shared" si="16"/>
        <v>1989</v>
      </c>
      <c r="T116" s="8">
        <v>1989</v>
      </c>
      <c r="U116" s="8">
        <f t="shared" si="17"/>
        <v>33</v>
      </c>
      <c r="V116" s="7">
        <v>32568</v>
      </c>
      <c r="W116" t="s">
        <v>7973</v>
      </c>
      <c r="X116" s="2">
        <v>0.125</v>
      </c>
      <c r="Y116" s="6">
        <f t="shared" si="14"/>
        <v>3.3368036090867838E-3</v>
      </c>
      <c r="AA116">
        <v>26557</v>
      </c>
      <c r="AB116">
        <v>40401</v>
      </c>
      <c r="AD116" t="s">
        <v>5</v>
      </c>
      <c r="AE116">
        <v>58</v>
      </c>
      <c r="AF116">
        <v>2</v>
      </c>
      <c r="AH116" t="s">
        <v>7980</v>
      </c>
      <c r="AI116" t="s">
        <v>7979</v>
      </c>
      <c r="AK116" t="s">
        <v>7978</v>
      </c>
      <c r="AL116">
        <v>1</v>
      </c>
      <c r="AM116" s="5">
        <f t="shared" si="18"/>
        <v>3.0303030303030304E-2</v>
      </c>
      <c r="AN116" s="4">
        <f t="shared" si="15"/>
        <v>4.5896297316214016E-5</v>
      </c>
      <c r="AO116" s="3"/>
      <c r="AP116">
        <v>0</v>
      </c>
      <c r="AR116" t="s">
        <v>0</v>
      </c>
      <c r="AT116" s="2" t="s">
        <v>19</v>
      </c>
      <c r="AU116" s="1">
        <f t="shared" si="19"/>
        <v>0.23495314155556127</v>
      </c>
      <c r="AV116" s="1">
        <f t="shared" si="20"/>
        <v>0.16913499532014989</v>
      </c>
      <c r="AW116" s="1">
        <f t="shared" si="21"/>
        <v>0.10331684908473848</v>
      </c>
    </row>
    <row r="117" spans="1:49" x14ac:dyDescent="0.2">
      <c r="A117">
        <v>115</v>
      </c>
      <c r="B117" t="s">
        <v>7977</v>
      </c>
      <c r="F117" t="s">
        <v>7976</v>
      </c>
      <c r="G117" t="s">
        <v>15</v>
      </c>
      <c r="H117" t="s">
        <v>14</v>
      </c>
      <c r="I117" t="s">
        <v>7975</v>
      </c>
      <c r="J117">
        <v>60015465</v>
      </c>
      <c r="K117" t="s">
        <v>887</v>
      </c>
      <c r="L117" t="s">
        <v>886</v>
      </c>
      <c r="M117" t="s">
        <v>885</v>
      </c>
      <c r="N117">
        <v>1</v>
      </c>
      <c r="O117" t="s">
        <v>7974</v>
      </c>
      <c r="P117">
        <v>55046818000</v>
      </c>
      <c r="Q117">
        <v>60015465</v>
      </c>
      <c r="R117" s="7">
        <v>32568</v>
      </c>
      <c r="S117" s="8">
        <f t="shared" si="16"/>
        <v>1989</v>
      </c>
      <c r="T117" s="8">
        <v>1989</v>
      </c>
      <c r="U117" s="8">
        <f t="shared" si="17"/>
        <v>33</v>
      </c>
      <c r="V117" s="7">
        <v>32568</v>
      </c>
      <c r="W117" t="s">
        <v>7973</v>
      </c>
      <c r="X117" s="2">
        <v>0.125</v>
      </c>
      <c r="Y117" s="6">
        <f t="shared" si="14"/>
        <v>3.3368036090867838E-3</v>
      </c>
      <c r="AA117">
        <v>26557</v>
      </c>
      <c r="AB117">
        <v>40401</v>
      </c>
      <c r="AD117" t="s">
        <v>5</v>
      </c>
      <c r="AE117">
        <v>58</v>
      </c>
      <c r="AF117">
        <v>2</v>
      </c>
      <c r="AH117" t="s">
        <v>7972</v>
      </c>
      <c r="AI117" t="s">
        <v>7971</v>
      </c>
      <c r="AK117" t="s">
        <v>7970</v>
      </c>
      <c r="AL117">
        <v>0</v>
      </c>
      <c r="AM117" s="5">
        <f t="shared" si="18"/>
        <v>0</v>
      </c>
      <c r="AN117" s="4">
        <f t="shared" si="15"/>
        <v>0</v>
      </c>
      <c r="AO117" s="3"/>
      <c r="AP117">
        <v>0</v>
      </c>
      <c r="AR117" t="s">
        <v>0</v>
      </c>
      <c r="AT117" s="2" t="s">
        <v>19</v>
      </c>
      <c r="AU117" s="1">
        <f t="shared" si="19"/>
        <v>0.23357625263607484</v>
      </c>
      <c r="AV117" s="1">
        <f t="shared" si="20"/>
        <v>0.16684018045433918</v>
      </c>
      <c r="AW117" s="1">
        <f t="shared" si="21"/>
        <v>0.10010410827260351</v>
      </c>
    </row>
    <row r="118" spans="1:49" x14ac:dyDescent="0.2">
      <c r="A118">
        <v>116</v>
      </c>
      <c r="B118" t="s">
        <v>7969</v>
      </c>
      <c r="F118" t="s">
        <v>7968</v>
      </c>
      <c r="G118" t="s">
        <v>15</v>
      </c>
      <c r="H118" t="s">
        <v>14</v>
      </c>
      <c r="I118" t="s">
        <v>7967</v>
      </c>
      <c r="J118">
        <v>60007951</v>
      </c>
      <c r="K118" t="s">
        <v>7966</v>
      </c>
      <c r="L118" t="s">
        <v>7965</v>
      </c>
      <c r="M118" t="s">
        <v>115</v>
      </c>
      <c r="N118">
        <v>3</v>
      </c>
      <c r="O118" t="s">
        <v>7964</v>
      </c>
      <c r="P118" t="s">
        <v>7963</v>
      </c>
      <c r="Q118" t="s">
        <v>7962</v>
      </c>
      <c r="R118" s="7">
        <v>32568</v>
      </c>
      <c r="S118" s="8">
        <f t="shared" si="16"/>
        <v>1989</v>
      </c>
      <c r="T118" s="8">
        <v>1989</v>
      </c>
      <c r="U118" s="8">
        <f t="shared" si="17"/>
        <v>33</v>
      </c>
      <c r="V118" s="7">
        <v>32568</v>
      </c>
      <c r="W118" t="s">
        <v>7961</v>
      </c>
      <c r="X118" s="2">
        <v>0.161</v>
      </c>
      <c r="Y118" s="6">
        <f t="shared" si="14"/>
        <v>4.2978030485037776E-3</v>
      </c>
      <c r="AA118">
        <v>162523</v>
      </c>
      <c r="AB118">
        <v>16740</v>
      </c>
      <c r="AD118" t="s">
        <v>5</v>
      </c>
      <c r="AE118">
        <v>25</v>
      </c>
      <c r="AF118">
        <v>1</v>
      </c>
      <c r="AH118" t="s">
        <v>7960</v>
      </c>
      <c r="AI118" t="s">
        <v>7959</v>
      </c>
      <c r="AK118" t="s">
        <v>7958</v>
      </c>
      <c r="AL118">
        <v>0</v>
      </c>
      <c r="AM118" s="5">
        <f t="shared" si="18"/>
        <v>0</v>
      </c>
      <c r="AN118" s="4">
        <f t="shared" si="15"/>
        <v>0</v>
      </c>
      <c r="AO118" s="3"/>
      <c r="AP118">
        <v>0</v>
      </c>
      <c r="AR118" t="s">
        <v>0</v>
      </c>
      <c r="AT118" s="2" t="s">
        <v>19</v>
      </c>
      <c r="AU118" s="1">
        <f t="shared" si="19"/>
        <v>0.30084621339526441</v>
      </c>
      <c r="AV118" s="1">
        <f t="shared" si="20"/>
        <v>0.21489015242518889</v>
      </c>
      <c r="AW118" s="1">
        <f t="shared" si="21"/>
        <v>0.12893409145511334</v>
      </c>
    </row>
    <row r="119" spans="1:49" x14ac:dyDescent="0.2">
      <c r="A119">
        <v>117</v>
      </c>
      <c r="B119" t="s">
        <v>7957</v>
      </c>
      <c r="F119" t="s">
        <v>7956</v>
      </c>
      <c r="G119" t="s">
        <v>15</v>
      </c>
      <c r="H119" t="s">
        <v>14</v>
      </c>
      <c r="I119" t="s">
        <v>7955</v>
      </c>
      <c r="J119">
        <v>60007798</v>
      </c>
      <c r="K119" t="s">
        <v>7954</v>
      </c>
      <c r="L119" t="s">
        <v>7953</v>
      </c>
      <c r="M119" t="s">
        <v>259</v>
      </c>
      <c r="N119">
        <v>1</v>
      </c>
      <c r="O119" t="s">
        <v>7952</v>
      </c>
      <c r="P119">
        <v>56220450100</v>
      </c>
      <c r="Q119">
        <v>60007798</v>
      </c>
      <c r="R119" s="7">
        <v>32568</v>
      </c>
      <c r="S119" s="8">
        <f t="shared" si="16"/>
        <v>1989</v>
      </c>
      <c r="T119" s="8">
        <v>1989</v>
      </c>
      <c r="U119" s="8">
        <f t="shared" si="17"/>
        <v>33</v>
      </c>
      <c r="V119" s="7">
        <v>32568</v>
      </c>
      <c r="W119" t="s">
        <v>7934</v>
      </c>
      <c r="X119" s="2">
        <v>0.54700000000000004</v>
      </c>
      <c r="Y119" s="6">
        <f t="shared" si="14"/>
        <v>1.4601852593363766E-2</v>
      </c>
      <c r="AA119">
        <v>11096</v>
      </c>
      <c r="AB119">
        <v>31211</v>
      </c>
      <c r="AD119" t="s">
        <v>5</v>
      </c>
      <c r="AE119">
        <v>43</v>
      </c>
      <c r="AF119">
        <v>2</v>
      </c>
      <c r="AH119" t="s">
        <v>7951</v>
      </c>
      <c r="AI119" t="s">
        <v>7950</v>
      </c>
      <c r="AK119" t="s">
        <v>7949</v>
      </c>
      <c r="AL119">
        <v>0</v>
      </c>
      <c r="AM119" s="5">
        <f t="shared" si="18"/>
        <v>0</v>
      </c>
      <c r="AN119" s="4">
        <f t="shared" si="15"/>
        <v>0</v>
      </c>
      <c r="AO119" s="3"/>
      <c r="AP119">
        <v>0</v>
      </c>
      <c r="AR119" t="s">
        <v>0</v>
      </c>
      <c r="AT119" s="2" t="s">
        <v>19</v>
      </c>
      <c r="AU119" s="1">
        <f t="shared" si="19"/>
        <v>1.0221296815354637</v>
      </c>
      <c r="AV119" s="1">
        <f t="shared" si="20"/>
        <v>0.73009262966818833</v>
      </c>
      <c r="AW119" s="1">
        <f t="shared" si="21"/>
        <v>0.43805557780091298</v>
      </c>
    </row>
    <row r="120" spans="1:49" x14ac:dyDescent="0.2">
      <c r="A120">
        <v>118</v>
      </c>
      <c r="B120" t="s">
        <v>7948</v>
      </c>
      <c r="F120" t="s">
        <v>7947</v>
      </c>
      <c r="G120" t="s">
        <v>15</v>
      </c>
      <c r="H120" t="s">
        <v>14</v>
      </c>
      <c r="I120" t="s">
        <v>7946</v>
      </c>
      <c r="J120">
        <v>60015099</v>
      </c>
      <c r="K120" t="s">
        <v>5259</v>
      </c>
      <c r="L120" t="s">
        <v>2551</v>
      </c>
      <c r="M120" t="s">
        <v>23</v>
      </c>
      <c r="N120">
        <v>1</v>
      </c>
      <c r="O120" t="s">
        <v>7945</v>
      </c>
      <c r="P120">
        <v>36857246600</v>
      </c>
      <c r="Q120">
        <v>60015099</v>
      </c>
      <c r="R120" s="7">
        <v>32568</v>
      </c>
      <c r="S120" s="8">
        <f t="shared" si="16"/>
        <v>1989</v>
      </c>
      <c r="T120" s="8">
        <v>1989</v>
      </c>
      <c r="U120" s="8">
        <f t="shared" si="17"/>
        <v>33</v>
      </c>
      <c r="V120" s="7">
        <v>32568</v>
      </c>
      <c r="W120" t="s">
        <v>7944</v>
      </c>
      <c r="X120" s="2">
        <v>0.216</v>
      </c>
      <c r="Y120" s="6">
        <f t="shared" si="14"/>
        <v>5.765996636501962E-3</v>
      </c>
      <c r="AA120">
        <v>10544887</v>
      </c>
      <c r="AB120">
        <v>13200</v>
      </c>
      <c r="AD120" t="s">
        <v>5</v>
      </c>
      <c r="AE120">
        <v>4</v>
      </c>
      <c r="AF120">
        <v>1</v>
      </c>
      <c r="AH120" t="s">
        <v>7943</v>
      </c>
      <c r="AI120" t="s">
        <v>7942</v>
      </c>
      <c r="AK120" t="s">
        <v>7941</v>
      </c>
      <c r="AL120">
        <v>0</v>
      </c>
      <c r="AM120" s="5">
        <f t="shared" si="18"/>
        <v>0</v>
      </c>
      <c r="AN120" s="4">
        <f t="shared" si="15"/>
        <v>0</v>
      </c>
      <c r="AO120" s="3"/>
      <c r="AP120">
        <v>0</v>
      </c>
      <c r="AR120" t="s">
        <v>0</v>
      </c>
      <c r="AT120" s="2" t="s">
        <v>19</v>
      </c>
      <c r="AU120" s="1">
        <f t="shared" si="19"/>
        <v>0.40361976455513726</v>
      </c>
      <c r="AV120" s="1">
        <f t="shared" si="20"/>
        <v>0.28829983182509811</v>
      </c>
      <c r="AW120" s="1">
        <f t="shared" si="21"/>
        <v>0.17297989909505887</v>
      </c>
    </row>
    <row r="121" spans="1:49" x14ac:dyDescent="0.2">
      <c r="A121">
        <v>119</v>
      </c>
      <c r="B121" t="s">
        <v>7940</v>
      </c>
      <c r="F121" t="s">
        <v>7939</v>
      </c>
      <c r="G121" t="s">
        <v>15</v>
      </c>
      <c r="H121" t="s">
        <v>14</v>
      </c>
      <c r="I121" t="s">
        <v>7938</v>
      </c>
      <c r="J121">
        <v>60005304</v>
      </c>
      <c r="K121" t="s">
        <v>2061</v>
      </c>
      <c r="L121" t="s">
        <v>2060</v>
      </c>
      <c r="M121" t="s">
        <v>23</v>
      </c>
      <c r="N121">
        <v>3</v>
      </c>
      <c r="O121" t="s">
        <v>7937</v>
      </c>
      <c r="P121" t="s">
        <v>7936</v>
      </c>
      <c r="Q121" t="s">
        <v>7935</v>
      </c>
      <c r="R121" s="7">
        <v>32568</v>
      </c>
      <c r="S121" s="8">
        <f t="shared" si="16"/>
        <v>1989</v>
      </c>
      <c r="T121" s="8">
        <v>1989</v>
      </c>
      <c r="U121" s="8">
        <f t="shared" si="17"/>
        <v>33</v>
      </c>
      <c r="V121" s="7">
        <v>32568</v>
      </c>
      <c r="W121" t="s">
        <v>7934</v>
      </c>
      <c r="X121" s="2">
        <v>0.54700000000000004</v>
      </c>
      <c r="Y121" s="6">
        <f t="shared" si="14"/>
        <v>1.4601852593363766E-2</v>
      </c>
      <c r="AA121">
        <v>11096</v>
      </c>
      <c r="AB121">
        <v>31211</v>
      </c>
      <c r="AD121" t="s">
        <v>5</v>
      </c>
      <c r="AE121">
        <v>43</v>
      </c>
      <c r="AF121">
        <v>2</v>
      </c>
      <c r="AH121" t="s">
        <v>7933</v>
      </c>
      <c r="AI121" t="s">
        <v>7932</v>
      </c>
      <c r="AK121" t="s">
        <v>7931</v>
      </c>
      <c r="AL121">
        <v>3</v>
      </c>
      <c r="AM121" s="5">
        <f t="shared" si="18"/>
        <v>9.0909090909090912E-2</v>
      </c>
      <c r="AN121" s="4">
        <f t="shared" si="15"/>
        <v>1.3768889194864205E-4</v>
      </c>
      <c r="AO121" s="3"/>
      <c r="AP121">
        <v>0</v>
      </c>
      <c r="AR121" t="s">
        <v>0</v>
      </c>
      <c r="AT121" s="2" t="s">
        <v>19</v>
      </c>
      <c r="AU121" s="1">
        <f t="shared" si="19"/>
        <v>1.026260348293923</v>
      </c>
      <c r="AV121" s="1">
        <f t="shared" si="20"/>
        <v>0.73697707426562042</v>
      </c>
      <c r="AW121" s="1">
        <f t="shared" si="21"/>
        <v>0.44769380023731797</v>
      </c>
    </row>
    <row r="122" spans="1:49" x14ac:dyDescent="0.2">
      <c r="A122">
        <v>120</v>
      </c>
      <c r="B122" t="s">
        <v>7930</v>
      </c>
      <c r="C122" t="s">
        <v>7929</v>
      </c>
      <c r="F122" t="s">
        <v>7928</v>
      </c>
      <c r="G122" t="s">
        <v>15</v>
      </c>
      <c r="H122" t="s">
        <v>14</v>
      </c>
      <c r="I122" t="s">
        <v>7927</v>
      </c>
      <c r="J122">
        <v>60007171</v>
      </c>
      <c r="K122" t="s">
        <v>7926</v>
      </c>
      <c r="L122" t="s">
        <v>7925</v>
      </c>
      <c r="M122" t="s">
        <v>1641</v>
      </c>
      <c r="N122">
        <v>1</v>
      </c>
      <c r="O122" t="s">
        <v>7924</v>
      </c>
      <c r="P122">
        <v>55977035700</v>
      </c>
      <c r="Q122">
        <v>60007171</v>
      </c>
      <c r="R122" s="7">
        <v>32568</v>
      </c>
      <c r="S122" s="8">
        <f t="shared" si="16"/>
        <v>1989</v>
      </c>
      <c r="T122" s="8">
        <v>1989</v>
      </c>
      <c r="U122" s="8">
        <f t="shared" si="17"/>
        <v>33</v>
      </c>
      <c r="V122" s="7">
        <v>32568</v>
      </c>
      <c r="W122" t="s">
        <v>7923</v>
      </c>
      <c r="X122" s="2">
        <v>0.39800000000000002</v>
      </c>
      <c r="Y122" s="6">
        <f t="shared" si="14"/>
        <v>1.0624382691332319E-2</v>
      </c>
      <c r="AA122" t="s">
        <v>7922</v>
      </c>
      <c r="AB122">
        <v>26771</v>
      </c>
      <c r="AC122" t="s">
        <v>7921</v>
      </c>
      <c r="AD122" t="s">
        <v>5</v>
      </c>
      <c r="AE122">
        <v>153</v>
      </c>
      <c r="AF122">
        <v>2</v>
      </c>
      <c r="AH122" t="s">
        <v>7920</v>
      </c>
      <c r="AI122" t="s">
        <v>7919</v>
      </c>
      <c r="AK122" t="s">
        <v>7918</v>
      </c>
      <c r="AL122">
        <v>7</v>
      </c>
      <c r="AM122" s="5">
        <f t="shared" si="18"/>
        <v>0.21212121212121213</v>
      </c>
      <c r="AN122" s="4">
        <f t="shared" si="15"/>
        <v>3.2127408121349809E-4</v>
      </c>
      <c r="AO122" s="3"/>
      <c r="AP122">
        <v>0</v>
      </c>
      <c r="AR122" t="s">
        <v>0</v>
      </c>
      <c r="AT122" s="2">
        <v>1.83</v>
      </c>
      <c r="AU122" s="1">
        <f t="shared" si="19"/>
        <v>0.75334501082966721</v>
      </c>
      <c r="AV122" s="1">
        <f t="shared" si="20"/>
        <v>0.54728283862729088</v>
      </c>
      <c r="AW122" s="1">
        <f t="shared" si="21"/>
        <v>0.34122066642491444</v>
      </c>
    </row>
    <row r="123" spans="1:49" x14ac:dyDescent="0.2">
      <c r="A123">
        <v>121</v>
      </c>
      <c r="B123" t="s">
        <v>7917</v>
      </c>
      <c r="C123" t="s">
        <v>7916</v>
      </c>
      <c r="F123" t="s">
        <v>7915</v>
      </c>
      <c r="G123" t="s">
        <v>15</v>
      </c>
      <c r="H123" t="s">
        <v>14</v>
      </c>
      <c r="I123" t="s">
        <v>7796</v>
      </c>
      <c r="J123">
        <v>60019118</v>
      </c>
      <c r="K123" t="s">
        <v>7358</v>
      </c>
      <c r="L123" t="s">
        <v>7357</v>
      </c>
      <c r="M123" t="s">
        <v>1641</v>
      </c>
      <c r="N123">
        <v>1</v>
      </c>
      <c r="O123" t="s">
        <v>7914</v>
      </c>
      <c r="P123">
        <v>6603478057</v>
      </c>
      <c r="Q123">
        <v>60019118</v>
      </c>
      <c r="R123" s="7">
        <v>32568</v>
      </c>
      <c r="S123" s="8">
        <f t="shared" si="16"/>
        <v>1989</v>
      </c>
      <c r="T123" s="8">
        <v>1989</v>
      </c>
      <c r="U123" s="8">
        <f t="shared" si="17"/>
        <v>33</v>
      </c>
      <c r="V123" s="7">
        <v>32568</v>
      </c>
      <c r="W123" t="s">
        <v>6498</v>
      </c>
      <c r="X123" s="2">
        <v>0.61499999999999999</v>
      </c>
      <c r="Y123" s="6">
        <f t="shared" si="14"/>
        <v>1.6417073756706976E-2</v>
      </c>
      <c r="AA123">
        <v>1959271</v>
      </c>
      <c r="AB123">
        <v>12141</v>
      </c>
      <c r="AC123">
        <v>15729559</v>
      </c>
      <c r="AD123" t="s">
        <v>5</v>
      </c>
      <c r="AE123">
        <v>10</v>
      </c>
      <c r="AF123">
        <v>3</v>
      </c>
      <c r="AH123" t="s">
        <v>7913</v>
      </c>
      <c r="AI123" t="s">
        <v>7912</v>
      </c>
      <c r="AK123" t="s">
        <v>7911</v>
      </c>
      <c r="AL123">
        <v>6</v>
      </c>
      <c r="AM123" s="5">
        <f t="shared" si="18"/>
        <v>0.18181818181818182</v>
      </c>
      <c r="AN123" s="4">
        <f t="shared" si="15"/>
        <v>2.753777838972841E-4</v>
      </c>
      <c r="AO123" s="3"/>
      <c r="AP123">
        <v>0</v>
      </c>
      <c r="AR123" t="s">
        <v>0</v>
      </c>
      <c r="AT123" s="2" t="s">
        <v>19</v>
      </c>
      <c r="AU123" s="1">
        <f t="shared" si="19"/>
        <v>1.1574564964864067</v>
      </c>
      <c r="AV123" s="1">
        <f t="shared" si="20"/>
        <v>0.83462257703021303</v>
      </c>
      <c r="AW123" s="1">
        <f t="shared" si="21"/>
        <v>0.51178865757401915</v>
      </c>
    </row>
    <row r="124" spans="1:49" x14ac:dyDescent="0.2">
      <c r="A124">
        <v>122</v>
      </c>
      <c r="B124" t="s">
        <v>7910</v>
      </c>
      <c r="C124" t="s">
        <v>7909</v>
      </c>
      <c r="F124" t="s">
        <v>7908</v>
      </c>
      <c r="G124" t="s">
        <v>15</v>
      </c>
      <c r="H124" t="s">
        <v>14</v>
      </c>
      <c r="R124" s="7">
        <v>32568</v>
      </c>
      <c r="S124" s="8">
        <f t="shared" si="16"/>
        <v>1989</v>
      </c>
      <c r="T124" s="8">
        <v>1989</v>
      </c>
      <c r="U124" s="8">
        <f t="shared" si="17"/>
        <v>33</v>
      </c>
      <c r="V124" s="7">
        <v>32568</v>
      </c>
      <c r="W124" t="s">
        <v>7907</v>
      </c>
      <c r="X124" s="2">
        <v>1.026</v>
      </c>
      <c r="Y124" s="6">
        <f t="shared" si="14"/>
        <v>2.738848402338432E-2</v>
      </c>
      <c r="AA124">
        <v>380938</v>
      </c>
      <c r="AB124">
        <v>28245</v>
      </c>
      <c r="AC124" t="s">
        <v>7906</v>
      </c>
      <c r="AD124" t="s">
        <v>5</v>
      </c>
      <c r="AE124">
        <v>120</v>
      </c>
      <c r="AF124">
        <v>1</v>
      </c>
      <c r="AH124" t="s">
        <v>7905</v>
      </c>
      <c r="AI124" t="s">
        <v>7904</v>
      </c>
      <c r="AK124" t="s">
        <v>7903</v>
      </c>
      <c r="AL124">
        <v>30</v>
      </c>
      <c r="AM124" s="5">
        <f t="shared" si="18"/>
        <v>0.90909090909090906</v>
      </c>
      <c r="AN124" s="4">
        <f t="shared" si="15"/>
        <v>1.3768889194864203E-3</v>
      </c>
      <c r="AO124" s="3"/>
      <c r="AP124">
        <v>0</v>
      </c>
      <c r="AR124" t="s">
        <v>0</v>
      </c>
      <c r="AT124" s="2">
        <v>2.6709999999999998</v>
      </c>
      <c r="AU124" s="1">
        <f t="shared" si="19"/>
        <v>1.9585005492214949</v>
      </c>
      <c r="AV124" s="1">
        <f t="shared" si="20"/>
        <v>1.4382686471435371</v>
      </c>
      <c r="AW124" s="1">
        <f t="shared" si="21"/>
        <v>0.91803674506557909</v>
      </c>
    </row>
    <row r="125" spans="1:49" x14ac:dyDescent="0.2">
      <c r="A125">
        <v>123</v>
      </c>
      <c r="B125" t="s">
        <v>7902</v>
      </c>
      <c r="C125" t="s">
        <v>7901</v>
      </c>
      <c r="F125" t="s">
        <v>7900</v>
      </c>
      <c r="G125" t="s">
        <v>15</v>
      </c>
      <c r="H125" t="s">
        <v>14</v>
      </c>
      <c r="I125" t="s">
        <v>7899</v>
      </c>
      <c r="J125" t="s">
        <v>7898</v>
      </c>
      <c r="K125" t="s">
        <v>7897</v>
      </c>
      <c r="L125" t="s">
        <v>7896</v>
      </c>
      <c r="M125" t="s">
        <v>7895</v>
      </c>
      <c r="N125">
        <v>9</v>
      </c>
      <c r="O125" t="s">
        <v>7894</v>
      </c>
      <c r="P125" t="s">
        <v>7893</v>
      </c>
      <c r="Q125" t="s">
        <v>7892</v>
      </c>
      <c r="R125" s="7">
        <v>32568</v>
      </c>
      <c r="S125" s="8">
        <f t="shared" si="16"/>
        <v>1989</v>
      </c>
      <c r="T125" s="8">
        <v>1989</v>
      </c>
      <c r="U125" s="8">
        <f t="shared" si="17"/>
        <v>33</v>
      </c>
      <c r="V125" s="7">
        <v>32568</v>
      </c>
      <c r="W125" t="s">
        <v>7891</v>
      </c>
      <c r="X125" s="2">
        <v>1.2529999999999999</v>
      </c>
      <c r="Y125" s="6">
        <f t="shared" si="14"/>
        <v>3.3448119377485916E-2</v>
      </c>
      <c r="AA125">
        <v>320935</v>
      </c>
      <c r="AB125">
        <v>16646</v>
      </c>
      <c r="AC125">
        <v>14322048</v>
      </c>
      <c r="AD125" t="s">
        <v>5</v>
      </c>
      <c r="AE125">
        <v>177</v>
      </c>
      <c r="AF125">
        <v>3</v>
      </c>
      <c r="AH125" t="s">
        <v>7890</v>
      </c>
      <c r="AI125" t="s">
        <v>7889</v>
      </c>
      <c r="AJ125" t="s">
        <v>7888</v>
      </c>
      <c r="AK125" t="s">
        <v>7887</v>
      </c>
      <c r="AL125">
        <v>172</v>
      </c>
      <c r="AM125" s="5">
        <f t="shared" si="18"/>
        <v>5.2121212121212119</v>
      </c>
      <c r="AN125" s="4">
        <f t="shared" si="15"/>
        <v>7.89416313838881E-3</v>
      </c>
      <c r="AO125" s="3"/>
      <c r="AP125">
        <v>0</v>
      </c>
      <c r="AR125" t="s">
        <v>0</v>
      </c>
      <c r="AT125" s="2">
        <v>4.1159999999999997</v>
      </c>
      <c r="AU125" s="1">
        <f t="shared" si="19"/>
        <v>2.5781932505756782</v>
      </c>
      <c r="AV125" s="1">
        <f t="shared" si="20"/>
        <v>2.0671141257937364</v>
      </c>
      <c r="AW125" s="1">
        <f t="shared" si="21"/>
        <v>1.5560350010117943</v>
      </c>
    </row>
    <row r="126" spans="1:49" x14ac:dyDescent="0.2">
      <c r="A126">
        <v>124</v>
      </c>
      <c r="B126" t="s">
        <v>7886</v>
      </c>
      <c r="C126" t="s">
        <v>7885</v>
      </c>
      <c r="F126" t="s">
        <v>7884</v>
      </c>
      <c r="G126" t="s">
        <v>15</v>
      </c>
      <c r="H126" t="s">
        <v>14</v>
      </c>
      <c r="I126" t="s">
        <v>7883</v>
      </c>
      <c r="J126" t="s">
        <v>7877</v>
      </c>
      <c r="K126" t="s">
        <v>7882</v>
      </c>
      <c r="L126" t="s">
        <v>7881</v>
      </c>
      <c r="M126" t="s">
        <v>7880</v>
      </c>
      <c r="N126">
        <v>2</v>
      </c>
      <c r="O126" t="s">
        <v>7879</v>
      </c>
      <c r="P126" t="s">
        <v>7878</v>
      </c>
      <c r="Q126" t="s">
        <v>7877</v>
      </c>
      <c r="R126" s="7">
        <v>32568</v>
      </c>
      <c r="S126" s="8">
        <f t="shared" si="16"/>
        <v>1989</v>
      </c>
      <c r="T126" s="8">
        <v>1989</v>
      </c>
      <c r="U126" s="8">
        <f t="shared" si="17"/>
        <v>33</v>
      </c>
      <c r="V126" s="7">
        <v>32568</v>
      </c>
      <c r="W126" t="s">
        <v>7630</v>
      </c>
      <c r="X126" s="2">
        <v>0.85499999999999998</v>
      </c>
      <c r="Y126" s="6">
        <f t="shared" si="14"/>
        <v>2.28237366861536E-2</v>
      </c>
      <c r="AA126">
        <v>980331</v>
      </c>
      <c r="AB126">
        <v>23342</v>
      </c>
      <c r="AC126">
        <v>15731561</v>
      </c>
      <c r="AD126" t="s">
        <v>5</v>
      </c>
      <c r="AE126">
        <v>15</v>
      </c>
      <c r="AF126">
        <v>3</v>
      </c>
      <c r="AH126" t="s">
        <v>7876</v>
      </c>
      <c r="AI126" t="s">
        <v>7875</v>
      </c>
      <c r="AJ126" t="s">
        <v>7874</v>
      </c>
      <c r="AK126" t="s">
        <v>7873</v>
      </c>
      <c r="AL126">
        <v>33</v>
      </c>
      <c r="AM126" s="5">
        <f t="shared" si="18"/>
        <v>1</v>
      </c>
      <c r="AN126" s="4">
        <f t="shared" si="15"/>
        <v>1.5145778114350624E-3</v>
      </c>
      <c r="AO126" s="3"/>
      <c r="AP126">
        <v>0</v>
      </c>
      <c r="AR126" t="s">
        <v>0</v>
      </c>
      <c r="AT126" s="2">
        <v>2.6259999999999999</v>
      </c>
      <c r="AU126" s="1">
        <f t="shared" si="19"/>
        <v>1.6430989023738036</v>
      </c>
      <c r="AV126" s="1">
        <f t="shared" si="20"/>
        <v>1.2169157248794331</v>
      </c>
      <c r="AW126" s="1">
        <f t="shared" si="21"/>
        <v>0.79073254738506238</v>
      </c>
    </row>
    <row r="127" spans="1:49" x14ac:dyDescent="0.2">
      <c r="A127">
        <v>125</v>
      </c>
      <c r="B127" t="s">
        <v>7872</v>
      </c>
      <c r="C127" t="s">
        <v>7871</v>
      </c>
      <c r="F127" t="s">
        <v>7870</v>
      </c>
      <c r="G127" t="s">
        <v>15</v>
      </c>
      <c r="H127" t="s">
        <v>14</v>
      </c>
      <c r="I127" t="s">
        <v>7869</v>
      </c>
      <c r="J127">
        <v>60001565</v>
      </c>
      <c r="K127" t="s">
        <v>7868</v>
      </c>
      <c r="L127" t="s">
        <v>7867</v>
      </c>
      <c r="M127" t="s">
        <v>1815</v>
      </c>
      <c r="N127">
        <v>2</v>
      </c>
      <c r="O127" t="s">
        <v>7866</v>
      </c>
      <c r="P127" t="s">
        <v>7865</v>
      </c>
      <c r="Q127" t="s">
        <v>7864</v>
      </c>
      <c r="R127" s="7">
        <v>32555</v>
      </c>
      <c r="S127" s="8">
        <f t="shared" si="16"/>
        <v>1989</v>
      </c>
      <c r="T127" s="8">
        <v>1989</v>
      </c>
      <c r="U127" s="8">
        <f t="shared" si="17"/>
        <v>33</v>
      </c>
      <c r="V127" s="7">
        <v>32555</v>
      </c>
      <c r="W127" t="s">
        <v>2469</v>
      </c>
      <c r="X127" s="2">
        <v>0.375</v>
      </c>
      <c r="Y127" s="6">
        <f t="shared" si="14"/>
        <v>1.0010410827260351E-2</v>
      </c>
      <c r="AA127">
        <v>135194</v>
      </c>
      <c r="AB127">
        <v>24918</v>
      </c>
      <c r="AD127" t="s">
        <v>5</v>
      </c>
      <c r="AE127">
        <v>25</v>
      </c>
      <c r="AF127">
        <v>5</v>
      </c>
      <c r="AH127" t="s">
        <v>7863</v>
      </c>
      <c r="AI127" t="s">
        <v>7862</v>
      </c>
      <c r="AJ127" t="s">
        <v>7861</v>
      </c>
      <c r="AK127" t="s">
        <v>7860</v>
      </c>
      <c r="AL127">
        <v>2</v>
      </c>
      <c r="AM127" s="5">
        <f t="shared" si="18"/>
        <v>6.0606060606060608E-2</v>
      </c>
      <c r="AN127" s="4">
        <f t="shared" si="15"/>
        <v>9.1792594632428032E-5</v>
      </c>
      <c r="AO127" s="3"/>
      <c r="AP127">
        <v>0</v>
      </c>
      <c r="AR127" t="s">
        <v>0</v>
      </c>
      <c r="AT127" s="2">
        <v>1.3140000000000001</v>
      </c>
      <c r="AU127" s="1">
        <f t="shared" si="19"/>
        <v>0.70348253574719743</v>
      </c>
      <c r="AV127" s="1">
        <f t="shared" si="20"/>
        <v>0.50511017109463896</v>
      </c>
      <c r="AW127" s="1">
        <f t="shared" si="21"/>
        <v>0.30673780644208049</v>
      </c>
    </row>
    <row r="128" spans="1:49" x14ac:dyDescent="0.2">
      <c r="A128">
        <v>126</v>
      </c>
      <c r="B128" t="s">
        <v>7859</v>
      </c>
      <c r="C128" t="s">
        <v>7858</v>
      </c>
      <c r="F128" t="s">
        <v>7857</v>
      </c>
      <c r="G128" t="s">
        <v>15</v>
      </c>
      <c r="H128" t="s">
        <v>14</v>
      </c>
      <c r="I128" t="s">
        <v>7856</v>
      </c>
      <c r="J128">
        <v>60028112</v>
      </c>
      <c r="K128" t="s">
        <v>2663</v>
      </c>
      <c r="L128" t="s">
        <v>2662</v>
      </c>
      <c r="M128" t="s">
        <v>72</v>
      </c>
      <c r="N128">
        <v>3</v>
      </c>
      <c r="O128" t="s">
        <v>7855</v>
      </c>
      <c r="P128" t="s">
        <v>7854</v>
      </c>
      <c r="Q128" t="s">
        <v>7853</v>
      </c>
      <c r="R128" s="7">
        <v>32555</v>
      </c>
      <c r="S128" s="8">
        <f t="shared" si="16"/>
        <v>1989</v>
      </c>
      <c r="T128" s="8">
        <v>1989</v>
      </c>
      <c r="U128" s="8">
        <f t="shared" si="17"/>
        <v>33</v>
      </c>
      <c r="V128" s="7">
        <v>32555</v>
      </c>
      <c r="W128" t="s">
        <v>2469</v>
      </c>
      <c r="X128" s="2">
        <v>0.375</v>
      </c>
      <c r="Y128" s="6">
        <f t="shared" si="14"/>
        <v>1.0010410827260351E-2</v>
      </c>
      <c r="AA128">
        <v>135194</v>
      </c>
      <c r="AB128">
        <v>24918</v>
      </c>
      <c r="AD128" t="s">
        <v>5</v>
      </c>
      <c r="AE128">
        <v>25</v>
      </c>
      <c r="AF128">
        <v>5</v>
      </c>
      <c r="AH128" t="s">
        <v>7852</v>
      </c>
      <c r="AI128" t="s">
        <v>7851</v>
      </c>
      <c r="AJ128" t="s">
        <v>7850</v>
      </c>
      <c r="AK128" t="s">
        <v>7849</v>
      </c>
      <c r="AL128">
        <v>6</v>
      </c>
      <c r="AM128" s="5">
        <f t="shared" si="18"/>
        <v>0.18181818181818182</v>
      </c>
      <c r="AN128" s="4">
        <f t="shared" si="15"/>
        <v>2.753777838972841E-4</v>
      </c>
      <c r="AO128" s="3"/>
      <c r="AP128">
        <v>0</v>
      </c>
      <c r="AR128" t="s">
        <v>0</v>
      </c>
      <c r="AT128" s="2">
        <v>1.3140000000000001</v>
      </c>
      <c r="AU128" s="1">
        <f t="shared" si="19"/>
        <v>0.70899009142514313</v>
      </c>
      <c r="AV128" s="1">
        <f t="shared" si="20"/>
        <v>0.51428943055788179</v>
      </c>
      <c r="AW128" s="1">
        <f t="shared" si="21"/>
        <v>0.31958876969062039</v>
      </c>
    </row>
    <row r="129" spans="1:49" x14ac:dyDescent="0.2">
      <c r="A129">
        <v>127</v>
      </c>
      <c r="B129" t="s">
        <v>7848</v>
      </c>
      <c r="E129">
        <v>2521456</v>
      </c>
      <c r="F129" t="s">
        <v>7847</v>
      </c>
      <c r="G129" t="s">
        <v>15</v>
      </c>
      <c r="H129" t="s">
        <v>14</v>
      </c>
      <c r="I129" t="s">
        <v>7846</v>
      </c>
      <c r="J129" t="s">
        <v>7841</v>
      </c>
      <c r="K129" t="s">
        <v>7845</v>
      </c>
      <c r="L129" t="s">
        <v>7844</v>
      </c>
      <c r="M129" t="s">
        <v>4260</v>
      </c>
      <c r="N129">
        <v>2</v>
      </c>
      <c r="O129" t="s">
        <v>7843</v>
      </c>
      <c r="P129" t="s">
        <v>7842</v>
      </c>
      <c r="Q129" t="s">
        <v>7841</v>
      </c>
      <c r="R129" s="7">
        <v>32554</v>
      </c>
      <c r="S129" s="8">
        <f t="shared" si="16"/>
        <v>1989</v>
      </c>
      <c r="T129" s="8">
        <v>1989</v>
      </c>
      <c r="U129" s="8">
        <f t="shared" si="17"/>
        <v>33</v>
      </c>
      <c r="V129" s="7">
        <v>32554</v>
      </c>
      <c r="W129" t="s">
        <v>7840</v>
      </c>
      <c r="X129" s="2">
        <v>4.1029999999999998</v>
      </c>
      <c r="Y129" s="6">
        <f t="shared" si="14"/>
        <v>0.10952724166466458</v>
      </c>
      <c r="AA129">
        <v>85472</v>
      </c>
      <c r="AB129">
        <v>29183</v>
      </c>
      <c r="AC129">
        <v>15387445</v>
      </c>
      <c r="AD129" t="s">
        <v>5</v>
      </c>
      <c r="AE129">
        <v>49</v>
      </c>
      <c r="AF129">
        <v>4</v>
      </c>
      <c r="AH129" t="s">
        <v>7839</v>
      </c>
      <c r="AI129" t="s">
        <v>7838</v>
      </c>
      <c r="AK129" t="s">
        <v>7837</v>
      </c>
      <c r="AL129">
        <v>190</v>
      </c>
      <c r="AM129" s="5">
        <f t="shared" si="18"/>
        <v>5.7575757575757578</v>
      </c>
      <c r="AN129" s="4">
        <f t="shared" si="15"/>
        <v>8.7202964900806625E-3</v>
      </c>
      <c r="AO129" s="3"/>
      <c r="AP129">
        <v>0</v>
      </c>
      <c r="AR129" t="s">
        <v>0</v>
      </c>
      <c r="AT129" s="2">
        <v>12.701000000000001</v>
      </c>
      <c r="AU129" s="1">
        <f t="shared" si="19"/>
        <v>7.9285158112289409</v>
      </c>
      <c r="AV129" s="1">
        <f t="shared" si="20"/>
        <v>5.9123769077372623</v>
      </c>
      <c r="AW129" s="1">
        <f t="shared" si="21"/>
        <v>3.8962380042455838</v>
      </c>
    </row>
    <row r="130" spans="1:49" x14ac:dyDescent="0.2">
      <c r="A130">
        <v>128</v>
      </c>
      <c r="B130" t="s">
        <v>7836</v>
      </c>
      <c r="C130" t="s">
        <v>7835</v>
      </c>
      <c r="D130" t="s">
        <v>7834</v>
      </c>
      <c r="F130" t="s">
        <v>7833</v>
      </c>
      <c r="G130" t="s">
        <v>15</v>
      </c>
      <c r="H130" t="s">
        <v>14</v>
      </c>
      <c r="I130" t="s">
        <v>7832</v>
      </c>
      <c r="J130">
        <v>60011001</v>
      </c>
      <c r="K130" t="s">
        <v>2963</v>
      </c>
      <c r="L130" t="s">
        <v>844</v>
      </c>
      <c r="M130" t="s">
        <v>115</v>
      </c>
      <c r="N130">
        <v>3</v>
      </c>
      <c r="O130" t="s">
        <v>7831</v>
      </c>
      <c r="P130" t="s">
        <v>7830</v>
      </c>
      <c r="Q130" t="s">
        <v>7829</v>
      </c>
      <c r="R130" s="7">
        <v>32541</v>
      </c>
      <c r="S130" s="8">
        <f t="shared" si="16"/>
        <v>1989</v>
      </c>
      <c r="T130" s="8">
        <v>1989</v>
      </c>
      <c r="U130" s="8">
        <f t="shared" si="17"/>
        <v>33</v>
      </c>
      <c r="V130" s="7">
        <v>32541</v>
      </c>
      <c r="W130" t="s">
        <v>7828</v>
      </c>
      <c r="X130" s="2" t="s">
        <v>19</v>
      </c>
      <c r="Y130" s="6" t="e">
        <f t="shared" ref="Y130:Y193" si="22">(X130-$Z$4)/($Z$3-$Z$4)</f>
        <v>#VALUE!</v>
      </c>
      <c r="AA130" t="s">
        <v>7827</v>
      </c>
      <c r="AB130">
        <v>29068</v>
      </c>
      <c r="AD130" t="s">
        <v>5</v>
      </c>
      <c r="AE130" t="s">
        <v>7826</v>
      </c>
      <c r="AF130" t="s">
        <v>5662</v>
      </c>
      <c r="AH130" t="s">
        <v>7825</v>
      </c>
      <c r="AI130" t="s">
        <v>7824</v>
      </c>
      <c r="AK130" t="s">
        <v>7823</v>
      </c>
      <c r="AL130">
        <v>4</v>
      </c>
      <c r="AM130" s="5">
        <f t="shared" si="18"/>
        <v>0.12121212121212122</v>
      </c>
      <c r="AN130" s="4">
        <f t="shared" ref="AN130:AN193" si="23">(AM130-$AO$4)/($AO$3-$AO$4)</f>
        <v>1.8358518926485606E-4</v>
      </c>
      <c r="AO130" s="3"/>
      <c r="AP130">
        <v>0</v>
      </c>
      <c r="AR130" t="s">
        <v>0</v>
      </c>
      <c r="AT130" s="2" t="s">
        <v>19</v>
      </c>
      <c r="AU130" s="1" t="e">
        <f t="shared" si="19"/>
        <v>#VALUE!</v>
      </c>
      <c r="AV130" s="1" t="e">
        <f t="shared" si="20"/>
        <v>#VALUE!</v>
      </c>
      <c r="AW130" s="1" t="e">
        <f t="shared" si="21"/>
        <v>#VALUE!</v>
      </c>
    </row>
    <row r="131" spans="1:49" x14ac:dyDescent="0.2">
      <c r="A131">
        <v>129</v>
      </c>
      <c r="B131" t="s">
        <v>7822</v>
      </c>
      <c r="C131" t="s">
        <v>7821</v>
      </c>
      <c r="F131" t="s">
        <v>7820</v>
      </c>
      <c r="G131" t="s">
        <v>15</v>
      </c>
      <c r="H131" t="s">
        <v>14</v>
      </c>
      <c r="I131" t="s">
        <v>7819</v>
      </c>
      <c r="J131" t="s">
        <v>7818</v>
      </c>
      <c r="K131" t="s">
        <v>7817</v>
      </c>
      <c r="L131" t="s">
        <v>7816</v>
      </c>
      <c r="M131" t="s">
        <v>2149</v>
      </c>
      <c r="N131">
        <v>3</v>
      </c>
      <c r="O131" t="s">
        <v>7815</v>
      </c>
      <c r="P131" t="s">
        <v>7814</v>
      </c>
      <c r="Q131" t="s">
        <v>7813</v>
      </c>
      <c r="R131" s="7">
        <v>32540</v>
      </c>
      <c r="S131" s="8">
        <f t="shared" si="16"/>
        <v>1989</v>
      </c>
      <c r="T131" s="8">
        <v>1989</v>
      </c>
      <c r="U131" s="8">
        <f t="shared" si="17"/>
        <v>33</v>
      </c>
      <c r="V131" s="7">
        <v>32540</v>
      </c>
      <c r="W131" t="s">
        <v>151</v>
      </c>
      <c r="X131" s="2">
        <v>0.30099999999999999</v>
      </c>
      <c r="Y131" s="6">
        <f t="shared" si="22"/>
        <v>8.0350230906809754E-3</v>
      </c>
      <c r="AA131">
        <v>9395075</v>
      </c>
      <c r="AB131">
        <v>14954</v>
      </c>
      <c r="AC131">
        <v>18657125</v>
      </c>
      <c r="AD131" t="s">
        <v>5</v>
      </c>
      <c r="AE131">
        <v>44</v>
      </c>
      <c r="AF131" s="9">
        <v>44228</v>
      </c>
      <c r="AH131" t="s">
        <v>7812</v>
      </c>
      <c r="AI131" t="s">
        <v>7811</v>
      </c>
      <c r="AJ131" t="s">
        <v>7810</v>
      </c>
      <c r="AK131" t="s">
        <v>7809</v>
      </c>
      <c r="AL131">
        <v>17</v>
      </c>
      <c r="AM131" s="5">
        <f t="shared" si="18"/>
        <v>0.51515151515151514</v>
      </c>
      <c r="AN131" s="4">
        <f t="shared" si="23"/>
        <v>7.8023705437563825E-4</v>
      </c>
      <c r="AO131" s="3"/>
      <c r="AP131">
        <v>1</v>
      </c>
      <c r="AQ131" t="s">
        <v>7808</v>
      </c>
      <c r="AR131" t="s">
        <v>0</v>
      </c>
      <c r="AS131" t="s">
        <v>7807</v>
      </c>
      <c r="AT131" s="2" t="s">
        <v>19</v>
      </c>
      <c r="AU131" s="1">
        <f t="shared" si="19"/>
        <v>0.58585872797893745</v>
      </c>
      <c r="AV131" s="1">
        <f t="shared" si="20"/>
        <v>0.44076300725283074</v>
      </c>
      <c r="AW131" s="1">
        <f t="shared" si="21"/>
        <v>0.29566728652672392</v>
      </c>
    </row>
    <row r="132" spans="1:49" x14ac:dyDescent="0.2">
      <c r="A132">
        <v>130</v>
      </c>
      <c r="B132" t="s">
        <v>7806</v>
      </c>
      <c r="C132" t="s">
        <v>7805</v>
      </c>
      <c r="F132" t="s">
        <v>7804</v>
      </c>
      <c r="G132" t="s">
        <v>15</v>
      </c>
      <c r="H132" t="s">
        <v>14</v>
      </c>
      <c r="I132" t="s">
        <v>7803</v>
      </c>
      <c r="N132">
        <v>3</v>
      </c>
      <c r="O132" t="s">
        <v>7802</v>
      </c>
      <c r="P132" t="s">
        <v>7801</v>
      </c>
      <c r="Q132" t="s">
        <v>296</v>
      </c>
      <c r="R132" s="7">
        <v>32540</v>
      </c>
      <c r="S132" s="8">
        <f t="shared" si="16"/>
        <v>1989</v>
      </c>
      <c r="T132" s="8">
        <v>1989</v>
      </c>
      <c r="U132" s="8">
        <f t="shared" si="17"/>
        <v>33</v>
      </c>
      <c r="V132" s="7">
        <v>32540</v>
      </c>
      <c r="W132" t="s">
        <v>6551</v>
      </c>
      <c r="X132" s="2">
        <v>0.318</v>
      </c>
      <c r="Y132" s="6">
        <f t="shared" si="22"/>
        <v>8.4888283815167786E-3</v>
      </c>
      <c r="AA132">
        <v>338443</v>
      </c>
      <c r="AB132">
        <v>27160</v>
      </c>
      <c r="AC132">
        <v>15739120</v>
      </c>
      <c r="AD132" t="s">
        <v>5</v>
      </c>
      <c r="AE132">
        <v>32</v>
      </c>
      <c r="AF132">
        <v>2</v>
      </c>
      <c r="AH132" t="s">
        <v>7800</v>
      </c>
      <c r="AL132">
        <v>1</v>
      </c>
      <c r="AM132" s="5">
        <f t="shared" si="18"/>
        <v>3.0303030303030304E-2</v>
      </c>
      <c r="AN132" s="4">
        <f t="shared" si="23"/>
        <v>4.5896297316214016E-5</v>
      </c>
      <c r="AO132" s="3"/>
      <c r="AP132">
        <v>0</v>
      </c>
      <c r="AR132" t="s">
        <v>0</v>
      </c>
      <c r="AT132" s="2">
        <v>0.77</v>
      </c>
      <c r="AU132" s="1">
        <f t="shared" si="19"/>
        <v>0.59559487562566094</v>
      </c>
      <c r="AV132" s="1">
        <f t="shared" si="20"/>
        <v>0.42673623394164961</v>
      </c>
      <c r="AW132" s="1">
        <f t="shared" si="21"/>
        <v>0.25787759225763834</v>
      </c>
    </row>
    <row r="133" spans="1:49" x14ac:dyDescent="0.2">
      <c r="A133">
        <v>131</v>
      </c>
      <c r="B133" t="s">
        <v>7799</v>
      </c>
      <c r="C133" t="s">
        <v>7798</v>
      </c>
      <c r="F133" t="s">
        <v>7797</v>
      </c>
      <c r="G133" t="s">
        <v>15</v>
      </c>
      <c r="H133" t="s">
        <v>14</v>
      </c>
      <c r="I133" t="s">
        <v>7796</v>
      </c>
      <c r="J133">
        <v>60019118</v>
      </c>
      <c r="K133" t="s">
        <v>7358</v>
      </c>
      <c r="L133" t="s">
        <v>7357</v>
      </c>
      <c r="M133" t="s">
        <v>1641</v>
      </c>
      <c r="N133">
        <v>2</v>
      </c>
      <c r="O133" t="s">
        <v>7795</v>
      </c>
      <c r="P133" t="s">
        <v>7794</v>
      </c>
      <c r="Q133" t="s">
        <v>7793</v>
      </c>
      <c r="R133" s="7">
        <v>32540</v>
      </c>
      <c r="S133" s="8">
        <f t="shared" si="16"/>
        <v>1989</v>
      </c>
      <c r="T133" s="8">
        <v>1989</v>
      </c>
      <c r="U133" s="8">
        <f t="shared" si="17"/>
        <v>33</v>
      </c>
      <c r="V133" s="7">
        <v>32540</v>
      </c>
      <c r="W133" t="s">
        <v>6498</v>
      </c>
      <c r="X133" s="2">
        <v>0.61499999999999999</v>
      </c>
      <c r="Y133" s="6">
        <f t="shared" si="22"/>
        <v>1.6417073756706976E-2</v>
      </c>
      <c r="AA133">
        <v>1959271</v>
      </c>
      <c r="AB133">
        <v>12141</v>
      </c>
      <c r="AC133">
        <v>15729559</v>
      </c>
      <c r="AD133" t="s">
        <v>5</v>
      </c>
      <c r="AE133">
        <v>10</v>
      </c>
      <c r="AF133">
        <v>2</v>
      </c>
      <c r="AH133" t="s">
        <v>7792</v>
      </c>
      <c r="AI133" t="s">
        <v>7791</v>
      </c>
      <c r="AK133" t="s">
        <v>7790</v>
      </c>
      <c r="AL133">
        <v>4</v>
      </c>
      <c r="AM133" s="5">
        <f t="shared" si="18"/>
        <v>0.12121212121212122</v>
      </c>
      <c r="AN133" s="4">
        <f t="shared" si="23"/>
        <v>1.8358518926485606E-4</v>
      </c>
      <c r="AO133" s="3"/>
      <c r="AP133">
        <v>0</v>
      </c>
      <c r="AR133" t="s">
        <v>0</v>
      </c>
      <c r="AT133" s="2" t="s">
        <v>19</v>
      </c>
      <c r="AU133" s="1">
        <f t="shared" si="19"/>
        <v>1.1547027186474339</v>
      </c>
      <c r="AV133" s="1">
        <f t="shared" si="20"/>
        <v>0.83003294729859167</v>
      </c>
      <c r="AW133" s="1">
        <f t="shared" si="21"/>
        <v>0.50536317594974911</v>
      </c>
    </row>
    <row r="134" spans="1:49" x14ac:dyDescent="0.2">
      <c r="A134">
        <v>132</v>
      </c>
      <c r="B134" t="s">
        <v>7789</v>
      </c>
      <c r="F134" t="s">
        <v>7788</v>
      </c>
      <c r="G134" t="s">
        <v>15</v>
      </c>
      <c r="H134" t="s">
        <v>14</v>
      </c>
      <c r="I134" t="s">
        <v>7787</v>
      </c>
      <c r="N134">
        <v>3</v>
      </c>
      <c r="O134" t="s">
        <v>7786</v>
      </c>
      <c r="P134" t="s">
        <v>7785</v>
      </c>
      <c r="Q134" t="s">
        <v>296</v>
      </c>
      <c r="R134" s="7">
        <v>32540</v>
      </c>
      <c r="S134" s="8">
        <f t="shared" si="16"/>
        <v>1989</v>
      </c>
      <c r="T134" s="8">
        <v>1989</v>
      </c>
      <c r="U134" s="8">
        <f t="shared" si="17"/>
        <v>33</v>
      </c>
      <c r="V134" s="7">
        <v>32540</v>
      </c>
      <c r="W134" t="s">
        <v>1054</v>
      </c>
      <c r="X134" s="2">
        <v>0.14099999999999999</v>
      </c>
      <c r="Y134" s="6">
        <f t="shared" si="22"/>
        <v>3.7639144710498915E-3</v>
      </c>
      <c r="AA134">
        <v>402508</v>
      </c>
      <c r="AB134">
        <v>20868</v>
      </c>
      <c r="AD134" t="s">
        <v>5</v>
      </c>
      <c r="AE134">
        <v>44</v>
      </c>
      <c r="AF134">
        <v>2</v>
      </c>
      <c r="AH134" t="s">
        <v>7784</v>
      </c>
      <c r="AI134" t="s">
        <v>7783</v>
      </c>
      <c r="AK134" t="s">
        <v>7782</v>
      </c>
      <c r="AL134">
        <v>0</v>
      </c>
      <c r="AM134" s="5">
        <f t="shared" si="18"/>
        <v>0</v>
      </c>
      <c r="AN134" s="4">
        <f t="shared" si="23"/>
        <v>0</v>
      </c>
      <c r="AO134" s="3"/>
      <c r="AP134">
        <v>0</v>
      </c>
      <c r="AR134" t="s">
        <v>0</v>
      </c>
      <c r="AT134" s="2" t="s">
        <v>19</v>
      </c>
      <c r="AU134" s="1">
        <f t="shared" si="19"/>
        <v>0.26347401297349238</v>
      </c>
      <c r="AV134" s="1">
        <f t="shared" si="20"/>
        <v>0.18819572355249459</v>
      </c>
      <c r="AW134" s="1">
        <f t="shared" si="21"/>
        <v>0.11291743413149673</v>
      </c>
    </row>
    <row r="135" spans="1:49" x14ac:dyDescent="0.2">
      <c r="A135">
        <v>133</v>
      </c>
      <c r="B135" t="s">
        <v>7781</v>
      </c>
      <c r="F135" t="s">
        <v>7780</v>
      </c>
      <c r="G135" t="s">
        <v>15</v>
      </c>
      <c r="H135" t="s">
        <v>14</v>
      </c>
      <c r="I135" t="s">
        <v>7779</v>
      </c>
      <c r="N135">
        <v>1</v>
      </c>
      <c r="O135" t="s">
        <v>7778</v>
      </c>
      <c r="P135">
        <v>57199771503</v>
      </c>
      <c r="R135" s="7">
        <v>32540</v>
      </c>
      <c r="S135" s="8">
        <f t="shared" si="16"/>
        <v>1989</v>
      </c>
      <c r="T135" s="8">
        <v>1989</v>
      </c>
      <c r="U135" s="8">
        <f t="shared" si="17"/>
        <v>33</v>
      </c>
      <c r="V135" s="7">
        <v>32540</v>
      </c>
      <c r="W135" t="s">
        <v>1054</v>
      </c>
      <c r="X135" s="2">
        <v>0.14099999999999999</v>
      </c>
      <c r="Y135" s="6">
        <f t="shared" si="22"/>
        <v>3.7639144710498915E-3</v>
      </c>
      <c r="AA135">
        <v>402508</v>
      </c>
      <c r="AB135">
        <v>20868</v>
      </c>
      <c r="AD135" t="s">
        <v>5</v>
      </c>
      <c r="AE135">
        <v>44</v>
      </c>
      <c r="AF135">
        <v>2</v>
      </c>
      <c r="AH135" t="s">
        <v>7777</v>
      </c>
      <c r="AI135" t="s">
        <v>7776</v>
      </c>
      <c r="AK135" t="s">
        <v>7775</v>
      </c>
      <c r="AL135">
        <v>0</v>
      </c>
      <c r="AM135" s="5">
        <f t="shared" si="18"/>
        <v>0</v>
      </c>
      <c r="AN135" s="4">
        <f t="shared" si="23"/>
        <v>0</v>
      </c>
      <c r="AO135" s="3"/>
      <c r="AP135">
        <v>0</v>
      </c>
      <c r="AR135" t="s">
        <v>0</v>
      </c>
      <c r="AT135" s="2" t="s">
        <v>19</v>
      </c>
      <c r="AU135" s="1">
        <f t="shared" si="19"/>
        <v>0.26347401297349238</v>
      </c>
      <c r="AV135" s="1">
        <f t="shared" si="20"/>
        <v>0.18819572355249459</v>
      </c>
      <c r="AW135" s="1">
        <f t="shared" si="21"/>
        <v>0.11291743413149673</v>
      </c>
    </row>
    <row r="136" spans="1:49" x14ac:dyDescent="0.2">
      <c r="A136">
        <v>134</v>
      </c>
      <c r="B136" t="s">
        <v>7774</v>
      </c>
      <c r="F136" t="s">
        <v>7773</v>
      </c>
      <c r="G136" t="s">
        <v>15</v>
      </c>
      <c r="H136" t="s">
        <v>14</v>
      </c>
      <c r="I136" t="s">
        <v>7772</v>
      </c>
      <c r="N136">
        <v>1</v>
      </c>
      <c r="O136" t="s">
        <v>7771</v>
      </c>
      <c r="P136">
        <v>6602659980</v>
      </c>
      <c r="R136" s="7">
        <v>32540</v>
      </c>
      <c r="S136" s="8">
        <f t="shared" si="16"/>
        <v>1989</v>
      </c>
      <c r="T136" s="8">
        <v>1989</v>
      </c>
      <c r="U136" s="8">
        <f t="shared" si="17"/>
        <v>33</v>
      </c>
      <c r="V136" s="7">
        <v>32540</v>
      </c>
      <c r="W136" t="s">
        <v>1080</v>
      </c>
      <c r="X136" s="2" t="s">
        <v>19</v>
      </c>
      <c r="Y136" s="6" t="e">
        <f t="shared" si="22"/>
        <v>#VALUE!</v>
      </c>
      <c r="AA136">
        <v>87566648</v>
      </c>
      <c r="AB136">
        <v>74127</v>
      </c>
      <c r="AD136" t="s">
        <v>5</v>
      </c>
      <c r="AE136">
        <v>34</v>
      </c>
      <c r="AF136">
        <v>2</v>
      </c>
      <c r="AH136" t="s">
        <v>7770</v>
      </c>
      <c r="AI136" t="s">
        <v>7769</v>
      </c>
      <c r="AK136" t="s">
        <v>7768</v>
      </c>
      <c r="AL136">
        <v>0</v>
      </c>
      <c r="AM136" s="5">
        <f t="shared" si="18"/>
        <v>0</v>
      </c>
      <c r="AN136" s="4">
        <f t="shared" si="23"/>
        <v>0</v>
      </c>
      <c r="AO136" s="3"/>
      <c r="AP136">
        <v>0</v>
      </c>
      <c r="AR136" t="s">
        <v>0</v>
      </c>
      <c r="AT136" s="2" t="s">
        <v>19</v>
      </c>
      <c r="AU136" s="1" t="e">
        <f t="shared" si="19"/>
        <v>#VALUE!</v>
      </c>
      <c r="AV136" s="1" t="e">
        <f t="shared" si="20"/>
        <v>#VALUE!</v>
      </c>
      <c r="AW136" s="1" t="e">
        <f t="shared" si="21"/>
        <v>#VALUE!</v>
      </c>
    </row>
    <row r="137" spans="1:49" x14ac:dyDescent="0.2">
      <c r="A137">
        <v>135</v>
      </c>
      <c r="B137" t="s">
        <v>7767</v>
      </c>
      <c r="F137" t="s">
        <v>7766</v>
      </c>
      <c r="G137" t="s">
        <v>15</v>
      </c>
      <c r="H137" t="s">
        <v>14</v>
      </c>
      <c r="I137" t="s">
        <v>7765</v>
      </c>
      <c r="N137">
        <v>1</v>
      </c>
      <c r="O137" t="s">
        <v>7764</v>
      </c>
      <c r="P137">
        <v>57197688614</v>
      </c>
      <c r="R137" s="7">
        <v>32540</v>
      </c>
      <c r="S137" s="8">
        <f t="shared" si="16"/>
        <v>1989</v>
      </c>
      <c r="T137" s="8">
        <v>1989</v>
      </c>
      <c r="U137" s="8">
        <f t="shared" si="17"/>
        <v>33</v>
      </c>
      <c r="V137" s="7">
        <v>32540</v>
      </c>
      <c r="W137" t="s">
        <v>1080</v>
      </c>
      <c r="X137" s="2" t="s">
        <v>19</v>
      </c>
      <c r="Y137" s="6" t="e">
        <f t="shared" si="22"/>
        <v>#VALUE!</v>
      </c>
      <c r="AA137">
        <v>87566648</v>
      </c>
      <c r="AB137">
        <v>74127</v>
      </c>
      <c r="AD137" t="s">
        <v>5</v>
      </c>
      <c r="AE137">
        <v>34</v>
      </c>
      <c r="AF137">
        <v>2</v>
      </c>
      <c r="AH137" s="10">
        <v>41487</v>
      </c>
      <c r="AI137" t="s">
        <v>7763</v>
      </c>
      <c r="AK137" t="s">
        <v>7762</v>
      </c>
      <c r="AL137">
        <v>0</v>
      </c>
      <c r="AM137" s="5">
        <f t="shared" si="18"/>
        <v>0</v>
      </c>
      <c r="AN137" s="4">
        <f t="shared" si="23"/>
        <v>0</v>
      </c>
      <c r="AO137" s="3"/>
      <c r="AP137">
        <v>0</v>
      </c>
      <c r="AR137" t="s">
        <v>0</v>
      </c>
      <c r="AT137" s="2" t="s">
        <v>19</v>
      </c>
      <c r="AU137" s="1" t="e">
        <f t="shared" si="19"/>
        <v>#VALUE!</v>
      </c>
      <c r="AV137" s="1" t="e">
        <f t="shared" si="20"/>
        <v>#VALUE!</v>
      </c>
      <c r="AW137" s="1" t="e">
        <f t="shared" si="21"/>
        <v>#VALUE!</v>
      </c>
    </row>
    <row r="138" spans="1:49" x14ac:dyDescent="0.2">
      <c r="A138">
        <v>136</v>
      </c>
      <c r="B138" t="s">
        <v>7761</v>
      </c>
      <c r="F138" t="s">
        <v>7760</v>
      </c>
      <c r="G138" t="s">
        <v>15</v>
      </c>
      <c r="H138" t="s">
        <v>14</v>
      </c>
      <c r="I138" t="s">
        <v>7759</v>
      </c>
      <c r="N138">
        <v>3</v>
      </c>
      <c r="O138" t="s">
        <v>7758</v>
      </c>
      <c r="P138" t="s">
        <v>7757</v>
      </c>
      <c r="Q138" t="s">
        <v>296</v>
      </c>
      <c r="R138" s="7">
        <v>32540</v>
      </c>
      <c r="S138" s="8">
        <f t="shared" si="16"/>
        <v>1989</v>
      </c>
      <c r="T138" s="8">
        <v>1989</v>
      </c>
      <c r="U138" s="8">
        <f t="shared" si="17"/>
        <v>33</v>
      </c>
      <c r="V138" s="7">
        <v>32540</v>
      </c>
      <c r="W138" t="s">
        <v>1054</v>
      </c>
      <c r="X138" s="2">
        <v>0.14099999999999999</v>
      </c>
      <c r="Y138" s="6">
        <f t="shared" si="22"/>
        <v>3.7639144710498915E-3</v>
      </c>
      <c r="AA138">
        <v>402508</v>
      </c>
      <c r="AB138">
        <v>20868</v>
      </c>
      <c r="AD138" t="s">
        <v>5</v>
      </c>
      <c r="AE138">
        <v>44</v>
      </c>
      <c r="AF138">
        <v>2</v>
      </c>
      <c r="AH138" t="s">
        <v>7756</v>
      </c>
      <c r="AI138" t="s">
        <v>7755</v>
      </c>
      <c r="AK138" t="s">
        <v>7754</v>
      </c>
      <c r="AL138">
        <v>0</v>
      </c>
      <c r="AM138" s="5">
        <f t="shared" si="18"/>
        <v>0</v>
      </c>
      <c r="AN138" s="4">
        <f t="shared" si="23"/>
        <v>0</v>
      </c>
      <c r="AO138" s="3"/>
      <c r="AP138">
        <v>0</v>
      </c>
      <c r="AR138" t="s">
        <v>0</v>
      </c>
      <c r="AT138" s="2" t="s">
        <v>19</v>
      </c>
      <c r="AU138" s="1">
        <f t="shared" si="19"/>
        <v>0.26347401297349238</v>
      </c>
      <c r="AV138" s="1">
        <f t="shared" si="20"/>
        <v>0.18819572355249459</v>
      </c>
      <c r="AW138" s="1">
        <f t="shared" si="21"/>
        <v>0.11291743413149673</v>
      </c>
    </row>
    <row r="139" spans="1:49" x14ac:dyDescent="0.2">
      <c r="A139">
        <v>137</v>
      </c>
      <c r="B139" t="s">
        <v>7753</v>
      </c>
      <c r="F139" t="s">
        <v>7752</v>
      </c>
      <c r="G139" t="s">
        <v>15</v>
      </c>
      <c r="H139" t="s">
        <v>14</v>
      </c>
      <c r="I139" t="s">
        <v>7751</v>
      </c>
      <c r="J139">
        <v>60031159</v>
      </c>
      <c r="K139" t="s">
        <v>7750</v>
      </c>
      <c r="L139" t="s">
        <v>7749</v>
      </c>
      <c r="M139" t="s">
        <v>196</v>
      </c>
      <c r="N139">
        <v>3</v>
      </c>
      <c r="O139" t="s">
        <v>7748</v>
      </c>
      <c r="P139" t="s">
        <v>7747</v>
      </c>
      <c r="Q139" t="s">
        <v>7746</v>
      </c>
      <c r="R139" s="7">
        <v>32540</v>
      </c>
      <c r="S139" s="8">
        <f t="shared" si="16"/>
        <v>1989</v>
      </c>
      <c r="T139" s="8">
        <v>1989</v>
      </c>
      <c r="U139" s="8">
        <f t="shared" si="17"/>
        <v>33</v>
      </c>
      <c r="V139" s="7">
        <v>32540</v>
      </c>
      <c r="W139" t="s">
        <v>7745</v>
      </c>
      <c r="X139" s="2" t="s">
        <v>19</v>
      </c>
      <c r="Y139" s="6" t="e">
        <f t="shared" si="22"/>
        <v>#VALUE!</v>
      </c>
      <c r="AA139">
        <v>3932648</v>
      </c>
      <c r="AB139">
        <v>18207</v>
      </c>
      <c r="AD139" t="s">
        <v>5</v>
      </c>
      <c r="AE139">
        <v>17</v>
      </c>
      <c r="AF139">
        <v>1</v>
      </c>
      <c r="AH139" t="s">
        <v>7744</v>
      </c>
      <c r="AI139" t="s">
        <v>7743</v>
      </c>
      <c r="AK139" t="s">
        <v>7742</v>
      </c>
      <c r="AL139">
        <v>0</v>
      </c>
      <c r="AM139" s="5">
        <f t="shared" si="18"/>
        <v>0</v>
      </c>
      <c r="AN139" s="4">
        <f t="shared" si="23"/>
        <v>0</v>
      </c>
      <c r="AO139" s="3"/>
      <c r="AP139">
        <v>0</v>
      </c>
      <c r="AR139" t="s">
        <v>0</v>
      </c>
      <c r="AT139" s="2" t="s">
        <v>19</v>
      </c>
      <c r="AU139" s="1" t="e">
        <f t="shared" si="19"/>
        <v>#VALUE!</v>
      </c>
      <c r="AV139" s="1" t="e">
        <f t="shared" si="20"/>
        <v>#VALUE!</v>
      </c>
      <c r="AW139" s="1" t="e">
        <f t="shared" si="21"/>
        <v>#VALUE!</v>
      </c>
    </row>
    <row r="140" spans="1:49" x14ac:dyDescent="0.2">
      <c r="A140">
        <v>138</v>
      </c>
      <c r="B140" t="s">
        <v>7741</v>
      </c>
      <c r="F140" t="s">
        <v>7740</v>
      </c>
      <c r="G140" t="s">
        <v>15</v>
      </c>
      <c r="H140" t="s">
        <v>14</v>
      </c>
      <c r="I140" t="s">
        <v>7739</v>
      </c>
      <c r="N140">
        <v>2</v>
      </c>
      <c r="O140" t="s">
        <v>7738</v>
      </c>
      <c r="P140" t="s">
        <v>7737</v>
      </c>
      <c r="Q140" t="s">
        <v>1071</v>
      </c>
      <c r="R140" s="7">
        <v>32540</v>
      </c>
      <c r="S140" s="8">
        <f t="shared" si="16"/>
        <v>1989</v>
      </c>
      <c r="T140" s="8">
        <v>1989</v>
      </c>
      <c r="U140" s="8">
        <f t="shared" si="17"/>
        <v>33</v>
      </c>
      <c r="V140" s="7">
        <v>32540</v>
      </c>
      <c r="W140" t="s">
        <v>1054</v>
      </c>
      <c r="X140" s="2">
        <v>0.14099999999999999</v>
      </c>
      <c r="Y140" s="6">
        <f t="shared" si="22"/>
        <v>3.7639144710498915E-3</v>
      </c>
      <c r="AA140">
        <v>402508</v>
      </c>
      <c r="AB140">
        <v>20868</v>
      </c>
      <c r="AD140" t="s">
        <v>5</v>
      </c>
      <c r="AE140">
        <v>44</v>
      </c>
      <c r="AF140">
        <v>2</v>
      </c>
      <c r="AH140" t="s">
        <v>1812</v>
      </c>
      <c r="AI140" t="s">
        <v>7736</v>
      </c>
      <c r="AK140" t="s">
        <v>7735</v>
      </c>
      <c r="AL140">
        <v>0</v>
      </c>
      <c r="AM140" s="5">
        <f t="shared" si="18"/>
        <v>0</v>
      </c>
      <c r="AN140" s="4">
        <f t="shared" si="23"/>
        <v>0</v>
      </c>
      <c r="AO140" s="3"/>
      <c r="AP140">
        <v>0</v>
      </c>
      <c r="AR140" t="s">
        <v>0</v>
      </c>
      <c r="AT140" s="2" t="s">
        <v>19</v>
      </c>
      <c r="AU140" s="1">
        <f t="shared" si="19"/>
        <v>0.26347401297349238</v>
      </c>
      <c r="AV140" s="1">
        <f t="shared" si="20"/>
        <v>0.18819572355249459</v>
      </c>
      <c r="AW140" s="1">
        <f t="shared" si="21"/>
        <v>0.11291743413149673</v>
      </c>
    </row>
    <row r="141" spans="1:49" x14ac:dyDescent="0.2">
      <c r="A141">
        <v>139</v>
      </c>
      <c r="B141" t="s">
        <v>7734</v>
      </c>
      <c r="C141" t="s">
        <v>7733</v>
      </c>
      <c r="F141" t="s">
        <v>7732</v>
      </c>
      <c r="G141" t="s">
        <v>15</v>
      </c>
      <c r="H141" t="s">
        <v>14</v>
      </c>
      <c r="I141" t="s">
        <v>7731</v>
      </c>
      <c r="J141" t="s">
        <v>7730</v>
      </c>
      <c r="K141" t="s">
        <v>7729</v>
      </c>
      <c r="L141" t="s">
        <v>7728</v>
      </c>
      <c r="M141" t="s">
        <v>86</v>
      </c>
      <c r="N141">
        <v>6</v>
      </c>
      <c r="O141" t="s">
        <v>7727</v>
      </c>
      <c r="P141" t="s">
        <v>7726</v>
      </c>
      <c r="Q141" t="s">
        <v>7725</v>
      </c>
      <c r="R141" s="7">
        <v>32540</v>
      </c>
      <c r="S141" s="8">
        <f t="shared" si="16"/>
        <v>1989</v>
      </c>
      <c r="T141" s="8">
        <v>1989</v>
      </c>
      <c r="U141" s="8">
        <f t="shared" si="17"/>
        <v>33</v>
      </c>
      <c r="V141" s="7">
        <v>32540</v>
      </c>
      <c r="W141" t="s">
        <v>778</v>
      </c>
      <c r="X141" s="2">
        <v>1.6519999999999999</v>
      </c>
      <c r="Y141" s="6">
        <f t="shared" si="22"/>
        <v>4.409919649769093E-2</v>
      </c>
      <c r="AA141" t="s">
        <v>777</v>
      </c>
      <c r="AB141">
        <v>17337</v>
      </c>
      <c r="AC141">
        <v>15582221</v>
      </c>
      <c r="AD141" t="s">
        <v>5</v>
      </c>
      <c r="AE141">
        <v>37</v>
      </c>
      <c r="AF141">
        <v>2</v>
      </c>
      <c r="AH141" t="s">
        <v>7724</v>
      </c>
      <c r="AI141" t="s">
        <v>7723</v>
      </c>
      <c r="AK141" t="s">
        <v>7722</v>
      </c>
      <c r="AL141">
        <v>18</v>
      </c>
      <c r="AM141" s="5">
        <f t="shared" si="18"/>
        <v>0.54545454545454541</v>
      </c>
      <c r="AN141" s="4">
        <f t="shared" si="23"/>
        <v>8.2613335169185224E-4</v>
      </c>
      <c r="AO141" s="3"/>
      <c r="AP141">
        <v>0</v>
      </c>
      <c r="AR141" t="s">
        <v>0</v>
      </c>
      <c r="AT141" s="2" t="s">
        <v>19</v>
      </c>
      <c r="AU141" s="1">
        <f t="shared" si="19"/>
        <v>3.1117277553891207</v>
      </c>
      <c r="AV141" s="1">
        <f t="shared" si="20"/>
        <v>2.2462664924691391</v>
      </c>
      <c r="AW141" s="1">
        <f t="shared" si="21"/>
        <v>1.3808052295491575</v>
      </c>
    </row>
    <row r="142" spans="1:49" x14ac:dyDescent="0.2">
      <c r="A142">
        <v>140</v>
      </c>
      <c r="B142" t="s">
        <v>7721</v>
      </c>
      <c r="F142" t="s">
        <v>7720</v>
      </c>
      <c r="G142" t="s">
        <v>15</v>
      </c>
      <c r="H142" t="s">
        <v>14</v>
      </c>
      <c r="I142" t="s">
        <v>7719</v>
      </c>
      <c r="J142">
        <v>60015623</v>
      </c>
      <c r="K142" t="s">
        <v>7718</v>
      </c>
      <c r="L142" t="s">
        <v>2459</v>
      </c>
      <c r="M142" t="s">
        <v>23</v>
      </c>
      <c r="N142">
        <v>1</v>
      </c>
      <c r="O142" t="s">
        <v>7717</v>
      </c>
      <c r="P142">
        <v>7006701229</v>
      </c>
      <c r="Q142">
        <v>60015623</v>
      </c>
      <c r="R142" s="7">
        <v>32540</v>
      </c>
      <c r="S142" s="8">
        <f t="shared" si="16"/>
        <v>1989</v>
      </c>
      <c r="T142" s="8">
        <v>1989</v>
      </c>
      <c r="U142" s="8">
        <f t="shared" si="17"/>
        <v>33</v>
      </c>
      <c r="V142" s="7">
        <v>32540</v>
      </c>
      <c r="W142" t="s">
        <v>7692</v>
      </c>
      <c r="X142" s="2" t="s">
        <v>19</v>
      </c>
      <c r="Y142" s="6" t="e">
        <f t="shared" si="22"/>
        <v>#VALUE!</v>
      </c>
      <c r="AA142">
        <v>8850259</v>
      </c>
      <c r="AB142">
        <v>88209</v>
      </c>
      <c r="AD142" t="s">
        <v>5</v>
      </c>
      <c r="AE142">
        <v>15</v>
      </c>
      <c r="AF142">
        <v>2</v>
      </c>
      <c r="AH142" t="s">
        <v>7716</v>
      </c>
      <c r="AI142" t="s">
        <v>7715</v>
      </c>
      <c r="AK142" t="s">
        <v>7714</v>
      </c>
      <c r="AL142">
        <v>0</v>
      </c>
      <c r="AM142" s="5">
        <f t="shared" si="18"/>
        <v>0</v>
      </c>
      <c r="AN142" s="4">
        <f t="shared" si="23"/>
        <v>0</v>
      </c>
      <c r="AO142" s="3"/>
      <c r="AP142">
        <v>0</v>
      </c>
      <c r="AR142" t="s">
        <v>0</v>
      </c>
      <c r="AT142" s="2" t="s">
        <v>19</v>
      </c>
      <c r="AU142" s="1" t="e">
        <f t="shared" si="19"/>
        <v>#VALUE!</v>
      </c>
      <c r="AV142" s="1" t="e">
        <f t="shared" si="20"/>
        <v>#VALUE!</v>
      </c>
      <c r="AW142" s="1" t="e">
        <f t="shared" si="21"/>
        <v>#VALUE!</v>
      </c>
    </row>
    <row r="143" spans="1:49" x14ac:dyDescent="0.2">
      <c r="A143">
        <v>141</v>
      </c>
      <c r="B143" t="s">
        <v>7713</v>
      </c>
      <c r="F143" t="s">
        <v>7712</v>
      </c>
      <c r="G143" t="s">
        <v>15</v>
      </c>
      <c r="H143" t="s">
        <v>14</v>
      </c>
      <c r="I143" t="s">
        <v>7711</v>
      </c>
      <c r="J143">
        <v>60000414</v>
      </c>
      <c r="K143" t="s">
        <v>7710</v>
      </c>
      <c r="L143" t="s">
        <v>7709</v>
      </c>
      <c r="M143" t="s">
        <v>885</v>
      </c>
      <c r="N143">
        <v>3</v>
      </c>
      <c r="O143" t="s">
        <v>7708</v>
      </c>
      <c r="P143" t="s">
        <v>7707</v>
      </c>
      <c r="Q143" t="s">
        <v>7706</v>
      </c>
      <c r="R143" s="7">
        <v>32540</v>
      </c>
      <c r="S143" s="8">
        <f t="shared" si="16"/>
        <v>1989</v>
      </c>
      <c r="T143" s="8">
        <v>1989</v>
      </c>
      <c r="U143" s="8">
        <f t="shared" si="17"/>
        <v>33</v>
      </c>
      <c r="V143" s="7">
        <v>32540</v>
      </c>
      <c r="W143" t="s">
        <v>7705</v>
      </c>
      <c r="X143" s="2" t="s">
        <v>19</v>
      </c>
      <c r="Y143" s="6" t="e">
        <f t="shared" si="22"/>
        <v>#VALUE!</v>
      </c>
      <c r="AA143">
        <v>2511096</v>
      </c>
      <c r="AB143">
        <v>26110</v>
      </c>
      <c r="AD143" t="s">
        <v>5</v>
      </c>
      <c r="AE143" t="s">
        <v>7704</v>
      </c>
      <c r="AH143" t="s">
        <v>7703</v>
      </c>
      <c r="AI143" t="s">
        <v>7702</v>
      </c>
      <c r="AK143" t="s">
        <v>7701</v>
      </c>
      <c r="AL143">
        <v>0</v>
      </c>
      <c r="AM143" s="5">
        <f t="shared" si="18"/>
        <v>0</v>
      </c>
      <c r="AN143" s="4">
        <f t="shared" si="23"/>
        <v>0</v>
      </c>
      <c r="AO143" s="3"/>
      <c r="AP143">
        <v>0</v>
      </c>
      <c r="AR143" t="s">
        <v>0</v>
      </c>
      <c r="AT143" s="2" t="s">
        <v>19</v>
      </c>
      <c r="AU143" s="1" t="e">
        <f t="shared" si="19"/>
        <v>#VALUE!</v>
      </c>
      <c r="AV143" s="1" t="e">
        <f t="shared" si="20"/>
        <v>#VALUE!</v>
      </c>
      <c r="AW143" s="1" t="e">
        <f t="shared" si="21"/>
        <v>#VALUE!</v>
      </c>
    </row>
    <row r="144" spans="1:49" x14ac:dyDescent="0.2">
      <c r="A144">
        <v>142</v>
      </c>
      <c r="B144" t="s">
        <v>7700</v>
      </c>
      <c r="F144" t="s">
        <v>7699</v>
      </c>
      <c r="G144" t="s">
        <v>15</v>
      </c>
      <c r="H144" t="s">
        <v>14</v>
      </c>
      <c r="I144" t="s">
        <v>7698</v>
      </c>
      <c r="J144">
        <v>109339106</v>
      </c>
      <c r="K144" t="s">
        <v>7697</v>
      </c>
      <c r="L144" t="s">
        <v>7696</v>
      </c>
      <c r="M144" t="s">
        <v>115</v>
      </c>
      <c r="N144">
        <v>2</v>
      </c>
      <c r="O144" t="s">
        <v>7695</v>
      </c>
      <c r="P144" t="s">
        <v>7694</v>
      </c>
      <c r="Q144" t="s">
        <v>7693</v>
      </c>
      <c r="R144" s="7">
        <v>32540</v>
      </c>
      <c r="S144" s="8">
        <f t="shared" si="16"/>
        <v>1989</v>
      </c>
      <c r="T144" s="8">
        <v>1989</v>
      </c>
      <c r="U144" s="8">
        <f t="shared" si="17"/>
        <v>33</v>
      </c>
      <c r="V144" s="7">
        <v>32540</v>
      </c>
      <c r="W144" t="s">
        <v>7692</v>
      </c>
      <c r="X144" s="2" t="s">
        <v>19</v>
      </c>
      <c r="Y144" s="6" t="e">
        <f t="shared" si="22"/>
        <v>#VALUE!</v>
      </c>
      <c r="AA144">
        <v>8850259</v>
      </c>
      <c r="AB144">
        <v>88209</v>
      </c>
      <c r="AD144" t="s">
        <v>5</v>
      </c>
      <c r="AE144">
        <v>15</v>
      </c>
      <c r="AF144">
        <v>2</v>
      </c>
      <c r="AH144" t="s">
        <v>7691</v>
      </c>
      <c r="AI144" t="s">
        <v>7690</v>
      </c>
      <c r="AK144" t="s">
        <v>7689</v>
      </c>
      <c r="AL144">
        <v>2</v>
      </c>
      <c r="AM144" s="5">
        <f t="shared" si="18"/>
        <v>6.0606060606060608E-2</v>
      </c>
      <c r="AN144" s="4">
        <f t="shared" si="23"/>
        <v>9.1792594632428032E-5</v>
      </c>
      <c r="AO144" s="3"/>
      <c r="AP144">
        <v>0</v>
      </c>
      <c r="AR144" t="s">
        <v>0</v>
      </c>
      <c r="AT144" s="2" t="s">
        <v>19</v>
      </c>
      <c r="AU144" s="1" t="e">
        <f t="shared" si="19"/>
        <v>#VALUE!</v>
      </c>
      <c r="AV144" s="1" t="e">
        <f t="shared" si="20"/>
        <v>#VALUE!</v>
      </c>
      <c r="AW144" s="1" t="e">
        <f t="shared" si="21"/>
        <v>#VALUE!</v>
      </c>
    </row>
    <row r="145" spans="1:49" x14ac:dyDescent="0.2">
      <c r="A145">
        <v>143</v>
      </c>
      <c r="B145" t="s">
        <v>7688</v>
      </c>
      <c r="F145" t="s">
        <v>7687</v>
      </c>
      <c r="G145" t="s">
        <v>15</v>
      </c>
      <c r="H145" t="s">
        <v>14</v>
      </c>
      <c r="I145" t="s">
        <v>7686</v>
      </c>
      <c r="J145">
        <v>60031126</v>
      </c>
      <c r="K145" t="s">
        <v>1497</v>
      </c>
      <c r="L145" t="s">
        <v>1496</v>
      </c>
      <c r="M145" t="s">
        <v>115</v>
      </c>
      <c r="N145">
        <v>3</v>
      </c>
      <c r="O145" t="s">
        <v>7685</v>
      </c>
      <c r="P145" t="s">
        <v>7684</v>
      </c>
      <c r="Q145" t="s">
        <v>1493</v>
      </c>
      <c r="R145" s="7">
        <v>32540</v>
      </c>
      <c r="S145" s="8">
        <f t="shared" si="16"/>
        <v>1989</v>
      </c>
      <c r="T145" s="8">
        <v>1989</v>
      </c>
      <c r="U145" s="8">
        <f t="shared" si="17"/>
        <v>33</v>
      </c>
      <c r="V145" s="7">
        <v>32540</v>
      </c>
      <c r="W145" t="s">
        <v>7683</v>
      </c>
      <c r="X145" s="2">
        <v>0.111</v>
      </c>
      <c r="Y145" s="6">
        <f t="shared" si="22"/>
        <v>2.9630816048690639E-3</v>
      </c>
      <c r="AA145">
        <v>87566621</v>
      </c>
      <c r="AB145">
        <v>24890</v>
      </c>
      <c r="AD145" t="s">
        <v>5</v>
      </c>
      <c r="AE145">
        <v>72</v>
      </c>
      <c r="AF145">
        <v>2</v>
      </c>
      <c r="AH145" t="s">
        <v>7682</v>
      </c>
      <c r="AI145" t="s">
        <v>7681</v>
      </c>
      <c r="AK145" t="s">
        <v>7680</v>
      </c>
      <c r="AL145">
        <v>0</v>
      </c>
      <c r="AM145" s="5">
        <f t="shared" si="18"/>
        <v>0</v>
      </c>
      <c r="AN145" s="4">
        <f t="shared" si="23"/>
        <v>0</v>
      </c>
      <c r="AO145" s="3"/>
      <c r="AP145">
        <v>0</v>
      </c>
      <c r="AR145" t="s">
        <v>0</v>
      </c>
      <c r="AT145" s="2" t="s">
        <v>19</v>
      </c>
      <c r="AU145" s="1">
        <f t="shared" si="19"/>
        <v>0.20741571234083445</v>
      </c>
      <c r="AV145" s="1">
        <f t="shared" si="20"/>
        <v>0.1481540802434532</v>
      </c>
      <c r="AW145" s="1">
        <f t="shared" si="21"/>
        <v>8.8892448146071903E-2</v>
      </c>
    </row>
    <row r="146" spans="1:49" x14ac:dyDescent="0.2">
      <c r="A146">
        <v>144</v>
      </c>
      <c r="B146" t="s">
        <v>7679</v>
      </c>
      <c r="F146" t="s">
        <v>7678</v>
      </c>
      <c r="G146" t="s">
        <v>15</v>
      </c>
      <c r="H146" t="s">
        <v>14</v>
      </c>
      <c r="I146" t="s">
        <v>7677</v>
      </c>
      <c r="J146">
        <v>60030821</v>
      </c>
      <c r="K146" t="s">
        <v>1747</v>
      </c>
      <c r="L146" t="s">
        <v>1746</v>
      </c>
      <c r="M146" t="s">
        <v>23</v>
      </c>
      <c r="N146">
        <v>1</v>
      </c>
      <c r="O146" t="s">
        <v>7676</v>
      </c>
      <c r="P146">
        <v>7202480135</v>
      </c>
      <c r="Q146">
        <v>60030821</v>
      </c>
      <c r="R146" s="7">
        <v>32540</v>
      </c>
      <c r="S146" s="8">
        <f t="shared" si="16"/>
        <v>1989</v>
      </c>
      <c r="T146" s="8">
        <v>1989</v>
      </c>
      <c r="U146" s="8">
        <f t="shared" si="17"/>
        <v>33</v>
      </c>
      <c r="V146" s="7">
        <v>32540</v>
      </c>
      <c r="W146" t="s">
        <v>7657</v>
      </c>
      <c r="X146" s="2" t="s">
        <v>19</v>
      </c>
      <c r="Y146" s="6" t="e">
        <f t="shared" si="22"/>
        <v>#VALUE!</v>
      </c>
      <c r="AA146">
        <v>262897</v>
      </c>
      <c r="AB146">
        <v>18580</v>
      </c>
      <c r="AD146" t="s">
        <v>5</v>
      </c>
      <c r="AE146">
        <v>32</v>
      </c>
      <c r="AF146">
        <v>2</v>
      </c>
      <c r="AI146" t="s">
        <v>7675</v>
      </c>
      <c r="AK146" t="s">
        <v>7674</v>
      </c>
      <c r="AL146">
        <v>0</v>
      </c>
      <c r="AM146" s="5">
        <f t="shared" si="18"/>
        <v>0</v>
      </c>
      <c r="AN146" s="4">
        <f t="shared" si="23"/>
        <v>0</v>
      </c>
      <c r="AO146" s="3"/>
      <c r="AP146">
        <v>0</v>
      </c>
      <c r="AR146" t="s">
        <v>0</v>
      </c>
      <c r="AT146" s="2">
        <v>0.30599999999999999</v>
      </c>
      <c r="AU146" s="1" t="e">
        <f t="shared" si="19"/>
        <v>#VALUE!</v>
      </c>
      <c r="AV146" s="1" t="e">
        <f t="shared" si="20"/>
        <v>#VALUE!</v>
      </c>
      <c r="AW146" s="1" t="e">
        <f t="shared" si="21"/>
        <v>#VALUE!</v>
      </c>
    </row>
    <row r="147" spans="1:49" x14ac:dyDescent="0.2">
      <c r="A147">
        <v>145</v>
      </c>
      <c r="B147" t="s">
        <v>7673</v>
      </c>
      <c r="F147" t="s">
        <v>7672</v>
      </c>
      <c r="G147" t="s">
        <v>15</v>
      </c>
      <c r="H147" t="s">
        <v>14</v>
      </c>
      <c r="I147" t="s">
        <v>7671</v>
      </c>
      <c r="J147">
        <v>60001359</v>
      </c>
      <c r="K147" t="s">
        <v>7670</v>
      </c>
      <c r="L147" t="s">
        <v>7669</v>
      </c>
      <c r="M147" t="s">
        <v>792</v>
      </c>
      <c r="N147">
        <v>2</v>
      </c>
      <c r="O147" t="s">
        <v>7668</v>
      </c>
      <c r="P147" t="s">
        <v>7667</v>
      </c>
      <c r="Q147" t="s">
        <v>7666</v>
      </c>
      <c r="R147" s="7">
        <v>32540</v>
      </c>
      <c r="S147" s="8">
        <f t="shared" si="16"/>
        <v>1989</v>
      </c>
      <c r="T147" s="8">
        <v>1989</v>
      </c>
      <c r="U147" s="8">
        <f t="shared" si="17"/>
        <v>33</v>
      </c>
      <c r="V147" s="7">
        <v>32540</v>
      </c>
      <c r="W147" s="11" t="s">
        <v>7665</v>
      </c>
      <c r="X147" s="2">
        <v>2.383</v>
      </c>
      <c r="Y147" s="6">
        <f t="shared" si="22"/>
        <v>6.3612824003630442E-2</v>
      </c>
      <c r="AA147">
        <v>1437100</v>
      </c>
      <c r="AB147">
        <v>60310</v>
      </c>
      <c r="AD147" t="s">
        <v>5</v>
      </c>
      <c r="AE147" t="s">
        <v>7664</v>
      </c>
      <c r="AF147">
        <v>1</v>
      </c>
      <c r="AH147" t="s">
        <v>2428</v>
      </c>
      <c r="AI147" t="s">
        <v>7663</v>
      </c>
      <c r="AK147" t="s">
        <v>7662</v>
      </c>
      <c r="AL147">
        <v>3</v>
      </c>
      <c r="AM147" s="5">
        <f t="shared" si="18"/>
        <v>9.0909090909090912E-2</v>
      </c>
      <c r="AN147" s="4">
        <f t="shared" si="23"/>
        <v>1.3768889194864205E-4</v>
      </c>
      <c r="AO147" s="3"/>
      <c r="AP147">
        <v>0</v>
      </c>
      <c r="AR147" t="s">
        <v>0</v>
      </c>
      <c r="AT147" s="2" t="s">
        <v>19</v>
      </c>
      <c r="AU147" s="1">
        <f t="shared" si="19"/>
        <v>4.4570283470125895</v>
      </c>
      <c r="AV147" s="1">
        <f t="shared" si="20"/>
        <v>3.1875256447789537</v>
      </c>
      <c r="AW147" s="1">
        <f t="shared" si="21"/>
        <v>1.9180229425453184</v>
      </c>
    </row>
    <row r="148" spans="1:49" x14ac:dyDescent="0.2">
      <c r="A148">
        <v>146</v>
      </c>
      <c r="B148" t="s">
        <v>7661</v>
      </c>
      <c r="F148" t="s">
        <v>7660</v>
      </c>
      <c r="G148" t="s">
        <v>15</v>
      </c>
      <c r="H148" t="s">
        <v>14</v>
      </c>
      <c r="I148" t="s">
        <v>7659</v>
      </c>
      <c r="J148">
        <v>60005304</v>
      </c>
      <c r="K148" t="s">
        <v>2061</v>
      </c>
      <c r="L148" t="s">
        <v>2060</v>
      </c>
      <c r="M148" t="s">
        <v>23</v>
      </c>
      <c r="N148">
        <v>1</v>
      </c>
      <c r="O148" t="s">
        <v>7658</v>
      </c>
      <c r="P148">
        <v>7007050676</v>
      </c>
      <c r="Q148">
        <v>60005304</v>
      </c>
      <c r="R148" s="7">
        <v>32540</v>
      </c>
      <c r="S148" s="8">
        <f t="shared" si="16"/>
        <v>1989</v>
      </c>
      <c r="T148" s="8">
        <v>1989</v>
      </c>
      <c r="U148" s="8">
        <f t="shared" si="17"/>
        <v>33</v>
      </c>
      <c r="V148" s="7">
        <v>32540</v>
      </c>
      <c r="W148" t="s">
        <v>7657</v>
      </c>
      <c r="X148" s="2" t="s">
        <v>19</v>
      </c>
      <c r="Y148" s="6" t="e">
        <f t="shared" si="22"/>
        <v>#VALUE!</v>
      </c>
      <c r="AA148">
        <v>262897</v>
      </c>
      <c r="AB148">
        <v>18580</v>
      </c>
      <c r="AD148" t="s">
        <v>5</v>
      </c>
      <c r="AE148">
        <v>32</v>
      </c>
      <c r="AF148">
        <v>2</v>
      </c>
      <c r="AI148" t="s">
        <v>7656</v>
      </c>
      <c r="AK148" t="s">
        <v>7655</v>
      </c>
      <c r="AL148">
        <v>0</v>
      </c>
      <c r="AM148" s="5">
        <f t="shared" si="18"/>
        <v>0</v>
      </c>
      <c r="AN148" s="4">
        <f t="shared" si="23"/>
        <v>0</v>
      </c>
      <c r="AO148" s="3"/>
      <c r="AP148">
        <v>0</v>
      </c>
      <c r="AR148" t="s">
        <v>0</v>
      </c>
      <c r="AT148" s="2">
        <v>0.30599999999999999</v>
      </c>
      <c r="AU148" s="1" t="e">
        <f t="shared" si="19"/>
        <v>#VALUE!</v>
      </c>
      <c r="AV148" s="1" t="e">
        <f t="shared" si="20"/>
        <v>#VALUE!</v>
      </c>
      <c r="AW148" s="1" t="e">
        <f t="shared" si="21"/>
        <v>#VALUE!</v>
      </c>
    </row>
    <row r="149" spans="1:49" x14ac:dyDescent="0.2">
      <c r="A149">
        <v>147</v>
      </c>
      <c r="B149" t="s">
        <v>7654</v>
      </c>
      <c r="C149" t="s">
        <v>7653</v>
      </c>
      <c r="E149">
        <v>2465088</v>
      </c>
      <c r="F149" t="s">
        <v>7652</v>
      </c>
      <c r="G149" t="s">
        <v>15</v>
      </c>
      <c r="H149" t="s">
        <v>14</v>
      </c>
      <c r="I149" t="s">
        <v>7651</v>
      </c>
      <c r="J149">
        <v>60011373</v>
      </c>
      <c r="K149" t="s">
        <v>7650</v>
      </c>
      <c r="L149" t="s">
        <v>7649</v>
      </c>
      <c r="M149" t="s">
        <v>7648</v>
      </c>
      <c r="N149">
        <v>3</v>
      </c>
      <c r="O149" t="s">
        <v>7647</v>
      </c>
      <c r="P149" t="s">
        <v>7646</v>
      </c>
      <c r="Q149" t="s">
        <v>7645</v>
      </c>
      <c r="R149" s="7">
        <v>32540</v>
      </c>
      <c r="S149" s="8">
        <f t="shared" si="16"/>
        <v>1989</v>
      </c>
      <c r="T149" s="8">
        <v>1989</v>
      </c>
      <c r="U149" s="8">
        <f t="shared" si="17"/>
        <v>33</v>
      </c>
      <c r="V149" s="7">
        <v>32540</v>
      </c>
      <c r="W149" t="s">
        <v>7644</v>
      </c>
      <c r="X149" s="2" t="s">
        <v>19</v>
      </c>
      <c r="Y149" s="6" t="e">
        <f t="shared" si="22"/>
        <v>#VALUE!</v>
      </c>
      <c r="AA149">
        <v>1634992</v>
      </c>
      <c r="AB149">
        <v>38819</v>
      </c>
      <c r="AC149">
        <v>15590283</v>
      </c>
      <c r="AD149" t="s">
        <v>5</v>
      </c>
      <c r="AE149">
        <v>14</v>
      </c>
      <c r="AF149">
        <v>1</v>
      </c>
      <c r="AH149" t="s">
        <v>7643</v>
      </c>
      <c r="AI149" t="s">
        <v>7642</v>
      </c>
      <c r="AJ149" t="s">
        <v>7641</v>
      </c>
      <c r="AK149" t="s">
        <v>7640</v>
      </c>
      <c r="AL149">
        <v>45</v>
      </c>
      <c r="AM149" s="5">
        <f t="shared" si="18"/>
        <v>1.3636363636363635</v>
      </c>
      <c r="AN149" s="4">
        <f t="shared" si="23"/>
        <v>2.0653333792296307E-3</v>
      </c>
      <c r="AO149" s="3"/>
      <c r="AP149">
        <v>0</v>
      </c>
      <c r="AR149" t="s">
        <v>0</v>
      </c>
      <c r="AT149" s="2" t="s">
        <v>19</v>
      </c>
      <c r="AU149" s="1" t="e">
        <f t="shared" si="19"/>
        <v>#VALUE!</v>
      </c>
      <c r="AV149" s="1" t="e">
        <f t="shared" si="20"/>
        <v>#VALUE!</v>
      </c>
      <c r="AW149" s="1" t="e">
        <f t="shared" si="21"/>
        <v>#VALUE!</v>
      </c>
    </row>
    <row r="150" spans="1:49" x14ac:dyDescent="0.2">
      <c r="A150">
        <v>148</v>
      </c>
      <c r="B150" t="s">
        <v>7639</v>
      </c>
      <c r="C150" t="s">
        <v>7638</v>
      </c>
      <c r="F150" t="s">
        <v>7637</v>
      </c>
      <c r="G150" t="s">
        <v>15</v>
      </c>
      <c r="H150" t="s">
        <v>14</v>
      </c>
      <c r="I150" t="s">
        <v>7636</v>
      </c>
      <c r="J150">
        <v>60032619</v>
      </c>
      <c r="K150" t="s">
        <v>7635</v>
      </c>
      <c r="L150" t="s">
        <v>7634</v>
      </c>
      <c r="M150" t="s">
        <v>283</v>
      </c>
      <c r="N150">
        <v>3</v>
      </c>
      <c r="O150" t="s">
        <v>7633</v>
      </c>
      <c r="P150" t="s">
        <v>7632</v>
      </c>
      <c r="Q150" t="s">
        <v>7631</v>
      </c>
      <c r="R150" s="7">
        <v>32540</v>
      </c>
      <c r="S150" s="8">
        <f t="shared" si="16"/>
        <v>1989</v>
      </c>
      <c r="T150" s="8">
        <v>1989</v>
      </c>
      <c r="U150" s="8">
        <f t="shared" si="17"/>
        <v>33</v>
      </c>
      <c r="V150" s="7">
        <v>32540</v>
      </c>
      <c r="W150" t="s">
        <v>7630</v>
      </c>
      <c r="X150" s="2">
        <v>0.85499999999999998</v>
      </c>
      <c r="Y150" s="6">
        <f t="shared" si="22"/>
        <v>2.28237366861536E-2</v>
      </c>
      <c r="AA150">
        <v>980331</v>
      </c>
      <c r="AB150">
        <v>23342</v>
      </c>
      <c r="AC150">
        <v>15731561</v>
      </c>
      <c r="AD150" t="s">
        <v>5</v>
      </c>
      <c r="AE150">
        <v>15</v>
      </c>
      <c r="AF150">
        <v>2</v>
      </c>
      <c r="AH150" t="s">
        <v>7629</v>
      </c>
      <c r="AI150" t="s">
        <v>7628</v>
      </c>
      <c r="AJ150" t="s">
        <v>7627</v>
      </c>
      <c r="AK150" t="s">
        <v>7626</v>
      </c>
      <c r="AL150">
        <v>8</v>
      </c>
      <c r="AM150" s="5">
        <f t="shared" si="18"/>
        <v>0.24242424242424243</v>
      </c>
      <c r="AN150" s="4">
        <f t="shared" si="23"/>
        <v>3.6717037852971213E-4</v>
      </c>
      <c r="AO150" s="3"/>
      <c r="AP150">
        <v>0</v>
      </c>
      <c r="AR150" t="s">
        <v>0</v>
      </c>
      <c r="AT150" s="2">
        <v>2.6259999999999999</v>
      </c>
      <c r="AU150" s="1">
        <f t="shared" si="19"/>
        <v>1.6086766793866434</v>
      </c>
      <c r="AV150" s="1">
        <f t="shared" si="20"/>
        <v>1.1595453532341655</v>
      </c>
      <c r="AW150" s="1">
        <f t="shared" si="21"/>
        <v>0.71041402708168788</v>
      </c>
    </row>
    <row r="151" spans="1:49" x14ac:dyDescent="0.2">
      <c r="A151">
        <v>149</v>
      </c>
      <c r="B151" t="s">
        <v>7625</v>
      </c>
      <c r="C151" t="s">
        <v>7624</v>
      </c>
      <c r="D151">
        <v>550321389905750</v>
      </c>
      <c r="F151" t="s">
        <v>7623</v>
      </c>
      <c r="G151" t="s">
        <v>15</v>
      </c>
      <c r="H151" t="s">
        <v>14</v>
      </c>
      <c r="I151" t="s">
        <v>7622</v>
      </c>
      <c r="J151">
        <v>60013733</v>
      </c>
      <c r="K151" t="s">
        <v>7621</v>
      </c>
      <c r="L151" t="s">
        <v>324</v>
      </c>
      <c r="M151" t="s">
        <v>23</v>
      </c>
      <c r="N151">
        <v>1</v>
      </c>
      <c r="O151" t="s">
        <v>7620</v>
      </c>
      <c r="P151">
        <v>7003340791</v>
      </c>
      <c r="Q151">
        <v>60013733</v>
      </c>
      <c r="R151" s="7">
        <v>32531</v>
      </c>
      <c r="S151" s="8">
        <f t="shared" si="16"/>
        <v>1989</v>
      </c>
      <c r="T151" s="8">
        <v>1989</v>
      </c>
      <c r="U151" s="8">
        <f t="shared" si="17"/>
        <v>33</v>
      </c>
      <c r="V151" s="7">
        <v>32531</v>
      </c>
      <c r="W151" t="s">
        <v>7619</v>
      </c>
      <c r="X151" s="2" t="s">
        <v>19</v>
      </c>
      <c r="Y151" s="6" t="e">
        <f t="shared" si="22"/>
        <v>#VALUE!</v>
      </c>
      <c r="AA151">
        <v>5503213</v>
      </c>
      <c r="AB151">
        <v>29086</v>
      </c>
      <c r="AD151" t="s">
        <v>5</v>
      </c>
      <c r="AE151">
        <v>312</v>
      </c>
      <c r="AF151">
        <v>3</v>
      </c>
      <c r="AH151" t="s">
        <v>7618</v>
      </c>
      <c r="AI151" t="s">
        <v>7617</v>
      </c>
      <c r="AK151" t="s">
        <v>7616</v>
      </c>
      <c r="AL151">
        <v>0</v>
      </c>
      <c r="AM151" s="5">
        <f t="shared" si="18"/>
        <v>0</v>
      </c>
      <c r="AN151" s="4">
        <f t="shared" si="23"/>
        <v>0</v>
      </c>
      <c r="AO151" s="3"/>
      <c r="AP151">
        <v>0</v>
      </c>
      <c r="AQ151" t="s">
        <v>618</v>
      </c>
      <c r="AR151" t="s">
        <v>7615</v>
      </c>
      <c r="AS151" t="s">
        <v>616</v>
      </c>
      <c r="AT151" s="2" t="s">
        <v>19</v>
      </c>
      <c r="AU151" s="1" t="e">
        <f t="shared" si="19"/>
        <v>#VALUE!</v>
      </c>
      <c r="AV151" s="1" t="e">
        <f t="shared" si="20"/>
        <v>#VALUE!</v>
      </c>
      <c r="AW151" s="1" t="e">
        <f t="shared" si="21"/>
        <v>#VALUE!</v>
      </c>
    </row>
    <row r="152" spans="1:49" x14ac:dyDescent="0.2">
      <c r="A152">
        <v>150</v>
      </c>
      <c r="B152" t="s">
        <v>7614</v>
      </c>
      <c r="C152" t="s">
        <v>7613</v>
      </c>
      <c r="F152" t="s">
        <v>7612</v>
      </c>
      <c r="G152" t="s">
        <v>15</v>
      </c>
      <c r="H152" t="s">
        <v>14</v>
      </c>
      <c r="I152" t="s">
        <v>6480</v>
      </c>
      <c r="J152" t="s">
        <v>7606</v>
      </c>
      <c r="K152" t="s">
        <v>7611</v>
      </c>
      <c r="L152" t="s">
        <v>7610</v>
      </c>
      <c r="M152" t="s">
        <v>7609</v>
      </c>
      <c r="N152">
        <v>2</v>
      </c>
      <c r="O152" t="s">
        <v>7608</v>
      </c>
      <c r="P152" t="s">
        <v>7607</v>
      </c>
      <c r="Q152" t="s">
        <v>7606</v>
      </c>
      <c r="R152" s="7">
        <v>32509</v>
      </c>
      <c r="S152" s="8">
        <f t="shared" si="16"/>
        <v>1989</v>
      </c>
      <c r="T152" s="8">
        <v>1989</v>
      </c>
      <c r="U152" s="8">
        <f t="shared" si="17"/>
        <v>33</v>
      </c>
      <c r="V152" s="7">
        <v>1989</v>
      </c>
      <c r="W152" t="s">
        <v>6476</v>
      </c>
      <c r="X152" s="2">
        <v>0.61899999999999999</v>
      </c>
      <c r="Y152" s="6">
        <f t="shared" si="22"/>
        <v>1.6523851472197752E-2</v>
      </c>
      <c r="AA152">
        <v>14966</v>
      </c>
      <c r="AB152">
        <v>12936</v>
      </c>
      <c r="AC152" t="s">
        <v>6475</v>
      </c>
      <c r="AD152" t="s">
        <v>5</v>
      </c>
      <c r="AE152">
        <v>86</v>
      </c>
      <c r="AF152">
        <v>3</v>
      </c>
      <c r="AH152" t="s">
        <v>7605</v>
      </c>
      <c r="AI152" t="s">
        <v>7604</v>
      </c>
      <c r="AK152" t="s">
        <v>7603</v>
      </c>
      <c r="AL152">
        <v>16</v>
      </c>
      <c r="AM152" s="5">
        <f t="shared" si="18"/>
        <v>0.48484848484848486</v>
      </c>
      <c r="AN152" s="4">
        <f t="shared" si="23"/>
        <v>7.3434075705942426E-4</v>
      </c>
      <c r="AO152" s="3"/>
      <c r="AP152">
        <v>0</v>
      </c>
      <c r="AR152" t="s">
        <v>0</v>
      </c>
      <c r="AT152" s="2" t="s">
        <v>19</v>
      </c>
      <c r="AU152" s="1">
        <f t="shared" si="19"/>
        <v>1.1786998257656252</v>
      </c>
      <c r="AV152" s="1">
        <f t="shared" si="20"/>
        <v>0.86290961146285894</v>
      </c>
      <c r="AW152" s="1">
        <f t="shared" si="21"/>
        <v>0.54711939716009228</v>
      </c>
    </row>
    <row r="153" spans="1:49" x14ac:dyDescent="0.2">
      <c r="A153">
        <v>151</v>
      </c>
      <c r="B153" t="s">
        <v>7602</v>
      </c>
      <c r="C153" t="s">
        <v>7601</v>
      </c>
      <c r="D153" t="s">
        <v>7600</v>
      </c>
      <c r="F153" t="s">
        <v>7599</v>
      </c>
      <c r="G153" t="s">
        <v>15</v>
      </c>
      <c r="H153" t="s">
        <v>14</v>
      </c>
      <c r="I153" t="s">
        <v>7598</v>
      </c>
      <c r="J153">
        <v>60013183</v>
      </c>
      <c r="K153" t="s">
        <v>7273</v>
      </c>
      <c r="L153" t="s">
        <v>7272</v>
      </c>
      <c r="M153" t="s">
        <v>3278</v>
      </c>
      <c r="N153">
        <v>1</v>
      </c>
      <c r="O153" t="s">
        <v>7597</v>
      </c>
      <c r="P153">
        <v>6601922883</v>
      </c>
      <c r="Q153">
        <v>60013183</v>
      </c>
      <c r="R153" s="7">
        <v>32509</v>
      </c>
      <c r="S153" s="8">
        <f t="shared" si="16"/>
        <v>1989</v>
      </c>
      <c r="T153" s="8">
        <v>1989</v>
      </c>
      <c r="U153" s="8">
        <f t="shared" si="17"/>
        <v>33</v>
      </c>
      <c r="V153" s="7">
        <v>1989</v>
      </c>
      <c r="W153" t="s">
        <v>7270</v>
      </c>
      <c r="X153" s="2" t="s">
        <v>19</v>
      </c>
      <c r="Y153" s="6" t="e">
        <f t="shared" si="22"/>
        <v>#VALUE!</v>
      </c>
      <c r="AA153">
        <v>10183639</v>
      </c>
      <c r="AB153">
        <v>30286</v>
      </c>
      <c r="AD153" t="s">
        <v>5</v>
      </c>
      <c r="AE153">
        <v>1</v>
      </c>
      <c r="AF153" s="9">
        <v>44228</v>
      </c>
      <c r="AH153" t="s">
        <v>7596</v>
      </c>
      <c r="AI153" t="s">
        <v>7595</v>
      </c>
      <c r="AK153" t="s">
        <v>7594</v>
      </c>
      <c r="AL153">
        <v>0</v>
      </c>
      <c r="AM153" s="5">
        <f t="shared" si="18"/>
        <v>0</v>
      </c>
      <c r="AN153" s="4">
        <f t="shared" si="23"/>
        <v>0</v>
      </c>
      <c r="AO153" s="3"/>
      <c r="AP153">
        <v>1</v>
      </c>
      <c r="AR153" t="s">
        <v>0</v>
      </c>
      <c r="AT153" s="2" t="s">
        <v>19</v>
      </c>
      <c r="AU153" s="1" t="e">
        <f t="shared" si="19"/>
        <v>#VALUE!</v>
      </c>
      <c r="AV153" s="1" t="e">
        <f t="shared" si="20"/>
        <v>#VALUE!</v>
      </c>
      <c r="AW153" s="1" t="e">
        <f t="shared" si="21"/>
        <v>#VALUE!</v>
      </c>
    </row>
    <row r="154" spans="1:49" x14ac:dyDescent="0.2">
      <c r="A154">
        <v>152</v>
      </c>
      <c r="B154" t="s">
        <v>7593</v>
      </c>
      <c r="C154" t="s">
        <v>7592</v>
      </c>
      <c r="F154" t="s">
        <v>7591</v>
      </c>
      <c r="G154" t="s">
        <v>15</v>
      </c>
      <c r="H154" t="s">
        <v>14</v>
      </c>
      <c r="I154" t="s">
        <v>7590</v>
      </c>
      <c r="J154">
        <v>60025272</v>
      </c>
      <c r="K154" t="s">
        <v>7589</v>
      </c>
      <c r="L154" t="s">
        <v>1496</v>
      </c>
      <c r="M154" t="s">
        <v>115</v>
      </c>
      <c r="N154">
        <v>2</v>
      </c>
      <c r="O154" t="s">
        <v>7588</v>
      </c>
      <c r="P154" t="s">
        <v>7587</v>
      </c>
      <c r="Q154" t="s">
        <v>7586</v>
      </c>
      <c r="R154" s="7">
        <v>32509</v>
      </c>
      <c r="S154" s="8">
        <f t="shared" si="16"/>
        <v>1989</v>
      </c>
      <c r="T154" s="8">
        <v>1989</v>
      </c>
      <c r="U154" s="8">
        <f t="shared" si="17"/>
        <v>33</v>
      </c>
      <c r="V154" s="7">
        <v>1989</v>
      </c>
      <c r="W154" t="s">
        <v>7576</v>
      </c>
      <c r="X154" s="2">
        <v>0.36299999999999999</v>
      </c>
      <c r="Y154" s="6">
        <f t="shared" si="22"/>
        <v>9.6900776807880198E-3</v>
      </c>
      <c r="AA154">
        <v>214914</v>
      </c>
      <c r="AB154">
        <v>21042</v>
      </c>
      <c r="AC154">
        <v>13476068</v>
      </c>
      <c r="AD154" t="s">
        <v>5</v>
      </c>
      <c r="AE154">
        <v>33</v>
      </c>
      <c r="AF154">
        <v>4</v>
      </c>
      <c r="AH154" t="s">
        <v>1872</v>
      </c>
      <c r="AI154" t="s">
        <v>7585</v>
      </c>
      <c r="AK154" t="s">
        <v>7584</v>
      </c>
      <c r="AL154">
        <v>6</v>
      </c>
      <c r="AM154" s="5">
        <f t="shared" si="18"/>
        <v>0.18181818181818182</v>
      </c>
      <c r="AN154" s="4">
        <f t="shared" si="23"/>
        <v>2.753777838972841E-4</v>
      </c>
      <c r="AO154" s="3"/>
      <c r="AP154">
        <v>1</v>
      </c>
      <c r="AR154" t="s">
        <v>0</v>
      </c>
      <c r="AT154" s="2" t="s">
        <v>19</v>
      </c>
      <c r="AU154" s="1">
        <f t="shared" si="19"/>
        <v>0.68656677117207998</v>
      </c>
      <c r="AV154" s="1">
        <f t="shared" si="20"/>
        <v>0.49827277323426522</v>
      </c>
      <c r="AW154" s="1">
        <f t="shared" si="21"/>
        <v>0.30997877529645046</v>
      </c>
    </row>
    <row r="155" spans="1:49" x14ac:dyDescent="0.2">
      <c r="A155">
        <v>153</v>
      </c>
      <c r="B155" t="s">
        <v>7583</v>
      </c>
      <c r="C155" t="s">
        <v>7582</v>
      </c>
      <c r="F155" t="s">
        <v>7581</v>
      </c>
      <c r="G155" t="s">
        <v>15</v>
      </c>
      <c r="H155" t="s">
        <v>14</v>
      </c>
      <c r="I155" t="s">
        <v>7580</v>
      </c>
      <c r="J155">
        <v>60091849</v>
      </c>
      <c r="K155" t="s">
        <v>7579</v>
      </c>
      <c r="L155" t="s">
        <v>7578</v>
      </c>
      <c r="M155" t="s">
        <v>115</v>
      </c>
      <c r="N155">
        <v>1</v>
      </c>
      <c r="O155" t="s">
        <v>7577</v>
      </c>
      <c r="P155">
        <v>57192343963</v>
      </c>
      <c r="Q155">
        <v>60091849</v>
      </c>
      <c r="R155" s="7">
        <v>32509</v>
      </c>
      <c r="S155" s="8">
        <f t="shared" si="16"/>
        <v>1989</v>
      </c>
      <c r="T155" s="8">
        <v>1989</v>
      </c>
      <c r="U155" s="8">
        <f t="shared" si="17"/>
        <v>33</v>
      </c>
      <c r="V155" s="7">
        <v>1989</v>
      </c>
      <c r="W155" t="s">
        <v>7576</v>
      </c>
      <c r="X155" s="2">
        <v>0.36299999999999999</v>
      </c>
      <c r="Y155" s="6">
        <f t="shared" si="22"/>
        <v>9.6900776807880198E-3</v>
      </c>
      <c r="AA155">
        <v>214914</v>
      </c>
      <c r="AB155">
        <v>21042</v>
      </c>
      <c r="AC155">
        <v>13476068</v>
      </c>
      <c r="AD155" t="s">
        <v>5</v>
      </c>
      <c r="AE155">
        <v>33</v>
      </c>
      <c r="AF155">
        <v>4</v>
      </c>
      <c r="AH155" t="s">
        <v>7575</v>
      </c>
      <c r="AI155" t="s">
        <v>7574</v>
      </c>
      <c r="AK155" t="s">
        <v>7573</v>
      </c>
      <c r="AL155">
        <v>8</v>
      </c>
      <c r="AM155" s="5">
        <f t="shared" si="18"/>
        <v>0.24242424242424243</v>
      </c>
      <c r="AN155" s="4">
        <f t="shared" si="23"/>
        <v>3.6717037852971213E-4</v>
      </c>
      <c r="AO155" s="3"/>
      <c r="AP155">
        <v>1</v>
      </c>
      <c r="AR155" t="s">
        <v>0</v>
      </c>
      <c r="AT155" s="2" t="s">
        <v>19</v>
      </c>
      <c r="AU155" s="1">
        <f t="shared" si="19"/>
        <v>0.68932054901105266</v>
      </c>
      <c r="AV155" s="1">
        <f t="shared" si="20"/>
        <v>0.50286240296588658</v>
      </c>
      <c r="AW155" s="1">
        <f t="shared" si="21"/>
        <v>0.31640425692072044</v>
      </c>
    </row>
    <row r="156" spans="1:49" x14ac:dyDescent="0.2">
      <c r="A156">
        <v>154</v>
      </c>
      <c r="B156" t="s">
        <v>7572</v>
      </c>
      <c r="C156" t="s">
        <v>7571</v>
      </c>
      <c r="F156" t="s">
        <v>7570</v>
      </c>
      <c r="G156" t="s">
        <v>15</v>
      </c>
      <c r="H156" t="s">
        <v>14</v>
      </c>
      <c r="I156" t="s">
        <v>4849</v>
      </c>
      <c r="J156">
        <v>60032056</v>
      </c>
      <c r="K156" t="s">
        <v>7569</v>
      </c>
      <c r="L156" t="s">
        <v>1496</v>
      </c>
      <c r="M156" t="s">
        <v>115</v>
      </c>
      <c r="N156">
        <v>3</v>
      </c>
      <c r="O156" t="s">
        <v>7568</v>
      </c>
      <c r="P156" t="s">
        <v>7567</v>
      </c>
      <c r="Q156" t="s">
        <v>7566</v>
      </c>
      <c r="R156" s="7">
        <v>32509</v>
      </c>
      <c r="S156" s="8">
        <f t="shared" si="16"/>
        <v>1989</v>
      </c>
      <c r="T156" s="8">
        <v>1989</v>
      </c>
      <c r="U156" s="8">
        <f t="shared" si="17"/>
        <v>33</v>
      </c>
      <c r="V156" s="7">
        <v>1989</v>
      </c>
      <c r="W156" t="s">
        <v>7565</v>
      </c>
      <c r="X156" s="2">
        <v>0.46300000000000002</v>
      </c>
      <c r="Y156" s="6">
        <f t="shared" si="22"/>
        <v>1.2359520568057447E-2</v>
      </c>
      <c r="AA156">
        <v>36862</v>
      </c>
      <c r="AB156">
        <v>19141</v>
      </c>
      <c r="AC156" t="s">
        <v>7564</v>
      </c>
      <c r="AD156" t="s">
        <v>5</v>
      </c>
      <c r="AE156">
        <v>24</v>
      </c>
      <c r="AF156">
        <v>2</v>
      </c>
      <c r="AH156" t="s">
        <v>7563</v>
      </c>
      <c r="AI156" t="s">
        <v>7562</v>
      </c>
      <c r="AK156" t="s">
        <v>7561</v>
      </c>
      <c r="AL156">
        <v>5</v>
      </c>
      <c r="AM156" s="5">
        <f t="shared" si="18"/>
        <v>0.15151515151515152</v>
      </c>
      <c r="AN156" s="4">
        <f t="shared" si="23"/>
        <v>2.2948148658107008E-4</v>
      </c>
      <c r="AO156" s="3"/>
      <c r="AP156">
        <v>1</v>
      </c>
      <c r="AR156" t="s">
        <v>0</v>
      </c>
      <c r="AT156" s="2">
        <v>1.403</v>
      </c>
      <c r="AU156" s="1">
        <f t="shared" si="19"/>
        <v>0.87205088436145328</v>
      </c>
      <c r="AV156" s="1">
        <f t="shared" si="20"/>
        <v>0.62945010273192592</v>
      </c>
      <c r="AW156" s="1">
        <f t="shared" si="21"/>
        <v>0.38684932110239834</v>
      </c>
    </row>
    <row r="157" spans="1:49" x14ac:dyDescent="0.2">
      <c r="A157">
        <v>155</v>
      </c>
      <c r="B157" t="s">
        <v>7560</v>
      </c>
      <c r="C157" t="s">
        <v>7559</v>
      </c>
      <c r="F157" t="s">
        <v>7558</v>
      </c>
      <c r="G157" t="s">
        <v>15</v>
      </c>
      <c r="H157" t="s">
        <v>14</v>
      </c>
      <c r="I157" t="s">
        <v>7557</v>
      </c>
      <c r="J157" t="s">
        <v>7556</v>
      </c>
      <c r="K157" t="s">
        <v>7555</v>
      </c>
      <c r="L157" t="s">
        <v>1603</v>
      </c>
      <c r="M157" t="s">
        <v>554</v>
      </c>
      <c r="N157">
        <v>5</v>
      </c>
      <c r="O157" t="s">
        <v>7554</v>
      </c>
      <c r="P157" t="s">
        <v>7553</v>
      </c>
      <c r="Q157" t="s">
        <v>7552</v>
      </c>
      <c r="R157" s="7">
        <v>32509</v>
      </c>
      <c r="S157" s="8">
        <f t="shared" si="16"/>
        <v>1989</v>
      </c>
      <c r="T157" s="8">
        <v>1989</v>
      </c>
      <c r="U157" s="8">
        <f t="shared" si="17"/>
        <v>33</v>
      </c>
      <c r="V157" s="7">
        <v>1989</v>
      </c>
      <c r="W157" t="s">
        <v>7551</v>
      </c>
      <c r="X157" s="2" t="s">
        <v>19</v>
      </c>
      <c r="Y157" s="6" t="e">
        <f t="shared" si="22"/>
        <v>#VALUE!</v>
      </c>
      <c r="AA157">
        <v>10409564</v>
      </c>
      <c r="AB157">
        <v>70627</v>
      </c>
      <c r="AC157">
        <v>18819885</v>
      </c>
      <c r="AD157" t="s">
        <v>5</v>
      </c>
      <c r="AE157">
        <v>1</v>
      </c>
      <c r="AF157">
        <v>1</v>
      </c>
      <c r="AH157" t="s">
        <v>7550</v>
      </c>
      <c r="AI157" t="s">
        <v>7549</v>
      </c>
      <c r="AJ157" t="s">
        <v>7548</v>
      </c>
      <c r="AK157" t="s">
        <v>7547</v>
      </c>
      <c r="AL157">
        <v>2</v>
      </c>
      <c r="AM157" s="5">
        <f t="shared" si="18"/>
        <v>6.0606060606060608E-2</v>
      </c>
      <c r="AN157" s="4">
        <f t="shared" si="23"/>
        <v>9.1792594632428032E-5</v>
      </c>
      <c r="AO157" s="3"/>
      <c r="AP157">
        <v>0</v>
      </c>
      <c r="AR157" t="s">
        <v>0</v>
      </c>
      <c r="AT157" s="2" t="s">
        <v>19</v>
      </c>
      <c r="AU157" s="1" t="e">
        <f t="shared" si="19"/>
        <v>#VALUE!</v>
      </c>
      <c r="AV157" s="1" t="e">
        <f t="shared" si="20"/>
        <v>#VALUE!</v>
      </c>
      <c r="AW157" s="1" t="e">
        <f t="shared" si="21"/>
        <v>#VALUE!</v>
      </c>
    </row>
    <row r="158" spans="1:49" x14ac:dyDescent="0.2">
      <c r="A158">
        <v>156</v>
      </c>
      <c r="B158" t="s">
        <v>7546</v>
      </c>
      <c r="C158" t="s">
        <v>7545</v>
      </c>
      <c r="F158" t="s">
        <v>7544</v>
      </c>
      <c r="G158" t="s">
        <v>15</v>
      </c>
      <c r="H158" t="s">
        <v>14</v>
      </c>
      <c r="I158" t="s">
        <v>588</v>
      </c>
      <c r="J158" t="s">
        <v>7543</v>
      </c>
      <c r="K158" t="s">
        <v>7542</v>
      </c>
      <c r="L158" t="s">
        <v>7541</v>
      </c>
      <c r="M158" t="s">
        <v>7540</v>
      </c>
      <c r="N158">
        <v>3</v>
      </c>
      <c r="O158" t="s">
        <v>7539</v>
      </c>
      <c r="P158" t="s">
        <v>7538</v>
      </c>
      <c r="Q158" t="s">
        <v>7537</v>
      </c>
      <c r="R158" s="7">
        <v>32509</v>
      </c>
      <c r="S158" s="8">
        <f t="shared" si="16"/>
        <v>1989</v>
      </c>
      <c r="T158" s="8">
        <v>1989</v>
      </c>
      <c r="U158" s="8">
        <f t="shared" si="17"/>
        <v>33</v>
      </c>
      <c r="V158" s="7">
        <v>1989</v>
      </c>
      <c r="W158" t="s">
        <v>7522</v>
      </c>
      <c r="X158" s="2">
        <v>0.57599999999999996</v>
      </c>
      <c r="Y158" s="6">
        <f t="shared" si="22"/>
        <v>1.5375991030671898E-2</v>
      </c>
      <c r="AA158">
        <v>7394462</v>
      </c>
      <c r="AB158">
        <v>19155</v>
      </c>
      <c r="AC158">
        <v>15206327</v>
      </c>
      <c r="AD158" t="s">
        <v>5</v>
      </c>
      <c r="AE158">
        <v>10</v>
      </c>
      <c r="AF158">
        <v>4</v>
      </c>
      <c r="AH158" t="s">
        <v>7536</v>
      </c>
      <c r="AI158" t="s">
        <v>7535</v>
      </c>
      <c r="AJ158" t="s">
        <v>7534</v>
      </c>
      <c r="AK158" t="s">
        <v>7533</v>
      </c>
      <c r="AL158">
        <v>111</v>
      </c>
      <c r="AM158" s="5">
        <f t="shared" si="18"/>
        <v>3.3636363636363638</v>
      </c>
      <c r="AN158" s="4">
        <f t="shared" si="23"/>
        <v>5.0944890020997559E-3</v>
      </c>
      <c r="AO158" s="3"/>
      <c r="AP158">
        <v>0</v>
      </c>
      <c r="AR158" t="s">
        <v>0</v>
      </c>
      <c r="AT158" s="2" t="s">
        <v>19</v>
      </c>
      <c r="AU158" s="1">
        <f t="shared" si="19"/>
        <v>1.2291540422100253</v>
      </c>
      <c r="AV158" s="1">
        <f t="shared" si="20"/>
        <v>1.0235240016385827</v>
      </c>
      <c r="AW158" s="1">
        <f t="shared" si="21"/>
        <v>0.81789396106713985</v>
      </c>
    </row>
    <row r="159" spans="1:49" x14ac:dyDescent="0.2">
      <c r="A159">
        <v>157</v>
      </c>
      <c r="B159" t="s">
        <v>7532</v>
      </c>
      <c r="C159" t="s">
        <v>7531</v>
      </c>
      <c r="F159" t="s">
        <v>7530</v>
      </c>
      <c r="G159" t="s">
        <v>15</v>
      </c>
      <c r="H159" t="s">
        <v>14</v>
      </c>
      <c r="I159" t="s">
        <v>7529</v>
      </c>
      <c r="J159" t="s">
        <v>7528</v>
      </c>
      <c r="K159" t="s">
        <v>7527</v>
      </c>
      <c r="L159" t="s">
        <v>7526</v>
      </c>
      <c r="M159" t="s">
        <v>86</v>
      </c>
      <c r="N159">
        <v>4</v>
      </c>
      <c r="O159" t="s">
        <v>7525</v>
      </c>
      <c r="P159" t="s">
        <v>7524</v>
      </c>
      <c r="Q159" t="s">
        <v>7523</v>
      </c>
      <c r="R159" s="7">
        <v>32509</v>
      </c>
      <c r="S159" s="8">
        <f t="shared" si="16"/>
        <v>1989</v>
      </c>
      <c r="T159" s="8">
        <v>1989</v>
      </c>
      <c r="U159" s="8">
        <f t="shared" si="17"/>
        <v>33</v>
      </c>
      <c r="V159" s="7">
        <v>1989</v>
      </c>
      <c r="W159" t="s">
        <v>7522</v>
      </c>
      <c r="X159" s="2">
        <v>0.57599999999999996</v>
      </c>
      <c r="Y159" s="6">
        <f t="shared" si="22"/>
        <v>1.5375991030671898E-2</v>
      </c>
      <c r="AA159">
        <v>7394462</v>
      </c>
      <c r="AB159">
        <v>19155</v>
      </c>
      <c r="AC159">
        <v>15206327</v>
      </c>
      <c r="AD159" t="s">
        <v>5</v>
      </c>
      <c r="AE159">
        <v>10</v>
      </c>
      <c r="AF159">
        <v>4</v>
      </c>
      <c r="AH159" t="s">
        <v>7521</v>
      </c>
      <c r="AI159" t="s">
        <v>7520</v>
      </c>
      <c r="AJ159" t="s">
        <v>7519</v>
      </c>
      <c r="AK159" t="s">
        <v>7518</v>
      </c>
      <c r="AL159">
        <v>53</v>
      </c>
      <c r="AM159" s="5">
        <f t="shared" si="18"/>
        <v>1.606060606060606</v>
      </c>
      <c r="AN159" s="4">
        <f t="shared" si="23"/>
        <v>2.4325037577593426E-3</v>
      </c>
      <c r="AO159" s="3"/>
      <c r="AP159">
        <v>0</v>
      </c>
      <c r="AR159" t="s">
        <v>0</v>
      </c>
      <c r="AT159" s="2" t="s">
        <v>19</v>
      </c>
      <c r="AU159" s="1">
        <f t="shared" si="19"/>
        <v>1.149294484879813</v>
      </c>
      <c r="AV159" s="1">
        <f t="shared" si="20"/>
        <v>0.89042473942156208</v>
      </c>
      <c r="AW159" s="1">
        <f t="shared" si="21"/>
        <v>0.63155499396331083</v>
      </c>
    </row>
    <row r="160" spans="1:49" x14ac:dyDescent="0.2">
      <c r="A160">
        <v>158</v>
      </c>
      <c r="B160" t="s">
        <v>7517</v>
      </c>
      <c r="C160" t="s">
        <v>7516</v>
      </c>
      <c r="F160" t="s">
        <v>7515</v>
      </c>
      <c r="G160" t="s">
        <v>15</v>
      </c>
      <c r="H160" t="s">
        <v>14</v>
      </c>
      <c r="I160" t="s">
        <v>7514</v>
      </c>
      <c r="J160" t="s">
        <v>7508</v>
      </c>
      <c r="K160" t="s">
        <v>7513</v>
      </c>
      <c r="L160" t="s">
        <v>7512</v>
      </c>
      <c r="M160" t="s">
        <v>7511</v>
      </c>
      <c r="N160">
        <v>2</v>
      </c>
      <c r="O160" t="s">
        <v>7510</v>
      </c>
      <c r="P160" t="s">
        <v>7509</v>
      </c>
      <c r="Q160" t="s">
        <v>7508</v>
      </c>
      <c r="R160" s="7">
        <v>32509</v>
      </c>
      <c r="S160" s="8">
        <f t="shared" si="16"/>
        <v>1989</v>
      </c>
      <c r="T160" s="8">
        <v>1989</v>
      </c>
      <c r="U160" s="8">
        <f t="shared" si="17"/>
        <v>33</v>
      </c>
      <c r="V160" s="7">
        <v>32843</v>
      </c>
      <c r="W160" t="s">
        <v>5681</v>
      </c>
      <c r="X160" s="2">
        <v>2.0070000000000001</v>
      </c>
      <c r="Y160" s="6">
        <f t="shared" si="22"/>
        <v>5.3575718747497406E-2</v>
      </c>
      <c r="AA160">
        <v>948276</v>
      </c>
      <c r="AB160">
        <v>27962</v>
      </c>
      <c r="AC160">
        <v>19448007</v>
      </c>
      <c r="AD160" t="s">
        <v>5</v>
      </c>
      <c r="AE160">
        <v>16</v>
      </c>
      <c r="AF160">
        <v>12</v>
      </c>
      <c r="AH160" t="s">
        <v>7507</v>
      </c>
      <c r="AI160" t="s">
        <v>7506</v>
      </c>
      <c r="AK160" t="s">
        <v>7505</v>
      </c>
      <c r="AL160">
        <v>6</v>
      </c>
      <c r="AM160" s="5">
        <f t="shared" si="18"/>
        <v>0.18181818181818182</v>
      </c>
      <c r="AN160" s="4">
        <f t="shared" si="23"/>
        <v>2.753777838972841E-4</v>
      </c>
      <c r="AO160" s="3"/>
      <c r="AP160">
        <v>0</v>
      </c>
      <c r="AR160" t="s">
        <v>0</v>
      </c>
      <c r="AT160" s="2">
        <v>4.72</v>
      </c>
      <c r="AU160" s="1">
        <f t="shared" si="19"/>
        <v>3.7585616458417368</v>
      </c>
      <c r="AV160" s="1">
        <f t="shared" si="20"/>
        <v>2.6925548265697343</v>
      </c>
      <c r="AW160" s="1">
        <f t="shared" si="21"/>
        <v>1.6265480072977319</v>
      </c>
    </row>
    <row r="161" spans="1:49" x14ac:dyDescent="0.2">
      <c r="A161">
        <v>159</v>
      </c>
      <c r="B161" t="s">
        <v>7504</v>
      </c>
      <c r="C161" t="s">
        <v>7503</v>
      </c>
      <c r="F161" t="s">
        <v>7502</v>
      </c>
      <c r="G161" t="s">
        <v>15</v>
      </c>
      <c r="H161" t="s">
        <v>14</v>
      </c>
      <c r="I161" t="s">
        <v>7501</v>
      </c>
      <c r="J161">
        <v>60001576</v>
      </c>
      <c r="K161" t="s">
        <v>7500</v>
      </c>
      <c r="L161" t="s">
        <v>7499</v>
      </c>
      <c r="M161" t="s">
        <v>2781</v>
      </c>
      <c r="N161">
        <v>1</v>
      </c>
      <c r="O161" t="s">
        <v>7498</v>
      </c>
      <c r="P161">
        <v>35204844800</v>
      </c>
      <c r="Q161">
        <v>60001576</v>
      </c>
      <c r="R161" s="7">
        <v>32509</v>
      </c>
      <c r="S161" s="8">
        <f t="shared" si="16"/>
        <v>1989</v>
      </c>
      <c r="T161" s="8">
        <v>1989</v>
      </c>
      <c r="U161" s="8">
        <f t="shared" si="17"/>
        <v>33</v>
      </c>
      <c r="V161" s="7">
        <v>1989</v>
      </c>
      <c r="W161" t="s">
        <v>7497</v>
      </c>
      <c r="X161" s="2">
        <v>0.34899999999999998</v>
      </c>
      <c r="Y161" s="6">
        <f t="shared" si="22"/>
        <v>9.3163556765702999E-3</v>
      </c>
      <c r="AA161">
        <v>34088</v>
      </c>
      <c r="AB161">
        <v>29031</v>
      </c>
      <c r="AC161" t="s">
        <v>7496</v>
      </c>
      <c r="AD161" t="s">
        <v>5</v>
      </c>
      <c r="AE161">
        <v>25</v>
      </c>
      <c r="AF161">
        <v>1</v>
      </c>
      <c r="AH161" t="s">
        <v>7495</v>
      </c>
      <c r="AI161" t="s">
        <v>7494</v>
      </c>
      <c r="AJ161" t="s">
        <v>7493</v>
      </c>
      <c r="AK161" t="s">
        <v>7492</v>
      </c>
      <c r="AL161">
        <v>7</v>
      </c>
      <c r="AM161" s="5">
        <f t="shared" si="18"/>
        <v>0.21212121212121213</v>
      </c>
      <c r="AN161" s="4">
        <f t="shared" si="23"/>
        <v>3.2127408121349809E-4</v>
      </c>
      <c r="AO161" s="3"/>
      <c r="AP161">
        <v>1</v>
      </c>
      <c r="AR161" t="s">
        <v>0</v>
      </c>
      <c r="AT161" s="2" t="s">
        <v>19</v>
      </c>
      <c r="AU161" s="1">
        <f t="shared" si="19"/>
        <v>0.66178311979632598</v>
      </c>
      <c r="AV161" s="1">
        <f t="shared" si="20"/>
        <v>0.48188148788918989</v>
      </c>
      <c r="AW161" s="1">
        <f t="shared" si="21"/>
        <v>0.30197985598205385</v>
      </c>
    </row>
    <row r="162" spans="1:49" x14ac:dyDescent="0.2">
      <c r="A162">
        <v>160</v>
      </c>
      <c r="B162" t="s">
        <v>7491</v>
      </c>
      <c r="C162" t="s">
        <v>7490</v>
      </c>
      <c r="F162" t="s">
        <v>7489</v>
      </c>
      <c r="G162" t="s">
        <v>15</v>
      </c>
      <c r="H162" t="s">
        <v>14</v>
      </c>
      <c r="I162" t="s">
        <v>7488</v>
      </c>
      <c r="J162">
        <v>60009254</v>
      </c>
      <c r="K162" t="s">
        <v>7487</v>
      </c>
      <c r="L162" t="s">
        <v>7486</v>
      </c>
      <c r="M162" t="s">
        <v>23</v>
      </c>
      <c r="N162">
        <v>2</v>
      </c>
      <c r="O162" t="s">
        <v>7485</v>
      </c>
      <c r="P162" t="s">
        <v>7484</v>
      </c>
      <c r="Q162" t="s">
        <v>7483</v>
      </c>
      <c r="R162" s="7">
        <v>32509</v>
      </c>
      <c r="S162" s="8">
        <f t="shared" si="16"/>
        <v>1989</v>
      </c>
      <c r="T162" s="8">
        <v>1989</v>
      </c>
      <c r="U162" s="8">
        <f t="shared" si="17"/>
        <v>33</v>
      </c>
      <c r="V162" s="7">
        <v>32782</v>
      </c>
      <c r="W162" t="s">
        <v>7482</v>
      </c>
      <c r="X162" s="2">
        <v>0.81799999999999995</v>
      </c>
      <c r="Y162" s="6">
        <f t="shared" si="22"/>
        <v>2.1836042817863912E-2</v>
      </c>
      <c r="AA162">
        <v>318655</v>
      </c>
      <c r="AB162">
        <v>27010</v>
      </c>
      <c r="AC162">
        <v>17511097</v>
      </c>
      <c r="AD162" t="s">
        <v>5</v>
      </c>
      <c r="AE162">
        <v>50</v>
      </c>
      <c r="AF162">
        <v>4</v>
      </c>
      <c r="AH162" t="s">
        <v>7481</v>
      </c>
      <c r="AI162" t="s">
        <v>7480</v>
      </c>
      <c r="AK162" t="s">
        <v>7479</v>
      </c>
      <c r="AL162">
        <v>14</v>
      </c>
      <c r="AM162" s="5">
        <f t="shared" si="18"/>
        <v>0.42424242424242425</v>
      </c>
      <c r="AN162" s="4">
        <f t="shared" si="23"/>
        <v>6.4254816242699617E-4</v>
      </c>
      <c r="AO162" s="3"/>
      <c r="AP162">
        <v>0</v>
      </c>
      <c r="AR162" t="s">
        <v>0</v>
      </c>
      <c r="AT162" s="2">
        <v>3.4209999999999998</v>
      </c>
      <c r="AU162" s="1">
        <f t="shared" si="19"/>
        <v>1.5477994421232837</v>
      </c>
      <c r="AV162" s="1">
        <f t="shared" si="20"/>
        <v>1.1239295490145453</v>
      </c>
      <c r="AW162" s="1">
        <f t="shared" si="21"/>
        <v>0.7000596559058071</v>
      </c>
    </row>
    <row r="163" spans="1:49" x14ac:dyDescent="0.2">
      <c r="A163">
        <v>161</v>
      </c>
      <c r="B163" t="s">
        <v>7478</v>
      </c>
      <c r="C163" t="s">
        <v>7477</v>
      </c>
      <c r="F163" t="s">
        <v>7476</v>
      </c>
      <c r="G163" t="s">
        <v>15</v>
      </c>
      <c r="H163" t="s">
        <v>14</v>
      </c>
      <c r="I163" t="s">
        <v>7475</v>
      </c>
      <c r="J163">
        <v>60011460</v>
      </c>
      <c r="K163" t="s">
        <v>7474</v>
      </c>
      <c r="L163" t="s">
        <v>7473</v>
      </c>
      <c r="M163" t="s">
        <v>23</v>
      </c>
      <c r="N163">
        <v>2</v>
      </c>
      <c r="O163" t="s">
        <v>7472</v>
      </c>
      <c r="P163" t="s">
        <v>7471</v>
      </c>
      <c r="Q163" t="s">
        <v>7470</v>
      </c>
      <c r="R163" s="7">
        <v>32509</v>
      </c>
      <c r="S163" s="8">
        <f t="shared" si="16"/>
        <v>1989</v>
      </c>
      <c r="T163" s="8">
        <v>1989</v>
      </c>
      <c r="U163" s="8">
        <f t="shared" si="17"/>
        <v>33</v>
      </c>
      <c r="V163" s="7">
        <v>32752</v>
      </c>
      <c r="W163" t="s">
        <v>7469</v>
      </c>
      <c r="X163" s="2">
        <v>0.85</v>
      </c>
      <c r="Y163" s="6">
        <f t="shared" si="22"/>
        <v>2.2690264541790128E-2</v>
      </c>
      <c r="AA163">
        <v>223646</v>
      </c>
      <c r="AB163">
        <v>19225</v>
      </c>
      <c r="AC163">
        <v>15298817</v>
      </c>
      <c r="AD163" t="s">
        <v>5</v>
      </c>
      <c r="AE163">
        <v>25</v>
      </c>
      <c r="AF163">
        <v>3</v>
      </c>
      <c r="AH163" t="s">
        <v>7468</v>
      </c>
      <c r="AI163" t="s">
        <v>7467</v>
      </c>
      <c r="AJ163" t="s">
        <v>7466</v>
      </c>
      <c r="AK163" t="s">
        <v>7465</v>
      </c>
      <c r="AL163">
        <v>42</v>
      </c>
      <c r="AM163" s="5">
        <f t="shared" si="18"/>
        <v>1.2727272727272727</v>
      </c>
      <c r="AN163" s="4">
        <f t="shared" si="23"/>
        <v>1.9276444872809886E-3</v>
      </c>
      <c r="AO163" s="3"/>
      <c r="AP163">
        <v>0</v>
      </c>
      <c r="AR163" t="s">
        <v>0</v>
      </c>
      <c r="AT163" s="2">
        <v>2.923</v>
      </c>
      <c r="AU163" s="1">
        <f t="shared" si="19"/>
        <v>1.6461478525437385</v>
      </c>
      <c r="AV163" s="1">
        <f t="shared" si="20"/>
        <v>1.2308954514535559</v>
      </c>
      <c r="AW163" s="1">
        <f t="shared" si="21"/>
        <v>0.81564305036337315</v>
      </c>
    </row>
    <row r="164" spans="1:49" x14ac:dyDescent="0.2">
      <c r="A164">
        <v>162</v>
      </c>
      <c r="B164" t="s">
        <v>7464</v>
      </c>
      <c r="C164" t="s">
        <v>7463</v>
      </c>
      <c r="F164" t="s">
        <v>7462</v>
      </c>
      <c r="G164" t="s">
        <v>15</v>
      </c>
      <c r="H164" t="s">
        <v>14</v>
      </c>
      <c r="I164" t="s">
        <v>7461</v>
      </c>
      <c r="J164" t="s">
        <v>7460</v>
      </c>
      <c r="K164" t="s">
        <v>7459</v>
      </c>
      <c r="L164" t="s">
        <v>7458</v>
      </c>
      <c r="M164" t="s">
        <v>644</v>
      </c>
      <c r="N164">
        <v>4</v>
      </c>
      <c r="O164" t="s">
        <v>7457</v>
      </c>
      <c r="P164" t="s">
        <v>7456</v>
      </c>
      <c r="Q164" t="s">
        <v>7455</v>
      </c>
      <c r="R164" s="7">
        <v>32509</v>
      </c>
      <c r="S164" s="8">
        <f t="shared" ref="S164:S227" si="24">YEAR(R164)</f>
        <v>1989</v>
      </c>
      <c r="T164" s="8">
        <v>1989</v>
      </c>
      <c r="U164" s="8">
        <f t="shared" ref="U164:U227" si="25">2022-T164</f>
        <v>33</v>
      </c>
      <c r="V164" s="7">
        <v>32782</v>
      </c>
      <c r="W164" t="s">
        <v>7454</v>
      </c>
      <c r="X164" s="2">
        <v>0.72299999999999998</v>
      </c>
      <c r="Y164" s="6">
        <f t="shared" si="22"/>
        <v>1.9300072074957958E-2</v>
      </c>
      <c r="AA164">
        <v>8240469</v>
      </c>
      <c r="AB164">
        <v>22663</v>
      </c>
      <c r="AC164">
        <v>17487692</v>
      </c>
      <c r="AD164" t="s">
        <v>5</v>
      </c>
      <c r="AE164">
        <v>5</v>
      </c>
      <c r="AF164">
        <v>4</v>
      </c>
      <c r="AH164" t="s">
        <v>7453</v>
      </c>
      <c r="AI164" t="s">
        <v>7452</v>
      </c>
      <c r="AJ164" t="s">
        <v>7451</v>
      </c>
      <c r="AK164" t="s">
        <v>7450</v>
      </c>
      <c r="AL164">
        <v>25</v>
      </c>
      <c r="AM164" s="5">
        <f t="shared" ref="AM164:AM227" si="26">AL164/U164</f>
        <v>0.75757575757575757</v>
      </c>
      <c r="AN164" s="4">
        <f t="shared" si="23"/>
        <v>1.1474074329053503E-3</v>
      </c>
      <c r="AO164" s="3"/>
      <c r="AP164">
        <v>0</v>
      </c>
      <c r="AR164" t="s">
        <v>0</v>
      </c>
      <c r="AT164" s="2">
        <v>2.09</v>
      </c>
      <c r="AU164" s="1">
        <f t="shared" ref="AU164:AU227" si="27">(Y164*0.7+AN164*0.3)*100</f>
        <v>1.3854272682342175</v>
      </c>
      <c r="AV164" s="1">
        <f t="shared" ref="AV164:AV227" si="28">(Y164*0.5+AN164*0.5)*100</f>
        <v>1.0223739753931653</v>
      </c>
      <c r="AW164" s="1">
        <f t="shared" ref="AW164:AW227" si="29">(Y164*0.3+AN164*0.7)*100</f>
        <v>0.65932068255211318</v>
      </c>
    </row>
    <row r="165" spans="1:49" x14ac:dyDescent="0.2">
      <c r="A165">
        <v>163</v>
      </c>
      <c r="B165" t="s">
        <v>7449</v>
      </c>
      <c r="C165" t="s">
        <v>7448</v>
      </c>
      <c r="F165" t="s">
        <v>7447</v>
      </c>
      <c r="G165" t="s">
        <v>15</v>
      </c>
      <c r="H165" t="s">
        <v>14</v>
      </c>
      <c r="I165" t="s">
        <v>7446</v>
      </c>
      <c r="J165" t="s">
        <v>7445</v>
      </c>
      <c r="K165" t="s">
        <v>7444</v>
      </c>
      <c r="L165" t="s">
        <v>7443</v>
      </c>
      <c r="M165" t="s">
        <v>7442</v>
      </c>
      <c r="N165">
        <v>2</v>
      </c>
      <c r="O165" t="s">
        <v>7441</v>
      </c>
      <c r="P165" t="s">
        <v>7440</v>
      </c>
      <c r="Q165" t="s">
        <v>7439</v>
      </c>
      <c r="R165" s="7">
        <v>32509</v>
      </c>
      <c r="S165" s="8">
        <f t="shared" si="24"/>
        <v>1989</v>
      </c>
      <c r="T165" s="8">
        <v>1989</v>
      </c>
      <c r="U165" s="8">
        <f t="shared" si="25"/>
        <v>33</v>
      </c>
      <c r="V165" s="7">
        <v>32721</v>
      </c>
      <c r="W165" t="s">
        <v>7438</v>
      </c>
      <c r="X165" s="2" t="s">
        <v>19</v>
      </c>
      <c r="Y165" s="6" t="e">
        <f t="shared" si="22"/>
        <v>#VALUE!</v>
      </c>
      <c r="AA165">
        <v>121592</v>
      </c>
      <c r="AB165">
        <v>14533</v>
      </c>
      <c r="AC165" t="s">
        <v>7437</v>
      </c>
      <c r="AD165" t="s">
        <v>5</v>
      </c>
      <c r="AE165">
        <v>31</v>
      </c>
      <c r="AF165">
        <v>4</v>
      </c>
      <c r="AH165" t="s">
        <v>7436</v>
      </c>
      <c r="AI165" t="s">
        <v>7435</v>
      </c>
      <c r="AK165" t="s">
        <v>7434</v>
      </c>
      <c r="AL165">
        <v>3</v>
      </c>
      <c r="AM165" s="5">
        <f t="shared" si="26"/>
        <v>9.0909090909090912E-2</v>
      </c>
      <c r="AN165" s="4">
        <f t="shared" si="23"/>
        <v>1.3768889194864205E-4</v>
      </c>
      <c r="AO165" s="3"/>
      <c r="AP165">
        <v>0</v>
      </c>
      <c r="AR165" t="s">
        <v>0</v>
      </c>
      <c r="AT165" s="2" t="s">
        <v>19</v>
      </c>
      <c r="AU165" s="1" t="e">
        <f t="shared" si="27"/>
        <v>#VALUE!</v>
      </c>
      <c r="AV165" s="1" t="e">
        <f t="shared" si="28"/>
        <v>#VALUE!</v>
      </c>
      <c r="AW165" s="1" t="e">
        <f t="shared" si="29"/>
        <v>#VALUE!</v>
      </c>
    </row>
    <row r="166" spans="1:49" x14ac:dyDescent="0.2">
      <c r="A166">
        <v>164</v>
      </c>
      <c r="B166" t="s">
        <v>7433</v>
      </c>
      <c r="C166" t="s">
        <v>7432</v>
      </c>
      <c r="F166" t="s">
        <v>7431</v>
      </c>
      <c r="G166" t="s">
        <v>15</v>
      </c>
      <c r="H166" t="s">
        <v>14</v>
      </c>
      <c r="I166" t="s">
        <v>7430</v>
      </c>
      <c r="J166">
        <v>60032530</v>
      </c>
      <c r="K166" t="s">
        <v>7429</v>
      </c>
      <c r="L166" t="s">
        <v>7428</v>
      </c>
      <c r="M166" t="s">
        <v>72</v>
      </c>
      <c r="N166">
        <v>2</v>
      </c>
      <c r="O166" t="s">
        <v>7427</v>
      </c>
      <c r="P166" t="s">
        <v>7426</v>
      </c>
      <c r="Q166" t="s">
        <v>7425</v>
      </c>
      <c r="R166" s="7">
        <v>32509</v>
      </c>
      <c r="S166" s="8">
        <f t="shared" si="24"/>
        <v>1989</v>
      </c>
      <c r="T166" s="8">
        <v>1989</v>
      </c>
      <c r="U166" s="8">
        <f t="shared" si="25"/>
        <v>33</v>
      </c>
      <c r="V166" s="7">
        <v>32752</v>
      </c>
      <c r="W166" t="s">
        <v>6</v>
      </c>
      <c r="X166" s="2">
        <v>0.69299999999999995</v>
      </c>
      <c r="Y166" s="6">
        <f t="shared" si="22"/>
        <v>1.8499239208777128E-2</v>
      </c>
      <c r="AA166">
        <v>3076962</v>
      </c>
      <c r="AB166">
        <v>21084</v>
      </c>
      <c r="AC166">
        <v>13653032</v>
      </c>
      <c r="AD166" t="s">
        <v>5</v>
      </c>
      <c r="AE166">
        <v>14</v>
      </c>
      <c r="AF166">
        <v>3</v>
      </c>
      <c r="AH166" t="s">
        <v>7424</v>
      </c>
      <c r="AI166" t="s">
        <v>7423</v>
      </c>
      <c r="AJ166" t="s">
        <v>7422</v>
      </c>
      <c r="AK166" t="s">
        <v>7421</v>
      </c>
      <c r="AL166">
        <v>12</v>
      </c>
      <c r="AM166" s="5">
        <f t="shared" si="26"/>
        <v>0.36363636363636365</v>
      </c>
      <c r="AN166" s="4">
        <f t="shared" si="23"/>
        <v>5.5075556779456819E-4</v>
      </c>
      <c r="AO166" s="3"/>
      <c r="AP166">
        <v>0</v>
      </c>
      <c r="AR166" t="s">
        <v>0</v>
      </c>
      <c r="AT166" s="2">
        <v>1.833</v>
      </c>
      <c r="AU166" s="1">
        <f t="shared" si="27"/>
        <v>1.3114694116482359</v>
      </c>
      <c r="AV166" s="1">
        <f t="shared" si="28"/>
        <v>0.95249973882858485</v>
      </c>
      <c r="AW166" s="1">
        <f t="shared" si="29"/>
        <v>0.59353006600893354</v>
      </c>
    </row>
    <row r="167" spans="1:49" x14ac:dyDescent="0.2">
      <c r="A167">
        <v>165</v>
      </c>
      <c r="B167" t="s">
        <v>7420</v>
      </c>
      <c r="C167" t="s">
        <v>7419</v>
      </c>
      <c r="F167" t="s">
        <v>7418</v>
      </c>
      <c r="G167" t="s">
        <v>15</v>
      </c>
      <c r="H167" t="s">
        <v>14</v>
      </c>
      <c r="I167" t="s">
        <v>7417</v>
      </c>
      <c r="J167">
        <v>60015573</v>
      </c>
      <c r="K167" t="s">
        <v>5946</v>
      </c>
      <c r="L167" t="s">
        <v>5945</v>
      </c>
      <c r="M167" t="s">
        <v>23</v>
      </c>
      <c r="N167">
        <v>1</v>
      </c>
      <c r="O167" t="s">
        <v>7416</v>
      </c>
      <c r="P167">
        <v>6701546172</v>
      </c>
      <c r="Q167">
        <v>60015573</v>
      </c>
      <c r="R167" s="7">
        <v>32509</v>
      </c>
      <c r="S167" s="8">
        <f t="shared" si="24"/>
        <v>1989</v>
      </c>
      <c r="T167" s="8">
        <v>1989</v>
      </c>
      <c r="U167" s="8">
        <f t="shared" si="25"/>
        <v>33</v>
      </c>
      <c r="V167" s="7" t="s">
        <v>7415</v>
      </c>
      <c r="W167" t="s">
        <v>7414</v>
      </c>
      <c r="X167" s="2">
        <v>0.35899999999999999</v>
      </c>
      <c r="Y167" s="6">
        <f t="shared" si="22"/>
        <v>9.5832999652972432E-3</v>
      </c>
      <c r="AA167">
        <v>8999457</v>
      </c>
      <c r="AB167">
        <v>35932</v>
      </c>
      <c r="AC167">
        <v>10981098</v>
      </c>
      <c r="AD167" t="s">
        <v>5</v>
      </c>
      <c r="AE167">
        <v>1</v>
      </c>
      <c r="AF167">
        <v>1</v>
      </c>
      <c r="AH167" t="s">
        <v>7413</v>
      </c>
      <c r="AI167" t="s">
        <v>7412</v>
      </c>
      <c r="AK167" t="s">
        <v>7411</v>
      </c>
      <c r="AL167">
        <v>2</v>
      </c>
      <c r="AM167" s="5">
        <f t="shared" si="26"/>
        <v>6.0606060606060608E-2</v>
      </c>
      <c r="AN167" s="4">
        <f t="shared" si="23"/>
        <v>9.1792594632428032E-5</v>
      </c>
      <c r="AO167" s="3"/>
      <c r="AP167">
        <v>0</v>
      </c>
      <c r="AR167" t="s">
        <v>0</v>
      </c>
      <c r="AT167" s="2" t="s">
        <v>19</v>
      </c>
      <c r="AU167" s="1">
        <f t="shared" si="27"/>
        <v>0.6735847754097799</v>
      </c>
      <c r="AV167" s="1">
        <f t="shared" si="28"/>
        <v>0.48375462799648361</v>
      </c>
      <c r="AW167" s="1">
        <f t="shared" si="29"/>
        <v>0.29392448058318721</v>
      </c>
    </row>
    <row r="168" spans="1:49" x14ac:dyDescent="0.2">
      <c r="A168">
        <v>166</v>
      </c>
      <c r="B168" t="s">
        <v>7410</v>
      </c>
      <c r="C168" t="s">
        <v>7409</v>
      </c>
      <c r="F168" t="s">
        <v>7408</v>
      </c>
      <c r="G168" t="s">
        <v>15</v>
      </c>
      <c r="H168" t="s">
        <v>14</v>
      </c>
      <c r="I168" t="s">
        <v>6480</v>
      </c>
      <c r="J168">
        <v>60026708</v>
      </c>
      <c r="K168" t="s">
        <v>6479</v>
      </c>
      <c r="L168" t="s">
        <v>6478</v>
      </c>
      <c r="M168" t="s">
        <v>857</v>
      </c>
      <c r="N168">
        <v>1</v>
      </c>
      <c r="O168" t="s">
        <v>6477</v>
      </c>
      <c r="P168">
        <v>7003446625</v>
      </c>
      <c r="Q168">
        <v>60026708</v>
      </c>
      <c r="R168" s="7">
        <v>32509</v>
      </c>
      <c r="S168" s="8">
        <f t="shared" si="24"/>
        <v>1989</v>
      </c>
      <c r="T168" s="8">
        <v>1989</v>
      </c>
      <c r="U168" s="8">
        <f t="shared" si="25"/>
        <v>33</v>
      </c>
      <c r="V168" s="7">
        <v>32509</v>
      </c>
      <c r="W168" t="s">
        <v>6476</v>
      </c>
      <c r="X168" s="2">
        <v>0.61899999999999999</v>
      </c>
      <c r="Y168" s="6">
        <f t="shared" si="22"/>
        <v>1.6523851472197752E-2</v>
      </c>
      <c r="AA168">
        <v>14966</v>
      </c>
      <c r="AB168">
        <v>12936</v>
      </c>
      <c r="AC168" t="s">
        <v>6475</v>
      </c>
      <c r="AD168" t="s">
        <v>5</v>
      </c>
      <c r="AE168">
        <v>85</v>
      </c>
      <c r="AF168">
        <v>1</v>
      </c>
      <c r="AH168" t="s">
        <v>7407</v>
      </c>
      <c r="AI168" t="s">
        <v>7406</v>
      </c>
      <c r="AK168" t="s">
        <v>7405</v>
      </c>
      <c r="AL168">
        <v>7</v>
      </c>
      <c r="AM168" s="5">
        <f t="shared" si="26"/>
        <v>0.21212121212121213</v>
      </c>
      <c r="AN168" s="4">
        <f t="shared" si="23"/>
        <v>3.2127408121349809E-4</v>
      </c>
      <c r="AO168" s="3"/>
      <c r="AP168">
        <v>0</v>
      </c>
      <c r="AR168" t="s">
        <v>0</v>
      </c>
      <c r="AT168" s="2" t="s">
        <v>19</v>
      </c>
      <c r="AU168" s="1">
        <f t="shared" si="27"/>
        <v>1.1663078254902475</v>
      </c>
      <c r="AV168" s="1">
        <f t="shared" si="28"/>
        <v>0.84225627767056244</v>
      </c>
      <c r="AW168" s="1">
        <f t="shared" si="29"/>
        <v>0.5182047298508774</v>
      </c>
    </row>
    <row r="169" spans="1:49" x14ac:dyDescent="0.2">
      <c r="A169">
        <v>167</v>
      </c>
      <c r="B169" t="s">
        <v>7404</v>
      </c>
      <c r="C169" t="s">
        <v>7395</v>
      </c>
      <c r="F169" t="s">
        <v>7403</v>
      </c>
      <c r="G169" t="s">
        <v>15</v>
      </c>
      <c r="H169" t="s">
        <v>14</v>
      </c>
      <c r="I169" t="s">
        <v>7402</v>
      </c>
      <c r="J169">
        <v>116443820</v>
      </c>
      <c r="K169" t="s">
        <v>7401</v>
      </c>
      <c r="L169" t="s">
        <v>7391</v>
      </c>
      <c r="M169" t="s">
        <v>101</v>
      </c>
      <c r="N169">
        <v>3</v>
      </c>
      <c r="O169" t="s">
        <v>7400</v>
      </c>
      <c r="P169" t="s">
        <v>7399</v>
      </c>
      <c r="Q169" t="s">
        <v>7398</v>
      </c>
      <c r="R169" s="7">
        <v>32509</v>
      </c>
      <c r="S169" s="8">
        <f t="shared" si="24"/>
        <v>1989</v>
      </c>
      <c r="T169" s="8">
        <v>1989</v>
      </c>
      <c r="U169" s="8">
        <f t="shared" si="25"/>
        <v>33</v>
      </c>
      <c r="V169" s="7">
        <v>32509</v>
      </c>
      <c r="W169" t="s">
        <v>7387</v>
      </c>
      <c r="X169" s="2" t="s">
        <v>19</v>
      </c>
      <c r="Y169" s="6" t="e">
        <f t="shared" si="22"/>
        <v>#VALUE!</v>
      </c>
      <c r="AA169">
        <v>170070</v>
      </c>
      <c r="AB169">
        <v>68722</v>
      </c>
      <c r="AD169" t="s">
        <v>5</v>
      </c>
      <c r="AE169">
        <v>123</v>
      </c>
      <c r="AF169" s="9">
        <v>44289</v>
      </c>
      <c r="AH169" t="s">
        <v>7397</v>
      </c>
      <c r="AL169">
        <v>0</v>
      </c>
      <c r="AM169" s="5">
        <f t="shared" si="26"/>
        <v>0</v>
      </c>
      <c r="AN169" s="4">
        <f t="shared" si="23"/>
        <v>0</v>
      </c>
      <c r="AO169" s="3"/>
      <c r="AP169">
        <v>0</v>
      </c>
      <c r="AQ169" t="s">
        <v>7385</v>
      </c>
      <c r="AR169" t="s">
        <v>0</v>
      </c>
      <c r="AS169" t="s">
        <v>7385</v>
      </c>
      <c r="AT169" s="2" t="s">
        <v>19</v>
      </c>
      <c r="AU169" s="1" t="e">
        <f t="shared" si="27"/>
        <v>#VALUE!</v>
      </c>
      <c r="AV169" s="1" t="e">
        <f t="shared" si="28"/>
        <v>#VALUE!</v>
      </c>
      <c r="AW169" s="1" t="e">
        <f t="shared" si="29"/>
        <v>#VALUE!</v>
      </c>
    </row>
    <row r="170" spans="1:49" x14ac:dyDescent="0.2">
      <c r="A170">
        <v>168</v>
      </c>
      <c r="B170" t="s">
        <v>7396</v>
      </c>
      <c r="C170" t="s">
        <v>7395</v>
      </c>
      <c r="F170" t="s">
        <v>7394</v>
      </c>
      <c r="G170" t="s">
        <v>15</v>
      </c>
      <c r="H170" t="s">
        <v>14</v>
      </c>
      <c r="I170" t="s">
        <v>7393</v>
      </c>
      <c r="J170">
        <v>60000481</v>
      </c>
      <c r="K170" t="s">
        <v>7392</v>
      </c>
      <c r="L170" t="s">
        <v>7391</v>
      </c>
      <c r="M170" t="s">
        <v>101</v>
      </c>
      <c r="N170">
        <v>3</v>
      </c>
      <c r="O170" t="s">
        <v>7390</v>
      </c>
      <c r="P170" t="s">
        <v>7389</v>
      </c>
      <c r="Q170" t="s">
        <v>7388</v>
      </c>
      <c r="R170" s="7">
        <v>32509</v>
      </c>
      <c r="S170" s="8">
        <f t="shared" si="24"/>
        <v>1989</v>
      </c>
      <c r="T170" s="8">
        <v>1989</v>
      </c>
      <c r="U170" s="8">
        <f t="shared" si="25"/>
        <v>33</v>
      </c>
      <c r="V170" s="7">
        <v>32509</v>
      </c>
      <c r="W170" t="s">
        <v>7387</v>
      </c>
      <c r="X170" s="2" t="s">
        <v>19</v>
      </c>
      <c r="Y170" s="6" t="e">
        <f t="shared" si="22"/>
        <v>#VALUE!</v>
      </c>
      <c r="AA170">
        <v>170070</v>
      </c>
      <c r="AB170">
        <v>68722</v>
      </c>
      <c r="AD170" t="s">
        <v>5</v>
      </c>
      <c r="AE170">
        <v>123</v>
      </c>
      <c r="AF170" s="9">
        <v>44289</v>
      </c>
      <c r="AH170" t="s">
        <v>7386</v>
      </c>
      <c r="AL170">
        <v>0</v>
      </c>
      <c r="AM170" s="5">
        <f t="shared" si="26"/>
        <v>0</v>
      </c>
      <c r="AN170" s="4">
        <f t="shared" si="23"/>
        <v>0</v>
      </c>
      <c r="AO170" s="3"/>
      <c r="AP170">
        <v>0</v>
      </c>
      <c r="AQ170" t="s">
        <v>7385</v>
      </c>
      <c r="AR170" t="s">
        <v>0</v>
      </c>
      <c r="AS170" t="s">
        <v>7385</v>
      </c>
      <c r="AT170" s="2" t="s">
        <v>19</v>
      </c>
      <c r="AU170" s="1" t="e">
        <f t="shared" si="27"/>
        <v>#VALUE!</v>
      </c>
      <c r="AV170" s="1" t="e">
        <f t="shared" si="28"/>
        <v>#VALUE!</v>
      </c>
      <c r="AW170" s="1" t="e">
        <f t="shared" si="29"/>
        <v>#VALUE!</v>
      </c>
    </row>
    <row r="171" spans="1:49" x14ac:dyDescent="0.2">
      <c r="A171">
        <v>169</v>
      </c>
      <c r="B171" t="s">
        <v>7384</v>
      </c>
      <c r="C171" t="s">
        <v>7383</v>
      </c>
      <c r="D171" t="s">
        <v>7382</v>
      </c>
      <c r="F171" t="s">
        <v>7381</v>
      </c>
      <c r="G171" t="s">
        <v>15</v>
      </c>
      <c r="H171" t="s">
        <v>14</v>
      </c>
      <c r="I171" t="s">
        <v>7380</v>
      </c>
      <c r="J171" t="s">
        <v>7379</v>
      </c>
      <c r="K171" t="s">
        <v>7378</v>
      </c>
      <c r="L171" t="s">
        <v>7377</v>
      </c>
      <c r="M171" t="s">
        <v>452</v>
      </c>
      <c r="N171">
        <v>4</v>
      </c>
      <c r="O171" t="s">
        <v>7376</v>
      </c>
      <c r="P171" t="s">
        <v>7375</v>
      </c>
      <c r="Q171" t="s">
        <v>7374</v>
      </c>
      <c r="R171" s="7">
        <v>32509</v>
      </c>
      <c r="S171" s="8">
        <f t="shared" si="24"/>
        <v>1989</v>
      </c>
      <c r="T171" s="8">
        <v>1989</v>
      </c>
      <c r="U171" s="8">
        <f t="shared" si="25"/>
        <v>33</v>
      </c>
      <c r="V171" s="7">
        <v>1989</v>
      </c>
      <c r="W171" t="s">
        <v>448</v>
      </c>
      <c r="X171" s="2">
        <v>1.032</v>
      </c>
      <c r="Y171" s="6">
        <f t="shared" si="22"/>
        <v>2.7548650596620487E-2</v>
      </c>
      <c r="AA171">
        <v>1761617</v>
      </c>
      <c r="AB171">
        <v>19257</v>
      </c>
      <c r="AD171" t="s">
        <v>5</v>
      </c>
      <c r="AE171">
        <v>134</v>
      </c>
      <c r="AF171">
        <v>3</v>
      </c>
      <c r="AH171" t="s">
        <v>7373</v>
      </c>
      <c r="AI171" t="s">
        <v>7372</v>
      </c>
      <c r="AJ171" t="s">
        <v>7371</v>
      </c>
      <c r="AK171" t="s">
        <v>7370</v>
      </c>
      <c r="AL171">
        <v>73</v>
      </c>
      <c r="AM171" s="5">
        <f t="shared" si="26"/>
        <v>2.2121212121212119</v>
      </c>
      <c r="AN171" s="4">
        <f t="shared" si="23"/>
        <v>3.3504297040836228E-3</v>
      </c>
      <c r="AO171" s="3"/>
      <c r="AP171">
        <v>0</v>
      </c>
      <c r="AR171" t="s">
        <v>0</v>
      </c>
      <c r="AT171" s="2">
        <v>3.5489999999999999</v>
      </c>
      <c r="AU171" s="1">
        <f t="shared" si="27"/>
        <v>2.0289184328859422</v>
      </c>
      <c r="AV171" s="1">
        <f t="shared" si="28"/>
        <v>1.5449540150352055</v>
      </c>
      <c r="AW171" s="1">
        <f t="shared" si="29"/>
        <v>1.0609895971844681</v>
      </c>
    </row>
    <row r="172" spans="1:49" x14ac:dyDescent="0.2">
      <c r="A172">
        <v>170</v>
      </c>
      <c r="B172" t="s">
        <v>7369</v>
      </c>
      <c r="C172" t="s">
        <v>7368</v>
      </c>
      <c r="F172" t="s">
        <v>7367</v>
      </c>
      <c r="G172" t="s">
        <v>15</v>
      </c>
      <c r="H172" t="s">
        <v>14</v>
      </c>
      <c r="I172" t="s">
        <v>6315</v>
      </c>
      <c r="J172">
        <v>60022148</v>
      </c>
      <c r="K172" t="s">
        <v>1481</v>
      </c>
      <c r="L172" t="s">
        <v>1480</v>
      </c>
      <c r="M172" t="s">
        <v>792</v>
      </c>
      <c r="N172">
        <v>1</v>
      </c>
      <c r="O172" t="s">
        <v>7366</v>
      </c>
      <c r="P172">
        <v>7005651378</v>
      </c>
      <c r="Q172">
        <v>60022148</v>
      </c>
      <c r="R172" s="7">
        <v>32509</v>
      </c>
      <c r="S172" s="8">
        <f t="shared" si="24"/>
        <v>1989</v>
      </c>
      <c r="T172" s="8">
        <v>1989</v>
      </c>
      <c r="U172" s="8">
        <f t="shared" si="25"/>
        <v>33</v>
      </c>
      <c r="V172" s="7">
        <v>1989</v>
      </c>
      <c r="W172" t="s">
        <v>6531</v>
      </c>
      <c r="X172" s="2">
        <v>0.312</v>
      </c>
      <c r="Y172" s="6">
        <f t="shared" si="22"/>
        <v>8.3286618082806119E-3</v>
      </c>
      <c r="AA172">
        <v>9540695</v>
      </c>
      <c r="AB172">
        <v>61637</v>
      </c>
      <c r="AD172" t="s">
        <v>5</v>
      </c>
      <c r="AE172">
        <v>1</v>
      </c>
      <c r="AF172">
        <v>6</v>
      </c>
      <c r="AH172" t="s">
        <v>7365</v>
      </c>
      <c r="AI172" t="s">
        <v>7364</v>
      </c>
      <c r="AK172" t="s">
        <v>7363</v>
      </c>
      <c r="AL172">
        <v>1</v>
      </c>
      <c r="AM172" s="5">
        <f t="shared" si="26"/>
        <v>3.0303030303030304E-2</v>
      </c>
      <c r="AN172" s="4">
        <f t="shared" si="23"/>
        <v>4.5896297316214016E-5</v>
      </c>
      <c r="AO172" s="3"/>
      <c r="AP172">
        <v>0</v>
      </c>
      <c r="AR172" t="s">
        <v>0</v>
      </c>
      <c r="AT172" s="2" t="s">
        <v>19</v>
      </c>
      <c r="AU172" s="1">
        <f t="shared" si="27"/>
        <v>0.5843832154991293</v>
      </c>
      <c r="AV172" s="1">
        <f t="shared" si="28"/>
        <v>0.41872790527984127</v>
      </c>
      <c r="AW172" s="1">
        <f t="shared" si="29"/>
        <v>0.25307259506055335</v>
      </c>
    </row>
    <row r="173" spans="1:49" x14ac:dyDescent="0.2">
      <c r="A173">
        <v>171</v>
      </c>
      <c r="B173" t="s">
        <v>7362</v>
      </c>
      <c r="C173" t="s">
        <v>7361</v>
      </c>
      <c r="F173" t="s">
        <v>7360</v>
      </c>
      <c r="G173" t="s">
        <v>15</v>
      </c>
      <c r="H173" t="s">
        <v>14</v>
      </c>
      <c r="I173" t="s">
        <v>7359</v>
      </c>
      <c r="J173">
        <v>60019118</v>
      </c>
      <c r="K173" t="s">
        <v>7358</v>
      </c>
      <c r="L173" t="s">
        <v>7357</v>
      </c>
      <c r="M173" t="s">
        <v>1641</v>
      </c>
      <c r="N173">
        <v>4</v>
      </c>
      <c r="O173" t="s">
        <v>7356</v>
      </c>
      <c r="P173" t="s">
        <v>7355</v>
      </c>
      <c r="Q173" t="s">
        <v>7354</v>
      </c>
      <c r="R173" s="7">
        <v>32509</v>
      </c>
      <c r="S173" s="8">
        <f t="shared" si="24"/>
        <v>1989</v>
      </c>
      <c r="T173" s="8">
        <v>1989</v>
      </c>
      <c r="U173" s="8">
        <f t="shared" si="25"/>
        <v>33</v>
      </c>
      <c r="V173" s="7">
        <v>32629</v>
      </c>
      <c r="W173" t="s">
        <v>7353</v>
      </c>
      <c r="X173" s="2">
        <v>0.34799999999999998</v>
      </c>
      <c r="Y173" s="6">
        <f t="shared" si="22"/>
        <v>9.2896612476976049E-3</v>
      </c>
      <c r="AA173" t="s">
        <v>7352</v>
      </c>
      <c r="AB173">
        <v>27432</v>
      </c>
      <c r="AC173">
        <v>17413540</v>
      </c>
      <c r="AD173" t="s">
        <v>5</v>
      </c>
      <c r="AE173">
        <v>6</v>
      </c>
      <c r="AF173">
        <v>5</v>
      </c>
      <c r="AH173" t="s">
        <v>7351</v>
      </c>
      <c r="AI173" t="s">
        <v>7350</v>
      </c>
      <c r="AK173" t="s">
        <v>7349</v>
      </c>
      <c r="AL173">
        <v>0</v>
      </c>
      <c r="AM173" s="5">
        <f t="shared" si="26"/>
        <v>0</v>
      </c>
      <c r="AN173" s="4">
        <f t="shared" si="23"/>
        <v>0</v>
      </c>
      <c r="AO173" s="3"/>
      <c r="AP173">
        <v>0</v>
      </c>
      <c r="AR173" t="s">
        <v>0</v>
      </c>
      <c r="AT173" s="2">
        <v>1.4830000000000001</v>
      </c>
      <c r="AU173" s="1">
        <f t="shared" si="27"/>
        <v>0.65027628733883236</v>
      </c>
      <c r="AV173" s="1">
        <f t="shared" si="28"/>
        <v>0.46448306238488024</v>
      </c>
      <c r="AW173" s="1">
        <f t="shared" si="29"/>
        <v>0.27868983743092812</v>
      </c>
    </row>
    <row r="174" spans="1:49" x14ac:dyDescent="0.2">
      <c r="A174">
        <v>172</v>
      </c>
      <c r="B174" t="s">
        <v>7348</v>
      </c>
      <c r="C174" t="s">
        <v>7347</v>
      </c>
      <c r="F174" t="s">
        <v>7346</v>
      </c>
      <c r="G174" t="s">
        <v>15</v>
      </c>
      <c r="H174" t="s">
        <v>14</v>
      </c>
      <c r="I174" t="s">
        <v>558</v>
      </c>
      <c r="J174">
        <v>60012288</v>
      </c>
      <c r="K174" t="s">
        <v>117</v>
      </c>
      <c r="L174" t="s">
        <v>116</v>
      </c>
      <c r="M174" t="s">
        <v>115</v>
      </c>
      <c r="N174">
        <v>6</v>
      </c>
      <c r="O174" t="s">
        <v>553</v>
      </c>
      <c r="P174" t="s">
        <v>552</v>
      </c>
      <c r="Q174" t="s">
        <v>7345</v>
      </c>
      <c r="R174" s="7">
        <v>32509</v>
      </c>
      <c r="S174" s="8">
        <f t="shared" si="24"/>
        <v>1989</v>
      </c>
      <c r="T174" s="8">
        <v>1989</v>
      </c>
      <c r="U174" s="8">
        <f t="shared" si="25"/>
        <v>33</v>
      </c>
      <c r="V174" s="7">
        <v>32660</v>
      </c>
      <c r="W174" t="s">
        <v>538</v>
      </c>
      <c r="X174" s="2">
        <v>1.774</v>
      </c>
      <c r="Y174" s="6">
        <f t="shared" si="22"/>
        <v>4.7355916820159633E-2</v>
      </c>
      <c r="AA174">
        <v>295515</v>
      </c>
      <c r="AB174">
        <v>29066</v>
      </c>
      <c r="AC174">
        <v>17414326</v>
      </c>
      <c r="AD174" t="s">
        <v>5</v>
      </c>
      <c r="AE174">
        <v>29</v>
      </c>
      <c r="AF174">
        <v>6</v>
      </c>
      <c r="AH174">
        <v>1063</v>
      </c>
      <c r="AI174" t="s">
        <v>7344</v>
      </c>
      <c r="AK174" t="s">
        <v>7343</v>
      </c>
      <c r="AL174">
        <v>0</v>
      </c>
      <c r="AM174" s="5">
        <f t="shared" si="26"/>
        <v>0</v>
      </c>
      <c r="AN174" s="4">
        <f t="shared" si="23"/>
        <v>0</v>
      </c>
      <c r="AO174" s="3"/>
      <c r="AP174">
        <v>0</v>
      </c>
      <c r="AR174" t="s">
        <v>0</v>
      </c>
      <c r="AT174" s="2">
        <v>3.1789999999999998</v>
      </c>
      <c r="AU174" s="1">
        <f t="shared" si="27"/>
        <v>3.3149141774111741</v>
      </c>
      <c r="AV174" s="1">
        <f t="shared" si="28"/>
        <v>2.3677958410079816</v>
      </c>
      <c r="AW174" s="1">
        <f t="shared" si="29"/>
        <v>1.4206775046047888</v>
      </c>
    </row>
    <row r="175" spans="1:49" x14ac:dyDescent="0.2">
      <c r="A175">
        <v>173</v>
      </c>
      <c r="B175" t="s">
        <v>7342</v>
      </c>
      <c r="C175" t="s">
        <v>7341</v>
      </c>
      <c r="F175" t="s">
        <v>7340</v>
      </c>
      <c r="G175" t="s">
        <v>15</v>
      </c>
      <c r="H175" t="s">
        <v>14</v>
      </c>
      <c r="I175" t="s">
        <v>7339</v>
      </c>
      <c r="J175" t="s">
        <v>7338</v>
      </c>
      <c r="K175" t="s">
        <v>7337</v>
      </c>
      <c r="L175" t="s">
        <v>7336</v>
      </c>
      <c r="M175" t="s">
        <v>86</v>
      </c>
      <c r="N175">
        <v>3</v>
      </c>
      <c r="O175" t="s">
        <v>7335</v>
      </c>
      <c r="P175" t="s">
        <v>7334</v>
      </c>
      <c r="Q175" t="s">
        <v>7333</v>
      </c>
      <c r="R175" s="7">
        <v>32509</v>
      </c>
      <c r="S175" s="8">
        <f t="shared" si="24"/>
        <v>1989</v>
      </c>
      <c r="T175" s="8">
        <v>1989</v>
      </c>
      <c r="U175" s="8">
        <f t="shared" si="25"/>
        <v>33</v>
      </c>
      <c r="V175" s="7">
        <v>32629</v>
      </c>
      <c r="W175" t="s">
        <v>7332</v>
      </c>
      <c r="X175" s="2">
        <v>0.58299999999999996</v>
      </c>
      <c r="Y175" s="6">
        <f t="shared" si="22"/>
        <v>1.5562852032780758E-2</v>
      </c>
      <c r="AA175">
        <v>7342101</v>
      </c>
      <c r="AB175">
        <v>28596</v>
      </c>
      <c r="AC175">
        <v>15208559</v>
      </c>
      <c r="AD175" t="s">
        <v>5</v>
      </c>
      <c r="AE175">
        <v>7</v>
      </c>
      <c r="AF175">
        <v>3</v>
      </c>
      <c r="AH175" t="s">
        <v>7331</v>
      </c>
      <c r="AI175" t="s">
        <v>7330</v>
      </c>
      <c r="AK175" t="s">
        <v>7329</v>
      </c>
      <c r="AL175">
        <v>8</v>
      </c>
      <c r="AM175" s="5">
        <f t="shared" si="26"/>
        <v>0.24242424242424243</v>
      </c>
      <c r="AN175" s="4">
        <f t="shared" si="23"/>
        <v>3.6717037852971213E-4</v>
      </c>
      <c r="AO175" s="3"/>
      <c r="AP175">
        <v>0</v>
      </c>
      <c r="AR175" t="s">
        <v>0</v>
      </c>
      <c r="AT175" s="2" t="s">
        <v>19</v>
      </c>
      <c r="AU175" s="1">
        <f t="shared" si="27"/>
        <v>1.1004147536505444</v>
      </c>
      <c r="AV175" s="1">
        <f t="shared" si="28"/>
        <v>0.79650112056552347</v>
      </c>
      <c r="AW175" s="1">
        <f t="shared" si="29"/>
        <v>0.49258748748050257</v>
      </c>
    </row>
    <row r="176" spans="1:49" x14ac:dyDescent="0.2">
      <c r="A176">
        <v>174</v>
      </c>
      <c r="B176" t="s">
        <v>7328</v>
      </c>
      <c r="C176" t="s">
        <v>7327</v>
      </c>
      <c r="F176" t="s">
        <v>7326</v>
      </c>
      <c r="G176" t="s">
        <v>15</v>
      </c>
      <c r="H176" t="s">
        <v>14</v>
      </c>
      <c r="I176" t="s">
        <v>7325</v>
      </c>
      <c r="J176" t="s">
        <v>7319</v>
      </c>
      <c r="K176" t="s">
        <v>7324</v>
      </c>
      <c r="L176" t="s">
        <v>7323</v>
      </c>
      <c r="M176" t="s">
        <v>7322</v>
      </c>
      <c r="N176">
        <v>2</v>
      </c>
      <c r="O176" t="s">
        <v>7321</v>
      </c>
      <c r="P176" t="s">
        <v>7320</v>
      </c>
      <c r="Q176" t="s">
        <v>7319</v>
      </c>
      <c r="R176" s="7">
        <v>32509</v>
      </c>
      <c r="S176" s="8">
        <f t="shared" si="24"/>
        <v>1989</v>
      </c>
      <c r="T176" s="8">
        <v>1989</v>
      </c>
      <c r="U176" s="8">
        <f t="shared" si="25"/>
        <v>33</v>
      </c>
      <c r="V176" s="7">
        <v>1989</v>
      </c>
      <c r="W176" t="s">
        <v>7207</v>
      </c>
      <c r="X176" s="2">
        <v>0.28599999999999998</v>
      </c>
      <c r="Y176" s="6">
        <f t="shared" si="22"/>
        <v>7.6346066575905605E-3</v>
      </c>
      <c r="AA176">
        <v>9205071</v>
      </c>
      <c r="AB176">
        <v>28139</v>
      </c>
      <c r="AC176">
        <v>15693937</v>
      </c>
      <c r="AD176" t="s">
        <v>5</v>
      </c>
      <c r="AE176">
        <v>3</v>
      </c>
      <c r="AF176">
        <v>3</v>
      </c>
      <c r="AH176" t="s">
        <v>7318</v>
      </c>
      <c r="AI176" t="s">
        <v>7317</v>
      </c>
      <c r="AK176" t="s">
        <v>7316</v>
      </c>
      <c r="AL176">
        <v>1</v>
      </c>
      <c r="AM176" s="5">
        <f t="shared" si="26"/>
        <v>3.0303030303030304E-2</v>
      </c>
      <c r="AN176" s="4">
        <f t="shared" si="23"/>
        <v>4.5896297316214016E-5</v>
      </c>
      <c r="AO176" s="3"/>
      <c r="AP176">
        <v>0</v>
      </c>
      <c r="AR176" t="s">
        <v>0</v>
      </c>
      <c r="AT176" s="2" t="s">
        <v>19</v>
      </c>
      <c r="AU176" s="1">
        <f t="shared" si="27"/>
        <v>0.53579935495082565</v>
      </c>
      <c r="AV176" s="1">
        <f t="shared" si="28"/>
        <v>0.38402514774533875</v>
      </c>
      <c r="AW176" s="1">
        <f t="shared" si="29"/>
        <v>0.23225094053985182</v>
      </c>
    </row>
    <row r="177" spans="1:49" x14ac:dyDescent="0.2">
      <c r="A177">
        <v>175</v>
      </c>
      <c r="B177" t="s">
        <v>7315</v>
      </c>
      <c r="C177" t="s">
        <v>7314</v>
      </c>
      <c r="F177" t="s">
        <v>7313</v>
      </c>
      <c r="G177" t="s">
        <v>15</v>
      </c>
      <c r="H177" t="s">
        <v>14</v>
      </c>
      <c r="I177" t="s">
        <v>7312</v>
      </c>
      <c r="N177">
        <v>2</v>
      </c>
      <c r="O177" t="s">
        <v>7311</v>
      </c>
      <c r="P177" t="s">
        <v>7310</v>
      </c>
      <c r="Q177" t="s">
        <v>1071</v>
      </c>
      <c r="R177" s="7">
        <v>32509</v>
      </c>
      <c r="S177" s="8">
        <f t="shared" si="24"/>
        <v>1989</v>
      </c>
      <c r="T177" s="8">
        <v>1989</v>
      </c>
      <c r="U177" s="8">
        <f t="shared" si="25"/>
        <v>33</v>
      </c>
      <c r="V177" s="7" t="s">
        <v>415</v>
      </c>
      <c r="W177" t="s">
        <v>334</v>
      </c>
      <c r="X177" s="2">
        <v>0.371</v>
      </c>
      <c r="Y177" s="6">
        <f t="shared" si="22"/>
        <v>9.9036331117695747E-3</v>
      </c>
      <c r="AA177">
        <v>486604</v>
      </c>
      <c r="AB177">
        <v>28580</v>
      </c>
      <c r="AC177" t="s">
        <v>333</v>
      </c>
      <c r="AD177" t="s">
        <v>5</v>
      </c>
      <c r="AE177">
        <v>24</v>
      </c>
      <c r="AF177">
        <v>4</v>
      </c>
      <c r="AH177" t="s">
        <v>7309</v>
      </c>
      <c r="AI177" t="s">
        <v>7308</v>
      </c>
      <c r="AK177" t="s">
        <v>7307</v>
      </c>
      <c r="AL177">
        <v>2</v>
      </c>
      <c r="AM177" s="5">
        <f t="shared" si="26"/>
        <v>6.0606060606060608E-2</v>
      </c>
      <c r="AN177" s="4">
        <f t="shared" si="23"/>
        <v>9.1792594632428032E-5</v>
      </c>
      <c r="AO177" s="3"/>
      <c r="AP177">
        <v>0</v>
      </c>
      <c r="AR177" t="s">
        <v>0</v>
      </c>
      <c r="AT177" s="2">
        <v>1.431</v>
      </c>
      <c r="AU177" s="1">
        <f t="shared" si="27"/>
        <v>0.69600809566284305</v>
      </c>
      <c r="AV177" s="1">
        <f t="shared" si="28"/>
        <v>0.49977128532010018</v>
      </c>
      <c r="AW177" s="1">
        <f t="shared" si="29"/>
        <v>0.30353447497735719</v>
      </c>
    </row>
    <row r="178" spans="1:49" x14ac:dyDescent="0.2">
      <c r="A178">
        <v>176</v>
      </c>
      <c r="B178" t="s">
        <v>7306</v>
      </c>
      <c r="C178" t="s">
        <v>7305</v>
      </c>
      <c r="F178" t="s">
        <v>7304</v>
      </c>
      <c r="G178" t="s">
        <v>15</v>
      </c>
      <c r="H178" t="s">
        <v>14</v>
      </c>
      <c r="I178" t="s">
        <v>7303</v>
      </c>
      <c r="J178">
        <v>60000221</v>
      </c>
      <c r="K178" t="s">
        <v>1840</v>
      </c>
      <c r="L178" t="s">
        <v>1839</v>
      </c>
      <c r="M178" t="s">
        <v>23</v>
      </c>
      <c r="N178">
        <v>3</v>
      </c>
      <c r="O178" t="s">
        <v>7302</v>
      </c>
      <c r="P178" t="s">
        <v>7301</v>
      </c>
      <c r="Q178" t="s">
        <v>7300</v>
      </c>
      <c r="R178" s="7">
        <v>32509</v>
      </c>
      <c r="S178" s="8">
        <f t="shared" si="24"/>
        <v>1989</v>
      </c>
      <c r="T178" s="8">
        <v>1989</v>
      </c>
      <c r="U178" s="8">
        <f t="shared" si="25"/>
        <v>33</v>
      </c>
      <c r="V178" s="7">
        <v>32599</v>
      </c>
      <c r="W178" t="s">
        <v>778</v>
      </c>
      <c r="X178" s="2">
        <v>1.6519999999999999</v>
      </c>
      <c r="Y178" s="6">
        <f t="shared" si="22"/>
        <v>4.409919649769093E-2</v>
      </c>
      <c r="AA178" t="s">
        <v>777</v>
      </c>
      <c r="AB178">
        <v>17337</v>
      </c>
      <c r="AC178">
        <v>15582221</v>
      </c>
      <c r="AD178" t="s">
        <v>5</v>
      </c>
      <c r="AE178">
        <v>37</v>
      </c>
      <c r="AF178">
        <v>4</v>
      </c>
      <c r="AH178" t="s">
        <v>7299</v>
      </c>
      <c r="AI178" t="s">
        <v>7298</v>
      </c>
      <c r="AK178" t="s">
        <v>7297</v>
      </c>
      <c r="AL178">
        <v>1</v>
      </c>
      <c r="AM178" s="5">
        <f t="shared" si="26"/>
        <v>3.0303030303030304E-2</v>
      </c>
      <c r="AN178" s="4">
        <f t="shared" si="23"/>
        <v>4.5896297316214016E-5</v>
      </c>
      <c r="AO178" s="3"/>
      <c r="AP178">
        <v>0</v>
      </c>
      <c r="AR178" t="s">
        <v>0</v>
      </c>
      <c r="AT178" s="2" t="s">
        <v>19</v>
      </c>
      <c r="AU178" s="1">
        <f t="shared" si="27"/>
        <v>3.0883206437578514</v>
      </c>
      <c r="AV178" s="1">
        <f t="shared" si="28"/>
        <v>2.2072546397503574</v>
      </c>
      <c r="AW178" s="1">
        <f t="shared" si="29"/>
        <v>1.3261886357428627</v>
      </c>
    </row>
    <row r="179" spans="1:49" x14ac:dyDescent="0.2">
      <c r="A179">
        <v>177</v>
      </c>
      <c r="B179" t="s">
        <v>7296</v>
      </c>
      <c r="C179" t="s">
        <v>7295</v>
      </c>
      <c r="F179" t="s">
        <v>7294</v>
      </c>
      <c r="G179" t="s">
        <v>15</v>
      </c>
      <c r="H179" t="s">
        <v>14</v>
      </c>
      <c r="I179" t="s">
        <v>7293</v>
      </c>
      <c r="J179">
        <v>60026175</v>
      </c>
      <c r="K179" t="s">
        <v>183</v>
      </c>
      <c r="L179" t="s">
        <v>182</v>
      </c>
      <c r="M179" t="s">
        <v>23</v>
      </c>
      <c r="N179">
        <v>1</v>
      </c>
      <c r="O179" t="s">
        <v>7292</v>
      </c>
      <c r="P179">
        <v>6701536307</v>
      </c>
      <c r="Q179">
        <v>60026175</v>
      </c>
      <c r="R179" s="7">
        <v>32509</v>
      </c>
      <c r="S179" s="8">
        <f t="shared" si="24"/>
        <v>1989</v>
      </c>
      <c r="T179" s="8">
        <v>1989</v>
      </c>
      <c r="U179" s="8">
        <f t="shared" si="25"/>
        <v>33</v>
      </c>
      <c r="V179" s="7">
        <v>32629</v>
      </c>
      <c r="W179" t="s">
        <v>778</v>
      </c>
      <c r="X179" s="2">
        <v>1.6519999999999999</v>
      </c>
      <c r="Y179" s="6">
        <f t="shared" si="22"/>
        <v>4.409919649769093E-2</v>
      </c>
      <c r="AA179" t="s">
        <v>777</v>
      </c>
      <c r="AB179">
        <v>17337</v>
      </c>
      <c r="AC179">
        <v>15582221</v>
      </c>
      <c r="AD179" t="s">
        <v>5</v>
      </c>
      <c r="AE179">
        <v>37</v>
      </c>
      <c r="AF179">
        <v>5</v>
      </c>
      <c r="AH179" t="s">
        <v>7291</v>
      </c>
      <c r="AI179" t="s">
        <v>7290</v>
      </c>
      <c r="AK179" t="s">
        <v>7289</v>
      </c>
      <c r="AL179">
        <v>2</v>
      </c>
      <c r="AM179" s="5">
        <f t="shared" si="26"/>
        <v>6.0606060606060608E-2</v>
      </c>
      <c r="AN179" s="4">
        <f t="shared" si="23"/>
        <v>9.1792594632428032E-5</v>
      </c>
      <c r="AO179" s="3"/>
      <c r="AP179">
        <v>0</v>
      </c>
      <c r="AR179" t="s">
        <v>0</v>
      </c>
      <c r="AT179" s="2" t="s">
        <v>19</v>
      </c>
      <c r="AU179" s="1">
        <f t="shared" si="27"/>
        <v>3.0896975326773379</v>
      </c>
      <c r="AV179" s="1">
        <f t="shared" si="28"/>
        <v>2.2095494546161678</v>
      </c>
      <c r="AW179" s="1">
        <f t="shared" si="29"/>
        <v>1.3294013765549977</v>
      </c>
    </row>
    <row r="180" spans="1:49" x14ac:dyDescent="0.2">
      <c r="A180">
        <v>178</v>
      </c>
      <c r="B180" t="s">
        <v>7288</v>
      </c>
      <c r="C180" t="s">
        <v>7287</v>
      </c>
      <c r="F180" t="s">
        <v>7286</v>
      </c>
      <c r="G180" t="s">
        <v>15</v>
      </c>
      <c r="H180" t="s">
        <v>14</v>
      </c>
      <c r="I180" t="s">
        <v>7285</v>
      </c>
      <c r="J180">
        <v>60003424</v>
      </c>
      <c r="K180" t="s">
        <v>7284</v>
      </c>
      <c r="L180" t="s">
        <v>7283</v>
      </c>
      <c r="M180" t="s">
        <v>23</v>
      </c>
      <c r="N180">
        <v>1</v>
      </c>
      <c r="O180" t="s">
        <v>7282</v>
      </c>
      <c r="P180">
        <v>7202192285</v>
      </c>
      <c r="Q180">
        <v>60003424</v>
      </c>
      <c r="R180" s="7">
        <v>32509</v>
      </c>
      <c r="S180" s="8">
        <f t="shared" si="24"/>
        <v>1989</v>
      </c>
      <c r="T180" s="8">
        <v>1989</v>
      </c>
      <c r="U180" s="8">
        <f t="shared" si="25"/>
        <v>33</v>
      </c>
      <c r="V180" s="7">
        <v>1989</v>
      </c>
      <c r="W180" t="s">
        <v>7207</v>
      </c>
      <c r="X180" s="2">
        <v>0.28599999999999998</v>
      </c>
      <c r="Y180" s="6">
        <f t="shared" si="22"/>
        <v>7.6346066575905605E-3</v>
      </c>
      <c r="AA180">
        <v>9205071</v>
      </c>
      <c r="AB180">
        <v>28139</v>
      </c>
      <c r="AC180">
        <v>15693937</v>
      </c>
      <c r="AD180" t="s">
        <v>5</v>
      </c>
      <c r="AE180">
        <v>3</v>
      </c>
      <c r="AF180">
        <v>6</v>
      </c>
      <c r="AH180" t="s">
        <v>7281</v>
      </c>
      <c r="AI180" t="s">
        <v>7280</v>
      </c>
      <c r="AK180" t="s">
        <v>7279</v>
      </c>
      <c r="AL180">
        <v>2</v>
      </c>
      <c r="AM180" s="5">
        <f t="shared" si="26"/>
        <v>6.0606060606060608E-2</v>
      </c>
      <c r="AN180" s="4">
        <f t="shared" si="23"/>
        <v>9.1792594632428032E-5</v>
      </c>
      <c r="AO180" s="3"/>
      <c r="AP180">
        <v>0</v>
      </c>
      <c r="AR180" t="s">
        <v>0</v>
      </c>
      <c r="AT180" s="2" t="s">
        <v>19</v>
      </c>
      <c r="AU180" s="1">
        <f t="shared" si="27"/>
        <v>0.53717624387031215</v>
      </c>
      <c r="AV180" s="1">
        <f t="shared" si="28"/>
        <v>0.38631996261114943</v>
      </c>
      <c r="AW180" s="1">
        <f t="shared" si="29"/>
        <v>0.23546368135198675</v>
      </c>
    </row>
    <row r="181" spans="1:49" x14ac:dyDescent="0.2">
      <c r="A181">
        <v>179</v>
      </c>
      <c r="B181" t="s">
        <v>7278</v>
      </c>
      <c r="C181" t="s">
        <v>7277</v>
      </c>
      <c r="D181" t="s">
        <v>7276</v>
      </c>
      <c r="F181" t="s">
        <v>7275</v>
      </c>
      <c r="G181" t="s">
        <v>15</v>
      </c>
      <c r="H181" t="s">
        <v>14</v>
      </c>
      <c r="I181" t="s">
        <v>7274</v>
      </c>
      <c r="J181">
        <v>60013183</v>
      </c>
      <c r="K181" t="s">
        <v>7273</v>
      </c>
      <c r="L181" t="s">
        <v>7272</v>
      </c>
      <c r="M181" t="s">
        <v>3278</v>
      </c>
      <c r="N181">
        <v>1</v>
      </c>
      <c r="O181" t="s">
        <v>7271</v>
      </c>
      <c r="P181">
        <v>7005535394</v>
      </c>
      <c r="Q181">
        <v>60013183</v>
      </c>
      <c r="R181" s="7">
        <v>32509</v>
      </c>
      <c r="S181" s="8">
        <f t="shared" si="24"/>
        <v>1989</v>
      </c>
      <c r="T181" s="8">
        <v>1989</v>
      </c>
      <c r="U181" s="8">
        <f t="shared" si="25"/>
        <v>33</v>
      </c>
      <c r="V181" s="7">
        <v>1989</v>
      </c>
      <c r="W181" t="s">
        <v>7270</v>
      </c>
      <c r="X181" s="2" t="s">
        <v>19</v>
      </c>
      <c r="Y181" s="6" t="e">
        <f t="shared" si="22"/>
        <v>#VALUE!</v>
      </c>
      <c r="AA181">
        <v>10183639</v>
      </c>
      <c r="AB181">
        <v>30286</v>
      </c>
      <c r="AD181" t="s">
        <v>5</v>
      </c>
      <c r="AE181">
        <v>1</v>
      </c>
      <c r="AF181" s="9">
        <v>44228</v>
      </c>
      <c r="AH181" t="s">
        <v>7269</v>
      </c>
      <c r="AI181" t="s">
        <v>7268</v>
      </c>
      <c r="AK181" t="s">
        <v>7267</v>
      </c>
      <c r="AL181">
        <v>1</v>
      </c>
      <c r="AM181" s="5">
        <f t="shared" si="26"/>
        <v>3.0303030303030304E-2</v>
      </c>
      <c r="AN181" s="4">
        <f t="shared" si="23"/>
        <v>4.5896297316214016E-5</v>
      </c>
      <c r="AO181" s="3"/>
      <c r="AP181">
        <v>1</v>
      </c>
      <c r="AR181" t="s">
        <v>0</v>
      </c>
      <c r="AT181" s="2" t="s">
        <v>19</v>
      </c>
      <c r="AU181" s="1" t="e">
        <f t="shared" si="27"/>
        <v>#VALUE!</v>
      </c>
      <c r="AV181" s="1" t="e">
        <f t="shared" si="28"/>
        <v>#VALUE!</v>
      </c>
      <c r="AW181" s="1" t="e">
        <f t="shared" si="29"/>
        <v>#VALUE!</v>
      </c>
    </row>
    <row r="182" spans="1:49" x14ac:dyDescent="0.2">
      <c r="A182">
        <v>180</v>
      </c>
      <c r="B182" t="s">
        <v>7266</v>
      </c>
      <c r="C182" t="s">
        <v>6434</v>
      </c>
      <c r="F182" t="s">
        <v>7265</v>
      </c>
      <c r="G182" t="s">
        <v>15</v>
      </c>
      <c r="H182" t="s">
        <v>14</v>
      </c>
      <c r="R182" s="7">
        <v>32509</v>
      </c>
      <c r="S182" s="8">
        <f t="shared" si="24"/>
        <v>1989</v>
      </c>
      <c r="T182" s="8">
        <v>1989</v>
      </c>
      <c r="U182" s="8">
        <f t="shared" si="25"/>
        <v>33</v>
      </c>
      <c r="V182" s="7">
        <v>32782</v>
      </c>
      <c r="W182" s="11" t="s">
        <v>6428</v>
      </c>
      <c r="X182" s="2">
        <v>1.3280000000000001</v>
      </c>
      <c r="Y182" s="6">
        <f t="shared" si="22"/>
        <v>3.5450201542937994E-2</v>
      </c>
      <c r="AA182">
        <v>21680329</v>
      </c>
      <c r="AB182">
        <v>21100399421</v>
      </c>
      <c r="AD182" t="s">
        <v>5</v>
      </c>
      <c r="AE182">
        <v>31</v>
      </c>
      <c r="AF182">
        <v>5</v>
      </c>
      <c r="AH182">
        <v>62</v>
      </c>
      <c r="AL182">
        <v>1</v>
      </c>
      <c r="AM182" s="5">
        <f t="shared" si="26"/>
        <v>3.0303030303030304E-2</v>
      </c>
      <c r="AN182" s="4">
        <f t="shared" si="23"/>
        <v>4.5896297316214016E-5</v>
      </c>
      <c r="AO182" s="3"/>
      <c r="AP182">
        <v>0</v>
      </c>
      <c r="AR182" t="s">
        <v>0</v>
      </c>
      <c r="AT182" s="2" t="s">
        <v>19</v>
      </c>
      <c r="AU182" s="1">
        <f t="shared" si="27"/>
        <v>2.4828909969251458</v>
      </c>
      <c r="AV182" s="1">
        <f t="shared" si="28"/>
        <v>1.7748048920127106</v>
      </c>
      <c r="AW182" s="1">
        <f t="shared" si="29"/>
        <v>1.0667187871002748</v>
      </c>
    </row>
    <row r="183" spans="1:49" x14ac:dyDescent="0.2">
      <c r="A183">
        <v>181</v>
      </c>
      <c r="B183" t="s">
        <v>7264</v>
      </c>
      <c r="C183" t="s">
        <v>7263</v>
      </c>
      <c r="F183" t="s">
        <v>7262</v>
      </c>
      <c r="G183" t="s">
        <v>15</v>
      </c>
      <c r="H183" t="s">
        <v>14</v>
      </c>
      <c r="I183" t="s">
        <v>1695</v>
      </c>
      <c r="J183">
        <v>60009037</v>
      </c>
      <c r="K183" t="s">
        <v>1694</v>
      </c>
      <c r="L183" t="s">
        <v>1693</v>
      </c>
      <c r="M183" t="s">
        <v>23</v>
      </c>
      <c r="N183">
        <v>1</v>
      </c>
      <c r="O183" t="s">
        <v>7261</v>
      </c>
      <c r="P183">
        <v>7408102852</v>
      </c>
      <c r="Q183">
        <v>60009037</v>
      </c>
      <c r="R183" s="7">
        <v>32509</v>
      </c>
      <c r="S183" s="8">
        <f t="shared" si="24"/>
        <v>1989</v>
      </c>
      <c r="T183" s="8">
        <v>1989</v>
      </c>
      <c r="U183" s="8">
        <f t="shared" si="25"/>
        <v>33</v>
      </c>
      <c r="V183" s="7">
        <v>32843</v>
      </c>
      <c r="W183" s="11" t="s">
        <v>6428</v>
      </c>
      <c r="X183" s="2">
        <v>1.3280000000000001</v>
      </c>
      <c r="Y183" s="6">
        <f t="shared" si="22"/>
        <v>3.5450201542937994E-2</v>
      </c>
      <c r="AA183">
        <v>21680329</v>
      </c>
      <c r="AB183">
        <v>21100399421</v>
      </c>
      <c r="AD183" t="s">
        <v>5</v>
      </c>
      <c r="AE183">
        <v>31</v>
      </c>
      <c r="AF183">
        <v>6</v>
      </c>
      <c r="AH183">
        <v>56</v>
      </c>
      <c r="AL183">
        <v>1</v>
      </c>
      <c r="AM183" s="5">
        <f t="shared" si="26"/>
        <v>3.0303030303030304E-2</v>
      </c>
      <c r="AN183" s="4">
        <f t="shared" si="23"/>
        <v>4.5896297316214016E-5</v>
      </c>
      <c r="AO183" s="3"/>
      <c r="AP183">
        <v>0</v>
      </c>
      <c r="AR183" t="s">
        <v>0</v>
      </c>
      <c r="AT183" s="2" t="s">
        <v>19</v>
      </c>
      <c r="AU183" s="1">
        <f t="shared" si="27"/>
        <v>2.4828909969251458</v>
      </c>
      <c r="AV183" s="1">
        <f t="shared" si="28"/>
        <v>1.7748048920127106</v>
      </c>
      <c r="AW183" s="1">
        <f t="shared" si="29"/>
        <v>1.0667187871002748</v>
      </c>
    </row>
    <row r="184" spans="1:49" x14ac:dyDescent="0.2">
      <c r="A184">
        <v>182</v>
      </c>
      <c r="B184" t="s">
        <v>7260</v>
      </c>
      <c r="C184" t="s">
        <v>7259</v>
      </c>
      <c r="F184" t="s">
        <v>7258</v>
      </c>
      <c r="G184" t="s">
        <v>15</v>
      </c>
      <c r="H184" t="s">
        <v>14</v>
      </c>
      <c r="I184" t="s">
        <v>7257</v>
      </c>
      <c r="J184">
        <v>60021032</v>
      </c>
      <c r="K184" t="s">
        <v>2552</v>
      </c>
      <c r="L184" t="s">
        <v>2551</v>
      </c>
      <c r="M184" t="s">
        <v>23</v>
      </c>
      <c r="N184">
        <v>1</v>
      </c>
      <c r="O184" t="s">
        <v>7256</v>
      </c>
      <c r="P184">
        <v>7403053802</v>
      </c>
      <c r="Q184">
        <v>60021032</v>
      </c>
      <c r="R184" s="7">
        <v>32509</v>
      </c>
      <c r="S184" s="8">
        <f t="shared" si="24"/>
        <v>1989</v>
      </c>
      <c r="T184" s="8">
        <v>1989</v>
      </c>
      <c r="U184" s="8">
        <f t="shared" si="25"/>
        <v>33</v>
      </c>
      <c r="V184" s="7">
        <v>32843</v>
      </c>
      <c r="W184" s="11" t="s">
        <v>6428</v>
      </c>
      <c r="X184" s="2">
        <v>1.3280000000000001</v>
      </c>
      <c r="Y184" s="6">
        <f t="shared" si="22"/>
        <v>3.5450201542937994E-2</v>
      </c>
      <c r="AA184">
        <v>21680329</v>
      </c>
      <c r="AB184">
        <v>21100399421</v>
      </c>
      <c r="AD184" t="s">
        <v>5</v>
      </c>
      <c r="AE184">
        <v>31</v>
      </c>
      <c r="AF184">
        <v>6</v>
      </c>
      <c r="AH184" s="9">
        <v>44506</v>
      </c>
      <c r="AI184" t="s">
        <v>7255</v>
      </c>
      <c r="AK184" t="s">
        <v>7254</v>
      </c>
      <c r="AL184">
        <v>6</v>
      </c>
      <c r="AM184" s="5">
        <f t="shared" si="26"/>
        <v>0.18181818181818182</v>
      </c>
      <c r="AN184" s="4">
        <f t="shared" si="23"/>
        <v>2.753777838972841E-4</v>
      </c>
      <c r="AO184" s="3"/>
      <c r="AP184">
        <v>0</v>
      </c>
      <c r="AR184" t="s">
        <v>0</v>
      </c>
      <c r="AT184" s="2" t="s">
        <v>19</v>
      </c>
      <c r="AU184" s="1">
        <f t="shared" si="27"/>
        <v>2.4897754415225783</v>
      </c>
      <c r="AV184" s="1">
        <f t="shared" si="28"/>
        <v>1.7862789663417638</v>
      </c>
      <c r="AW184" s="1">
        <f t="shared" si="29"/>
        <v>1.0827824911609498</v>
      </c>
    </row>
    <row r="185" spans="1:49" x14ac:dyDescent="0.2">
      <c r="A185">
        <v>183</v>
      </c>
      <c r="B185" t="s">
        <v>7253</v>
      </c>
      <c r="C185" t="s">
        <v>7252</v>
      </c>
      <c r="F185" t="s">
        <v>7230</v>
      </c>
      <c r="G185" t="s">
        <v>15</v>
      </c>
      <c r="H185" t="s">
        <v>14</v>
      </c>
      <c r="I185" t="s">
        <v>7223</v>
      </c>
      <c r="J185">
        <v>60020818</v>
      </c>
      <c r="K185" t="s">
        <v>7222</v>
      </c>
      <c r="L185" t="s">
        <v>7221</v>
      </c>
      <c r="M185" t="s">
        <v>23</v>
      </c>
      <c r="N185">
        <v>1</v>
      </c>
      <c r="O185" t="s">
        <v>7220</v>
      </c>
      <c r="P185">
        <v>57189501138</v>
      </c>
      <c r="Q185">
        <v>60020818</v>
      </c>
      <c r="R185" s="7">
        <v>32509</v>
      </c>
      <c r="S185" s="8">
        <f t="shared" si="24"/>
        <v>1989</v>
      </c>
      <c r="T185" s="8">
        <v>1989</v>
      </c>
      <c r="U185" s="8">
        <f t="shared" si="25"/>
        <v>33</v>
      </c>
      <c r="V185" s="7">
        <v>32843</v>
      </c>
      <c r="W185" s="11" t="s">
        <v>6428</v>
      </c>
      <c r="X185" s="2">
        <v>1.3280000000000001</v>
      </c>
      <c r="Y185" s="6">
        <f t="shared" si="22"/>
        <v>3.5450201542937994E-2</v>
      </c>
      <c r="AA185">
        <v>21680329</v>
      </c>
      <c r="AB185">
        <v>21100399421</v>
      </c>
      <c r="AD185" t="s">
        <v>5</v>
      </c>
      <c r="AE185">
        <v>31</v>
      </c>
      <c r="AF185">
        <v>6</v>
      </c>
      <c r="AH185" t="s">
        <v>7251</v>
      </c>
      <c r="AL185">
        <v>0</v>
      </c>
      <c r="AM185" s="5">
        <f t="shared" si="26"/>
        <v>0</v>
      </c>
      <c r="AN185" s="4">
        <f t="shared" si="23"/>
        <v>0</v>
      </c>
      <c r="AO185" s="3"/>
      <c r="AP185">
        <v>0</v>
      </c>
      <c r="AR185" t="s">
        <v>0</v>
      </c>
      <c r="AT185" s="2" t="s">
        <v>19</v>
      </c>
      <c r="AU185" s="1">
        <f t="shared" si="27"/>
        <v>2.4815141080056597</v>
      </c>
      <c r="AV185" s="1">
        <f t="shared" si="28"/>
        <v>1.7725100771468998</v>
      </c>
      <c r="AW185" s="1">
        <f t="shared" si="29"/>
        <v>1.0635060462881398</v>
      </c>
    </row>
    <row r="186" spans="1:49" x14ac:dyDescent="0.2">
      <c r="A186">
        <v>184</v>
      </c>
      <c r="B186" t="s">
        <v>7250</v>
      </c>
      <c r="C186" t="s">
        <v>7249</v>
      </c>
      <c r="F186" t="s">
        <v>7248</v>
      </c>
      <c r="G186" t="s">
        <v>15</v>
      </c>
      <c r="H186" t="s">
        <v>14</v>
      </c>
      <c r="I186" t="s">
        <v>7223</v>
      </c>
      <c r="J186" t="s">
        <v>7244</v>
      </c>
      <c r="K186" t="s">
        <v>7247</v>
      </c>
      <c r="L186" t="s">
        <v>7246</v>
      </c>
      <c r="M186" t="s">
        <v>86</v>
      </c>
      <c r="N186">
        <v>2</v>
      </c>
      <c r="O186" t="s">
        <v>7245</v>
      </c>
      <c r="P186" t="s">
        <v>7228</v>
      </c>
      <c r="Q186" t="s">
        <v>7244</v>
      </c>
      <c r="R186" s="7">
        <v>32509</v>
      </c>
      <c r="S186" s="8">
        <f t="shared" si="24"/>
        <v>1989</v>
      </c>
      <c r="T186" s="8">
        <v>1989</v>
      </c>
      <c r="U186" s="8">
        <f t="shared" si="25"/>
        <v>33</v>
      </c>
      <c r="V186" s="7">
        <v>32660</v>
      </c>
      <c r="W186" s="11" t="s">
        <v>6428</v>
      </c>
      <c r="X186" s="2">
        <v>1.3280000000000001</v>
      </c>
      <c r="Y186" s="6">
        <f t="shared" si="22"/>
        <v>3.5450201542937994E-2</v>
      </c>
      <c r="AA186">
        <v>21680329</v>
      </c>
      <c r="AB186">
        <v>21100399421</v>
      </c>
      <c r="AD186" t="s">
        <v>5</v>
      </c>
      <c r="AE186">
        <v>31</v>
      </c>
      <c r="AF186">
        <v>3</v>
      </c>
      <c r="AH186" t="s">
        <v>7243</v>
      </c>
      <c r="AL186">
        <v>0</v>
      </c>
      <c r="AM186" s="5">
        <f t="shared" si="26"/>
        <v>0</v>
      </c>
      <c r="AN186" s="4">
        <f t="shared" si="23"/>
        <v>0</v>
      </c>
      <c r="AO186" s="3"/>
      <c r="AP186">
        <v>0</v>
      </c>
      <c r="AQ186" t="s">
        <v>2130</v>
      </c>
      <c r="AR186" t="s">
        <v>6960</v>
      </c>
      <c r="AS186" t="s">
        <v>2129</v>
      </c>
      <c r="AT186" s="2" t="s">
        <v>19</v>
      </c>
      <c r="AU186" s="1">
        <f t="shared" si="27"/>
        <v>2.4815141080056597</v>
      </c>
      <c r="AV186" s="1">
        <f t="shared" si="28"/>
        <v>1.7725100771468998</v>
      </c>
      <c r="AW186" s="1">
        <f t="shared" si="29"/>
        <v>1.0635060462881398</v>
      </c>
    </row>
    <row r="187" spans="1:49" x14ac:dyDescent="0.2">
      <c r="A187">
        <v>185</v>
      </c>
      <c r="B187" t="s">
        <v>7242</v>
      </c>
      <c r="C187" t="s">
        <v>7241</v>
      </c>
      <c r="F187" t="s">
        <v>7240</v>
      </c>
      <c r="G187" t="s">
        <v>15</v>
      </c>
      <c r="H187" t="s">
        <v>14</v>
      </c>
      <c r="I187" t="s">
        <v>7239</v>
      </c>
      <c r="J187">
        <v>60002784</v>
      </c>
      <c r="K187" t="s">
        <v>7238</v>
      </c>
      <c r="L187" t="s">
        <v>1496</v>
      </c>
      <c r="M187" t="s">
        <v>115</v>
      </c>
      <c r="N187">
        <v>2</v>
      </c>
      <c r="O187" t="s">
        <v>7237</v>
      </c>
      <c r="P187" t="s">
        <v>7236</v>
      </c>
      <c r="Q187" t="s">
        <v>7235</v>
      </c>
      <c r="R187" s="7">
        <v>32509</v>
      </c>
      <c r="S187" s="8">
        <f t="shared" si="24"/>
        <v>1989</v>
      </c>
      <c r="T187" s="8">
        <v>1989</v>
      </c>
      <c r="U187" s="8">
        <f t="shared" si="25"/>
        <v>33</v>
      </c>
      <c r="V187" s="7">
        <v>32660</v>
      </c>
      <c r="W187" s="11" t="s">
        <v>6428</v>
      </c>
      <c r="X187" s="2">
        <v>1.3280000000000001</v>
      </c>
      <c r="Y187" s="6">
        <f t="shared" si="22"/>
        <v>3.5450201542937994E-2</v>
      </c>
      <c r="AA187">
        <v>21680329</v>
      </c>
      <c r="AB187">
        <v>21100399421</v>
      </c>
      <c r="AD187" t="s">
        <v>5</v>
      </c>
      <c r="AE187">
        <v>31</v>
      </c>
      <c r="AF187">
        <v>3</v>
      </c>
      <c r="AH187" s="10">
        <v>44682</v>
      </c>
      <c r="AI187" t="s">
        <v>7234</v>
      </c>
      <c r="AK187" t="s">
        <v>7233</v>
      </c>
      <c r="AL187">
        <v>1</v>
      </c>
      <c r="AM187" s="5">
        <f t="shared" si="26"/>
        <v>3.0303030303030304E-2</v>
      </c>
      <c r="AN187" s="4">
        <f t="shared" si="23"/>
        <v>4.5896297316214016E-5</v>
      </c>
      <c r="AO187" s="3"/>
      <c r="AP187">
        <v>0</v>
      </c>
      <c r="AR187" t="s">
        <v>0</v>
      </c>
      <c r="AT187" s="2" t="s">
        <v>19</v>
      </c>
      <c r="AU187" s="1">
        <f t="shared" si="27"/>
        <v>2.4828909969251458</v>
      </c>
      <c r="AV187" s="1">
        <f t="shared" si="28"/>
        <v>1.7748048920127106</v>
      </c>
      <c r="AW187" s="1">
        <f t="shared" si="29"/>
        <v>1.0667187871002748</v>
      </c>
    </row>
    <row r="188" spans="1:49" x14ac:dyDescent="0.2">
      <c r="A188">
        <v>186</v>
      </c>
      <c r="B188" t="s">
        <v>7232</v>
      </c>
      <c r="C188" t="s">
        <v>7231</v>
      </c>
      <c r="F188" t="s">
        <v>7230</v>
      </c>
      <c r="G188" t="s">
        <v>15</v>
      </c>
      <c r="H188" t="s">
        <v>14</v>
      </c>
      <c r="I188" t="s">
        <v>7223</v>
      </c>
      <c r="J188">
        <v>60007843</v>
      </c>
      <c r="K188" t="s">
        <v>2227</v>
      </c>
      <c r="L188" t="s">
        <v>2226</v>
      </c>
      <c r="M188" t="s">
        <v>23</v>
      </c>
      <c r="N188">
        <v>2</v>
      </c>
      <c r="O188" t="s">
        <v>7229</v>
      </c>
      <c r="P188" t="s">
        <v>7228</v>
      </c>
      <c r="Q188" t="s">
        <v>7227</v>
      </c>
      <c r="R188" s="7">
        <v>32509</v>
      </c>
      <c r="S188" s="8">
        <f t="shared" si="24"/>
        <v>1989</v>
      </c>
      <c r="T188" s="8">
        <v>1989</v>
      </c>
      <c r="U188" s="8">
        <f t="shared" si="25"/>
        <v>33</v>
      </c>
      <c r="V188" s="7">
        <v>32721</v>
      </c>
      <c r="W188" s="11" t="s">
        <v>6428</v>
      </c>
      <c r="X188" s="2">
        <v>1.3280000000000001</v>
      </c>
      <c r="Y188" s="6">
        <f t="shared" si="22"/>
        <v>3.5450201542937994E-2</v>
      </c>
      <c r="AA188">
        <v>21680329</v>
      </c>
      <c r="AB188">
        <v>21100399421</v>
      </c>
      <c r="AD188" t="s">
        <v>5</v>
      </c>
      <c r="AE188">
        <v>31</v>
      </c>
      <c r="AF188">
        <v>4</v>
      </c>
      <c r="AH188" t="s">
        <v>6103</v>
      </c>
      <c r="AL188">
        <v>0</v>
      </c>
      <c r="AM188" s="5">
        <f t="shared" si="26"/>
        <v>0</v>
      </c>
      <c r="AN188" s="4">
        <f t="shared" si="23"/>
        <v>0</v>
      </c>
      <c r="AO188" s="3"/>
      <c r="AP188">
        <v>0</v>
      </c>
      <c r="AQ188" t="s">
        <v>2130</v>
      </c>
      <c r="AR188" t="s">
        <v>6960</v>
      </c>
      <c r="AS188" t="s">
        <v>2129</v>
      </c>
      <c r="AT188" s="2" t="s">
        <v>19</v>
      </c>
      <c r="AU188" s="1">
        <f t="shared" si="27"/>
        <v>2.4815141080056597</v>
      </c>
      <c r="AV188" s="1">
        <f t="shared" si="28"/>
        <v>1.7725100771468998</v>
      </c>
      <c r="AW188" s="1">
        <f t="shared" si="29"/>
        <v>1.0635060462881398</v>
      </c>
    </row>
    <row r="189" spans="1:49" x14ac:dyDescent="0.2">
      <c r="A189">
        <v>187</v>
      </c>
      <c r="B189" t="s">
        <v>7226</v>
      </c>
      <c r="C189" t="s">
        <v>7225</v>
      </c>
      <c r="F189" t="s">
        <v>7224</v>
      </c>
      <c r="G189" t="s">
        <v>15</v>
      </c>
      <c r="H189" t="s">
        <v>14</v>
      </c>
      <c r="I189" t="s">
        <v>7223</v>
      </c>
      <c r="J189">
        <v>60020818</v>
      </c>
      <c r="K189" t="s">
        <v>7222</v>
      </c>
      <c r="L189" t="s">
        <v>7221</v>
      </c>
      <c r="M189" t="s">
        <v>23</v>
      </c>
      <c r="N189">
        <v>1</v>
      </c>
      <c r="O189" t="s">
        <v>7220</v>
      </c>
      <c r="P189">
        <v>57189501138</v>
      </c>
      <c r="Q189">
        <v>60020818</v>
      </c>
      <c r="R189" s="7">
        <v>32509</v>
      </c>
      <c r="S189" s="8">
        <f t="shared" si="24"/>
        <v>1989</v>
      </c>
      <c r="T189" s="8">
        <v>1989</v>
      </c>
      <c r="U189" s="8">
        <f t="shared" si="25"/>
        <v>33</v>
      </c>
      <c r="V189" s="7">
        <v>32540</v>
      </c>
      <c r="W189" s="11" t="s">
        <v>6428</v>
      </c>
      <c r="X189" s="2">
        <v>1.3280000000000001</v>
      </c>
      <c r="Y189" s="6">
        <f t="shared" si="22"/>
        <v>3.5450201542937994E-2</v>
      </c>
      <c r="AA189">
        <v>21680329</v>
      </c>
      <c r="AB189">
        <v>21100399421</v>
      </c>
      <c r="AD189" t="s">
        <v>5</v>
      </c>
      <c r="AE189">
        <v>31</v>
      </c>
      <c r="AF189">
        <v>1</v>
      </c>
      <c r="AH189">
        <v>27</v>
      </c>
      <c r="AL189">
        <v>0</v>
      </c>
      <c r="AM189" s="5">
        <f t="shared" si="26"/>
        <v>0</v>
      </c>
      <c r="AN189" s="4">
        <f t="shared" si="23"/>
        <v>0</v>
      </c>
      <c r="AO189" s="3"/>
      <c r="AP189">
        <v>0</v>
      </c>
      <c r="AR189" t="s">
        <v>0</v>
      </c>
      <c r="AT189" s="2" t="s">
        <v>19</v>
      </c>
      <c r="AU189" s="1">
        <f t="shared" si="27"/>
        <v>2.4815141080056597</v>
      </c>
      <c r="AV189" s="1">
        <f t="shared" si="28"/>
        <v>1.7725100771468998</v>
      </c>
      <c r="AW189" s="1">
        <f t="shared" si="29"/>
        <v>1.0635060462881398</v>
      </c>
    </row>
    <row r="190" spans="1:49" x14ac:dyDescent="0.2">
      <c r="A190">
        <v>188</v>
      </c>
      <c r="B190" t="s">
        <v>7219</v>
      </c>
      <c r="C190" t="s">
        <v>7218</v>
      </c>
      <c r="F190" t="s">
        <v>7217</v>
      </c>
      <c r="G190" t="s">
        <v>15</v>
      </c>
      <c r="H190" t="s">
        <v>14</v>
      </c>
      <c r="I190" t="s">
        <v>2563</v>
      </c>
      <c r="J190">
        <v>60010491</v>
      </c>
      <c r="K190" t="s">
        <v>2562</v>
      </c>
      <c r="L190" t="s">
        <v>2561</v>
      </c>
      <c r="M190" t="s">
        <v>23</v>
      </c>
      <c r="N190">
        <v>3</v>
      </c>
      <c r="O190" t="s">
        <v>7216</v>
      </c>
      <c r="P190" t="s">
        <v>7215</v>
      </c>
      <c r="Q190" t="s">
        <v>7214</v>
      </c>
      <c r="R190" s="7">
        <v>32509</v>
      </c>
      <c r="S190" s="8">
        <f t="shared" si="24"/>
        <v>1989</v>
      </c>
      <c r="T190" s="8">
        <v>1989</v>
      </c>
      <c r="U190" s="8">
        <f t="shared" si="25"/>
        <v>33</v>
      </c>
      <c r="V190" s="7">
        <v>32540</v>
      </c>
      <c r="W190" s="11" t="s">
        <v>6428</v>
      </c>
      <c r="X190" s="2">
        <v>1.3280000000000001</v>
      </c>
      <c r="Y190" s="6">
        <f t="shared" si="22"/>
        <v>3.5450201542937994E-2</v>
      </c>
      <c r="AA190">
        <v>21680329</v>
      </c>
      <c r="AB190">
        <v>21100399421</v>
      </c>
      <c r="AD190" t="s">
        <v>5</v>
      </c>
      <c r="AE190">
        <v>31</v>
      </c>
      <c r="AF190">
        <v>1</v>
      </c>
      <c r="AH190" s="10">
        <v>42522</v>
      </c>
      <c r="AI190" t="s">
        <v>7213</v>
      </c>
      <c r="AK190" t="s">
        <v>7212</v>
      </c>
      <c r="AL190">
        <v>82</v>
      </c>
      <c r="AM190" s="5">
        <f t="shared" si="26"/>
        <v>2.4848484848484849</v>
      </c>
      <c r="AN190" s="4">
        <f t="shared" si="23"/>
        <v>3.763496379929549E-3</v>
      </c>
      <c r="AO190" s="3"/>
      <c r="AP190">
        <v>0</v>
      </c>
      <c r="AR190" t="s">
        <v>0</v>
      </c>
      <c r="AT190" s="2" t="s">
        <v>19</v>
      </c>
      <c r="AU190" s="1">
        <f t="shared" si="27"/>
        <v>2.5944189994035463</v>
      </c>
      <c r="AV190" s="1">
        <f t="shared" si="28"/>
        <v>1.9606848961433772</v>
      </c>
      <c r="AW190" s="1">
        <f t="shared" si="29"/>
        <v>1.3269507928832083</v>
      </c>
    </row>
    <row r="191" spans="1:49" x14ac:dyDescent="0.2">
      <c r="A191">
        <v>189</v>
      </c>
      <c r="B191" t="s">
        <v>7211</v>
      </c>
      <c r="C191" t="s">
        <v>7210</v>
      </c>
      <c r="F191" t="s">
        <v>7209</v>
      </c>
      <c r="G191" t="s">
        <v>15</v>
      </c>
      <c r="H191" t="s">
        <v>14</v>
      </c>
      <c r="I191" t="s">
        <v>1012</v>
      </c>
      <c r="J191" t="s">
        <v>1011</v>
      </c>
      <c r="K191" t="s">
        <v>1010</v>
      </c>
      <c r="L191" t="s">
        <v>1009</v>
      </c>
      <c r="M191" t="s">
        <v>1008</v>
      </c>
      <c r="N191">
        <v>3</v>
      </c>
      <c r="O191" t="s">
        <v>7208</v>
      </c>
      <c r="P191" t="s">
        <v>1006</v>
      </c>
      <c r="Q191" t="s">
        <v>1005</v>
      </c>
      <c r="R191" s="7">
        <v>32509</v>
      </c>
      <c r="S191" s="8">
        <f t="shared" si="24"/>
        <v>1989</v>
      </c>
      <c r="T191" s="8">
        <v>1989</v>
      </c>
      <c r="U191" s="8">
        <f t="shared" si="25"/>
        <v>33</v>
      </c>
      <c r="V191" s="7">
        <v>1989</v>
      </c>
      <c r="W191" t="s">
        <v>7207</v>
      </c>
      <c r="X191" s="2">
        <v>0.28599999999999998</v>
      </c>
      <c r="Y191" s="6">
        <f t="shared" si="22"/>
        <v>7.6346066575905605E-3</v>
      </c>
      <c r="AA191">
        <v>9205071</v>
      </c>
      <c r="AB191">
        <v>28139</v>
      </c>
      <c r="AC191">
        <v>15693937</v>
      </c>
      <c r="AD191" t="s">
        <v>5</v>
      </c>
      <c r="AE191">
        <v>3</v>
      </c>
      <c r="AF191">
        <v>3</v>
      </c>
      <c r="AH191" t="s">
        <v>7206</v>
      </c>
      <c r="AI191" t="s">
        <v>7205</v>
      </c>
      <c r="AK191" t="s">
        <v>7204</v>
      </c>
      <c r="AL191">
        <v>1</v>
      </c>
      <c r="AM191" s="5">
        <f t="shared" si="26"/>
        <v>3.0303030303030304E-2</v>
      </c>
      <c r="AN191" s="4">
        <f t="shared" si="23"/>
        <v>4.5896297316214016E-5</v>
      </c>
      <c r="AO191" s="3"/>
      <c r="AP191">
        <v>0</v>
      </c>
      <c r="AR191" t="s">
        <v>0</v>
      </c>
      <c r="AS191" t="s">
        <v>355</v>
      </c>
      <c r="AT191" s="2" t="s">
        <v>19</v>
      </c>
      <c r="AU191" s="1">
        <f t="shared" si="27"/>
        <v>0.53579935495082565</v>
      </c>
      <c r="AV191" s="1">
        <f t="shared" si="28"/>
        <v>0.38402514774533875</v>
      </c>
      <c r="AW191" s="1">
        <f t="shared" si="29"/>
        <v>0.23225094053985182</v>
      </c>
    </row>
    <row r="192" spans="1:49" x14ac:dyDescent="0.2">
      <c r="A192">
        <v>190</v>
      </c>
      <c r="B192" t="s">
        <v>7203</v>
      </c>
      <c r="C192" t="s">
        <v>7202</v>
      </c>
      <c r="F192" t="s">
        <v>7201</v>
      </c>
      <c r="G192" t="s">
        <v>15</v>
      </c>
      <c r="H192" t="s">
        <v>14</v>
      </c>
      <c r="I192" t="s">
        <v>1518</v>
      </c>
      <c r="J192">
        <v>60027716</v>
      </c>
      <c r="K192" t="s">
        <v>1517</v>
      </c>
      <c r="L192" t="s">
        <v>24</v>
      </c>
      <c r="M192" t="s">
        <v>23</v>
      </c>
      <c r="N192">
        <v>1</v>
      </c>
      <c r="O192" t="s">
        <v>1516</v>
      </c>
      <c r="P192">
        <v>6603385647</v>
      </c>
      <c r="Q192">
        <v>60027716</v>
      </c>
      <c r="R192" s="7">
        <v>32509</v>
      </c>
      <c r="S192" s="8">
        <f t="shared" si="24"/>
        <v>1989</v>
      </c>
      <c r="T192" s="8">
        <v>1989</v>
      </c>
      <c r="U192" s="8">
        <f t="shared" si="25"/>
        <v>33</v>
      </c>
      <c r="V192" s="7">
        <v>32752</v>
      </c>
      <c r="W192" t="s">
        <v>1515</v>
      </c>
      <c r="X192" s="2">
        <v>0.58799999999999997</v>
      </c>
      <c r="Y192" s="6">
        <f t="shared" si="22"/>
        <v>1.5696324177144231E-2</v>
      </c>
      <c r="AA192">
        <v>7339453</v>
      </c>
      <c r="AB192">
        <v>16307</v>
      </c>
      <c r="AD192" t="s">
        <v>5</v>
      </c>
      <c r="AE192">
        <v>115</v>
      </c>
      <c r="AF192">
        <v>3</v>
      </c>
      <c r="AH192" t="s">
        <v>7200</v>
      </c>
      <c r="AI192" t="s">
        <v>7199</v>
      </c>
      <c r="AK192" t="s">
        <v>7198</v>
      </c>
      <c r="AL192">
        <v>0</v>
      </c>
      <c r="AM192" s="5">
        <f t="shared" si="26"/>
        <v>0</v>
      </c>
      <c r="AN192" s="4">
        <f t="shared" si="23"/>
        <v>0</v>
      </c>
      <c r="AO192" s="3"/>
      <c r="AP192">
        <v>0</v>
      </c>
      <c r="AR192" t="s">
        <v>0</v>
      </c>
      <c r="AT192" s="2">
        <v>2.1840000000000002</v>
      </c>
      <c r="AU192" s="1">
        <f t="shared" si="27"/>
        <v>1.098742692400096</v>
      </c>
      <c r="AV192" s="1">
        <f t="shared" si="28"/>
        <v>0.78481620885721159</v>
      </c>
      <c r="AW192" s="1">
        <f t="shared" si="29"/>
        <v>0.47088972531432693</v>
      </c>
    </row>
    <row r="193" spans="1:49" x14ac:dyDescent="0.2">
      <c r="A193">
        <v>191</v>
      </c>
      <c r="B193" t="s">
        <v>7197</v>
      </c>
      <c r="C193" t="s">
        <v>7196</v>
      </c>
      <c r="F193" t="s">
        <v>7195</v>
      </c>
      <c r="G193" t="s">
        <v>15</v>
      </c>
      <c r="H193" t="s">
        <v>14</v>
      </c>
      <c r="I193" t="s">
        <v>7194</v>
      </c>
      <c r="J193">
        <v>60007801</v>
      </c>
      <c r="K193" t="s">
        <v>7193</v>
      </c>
      <c r="L193" t="s">
        <v>7192</v>
      </c>
      <c r="M193" t="s">
        <v>23</v>
      </c>
      <c r="N193">
        <v>2</v>
      </c>
      <c r="O193" t="s">
        <v>7191</v>
      </c>
      <c r="P193" t="s">
        <v>7190</v>
      </c>
      <c r="Q193" t="s">
        <v>7189</v>
      </c>
      <c r="R193" s="7">
        <v>32509</v>
      </c>
      <c r="S193" s="8">
        <f t="shared" si="24"/>
        <v>1989</v>
      </c>
      <c r="T193" s="8">
        <v>1989</v>
      </c>
      <c r="U193" s="8">
        <f t="shared" si="25"/>
        <v>33</v>
      </c>
      <c r="V193" s="7">
        <v>32690</v>
      </c>
      <c r="W193" t="s">
        <v>360</v>
      </c>
      <c r="X193" s="2">
        <v>1.3720000000000001</v>
      </c>
      <c r="Y193" s="6">
        <f t="shared" si="22"/>
        <v>3.662475641333654E-2</v>
      </c>
      <c r="AA193">
        <v>189480</v>
      </c>
      <c r="AB193">
        <v>17366</v>
      </c>
      <c r="AC193">
        <v>15579670</v>
      </c>
      <c r="AD193" t="s">
        <v>5</v>
      </c>
      <c r="AE193">
        <v>37</v>
      </c>
      <c r="AF193">
        <v>7</v>
      </c>
      <c r="AH193" t="s">
        <v>7188</v>
      </c>
      <c r="AI193" t="s">
        <v>7187</v>
      </c>
      <c r="AK193" t="s">
        <v>7186</v>
      </c>
      <c r="AL193">
        <v>5</v>
      </c>
      <c r="AM193" s="5">
        <f t="shared" si="26"/>
        <v>0.15151515151515152</v>
      </c>
      <c r="AN193" s="4">
        <f t="shared" si="23"/>
        <v>2.2948148658107008E-4</v>
      </c>
      <c r="AO193" s="3"/>
      <c r="AP193">
        <v>0</v>
      </c>
      <c r="AR193" t="s">
        <v>0</v>
      </c>
      <c r="AT193" s="2" t="s">
        <v>19</v>
      </c>
      <c r="AU193" s="1">
        <f t="shared" si="27"/>
        <v>2.5706173935309899</v>
      </c>
      <c r="AV193" s="1">
        <f t="shared" si="28"/>
        <v>1.8427118949958805</v>
      </c>
      <c r="AW193" s="1">
        <f t="shared" si="29"/>
        <v>1.1148063964607711</v>
      </c>
    </row>
    <row r="194" spans="1:49" x14ac:dyDescent="0.2">
      <c r="A194">
        <v>192</v>
      </c>
      <c r="B194" t="s">
        <v>7185</v>
      </c>
      <c r="C194" t="s">
        <v>7184</v>
      </c>
      <c r="D194" t="s">
        <v>7183</v>
      </c>
      <c r="F194" t="s">
        <v>7182</v>
      </c>
      <c r="G194" t="s">
        <v>15</v>
      </c>
      <c r="H194" t="s">
        <v>14</v>
      </c>
      <c r="I194" t="s">
        <v>7181</v>
      </c>
      <c r="J194">
        <v>60025038</v>
      </c>
      <c r="K194" t="s">
        <v>404</v>
      </c>
      <c r="L194" t="s">
        <v>403</v>
      </c>
      <c r="M194" t="s">
        <v>23</v>
      </c>
      <c r="N194">
        <v>2</v>
      </c>
      <c r="O194" t="s">
        <v>7180</v>
      </c>
      <c r="P194" t="s">
        <v>7179</v>
      </c>
      <c r="Q194" t="s">
        <v>400</v>
      </c>
      <c r="R194" s="7">
        <v>32509</v>
      </c>
      <c r="S194" s="8">
        <f t="shared" si="24"/>
        <v>1989</v>
      </c>
      <c r="T194" s="8">
        <v>1989</v>
      </c>
      <c r="U194" s="8">
        <f t="shared" si="25"/>
        <v>33</v>
      </c>
      <c r="V194" s="7">
        <v>1989</v>
      </c>
      <c r="W194" t="s">
        <v>448</v>
      </c>
      <c r="X194" s="2">
        <v>1.032</v>
      </c>
      <c r="Y194" s="6">
        <f t="shared" ref="Y194:Y257" si="30">(X194-$Z$4)/($Z$3-$Z$4)</f>
        <v>2.7548650596620487E-2</v>
      </c>
      <c r="AA194">
        <v>1761617</v>
      </c>
      <c r="AB194">
        <v>19257</v>
      </c>
      <c r="AD194" t="s">
        <v>5</v>
      </c>
      <c r="AE194">
        <v>134</v>
      </c>
      <c r="AF194">
        <v>5</v>
      </c>
      <c r="AH194" t="s">
        <v>7178</v>
      </c>
      <c r="AI194" t="s">
        <v>7177</v>
      </c>
      <c r="AJ194" t="s">
        <v>7176</v>
      </c>
      <c r="AK194" t="s">
        <v>7175</v>
      </c>
      <c r="AL194">
        <v>45</v>
      </c>
      <c r="AM194" s="5">
        <f t="shared" si="26"/>
        <v>1.3636363636363635</v>
      </c>
      <c r="AN194" s="4">
        <f t="shared" ref="AN194:AN257" si="31">(AM194-$AO$4)/($AO$3-$AO$4)</f>
        <v>2.0653333792296307E-3</v>
      </c>
      <c r="AO194" s="3"/>
      <c r="AP194">
        <v>0</v>
      </c>
      <c r="AR194" t="s">
        <v>0</v>
      </c>
      <c r="AT194" s="2">
        <v>3.5489999999999999</v>
      </c>
      <c r="AU194" s="1">
        <f t="shared" si="27"/>
        <v>1.9903655431403229</v>
      </c>
      <c r="AV194" s="1">
        <f t="shared" si="28"/>
        <v>1.4806991987925058</v>
      </c>
      <c r="AW194" s="1">
        <f t="shared" si="29"/>
        <v>0.97103285444468856</v>
      </c>
    </row>
    <row r="195" spans="1:49" x14ac:dyDescent="0.2">
      <c r="A195">
        <v>193</v>
      </c>
      <c r="B195" t="s">
        <v>7174</v>
      </c>
      <c r="C195" t="s">
        <v>7173</v>
      </c>
      <c r="F195" t="s">
        <v>7172</v>
      </c>
      <c r="G195" t="s">
        <v>15</v>
      </c>
      <c r="H195" t="s">
        <v>14</v>
      </c>
      <c r="I195" t="s">
        <v>3571</v>
      </c>
      <c r="J195" t="s">
        <v>3570</v>
      </c>
      <c r="K195" t="s">
        <v>3569</v>
      </c>
      <c r="L195" t="s">
        <v>3568</v>
      </c>
      <c r="M195" t="s">
        <v>3567</v>
      </c>
      <c r="N195">
        <v>2</v>
      </c>
      <c r="O195" t="s">
        <v>7171</v>
      </c>
      <c r="P195" t="s">
        <v>7170</v>
      </c>
      <c r="Q195" t="s">
        <v>3570</v>
      </c>
      <c r="R195" s="7">
        <v>32509</v>
      </c>
      <c r="S195" s="8">
        <f t="shared" si="24"/>
        <v>1989</v>
      </c>
      <c r="T195" s="8">
        <v>1989</v>
      </c>
      <c r="U195" s="8">
        <f t="shared" si="25"/>
        <v>33</v>
      </c>
      <c r="V195" s="7">
        <v>32599</v>
      </c>
      <c r="W195" t="s">
        <v>778</v>
      </c>
      <c r="X195" s="2">
        <v>1.6519999999999999</v>
      </c>
      <c r="Y195" s="6">
        <f t="shared" si="30"/>
        <v>4.409919649769093E-2</v>
      </c>
      <c r="AA195" t="s">
        <v>777</v>
      </c>
      <c r="AB195">
        <v>17337</v>
      </c>
      <c r="AC195">
        <v>15582221</v>
      </c>
      <c r="AD195" t="s">
        <v>5</v>
      </c>
      <c r="AE195">
        <v>37</v>
      </c>
      <c r="AF195">
        <v>4</v>
      </c>
      <c r="AH195" t="s">
        <v>7169</v>
      </c>
      <c r="AI195" t="s">
        <v>7168</v>
      </c>
      <c r="AK195" t="s">
        <v>7167</v>
      </c>
      <c r="AL195">
        <v>8</v>
      </c>
      <c r="AM195" s="5">
        <f t="shared" si="26"/>
        <v>0.24242424242424243</v>
      </c>
      <c r="AN195" s="4">
        <f t="shared" si="31"/>
        <v>3.6717037852971213E-4</v>
      </c>
      <c r="AO195" s="3"/>
      <c r="AP195">
        <v>0</v>
      </c>
      <c r="AR195" t="s">
        <v>0</v>
      </c>
      <c r="AT195" s="2" t="s">
        <v>19</v>
      </c>
      <c r="AU195" s="1">
        <f t="shared" si="27"/>
        <v>3.0979588661942565</v>
      </c>
      <c r="AV195" s="1">
        <f t="shared" si="28"/>
        <v>2.2233183438110324</v>
      </c>
      <c r="AW195" s="1">
        <f t="shared" si="29"/>
        <v>1.3486778214278077</v>
      </c>
    </row>
    <row r="196" spans="1:49" x14ac:dyDescent="0.2">
      <c r="A196">
        <v>194</v>
      </c>
      <c r="B196" t="s">
        <v>7166</v>
      </c>
      <c r="C196" t="s">
        <v>7165</v>
      </c>
      <c r="F196" t="s">
        <v>7164</v>
      </c>
      <c r="G196" t="s">
        <v>15</v>
      </c>
      <c r="H196" t="s">
        <v>14</v>
      </c>
      <c r="I196" t="s">
        <v>7163</v>
      </c>
      <c r="J196">
        <v>60011347</v>
      </c>
      <c r="K196" t="s">
        <v>7162</v>
      </c>
      <c r="L196" t="s">
        <v>7161</v>
      </c>
      <c r="M196" t="s">
        <v>23</v>
      </c>
      <c r="N196">
        <v>1</v>
      </c>
      <c r="O196" t="s">
        <v>7160</v>
      </c>
      <c r="P196">
        <v>6602136387</v>
      </c>
      <c r="Q196">
        <v>60011347</v>
      </c>
      <c r="R196" s="7">
        <v>32509</v>
      </c>
      <c r="S196" s="8">
        <f t="shared" si="24"/>
        <v>1989</v>
      </c>
      <c r="T196" s="8">
        <v>1989</v>
      </c>
      <c r="U196" s="8">
        <f t="shared" si="25"/>
        <v>33</v>
      </c>
      <c r="V196" s="7">
        <v>1989</v>
      </c>
      <c r="W196" t="s">
        <v>7159</v>
      </c>
      <c r="X196" s="2">
        <v>2.609</v>
      </c>
      <c r="Y196" s="6">
        <f t="shared" si="30"/>
        <v>6.9645764928859349E-2</v>
      </c>
      <c r="AA196">
        <v>917613</v>
      </c>
      <c r="AB196">
        <v>26959</v>
      </c>
      <c r="AD196" t="s">
        <v>5</v>
      </c>
      <c r="AE196">
        <v>17</v>
      </c>
      <c r="AF196">
        <v>4</v>
      </c>
      <c r="AH196" t="s">
        <v>7158</v>
      </c>
      <c r="AI196" t="s">
        <v>7157</v>
      </c>
      <c r="AK196" t="s">
        <v>7156</v>
      </c>
      <c r="AL196">
        <v>32</v>
      </c>
      <c r="AM196" s="5">
        <f t="shared" si="26"/>
        <v>0.96969696969696972</v>
      </c>
      <c r="AN196" s="4">
        <f t="shared" si="31"/>
        <v>1.4686815141188485E-3</v>
      </c>
      <c r="AO196" s="3"/>
      <c r="AP196">
        <v>0</v>
      </c>
      <c r="AR196" t="s">
        <v>0</v>
      </c>
      <c r="AT196" s="2">
        <v>5.399</v>
      </c>
      <c r="AU196" s="1">
        <f t="shared" si="27"/>
        <v>4.9192639904437199</v>
      </c>
      <c r="AV196" s="1">
        <f t="shared" si="28"/>
        <v>3.5557223221489096</v>
      </c>
      <c r="AW196" s="1">
        <f t="shared" si="29"/>
        <v>2.1921806538540998</v>
      </c>
    </row>
    <row r="197" spans="1:49" x14ac:dyDescent="0.2">
      <c r="A197">
        <v>195</v>
      </c>
      <c r="B197" t="s">
        <v>7155</v>
      </c>
      <c r="C197" t="s">
        <v>7154</v>
      </c>
      <c r="F197" t="s">
        <v>7153</v>
      </c>
      <c r="G197" t="s">
        <v>15</v>
      </c>
      <c r="H197" t="s">
        <v>14</v>
      </c>
      <c r="I197" t="s">
        <v>6207</v>
      </c>
      <c r="J197" t="s">
        <v>6206</v>
      </c>
      <c r="K197" t="s">
        <v>6205</v>
      </c>
      <c r="L197" t="s">
        <v>6204</v>
      </c>
      <c r="M197" t="s">
        <v>6203</v>
      </c>
      <c r="N197">
        <v>4</v>
      </c>
      <c r="O197" t="s">
        <v>7152</v>
      </c>
      <c r="P197" t="s">
        <v>7151</v>
      </c>
      <c r="Q197" t="s">
        <v>7150</v>
      </c>
      <c r="R197" s="7">
        <v>32509</v>
      </c>
      <c r="S197" s="8">
        <f t="shared" si="24"/>
        <v>1989</v>
      </c>
      <c r="T197" s="8">
        <v>1989</v>
      </c>
      <c r="U197" s="8">
        <f t="shared" si="25"/>
        <v>33</v>
      </c>
      <c r="V197" s="7">
        <v>32599</v>
      </c>
      <c r="W197" t="s">
        <v>778</v>
      </c>
      <c r="X197" s="2">
        <v>1.6519999999999999</v>
      </c>
      <c r="Y197" s="6">
        <f t="shared" si="30"/>
        <v>4.409919649769093E-2</v>
      </c>
      <c r="AA197" t="s">
        <v>777</v>
      </c>
      <c r="AB197">
        <v>17337</v>
      </c>
      <c r="AC197">
        <v>15582221</v>
      </c>
      <c r="AD197" t="s">
        <v>5</v>
      </c>
      <c r="AE197">
        <v>37</v>
      </c>
      <c r="AF197">
        <v>4</v>
      </c>
      <c r="AH197" t="s">
        <v>7149</v>
      </c>
      <c r="AI197" t="s">
        <v>7148</v>
      </c>
      <c r="AK197" t="s">
        <v>7147</v>
      </c>
      <c r="AL197">
        <v>143</v>
      </c>
      <c r="AM197" s="5">
        <f t="shared" si="26"/>
        <v>4.333333333333333</v>
      </c>
      <c r="AN197" s="4">
        <f t="shared" si="31"/>
        <v>6.5631705162186036E-3</v>
      </c>
      <c r="AO197" s="3"/>
      <c r="AP197">
        <v>0</v>
      </c>
      <c r="AR197" t="s">
        <v>0</v>
      </c>
      <c r="AT197" s="2" t="s">
        <v>19</v>
      </c>
      <c r="AU197" s="1">
        <f t="shared" si="27"/>
        <v>3.2838388703249235</v>
      </c>
      <c r="AV197" s="1">
        <f t="shared" si="28"/>
        <v>2.5331183506954766</v>
      </c>
      <c r="AW197" s="1">
        <f t="shared" si="29"/>
        <v>1.78239783106603</v>
      </c>
    </row>
    <row r="198" spans="1:49" x14ac:dyDescent="0.2">
      <c r="A198">
        <v>196</v>
      </c>
      <c r="B198" t="s">
        <v>7146</v>
      </c>
      <c r="C198" t="s">
        <v>7145</v>
      </c>
      <c r="F198" t="s">
        <v>7144</v>
      </c>
      <c r="G198" t="s">
        <v>15</v>
      </c>
      <c r="H198" t="s">
        <v>14</v>
      </c>
      <c r="I198" t="s">
        <v>7143</v>
      </c>
      <c r="J198">
        <v>60025488</v>
      </c>
      <c r="K198" t="s">
        <v>808</v>
      </c>
      <c r="L198" t="s">
        <v>807</v>
      </c>
      <c r="M198" t="s">
        <v>23</v>
      </c>
      <c r="N198">
        <v>2</v>
      </c>
      <c r="O198" t="s">
        <v>7142</v>
      </c>
      <c r="P198" t="s">
        <v>7141</v>
      </c>
      <c r="Q198" t="s">
        <v>804</v>
      </c>
      <c r="R198" s="7">
        <v>32509</v>
      </c>
      <c r="S198" s="8">
        <f t="shared" si="24"/>
        <v>1989</v>
      </c>
      <c r="T198" s="8">
        <v>1989</v>
      </c>
      <c r="U198" s="8">
        <f t="shared" si="25"/>
        <v>33</v>
      </c>
      <c r="V198" s="7">
        <v>32690</v>
      </c>
      <c r="W198" t="s">
        <v>360</v>
      </c>
      <c r="X198" s="2">
        <v>1.3720000000000001</v>
      </c>
      <c r="Y198" s="6">
        <f t="shared" si="30"/>
        <v>3.662475641333654E-2</v>
      </c>
      <c r="AA198">
        <v>189480</v>
      </c>
      <c r="AB198">
        <v>17366</v>
      </c>
      <c r="AC198">
        <v>15579670</v>
      </c>
      <c r="AD198" t="s">
        <v>5</v>
      </c>
      <c r="AE198">
        <v>37</v>
      </c>
      <c r="AF198">
        <v>7</v>
      </c>
      <c r="AH198" t="s">
        <v>7140</v>
      </c>
      <c r="AI198" t="s">
        <v>7139</v>
      </c>
      <c r="AK198" t="s">
        <v>7138</v>
      </c>
      <c r="AL198">
        <v>9</v>
      </c>
      <c r="AM198" s="5">
        <f t="shared" si="26"/>
        <v>0.27272727272727271</v>
      </c>
      <c r="AN198" s="4">
        <f t="shared" si="31"/>
        <v>4.1306667584592612E-4</v>
      </c>
      <c r="AO198" s="3"/>
      <c r="AP198">
        <v>0</v>
      </c>
      <c r="AR198" t="s">
        <v>0</v>
      </c>
      <c r="AT198" s="2" t="s">
        <v>19</v>
      </c>
      <c r="AU198" s="1">
        <f t="shared" si="27"/>
        <v>2.5761249492089355</v>
      </c>
      <c r="AV198" s="1">
        <f t="shared" si="28"/>
        <v>1.8518911544591232</v>
      </c>
      <c r="AW198" s="1">
        <f t="shared" si="29"/>
        <v>1.1276573597093111</v>
      </c>
    </row>
    <row r="199" spans="1:49" x14ac:dyDescent="0.2">
      <c r="A199">
        <v>197</v>
      </c>
      <c r="B199" t="s">
        <v>7137</v>
      </c>
      <c r="C199" t="s">
        <v>7136</v>
      </c>
      <c r="F199" t="s">
        <v>7135</v>
      </c>
      <c r="G199" t="s">
        <v>15</v>
      </c>
      <c r="H199" t="s">
        <v>14</v>
      </c>
      <c r="I199" t="s">
        <v>7134</v>
      </c>
      <c r="J199">
        <v>60014313</v>
      </c>
      <c r="K199" t="s">
        <v>2683</v>
      </c>
      <c r="L199" t="s">
        <v>2682</v>
      </c>
      <c r="M199" t="s">
        <v>23</v>
      </c>
      <c r="N199">
        <v>1</v>
      </c>
      <c r="O199" t="s">
        <v>7133</v>
      </c>
      <c r="P199">
        <v>7006061921</v>
      </c>
      <c r="Q199">
        <v>60014313</v>
      </c>
      <c r="R199" s="7">
        <v>32509</v>
      </c>
      <c r="S199" s="8">
        <f t="shared" si="24"/>
        <v>1989</v>
      </c>
      <c r="T199" s="8">
        <v>1989</v>
      </c>
      <c r="U199" s="8">
        <f t="shared" si="25"/>
        <v>33</v>
      </c>
      <c r="V199" s="7">
        <v>32599</v>
      </c>
      <c r="W199" t="s">
        <v>778</v>
      </c>
      <c r="X199" s="2">
        <v>1.6519999999999999</v>
      </c>
      <c r="Y199" s="6">
        <f t="shared" si="30"/>
        <v>4.409919649769093E-2</v>
      </c>
      <c r="AA199" t="s">
        <v>777</v>
      </c>
      <c r="AB199">
        <v>17337</v>
      </c>
      <c r="AC199">
        <v>15582221</v>
      </c>
      <c r="AD199" t="s">
        <v>5</v>
      </c>
      <c r="AE199">
        <v>37</v>
      </c>
      <c r="AF199">
        <v>4</v>
      </c>
      <c r="AH199" t="s">
        <v>7132</v>
      </c>
      <c r="AI199" t="s">
        <v>7131</v>
      </c>
      <c r="AK199" t="s">
        <v>7130</v>
      </c>
      <c r="AL199">
        <v>24</v>
      </c>
      <c r="AM199" s="5">
        <f t="shared" si="26"/>
        <v>0.72727272727272729</v>
      </c>
      <c r="AN199" s="4">
        <f t="shared" si="31"/>
        <v>1.1015111355891364E-3</v>
      </c>
      <c r="AO199" s="3"/>
      <c r="AP199">
        <v>0</v>
      </c>
      <c r="AR199" t="s">
        <v>0</v>
      </c>
      <c r="AT199" s="2" t="s">
        <v>19</v>
      </c>
      <c r="AU199" s="1">
        <f t="shared" si="27"/>
        <v>3.1199890889060393</v>
      </c>
      <c r="AV199" s="1">
        <f t="shared" si="28"/>
        <v>2.2600353816640033</v>
      </c>
      <c r="AW199" s="1">
        <f t="shared" si="29"/>
        <v>1.4000816744219673</v>
      </c>
    </row>
    <row r="200" spans="1:49" x14ac:dyDescent="0.2">
      <c r="A200">
        <v>198</v>
      </c>
      <c r="B200" t="s">
        <v>7129</v>
      </c>
      <c r="C200" t="s">
        <v>7128</v>
      </c>
      <c r="F200" t="s">
        <v>7127</v>
      </c>
      <c r="G200" t="s">
        <v>15</v>
      </c>
      <c r="H200" t="s">
        <v>14</v>
      </c>
      <c r="I200" t="s">
        <v>7126</v>
      </c>
      <c r="J200" t="s">
        <v>7125</v>
      </c>
      <c r="K200" t="s">
        <v>7124</v>
      </c>
      <c r="L200" t="s">
        <v>7123</v>
      </c>
      <c r="M200" t="s">
        <v>435</v>
      </c>
      <c r="N200">
        <v>6</v>
      </c>
      <c r="O200" t="s">
        <v>7122</v>
      </c>
      <c r="P200" t="s">
        <v>7121</v>
      </c>
      <c r="Q200" t="s">
        <v>7120</v>
      </c>
      <c r="R200" s="7">
        <v>32509</v>
      </c>
      <c r="S200" s="8">
        <f t="shared" si="24"/>
        <v>1989</v>
      </c>
      <c r="T200" s="8">
        <v>1989</v>
      </c>
      <c r="U200" s="8">
        <f t="shared" si="25"/>
        <v>33</v>
      </c>
      <c r="V200" s="7">
        <v>32509</v>
      </c>
      <c r="W200" t="s">
        <v>6419</v>
      </c>
      <c r="X200" s="2">
        <v>1.9750000000000001</v>
      </c>
      <c r="Y200" s="6">
        <f t="shared" si="30"/>
        <v>5.2721497023571186E-2</v>
      </c>
      <c r="AA200">
        <v>320781</v>
      </c>
      <c r="AB200">
        <v>19019</v>
      </c>
      <c r="AD200" t="s">
        <v>5</v>
      </c>
      <c r="AE200">
        <v>30</v>
      </c>
      <c r="AF200">
        <v>1</v>
      </c>
      <c r="AH200" t="s">
        <v>6821</v>
      </c>
      <c r="AI200" t="s">
        <v>7119</v>
      </c>
      <c r="AJ200" t="s">
        <v>7118</v>
      </c>
      <c r="AK200" t="s">
        <v>7117</v>
      </c>
      <c r="AL200">
        <v>47</v>
      </c>
      <c r="AM200" s="5">
        <f t="shared" si="26"/>
        <v>1.4242424242424243</v>
      </c>
      <c r="AN200" s="4">
        <f t="shared" si="31"/>
        <v>2.1571259738620589E-3</v>
      </c>
      <c r="AO200" s="3"/>
      <c r="AP200">
        <v>0</v>
      </c>
      <c r="AQ200" t="s">
        <v>427</v>
      </c>
      <c r="AR200" t="s">
        <v>0</v>
      </c>
      <c r="AS200" t="s">
        <v>426</v>
      </c>
      <c r="AT200" s="2">
        <v>4.9269999999999996</v>
      </c>
      <c r="AU200" s="1">
        <f t="shared" si="27"/>
        <v>3.7552185708658445</v>
      </c>
      <c r="AV200" s="1">
        <f t="shared" si="28"/>
        <v>2.7439311498716621</v>
      </c>
      <c r="AW200" s="1">
        <f t="shared" si="29"/>
        <v>1.7326437288774796</v>
      </c>
    </row>
    <row r="201" spans="1:49" x14ac:dyDescent="0.2">
      <c r="A201">
        <v>199</v>
      </c>
      <c r="B201" t="s">
        <v>7116</v>
      </c>
      <c r="C201" t="s">
        <v>7115</v>
      </c>
      <c r="F201" t="s">
        <v>7114</v>
      </c>
      <c r="G201" t="s">
        <v>15</v>
      </c>
      <c r="H201" t="s">
        <v>14</v>
      </c>
      <c r="I201" t="s">
        <v>1756</v>
      </c>
      <c r="N201">
        <v>2</v>
      </c>
      <c r="O201" t="s">
        <v>7113</v>
      </c>
      <c r="P201" t="s">
        <v>7112</v>
      </c>
      <c r="Q201" t="s">
        <v>1071</v>
      </c>
      <c r="R201" s="7">
        <v>32509</v>
      </c>
      <c r="S201" s="8">
        <f t="shared" si="24"/>
        <v>1989</v>
      </c>
      <c r="T201" s="8">
        <v>1989</v>
      </c>
      <c r="U201" s="8">
        <f t="shared" si="25"/>
        <v>33</v>
      </c>
      <c r="V201" s="7" t="s">
        <v>335</v>
      </c>
      <c r="W201" t="s">
        <v>334</v>
      </c>
      <c r="X201" s="2">
        <v>0.371</v>
      </c>
      <c r="Y201" s="6">
        <f t="shared" si="30"/>
        <v>9.9036331117695747E-3</v>
      </c>
      <c r="AA201">
        <v>486604</v>
      </c>
      <c r="AB201">
        <v>28580</v>
      </c>
      <c r="AC201" t="s">
        <v>333</v>
      </c>
      <c r="AD201" t="s">
        <v>5</v>
      </c>
      <c r="AE201">
        <v>24</v>
      </c>
      <c r="AF201">
        <v>1</v>
      </c>
      <c r="AH201" t="s">
        <v>7111</v>
      </c>
      <c r="AI201" t="s">
        <v>7110</v>
      </c>
      <c r="AK201" t="s">
        <v>7109</v>
      </c>
      <c r="AL201">
        <v>2</v>
      </c>
      <c r="AM201" s="5">
        <f t="shared" si="26"/>
        <v>6.0606060606060608E-2</v>
      </c>
      <c r="AN201" s="4">
        <f t="shared" si="31"/>
        <v>9.1792594632428032E-5</v>
      </c>
      <c r="AO201" s="3"/>
      <c r="AP201">
        <v>0</v>
      </c>
      <c r="AR201" t="s">
        <v>0</v>
      </c>
      <c r="AT201" s="2">
        <v>1.431</v>
      </c>
      <c r="AU201" s="1">
        <f t="shared" si="27"/>
        <v>0.69600809566284305</v>
      </c>
      <c r="AV201" s="1">
        <f t="shared" si="28"/>
        <v>0.49977128532010018</v>
      </c>
      <c r="AW201" s="1">
        <f t="shared" si="29"/>
        <v>0.30353447497735719</v>
      </c>
    </row>
    <row r="202" spans="1:49" x14ac:dyDescent="0.2">
      <c r="A202">
        <v>200</v>
      </c>
      <c r="B202" t="s">
        <v>7108</v>
      </c>
      <c r="C202" t="s">
        <v>7107</v>
      </c>
      <c r="F202" t="s">
        <v>7106</v>
      </c>
      <c r="G202" t="s">
        <v>15</v>
      </c>
      <c r="H202" t="s">
        <v>14</v>
      </c>
      <c r="I202" t="s">
        <v>7105</v>
      </c>
      <c r="N202">
        <v>1</v>
      </c>
      <c r="O202" t="s">
        <v>7104</v>
      </c>
      <c r="P202">
        <v>57225684156</v>
      </c>
      <c r="R202" s="7">
        <v>32509</v>
      </c>
      <c r="S202" s="8">
        <f t="shared" si="24"/>
        <v>1989</v>
      </c>
      <c r="T202" s="8">
        <v>1989</v>
      </c>
      <c r="U202" s="8">
        <f t="shared" si="25"/>
        <v>33</v>
      </c>
      <c r="V202" s="7" t="s">
        <v>415</v>
      </c>
      <c r="W202" t="s">
        <v>334</v>
      </c>
      <c r="X202" s="2">
        <v>0.371</v>
      </c>
      <c r="Y202" s="6">
        <f t="shared" si="30"/>
        <v>9.9036331117695747E-3</v>
      </c>
      <c r="AA202">
        <v>486604</v>
      </c>
      <c r="AB202">
        <v>28580</v>
      </c>
      <c r="AC202" t="s">
        <v>333</v>
      </c>
      <c r="AD202" t="s">
        <v>5</v>
      </c>
      <c r="AE202">
        <v>24</v>
      </c>
      <c r="AF202">
        <v>4</v>
      </c>
      <c r="AH202" t="s">
        <v>7103</v>
      </c>
      <c r="AI202" t="s">
        <v>7102</v>
      </c>
      <c r="AK202" t="s">
        <v>7101</v>
      </c>
      <c r="AL202">
        <v>4</v>
      </c>
      <c r="AM202" s="5">
        <f t="shared" si="26"/>
        <v>0.12121212121212122</v>
      </c>
      <c r="AN202" s="4">
        <f t="shared" si="31"/>
        <v>1.8358518926485606E-4</v>
      </c>
      <c r="AO202" s="3"/>
      <c r="AP202">
        <v>0</v>
      </c>
      <c r="AR202" t="s">
        <v>0</v>
      </c>
      <c r="AT202" s="2">
        <v>1.431</v>
      </c>
      <c r="AU202" s="1">
        <f t="shared" si="27"/>
        <v>0.69876187350181584</v>
      </c>
      <c r="AV202" s="1">
        <f t="shared" si="28"/>
        <v>0.50436091505172154</v>
      </c>
      <c r="AW202" s="1">
        <f t="shared" si="29"/>
        <v>0.30995995660162717</v>
      </c>
    </row>
    <row r="203" spans="1:49" x14ac:dyDescent="0.2">
      <c r="A203">
        <v>201</v>
      </c>
      <c r="B203" t="s">
        <v>7100</v>
      </c>
      <c r="C203" t="s">
        <v>7099</v>
      </c>
      <c r="F203" t="s">
        <v>7098</v>
      </c>
      <c r="G203" t="s">
        <v>15</v>
      </c>
      <c r="H203" t="s">
        <v>14</v>
      </c>
      <c r="I203" t="s">
        <v>7097</v>
      </c>
      <c r="J203" t="s">
        <v>7091</v>
      </c>
      <c r="K203" t="s">
        <v>7096</v>
      </c>
      <c r="L203" t="s">
        <v>7095</v>
      </c>
      <c r="M203" t="s">
        <v>7094</v>
      </c>
      <c r="N203">
        <v>3</v>
      </c>
      <c r="O203" t="s">
        <v>7093</v>
      </c>
      <c r="P203" t="s">
        <v>7092</v>
      </c>
      <c r="Q203" t="s">
        <v>7091</v>
      </c>
      <c r="R203" s="7">
        <v>32509</v>
      </c>
      <c r="S203" s="8">
        <f t="shared" si="24"/>
        <v>1989</v>
      </c>
      <c r="T203" s="8">
        <v>1989</v>
      </c>
      <c r="U203" s="8">
        <f t="shared" si="25"/>
        <v>33</v>
      </c>
      <c r="V203" s="7">
        <v>32629</v>
      </c>
      <c r="W203" t="s">
        <v>778</v>
      </c>
      <c r="X203" s="2">
        <v>1.6519999999999999</v>
      </c>
      <c r="Y203" s="6">
        <f t="shared" si="30"/>
        <v>4.409919649769093E-2</v>
      </c>
      <c r="AA203" t="s">
        <v>777</v>
      </c>
      <c r="AB203">
        <v>17337</v>
      </c>
      <c r="AC203">
        <v>15582221</v>
      </c>
      <c r="AD203" t="s">
        <v>5</v>
      </c>
      <c r="AE203">
        <v>37</v>
      </c>
      <c r="AF203">
        <v>5</v>
      </c>
      <c r="AH203" t="s">
        <v>7090</v>
      </c>
      <c r="AI203" t="s">
        <v>7089</v>
      </c>
      <c r="AK203" t="s">
        <v>7088</v>
      </c>
      <c r="AL203">
        <v>4</v>
      </c>
      <c r="AM203" s="5">
        <f t="shared" si="26"/>
        <v>0.12121212121212122</v>
      </c>
      <c r="AN203" s="4">
        <f t="shared" si="31"/>
        <v>1.8358518926485606E-4</v>
      </c>
      <c r="AO203" s="3"/>
      <c r="AP203">
        <v>0</v>
      </c>
      <c r="AR203" t="s">
        <v>0</v>
      </c>
      <c r="AT203" s="2" t="s">
        <v>19</v>
      </c>
      <c r="AU203" s="1">
        <f t="shared" si="27"/>
        <v>3.0924513105163109</v>
      </c>
      <c r="AV203" s="1">
        <f t="shared" si="28"/>
        <v>2.2141390843477891</v>
      </c>
      <c r="AW203" s="1">
        <f t="shared" si="29"/>
        <v>1.3358268581792678</v>
      </c>
    </row>
    <row r="204" spans="1:49" x14ac:dyDescent="0.2">
      <c r="A204">
        <v>202</v>
      </c>
      <c r="B204" t="s">
        <v>7087</v>
      </c>
      <c r="C204" t="s">
        <v>7086</v>
      </c>
      <c r="F204" t="s">
        <v>7085</v>
      </c>
      <c r="G204" t="s">
        <v>15</v>
      </c>
      <c r="H204" t="s">
        <v>14</v>
      </c>
      <c r="I204" t="s">
        <v>7084</v>
      </c>
      <c r="J204">
        <v>60000745</v>
      </c>
      <c r="K204" t="s">
        <v>769</v>
      </c>
      <c r="L204" t="s">
        <v>768</v>
      </c>
      <c r="M204" t="s">
        <v>23</v>
      </c>
      <c r="N204">
        <v>2</v>
      </c>
      <c r="O204" t="s">
        <v>7083</v>
      </c>
      <c r="P204" t="s">
        <v>7082</v>
      </c>
      <c r="Q204" t="s">
        <v>765</v>
      </c>
      <c r="R204" s="7">
        <v>32509</v>
      </c>
      <c r="S204" s="8">
        <f t="shared" si="24"/>
        <v>1989</v>
      </c>
      <c r="T204" s="8">
        <v>1989</v>
      </c>
      <c r="U204" s="8">
        <f t="shared" si="25"/>
        <v>33</v>
      </c>
      <c r="V204" s="7">
        <v>32599</v>
      </c>
      <c r="W204" t="s">
        <v>778</v>
      </c>
      <c r="X204" s="2">
        <v>1.6519999999999999</v>
      </c>
      <c r="Y204" s="6">
        <f t="shared" si="30"/>
        <v>4.409919649769093E-2</v>
      </c>
      <c r="AA204" t="s">
        <v>777</v>
      </c>
      <c r="AB204">
        <v>17337</v>
      </c>
      <c r="AC204">
        <v>15582221</v>
      </c>
      <c r="AD204" t="s">
        <v>5</v>
      </c>
      <c r="AE204">
        <v>37</v>
      </c>
      <c r="AF204">
        <v>4</v>
      </c>
      <c r="AH204" t="s">
        <v>7081</v>
      </c>
      <c r="AI204" t="s">
        <v>7080</v>
      </c>
      <c r="AK204" t="s">
        <v>7079</v>
      </c>
      <c r="AL204">
        <v>7</v>
      </c>
      <c r="AM204" s="5">
        <f t="shared" si="26"/>
        <v>0.21212121212121213</v>
      </c>
      <c r="AN204" s="4">
        <f t="shared" si="31"/>
        <v>3.2127408121349809E-4</v>
      </c>
      <c r="AO204" s="3"/>
      <c r="AP204">
        <v>0</v>
      </c>
      <c r="AR204" t="s">
        <v>0</v>
      </c>
      <c r="AT204" s="2" t="s">
        <v>19</v>
      </c>
      <c r="AU204" s="1">
        <f t="shared" si="27"/>
        <v>3.09658197727477</v>
      </c>
      <c r="AV204" s="1">
        <f t="shared" si="28"/>
        <v>2.2210235289452216</v>
      </c>
      <c r="AW204" s="1">
        <f t="shared" si="29"/>
        <v>1.3454650806156727</v>
      </c>
    </row>
    <row r="205" spans="1:49" x14ac:dyDescent="0.2">
      <c r="A205">
        <v>203</v>
      </c>
      <c r="B205" t="s">
        <v>7078</v>
      </c>
      <c r="C205" t="s">
        <v>7077</v>
      </c>
      <c r="F205" t="s">
        <v>7076</v>
      </c>
      <c r="G205" t="s">
        <v>15</v>
      </c>
      <c r="H205" t="s">
        <v>14</v>
      </c>
      <c r="I205" t="s">
        <v>6802</v>
      </c>
      <c r="J205">
        <v>60028186</v>
      </c>
      <c r="K205" t="s">
        <v>6801</v>
      </c>
      <c r="L205" t="s">
        <v>6800</v>
      </c>
      <c r="M205" t="s">
        <v>3833</v>
      </c>
      <c r="N205">
        <v>7</v>
      </c>
      <c r="O205" t="s">
        <v>7075</v>
      </c>
      <c r="P205" t="s">
        <v>7074</v>
      </c>
      <c r="Q205" t="s">
        <v>7073</v>
      </c>
      <c r="R205" s="7">
        <v>32509</v>
      </c>
      <c r="S205" s="8">
        <f t="shared" si="24"/>
        <v>1989</v>
      </c>
      <c r="T205" s="8">
        <v>1989</v>
      </c>
      <c r="U205" s="8">
        <f t="shared" si="25"/>
        <v>33</v>
      </c>
      <c r="V205" s="7">
        <v>1989</v>
      </c>
      <c r="W205" t="s">
        <v>111</v>
      </c>
      <c r="X205" s="2">
        <v>3.6880000000000002</v>
      </c>
      <c r="Y205" s="6">
        <f t="shared" si="30"/>
        <v>9.8449053682496471E-2</v>
      </c>
      <c r="AA205">
        <v>319007</v>
      </c>
      <c r="AB205">
        <v>29150</v>
      </c>
      <c r="AD205" t="s">
        <v>5</v>
      </c>
      <c r="AE205">
        <v>63</v>
      </c>
      <c r="AF205">
        <v>22</v>
      </c>
      <c r="AH205" t="s">
        <v>7072</v>
      </c>
      <c r="AI205" t="s">
        <v>7071</v>
      </c>
      <c r="AK205" t="s">
        <v>7070</v>
      </c>
      <c r="AL205">
        <v>28</v>
      </c>
      <c r="AM205" s="5">
        <f t="shared" si="26"/>
        <v>0.84848484848484851</v>
      </c>
      <c r="AN205" s="4">
        <f t="shared" si="31"/>
        <v>1.2850963248539923E-3</v>
      </c>
      <c r="AO205" s="3"/>
      <c r="AP205">
        <v>0</v>
      </c>
      <c r="AR205" t="s">
        <v>0</v>
      </c>
      <c r="AT205" s="2">
        <v>9.1609999999999996</v>
      </c>
      <c r="AU205" s="1">
        <f t="shared" si="27"/>
        <v>6.9299866475203729</v>
      </c>
      <c r="AV205" s="1">
        <f t="shared" si="28"/>
        <v>4.9867075003675234</v>
      </c>
      <c r="AW205" s="1">
        <f t="shared" si="29"/>
        <v>3.0434283532146735</v>
      </c>
    </row>
    <row r="206" spans="1:49" x14ac:dyDescent="0.2">
      <c r="A206">
        <v>204</v>
      </c>
      <c r="B206" t="s">
        <v>7069</v>
      </c>
      <c r="C206" t="s">
        <v>7068</v>
      </c>
      <c r="D206" t="s">
        <v>7067</v>
      </c>
      <c r="F206" t="s">
        <v>7066</v>
      </c>
      <c r="G206" t="s">
        <v>15</v>
      </c>
      <c r="H206" t="s">
        <v>14</v>
      </c>
      <c r="I206" t="s">
        <v>7065</v>
      </c>
      <c r="J206" t="s">
        <v>7064</v>
      </c>
      <c r="K206" t="s">
        <v>7063</v>
      </c>
      <c r="L206" t="s">
        <v>7062</v>
      </c>
      <c r="M206" t="s">
        <v>7061</v>
      </c>
      <c r="N206">
        <v>4</v>
      </c>
      <c r="O206" t="s">
        <v>7060</v>
      </c>
      <c r="P206" t="s">
        <v>7059</v>
      </c>
      <c r="Q206" t="s">
        <v>7058</v>
      </c>
      <c r="R206" s="7">
        <v>32509</v>
      </c>
      <c r="S206" s="8">
        <f t="shared" si="24"/>
        <v>1989</v>
      </c>
      <c r="T206" s="8">
        <v>1989</v>
      </c>
      <c r="U206" s="8">
        <f t="shared" si="25"/>
        <v>33</v>
      </c>
      <c r="V206" s="7">
        <v>32540</v>
      </c>
      <c r="W206" t="s">
        <v>68</v>
      </c>
      <c r="X206" s="2">
        <v>1.59</v>
      </c>
      <c r="Y206" s="6">
        <f t="shared" si="30"/>
        <v>4.2444141907583888E-2</v>
      </c>
      <c r="AA206">
        <v>52728</v>
      </c>
      <c r="AB206">
        <v>16791</v>
      </c>
      <c r="AD206" t="s">
        <v>5</v>
      </c>
      <c r="AE206">
        <v>973</v>
      </c>
      <c r="AF206">
        <v>2</v>
      </c>
      <c r="AH206" t="s">
        <v>7057</v>
      </c>
      <c r="AI206" t="s">
        <v>7056</v>
      </c>
      <c r="AJ206" t="s">
        <v>7055</v>
      </c>
      <c r="AK206" t="s">
        <v>7054</v>
      </c>
      <c r="AL206">
        <v>23</v>
      </c>
      <c r="AM206" s="5">
        <f t="shared" si="26"/>
        <v>0.69696969696969702</v>
      </c>
      <c r="AN206" s="4">
        <f t="shared" si="31"/>
        <v>1.0556148382729225E-3</v>
      </c>
      <c r="AO206" s="3"/>
      <c r="AP206">
        <v>0</v>
      </c>
      <c r="AR206" t="s">
        <v>0</v>
      </c>
      <c r="AT206" s="2" t="s">
        <v>19</v>
      </c>
      <c r="AU206" s="1">
        <f t="shared" si="27"/>
        <v>3.0027583786790597</v>
      </c>
      <c r="AV206" s="1">
        <f t="shared" si="28"/>
        <v>2.1749878372928402</v>
      </c>
      <c r="AW206" s="1">
        <f t="shared" si="29"/>
        <v>1.3472172959066211</v>
      </c>
    </row>
    <row r="207" spans="1:49" x14ac:dyDescent="0.2">
      <c r="A207">
        <v>205</v>
      </c>
      <c r="B207" t="s">
        <v>7053</v>
      </c>
      <c r="C207" t="s">
        <v>7052</v>
      </c>
      <c r="D207" t="s">
        <v>7051</v>
      </c>
      <c r="F207" t="s">
        <v>7050</v>
      </c>
      <c r="G207" t="s">
        <v>15</v>
      </c>
      <c r="H207" t="s">
        <v>14</v>
      </c>
      <c r="I207" t="s">
        <v>7049</v>
      </c>
      <c r="J207">
        <v>60016849</v>
      </c>
      <c r="K207" t="s">
        <v>4904</v>
      </c>
      <c r="L207" t="s">
        <v>4903</v>
      </c>
      <c r="M207" t="s">
        <v>283</v>
      </c>
      <c r="N207">
        <v>3</v>
      </c>
      <c r="O207" t="s">
        <v>7048</v>
      </c>
      <c r="P207" t="s">
        <v>7047</v>
      </c>
      <c r="Q207" t="s">
        <v>7046</v>
      </c>
      <c r="R207" s="7">
        <v>32509</v>
      </c>
      <c r="S207" s="8">
        <f t="shared" si="24"/>
        <v>1989</v>
      </c>
      <c r="T207" s="8">
        <v>1989</v>
      </c>
      <c r="U207" s="8">
        <f t="shared" si="25"/>
        <v>33</v>
      </c>
      <c r="V207" s="7">
        <v>32813</v>
      </c>
      <c r="W207" t="s">
        <v>7045</v>
      </c>
      <c r="X207" s="2" t="s">
        <v>19</v>
      </c>
      <c r="Y207" s="6" t="e">
        <f t="shared" si="30"/>
        <v>#VALUE!</v>
      </c>
      <c r="AA207">
        <v>10106030</v>
      </c>
      <c r="AB207">
        <v>26966</v>
      </c>
      <c r="AD207" t="s">
        <v>5</v>
      </c>
      <c r="AE207">
        <v>50</v>
      </c>
      <c r="AF207">
        <v>1</v>
      </c>
      <c r="AH207" t="s">
        <v>7044</v>
      </c>
      <c r="AI207" t="s">
        <v>7043</v>
      </c>
      <c r="AK207" t="s">
        <v>7042</v>
      </c>
      <c r="AL207">
        <v>33</v>
      </c>
      <c r="AM207" s="5">
        <f t="shared" si="26"/>
        <v>1</v>
      </c>
      <c r="AN207" s="4">
        <f t="shared" si="31"/>
        <v>1.5145778114350624E-3</v>
      </c>
      <c r="AO207" s="3"/>
      <c r="AP207">
        <v>0</v>
      </c>
      <c r="AQ207" t="s">
        <v>4062</v>
      </c>
      <c r="AR207" t="s">
        <v>0</v>
      </c>
      <c r="AS207" t="s">
        <v>4060</v>
      </c>
      <c r="AT207" s="2" t="s">
        <v>19</v>
      </c>
      <c r="AU207" s="1" t="e">
        <f t="shared" si="27"/>
        <v>#VALUE!</v>
      </c>
      <c r="AV207" s="1" t="e">
        <f t="shared" si="28"/>
        <v>#VALUE!</v>
      </c>
      <c r="AW207" s="1" t="e">
        <f t="shared" si="29"/>
        <v>#VALUE!</v>
      </c>
    </row>
    <row r="208" spans="1:49" x14ac:dyDescent="0.2">
      <c r="A208">
        <v>206</v>
      </c>
      <c r="B208" t="s">
        <v>7041</v>
      </c>
      <c r="C208" t="s">
        <v>7040</v>
      </c>
      <c r="D208">
        <v>1011134489801050</v>
      </c>
      <c r="F208" t="s">
        <v>7039</v>
      </c>
      <c r="G208" t="s">
        <v>15</v>
      </c>
      <c r="H208" t="s">
        <v>14</v>
      </c>
      <c r="I208" t="s">
        <v>7038</v>
      </c>
      <c r="J208">
        <v>60008134</v>
      </c>
      <c r="K208" t="s">
        <v>7037</v>
      </c>
      <c r="L208" t="s">
        <v>73</v>
      </c>
      <c r="M208" t="s">
        <v>72</v>
      </c>
      <c r="N208">
        <v>3</v>
      </c>
      <c r="O208" t="s">
        <v>7036</v>
      </c>
      <c r="P208" t="s">
        <v>7035</v>
      </c>
      <c r="Q208" t="s">
        <v>7034</v>
      </c>
      <c r="R208" s="7">
        <v>32509</v>
      </c>
      <c r="S208" s="8">
        <f t="shared" si="24"/>
        <v>1989</v>
      </c>
      <c r="T208" s="8">
        <v>1989</v>
      </c>
      <c r="U208" s="8">
        <f t="shared" si="25"/>
        <v>33</v>
      </c>
      <c r="V208" s="7">
        <v>32782</v>
      </c>
      <c r="W208" t="s">
        <v>7021</v>
      </c>
      <c r="X208" s="2" t="s">
        <v>19</v>
      </c>
      <c r="Y208" s="6" t="e">
        <f t="shared" si="30"/>
        <v>#VALUE!</v>
      </c>
      <c r="AA208">
        <v>10111344</v>
      </c>
      <c r="AB208">
        <v>17622</v>
      </c>
      <c r="AD208" t="s">
        <v>5</v>
      </c>
      <c r="AE208">
        <v>4</v>
      </c>
      <c r="AF208">
        <v>1</v>
      </c>
      <c r="AH208" t="s">
        <v>7033</v>
      </c>
      <c r="AI208" t="s">
        <v>7032</v>
      </c>
      <c r="AJ208" t="s">
        <v>7031</v>
      </c>
      <c r="AK208" t="s">
        <v>7030</v>
      </c>
      <c r="AL208">
        <v>3</v>
      </c>
      <c r="AM208" s="5">
        <f t="shared" si="26"/>
        <v>9.0909090909090912E-2</v>
      </c>
      <c r="AN208" s="4">
        <f t="shared" si="31"/>
        <v>1.3768889194864205E-4</v>
      </c>
      <c r="AO208" s="3"/>
      <c r="AP208">
        <v>0</v>
      </c>
      <c r="AR208" t="s">
        <v>0</v>
      </c>
      <c r="AT208" s="2" t="s">
        <v>19</v>
      </c>
      <c r="AU208" s="1" t="e">
        <f t="shared" si="27"/>
        <v>#VALUE!</v>
      </c>
      <c r="AV208" s="1" t="e">
        <f t="shared" si="28"/>
        <v>#VALUE!</v>
      </c>
      <c r="AW208" s="1" t="e">
        <f t="shared" si="29"/>
        <v>#VALUE!</v>
      </c>
    </row>
    <row r="209" spans="1:49" x14ac:dyDescent="0.2">
      <c r="A209">
        <v>207</v>
      </c>
      <c r="B209" t="s">
        <v>7029</v>
      </c>
      <c r="C209" t="s">
        <v>7028</v>
      </c>
      <c r="D209" t="s">
        <v>7027</v>
      </c>
      <c r="F209" t="s">
        <v>7026</v>
      </c>
      <c r="G209" t="s">
        <v>15</v>
      </c>
      <c r="H209" t="s">
        <v>14</v>
      </c>
      <c r="I209" t="s">
        <v>7025</v>
      </c>
      <c r="J209">
        <v>60019722</v>
      </c>
      <c r="K209" t="s">
        <v>2239</v>
      </c>
      <c r="L209" t="s">
        <v>493</v>
      </c>
      <c r="M209" t="s">
        <v>259</v>
      </c>
      <c r="N209">
        <v>2</v>
      </c>
      <c r="O209" t="s">
        <v>7024</v>
      </c>
      <c r="P209" t="s">
        <v>7023</v>
      </c>
      <c r="Q209" t="s">
        <v>7022</v>
      </c>
      <c r="R209" s="7">
        <v>32509</v>
      </c>
      <c r="S209" s="8">
        <f t="shared" si="24"/>
        <v>1989</v>
      </c>
      <c r="T209" s="8">
        <v>1989</v>
      </c>
      <c r="U209" s="8">
        <f t="shared" si="25"/>
        <v>33</v>
      </c>
      <c r="V209" s="7">
        <v>32721</v>
      </c>
      <c r="W209" t="s">
        <v>7021</v>
      </c>
      <c r="X209" s="2" t="s">
        <v>19</v>
      </c>
      <c r="Y209" s="6" t="e">
        <f t="shared" si="30"/>
        <v>#VALUE!</v>
      </c>
      <c r="AA209">
        <v>10111344</v>
      </c>
      <c r="AB209">
        <v>17622</v>
      </c>
      <c r="AD209" t="s">
        <v>5</v>
      </c>
      <c r="AE209">
        <v>3</v>
      </c>
      <c r="AF209">
        <v>4</v>
      </c>
      <c r="AH209" t="s">
        <v>7020</v>
      </c>
      <c r="AI209" t="s">
        <v>7019</v>
      </c>
      <c r="AJ209" t="s">
        <v>7018</v>
      </c>
      <c r="AK209" t="s">
        <v>7017</v>
      </c>
      <c r="AL209">
        <v>27</v>
      </c>
      <c r="AM209" s="5">
        <f t="shared" si="26"/>
        <v>0.81818181818181823</v>
      </c>
      <c r="AN209" s="4">
        <f t="shared" si="31"/>
        <v>1.2392000275377785E-3</v>
      </c>
      <c r="AO209" s="3"/>
      <c r="AP209">
        <v>0</v>
      </c>
      <c r="AQ209" t="s">
        <v>1761</v>
      </c>
      <c r="AR209" t="s">
        <v>7016</v>
      </c>
      <c r="AS209" t="s">
        <v>1760</v>
      </c>
      <c r="AT209" s="2" t="s">
        <v>19</v>
      </c>
      <c r="AU209" s="1" t="e">
        <f t="shared" si="27"/>
        <v>#VALUE!</v>
      </c>
      <c r="AV209" s="1" t="e">
        <f t="shared" si="28"/>
        <v>#VALUE!</v>
      </c>
      <c r="AW209" s="1" t="e">
        <f t="shared" si="29"/>
        <v>#VALUE!</v>
      </c>
    </row>
    <row r="210" spans="1:49" x14ac:dyDescent="0.2">
      <c r="A210">
        <v>208</v>
      </c>
      <c r="B210" t="s">
        <v>7015</v>
      </c>
      <c r="C210" t="s">
        <v>7014</v>
      </c>
      <c r="D210">
        <v>94576589900234</v>
      </c>
      <c r="F210" t="s">
        <v>7013</v>
      </c>
      <c r="G210" t="s">
        <v>15</v>
      </c>
      <c r="H210" t="s">
        <v>14</v>
      </c>
      <c r="I210" t="s">
        <v>7012</v>
      </c>
      <c r="J210">
        <v>60017694</v>
      </c>
      <c r="K210" t="s">
        <v>7011</v>
      </c>
      <c r="L210" t="s">
        <v>73</v>
      </c>
      <c r="M210" t="s">
        <v>72</v>
      </c>
      <c r="N210">
        <v>1</v>
      </c>
      <c r="O210" t="s">
        <v>7010</v>
      </c>
      <c r="P210">
        <v>7005168511</v>
      </c>
      <c r="Q210">
        <v>60017694</v>
      </c>
      <c r="R210" s="7">
        <v>32509</v>
      </c>
      <c r="S210" s="8">
        <f t="shared" si="24"/>
        <v>1989</v>
      </c>
      <c r="T210" s="8">
        <v>1989</v>
      </c>
      <c r="U210" s="8">
        <f t="shared" si="25"/>
        <v>33</v>
      </c>
      <c r="V210" s="7">
        <v>32782</v>
      </c>
      <c r="W210" t="s">
        <v>464</v>
      </c>
      <c r="X210" s="2">
        <v>1.1339999999999999</v>
      </c>
      <c r="Y210" s="6">
        <f t="shared" si="30"/>
        <v>3.0271482341635299E-2</v>
      </c>
      <c r="AA210">
        <v>945765</v>
      </c>
      <c r="AB210">
        <v>12372</v>
      </c>
      <c r="AD210" t="s">
        <v>5</v>
      </c>
      <c r="AE210">
        <v>19</v>
      </c>
      <c r="AF210">
        <v>10</v>
      </c>
      <c r="AH210" t="s">
        <v>7009</v>
      </c>
      <c r="AI210" t="s">
        <v>7008</v>
      </c>
      <c r="AK210" t="s">
        <v>7007</v>
      </c>
      <c r="AL210">
        <v>0</v>
      </c>
      <c r="AM210" s="5">
        <f t="shared" si="26"/>
        <v>0</v>
      </c>
      <c r="AN210" s="4">
        <f t="shared" si="31"/>
        <v>0</v>
      </c>
      <c r="AO210" s="3"/>
      <c r="AP210">
        <v>0</v>
      </c>
      <c r="AR210" t="s">
        <v>0</v>
      </c>
      <c r="AT210" s="2">
        <v>2.4129999999999998</v>
      </c>
      <c r="AU210" s="1">
        <f t="shared" si="27"/>
        <v>2.119003763914471</v>
      </c>
      <c r="AV210" s="1">
        <f t="shared" si="28"/>
        <v>1.5135741170817649</v>
      </c>
      <c r="AW210" s="1">
        <f t="shared" si="29"/>
        <v>0.90814447024905898</v>
      </c>
    </row>
    <row r="211" spans="1:49" x14ac:dyDescent="0.2">
      <c r="A211">
        <v>209</v>
      </c>
      <c r="B211" t="s">
        <v>7006</v>
      </c>
      <c r="C211" t="s">
        <v>7005</v>
      </c>
      <c r="D211">
        <v>94576589901392</v>
      </c>
      <c r="F211" t="s">
        <v>7004</v>
      </c>
      <c r="G211" t="s">
        <v>15</v>
      </c>
      <c r="H211" t="s">
        <v>14</v>
      </c>
      <c r="I211" t="s">
        <v>7003</v>
      </c>
      <c r="J211" t="s">
        <v>7002</v>
      </c>
      <c r="K211" t="s">
        <v>7001</v>
      </c>
      <c r="L211" t="s">
        <v>7000</v>
      </c>
      <c r="M211" t="s">
        <v>6999</v>
      </c>
      <c r="N211">
        <v>3</v>
      </c>
      <c r="O211" t="s">
        <v>6998</v>
      </c>
      <c r="P211" t="s">
        <v>6997</v>
      </c>
      <c r="Q211" t="s">
        <v>6996</v>
      </c>
      <c r="R211" s="7">
        <v>32509</v>
      </c>
      <c r="S211" s="8">
        <f t="shared" si="24"/>
        <v>1989</v>
      </c>
      <c r="T211" s="8">
        <v>1989</v>
      </c>
      <c r="U211" s="8">
        <f t="shared" si="25"/>
        <v>33</v>
      </c>
      <c r="V211" s="7">
        <v>32721</v>
      </c>
      <c r="W211" t="s">
        <v>464</v>
      </c>
      <c r="X211" s="2">
        <v>1.1339999999999999</v>
      </c>
      <c r="Y211" s="6">
        <f t="shared" si="30"/>
        <v>3.0271482341635299E-2</v>
      </c>
      <c r="AA211">
        <v>945765</v>
      </c>
      <c r="AB211">
        <v>12372</v>
      </c>
      <c r="AD211" t="s">
        <v>5</v>
      </c>
      <c r="AE211">
        <v>19</v>
      </c>
      <c r="AF211">
        <v>8</v>
      </c>
      <c r="AH211" t="s">
        <v>6995</v>
      </c>
      <c r="AI211" t="s">
        <v>6994</v>
      </c>
      <c r="AK211" t="s">
        <v>6993</v>
      </c>
      <c r="AL211">
        <v>1</v>
      </c>
      <c r="AM211" s="5">
        <f t="shared" si="26"/>
        <v>3.0303030303030304E-2</v>
      </c>
      <c r="AN211" s="4">
        <f t="shared" si="31"/>
        <v>4.5896297316214016E-5</v>
      </c>
      <c r="AO211" s="3"/>
      <c r="AP211">
        <v>0</v>
      </c>
      <c r="AR211" t="s">
        <v>0</v>
      </c>
      <c r="AT211" s="2">
        <v>2.4129999999999998</v>
      </c>
      <c r="AU211" s="1">
        <f t="shared" si="27"/>
        <v>2.120380652833957</v>
      </c>
      <c r="AV211" s="1">
        <f t="shared" si="28"/>
        <v>1.5158689319475755</v>
      </c>
      <c r="AW211" s="1">
        <f t="shared" si="29"/>
        <v>0.91135721106119383</v>
      </c>
    </row>
    <row r="212" spans="1:49" x14ac:dyDescent="0.2">
      <c r="A212">
        <v>210</v>
      </c>
      <c r="B212" t="s">
        <v>6992</v>
      </c>
      <c r="C212" t="s">
        <v>6991</v>
      </c>
      <c r="D212" t="s">
        <v>6990</v>
      </c>
      <c r="F212" t="s">
        <v>6989</v>
      </c>
      <c r="G212" t="s">
        <v>15</v>
      </c>
      <c r="H212" t="s">
        <v>14</v>
      </c>
      <c r="I212" t="s">
        <v>6988</v>
      </c>
      <c r="J212" t="s">
        <v>6987</v>
      </c>
      <c r="K212" t="s">
        <v>6986</v>
      </c>
      <c r="L212" t="s">
        <v>6985</v>
      </c>
      <c r="M212" t="s">
        <v>6984</v>
      </c>
      <c r="N212">
        <v>35</v>
      </c>
      <c r="O212" t="s">
        <v>6983</v>
      </c>
      <c r="P212" t="s">
        <v>6982</v>
      </c>
      <c r="Q212" t="s">
        <v>6981</v>
      </c>
      <c r="R212" s="7">
        <v>32509</v>
      </c>
      <c r="S212" s="8">
        <f t="shared" si="24"/>
        <v>1989</v>
      </c>
      <c r="T212" s="8">
        <v>1989</v>
      </c>
      <c r="U212" s="8">
        <f t="shared" si="25"/>
        <v>33</v>
      </c>
      <c r="V212" s="7" t="s">
        <v>465</v>
      </c>
      <c r="W212" t="s">
        <v>464</v>
      </c>
      <c r="X212" s="2">
        <v>1.1339999999999999</v>
      </c>
      <c r="Y212" s="6">
        <f t="shared" si="30"/>
        <v>3.0271482341635299E-2</v>
      </c>
      <c r="AA212">
        <v>945765</v>
      </c>
      <c r="AB212">
        <v>12372</v>
      </c>
      <c r="AD212" t="s">
        <v>5</v>
      </c>
      <c r="AE212">
        <v>19</v>
      </c>
      <c r="AF212" s="9">
        <v>44383</v>
      </c>
      <c r="AH212" t="s">
        <v>6980</v>
      </c>
      <c r="AI212" t="s">
        <v>6979</v>
      </c>
      <c r="AK212" t="s">
        <v>6978</v>
      </c>
      <c r="AL212">
        <v>0</v>
      </c>
      <c r="AM212" s="5">
        <f t="shared" si="26"/>
        <v>0</v>
      </c>
      <c r="AN212" s="4">
        <f t="shared" si="31"/>
        <v>0</v>
      </c>
      <c r="AO212" s="3"/>
      <c r="AP212">
        <v>0</v>
      </c>
      <c r="AQ212" t="s">
        <v>618</v>
      </c>
      <c r="AR212" t="s">
        <v>0</v>
      </c>
      <c r="AS212" t="s">
        <v>616</v>
      </c>
      <c r="AT212" s="2">
        <v>2.4129999999999998</v>
      </c>
      <c r="AU212" s="1">
        <f t="shared" si="27"/>
        <v>2.119003763914471</v>
      </c>
      <c r="AV212" s="1">
        <f t="shared" si="28"/>
        <v>1.5135741170817649</v>
      </c>
      <c r="AW212" s="1">
        <f t="shared" si="29"/>
        <v>0.90814447024905898</v>
      </c>
    </row>
    <row r="213" spans="1:49" x14ac:dyDescent="0.2">
      <c r="A213">
        <v>211</v>
      </c>
      <c r="B213" t="s">
        <v>6977</v>
      </c>
      <c r="C213" t="s">
        <v>6976</v>
      </c>
      <c r="D213" t="s">
        <v>6975</v>
      </c>
      <c r="F213" t="s">
        <v>6974</v>
      </c>
      <c r="G213" t="s">
        <v>15</v>
      </c>
      <c r="H213" t="s">
        <v>14</v>
      </c>
      <c r="I213" t="s">
        <v>6973</v>
      </c>
      <c r="N213">
        <v>1</v>
      </c>
      <c r="O213" t="s">
        <v>6972</v>
      </c>
      <c r="P213">
        <v>16409406100</v>
      </c>
      <c r="R213" s="7">
        <v>32509</v>
      </c>
      <c r="S213" s="8">
        <f t="shared" si="24"/>
        <v>1989</v>
      </c>
      <c r="T213" s="8">
        <v>1989</v>
      </c>
      <c r="U213" s="8">
        <f t="shared" si="25"/>
        <v>33</v>
      </c>
      <c r="V213" s="7">
        <v>32813</v>
      </c>
      <c r="W213" t="s">
        <v>464</v>
      </c>
      <c r="X213" s="2">
        <v>1.1339999999999999</v>
      </c>
      <c r="Y213" s="6">
        <f t="shared" si="30"/>
        <v>3.0271482341635299E-2</v>
      </c>
      <c r="AA213">
        <v>945765</v>
      </c>
      <c r="AB213">
        <v>12372</v>
      </c>
      <c r="AD213" t="s">
        <v>5</v>
      </c>
      <c r="AE213">
        <v>19</v>
      </c>
      <c r="AF213">
        <v>11</v>
      </c>
      <c r="AH213" t="s">
        <v>6971</v>
      </c>
      <c r="AI213" t="s">
        <v>6970</v>
      </c>
      <c r="AK213" t="s">
        <v>6969</v>
      </c>
      <c r="AL213">
        <v>0</v>
      </c>
      <c r="AM213" s="5">
        <f t="shared" si="26"/>
        <v>0</v>
      </c>
      <c r="AN213" s="4">
        <f t="shared" si="31"/>
        <v>0</v>
      </c>
      <c r="AO213" s="3"/>
      <c r="AP213">
        <v>0</v>
      </c>
      <c r="AR213" t="s">
        <v>0</v>
      </c>
      <c r="AT213" s="2">
        <v>2.4129999999999998</v>
      </c>
      <c r="AU213" s="1">
        <f t="shared" si="27"/>
        <v>2.119003763914471</v>
      </c>
      <c r="AV213" s="1">
        <f t="shared" si="28"/>
        <v>1.5135741170817649</v>
      </c>
      <c r="AW213" s="1">
        <f t="shared" si="29"/>
        <v>0.90814447024905898</v>
      </c>
    </row>
    <row r="214" spans="1:49" x14ac:dyDescent="0.2">
      <c r="A214">
        <v>212</v>
      </c>
      <c r="B214" t="s">
        <v>6968</v>
      </c>
      <c r="C214" t="s">
        <v>6967</v>
      </c>
      <c r="D214">
        <v>21916989900391</v>
      </c>
      <c r="F214" t="s">
        <v>6966</v>
      </c>
      <c r="G214" t="s">
        <v>15</v>
      </c>
      <c r="H214" t="s">
        <v>14</v>
      </c>
      <c r="I214" t="s">
        <v>6965</v>
      </c>
      <c r="J214">
        <v>60007843</v>
      </c>
      <c r="K214" t="s">
        <v>2227</v>
      </c>
      <c r="L214" t="s">
        <v>2226</v>
      </c>
      <c r="M214" t="s">
        <v>23</v>
      </c>
      <c r="N214">
        <v>1</v>
      </c>
      <c r="O214" t="s">
        <v>6964</v>
      </c>
      <c r="P214">
        <v>24378654600</v>
      </c>
      <c r="Q214">
        <v>60007843</v>
      </c>
      <c r="R214" s="7">
        <v>32509</v>
      </c>
      <c r="S214" s="8">
        <f t="shared" si="24"/>
        <v>1989</v>
      </c>
      <c r="T214" s="8">
        <v>1989</v>
      </c>
      <c r="U214" s="8">
        <f t="shared" si="25"/>
        <v>33</v>
      </c>
      <c r="V214" s="7" t="s">
        <v>6911</v>
      </c>
      <c r="W214" t="s">
        <v>6406</v>
      </c>
      <c r="X214" s="2">
        <v>0.51500000000000001</v>
      </c>
      <c r="Y214" s="6">
        <f t="shared" si="30"/>
        <v>1.374763086943755E-2</v>
      </c>
      <c r="AA214">
        <v>219169</v>
      </c>
      <c r="AB214">
        <v>30966</v>
      </c>
      <c r="AD214" t="s">
        <v>5</v>
      </c>
      <c r="AE214">
        <v>51</v>
      </c>
      <c r="AF214" s="9">
        <v>44478</v>
      </c>
      <c r="AH214" t="s">
        <v>6963</v>
      </c>
      <c r="AI214" t="s">
        <v>6962</v>
      </c>
      <c r="AK214" t="s">
        <v>6961</v>
      </c>
      <c r="AL214">
        <v>1</v>
      </c>
      <c r="AM214" s="5">
        <f t="shared" si="26"/>
        <v>3.0303030303030304E-2</v>
      </c>
      <c r="AN214" s="4">
        <f t="shared" si="31"/>
        <v>4.5896297316214016E-5</v>
      </c>
      <c r="AO214" s="3"/>
      <c r="AP214">
        <v>0</v>
      </c>
      <c r="AQ214" t="s">
        <v>2130</v>
      </c>
      <c r="AR214" t="s">
        <v>6960</v>
      </c>
      <c r="AS214" t="s">
        <v>2129</v>
      </c>
      <c r="AT214" s="2" t="s">
        <v>19</v>
      </c>
      <c r="AU214" s="1">
        <f t="shared" si="27"/>
        <v>0.96371104978011479</v>
      </c>
      <c r="AV214" s="1">
        <f t="shared" si="28"/>
        <v>0.68967635833768814</v>
      </c>
      <c r="AW214" s="1">
        <f t="shared" si="29"/>
        <v>0.4156416668952615</v>
      </c>
    </row>
    <row r="215" spans="1:49" x14ac:dyDescent="0.2">
      <c r="A215">
        <v>213</v>
      </c>
      <c r="B215" t="s">
        <v>6959</v>
      </c>
      <c r="C215" t="s">
        <v>6958</v>
      </c>
      <c r="D215" t="s">
        <v>6957</v>
      </c>
      <c r="F215" t="s">
        <v>6956</v>
      </c>
      <c r="G215" t="s">
        <v>15</v>
      </c>
      <c r="H215" t="s">
        <v>14</v>
      </c>
      <c r="I215" t="s">
        <v>6955</v>
      </c>
      <c r="J215" t="s">
        <v>6954</v>
      </c>
      <c r="K215" t="s">
        <v>6953</v>
      </c>
      <c r="L215" t="s">
        <v>6952</v>
      </c>
      <c r="M215" t="s">
        <v>6951</v>
      </c>
      <c r="N215">
        <v>9</v>
      </c>
      <c r="O215" t="s">
        <v>6950</v>
      </c>
      <c r="P215" t="s">
        <v>6949</v>
      </c>
      <c r="Q215" t="s">
        <v>6948</v>
      </c>
      <c r="R215" s="7">
        <v>32509</v>
      </c>
      <c r="S215" s="8">
        <f t="shared" si="24"/>
        <v>1989</v>
      </c>
      <c r="T215" s="8">
        <v>1989</v>
      </c>
      <c r="U215" s="8">
        <f t="shared" si="25"/>
        <v>33</v>
      </c>
      <c r="V215" s="7">
        <v>1989</v>
      </c>
      <c r="W215" t="s">
        <v>6844</v>
      </c>
      <c r="X215" s="2">
        <v>0.65600000000000003</v>
      </c>
      <c r="Y215" s="6">
        <f t="shared" si="30"/>
        <v>1.751154534048744E-2</v>
      </c>
      <c r="AA215">
        <v>9203796</v>
      </c>
      <c r="AB215">
        <v>20344</v>
      </c>
      <c r="AD215" t="s">
        <v>5</v>
      </c>
      <c r="AE215">
        <v>9</v>
      </c>
      <c r="AF215" t="s">
        <v>5662</v>
      </c>
      <c r="AH215" t="s">
        <v>6947</v>
      </c>
      <c r="AI215" t="s">
        <v>6946</v>
      </c>
      <c r="AK215" t="s">
        <v>6945</v>
      </c>
      <c r="AL215">
        <v>0</v>
      </c>
      <c r="AM215" s="5">
        <f t="shared" si="26"/>
        <v>0</v>
      </c>
      <c r="AN215" s="4">
        <f t="shared" si="31"/>
        <v>0</v>
      </c>
      <c r="AO215" s="3"/>
      <c r="AP215">
        <v>0</v>
      </c>
      <c r="AQ215" t="s">
        <v>6944</v>
      </c>
      <c r="AR215" t="s">
        <v>0</v>
      </c>
      <c r="AS215" t="s">
        <v>6943</v>
      </c>
      <c r="AT215" s="2">
        <v>1.4530000000000001</v>
      </c>
      <c r="AU215" s="1">
        <f t="shared" si="27"/>
        <v>1.2258081738341209</v>
      </c>
      <c r="AV215" s="1">
        <f t="shared" si="28"/>
        <v>0.875577267024372</v>
      </c>
      <c r="AW215" s="1">
        <f t="shared" si="29"/>
        <v>0.52534636021462322</v>
      </c>
    </row>
    <row r="216" spans="1:49" x14ac:dyDescent="0.2">
      <c r="A216">
        <v>214</v>
      </c>
      <c r="B216" t="s">
        <v>6942</v>
      </c>
      <c r="C216" t="s">
        <v>6941</v>
      </c>
      <c r="D216" t="s">
        <v>6940</v>
      </c>
      <c r="F216" t="s">
        <v>6939</v>
      </c>
      <c r="G216" t="s">
        <v>15</v>
      </c>
      <c r="H216" t="s">
        <v>14</v>
      </c>
      <c r="I216" t="s">
        <v>6938</v>
      </c>
      <c r="J216" t="s">
        <v>6937</v>
      </c>
      <c r="K216" t="s">
        <v>6936</v>
      </c>
      <c r="L216" t="s">
        <v>6170</v>
      </c>
      <c r="M216" t="s">
        <v>225</v>
      </c>
      <c r="N216">
        <v>1</v>
      </c>
      <c r="O216" t="s">
        <v>6935</v>
      </c>
      <c r="P216">
        <v>7003386560</v>
      </c>
      <c r="Q216" t="s">
        <v>6934</v>
      </c>
      <c r="R216" s="7">
        <v>32509</v>
      </c>
      <c r="S216" s="8">
        <f t="shared" si="24"/>
        <v>1989</v>
      </c>
      <c r="T216" s="8">
        <v>1989</v>
      </c>
      <c r="U216" s="8">
        <f t="shared" si="25"/>
        <v>33</v>
      </c>
      <c r="V216" s="7">
        <v>1989</v>
      </c>
      <c r="W216" t="s">
        <v>6440</v>
      </c>
      <c r="X216" s="2">
        <v>0.68200000000000005</v>
      </c>
      <c r="Y216" s="6">
        <f t="shared" si="30"/>
        <v>1.8205600491177493E-2</v>
      </c>
      <c r="AA216">
        <v>2731177</v>
      </c>
      <c r="AB216">
        <v>12375</v>
      </c>
      <c r="AD216" t="s">
        <v>5</v>
      </c>
      <c r="AE216">
        <v>9</v>
      </c>
      <c r="AF216">
        <v>9</v>
      </c>
      <c r="AH216" t="s">
        <v>6933</v>
      </c>
      <c r="AI216" t="s">
        <v>6932</v>
      </c>
      <c r="AK216" t="s">
        <v>6931</v>
      </c>
      <c r="AL216">
        <v>0</v>
      </c>
      <c r="AM216" s="5">
        <f t="shared" si="26"/>
        <v>0</v>
      </c>
      <c r="AN216" s="4">
        <f t="shared" si="31"/>
        <v>0</v>
      </c>
      <c r="AO216" s="3"/>
      <c r="AP216">
        <v>0</v>
      </c>
      <c r="AR216" t="s">
        <v>0</v>
      </c>
      <c r="AT216" s="2">
        <v>2.1520000000000001</v>
      </c>
      <c r="AU216" s="1">
        <f t="shared" si="27"/>
        <v>1.2743920343824244</v>
      </c>
      <c r="AV216" s="1">
        <f t="shared" si="28"/>
        <v>0.91028002455887469</v>
      </c>
      <c r="AW216" s="1">
        <f t="shared" si="29"/>
        <v>0.54616801473532472</v>
      </c>
    </row>
    <row r="217" spans="1:49" x14ac:dyDescent="0.2">
      <c r="A217">
        <v>215</v>
      </c>
      <c r="B217" t="s">
        <v>6930</v>
      </c>
      <c r="C217" t="s">
        <v>6929</v>
      </c>
      <c r="D217">
        <v>273117789904948</v>
      </c>
      <c r="F217" t="s">
        <v>6928</v>
      </c>
      <c r="G217" t="s">
        <v>15</v>
      </c>
      <c r="H217" t="s">
        <v>14</v>
      </c>
      <c r="I217" t="s">
        <v>6927</v>
      </c>
      <c r="J217">
        <v>60103653</v>
      </c>
      <c r="K217" t="s">
        <v>6926</v>
      </c>
      <c r="L217" t="s">
        <v>6925</v>
      </c>
      <c r="M217" t="s">
        <v>6924</v>
      </c>
      <c r="N217">
        <v>1</v>
      </c>
      <c r="O217" t="s">
        <v>6923</v>
      </c>
      <c r="P217">
        <v>35579880600</v>
      </c>
      <c r="Q217">
        <v>60103653</v>
      </c>
      <c r="R217" s="7">
        <v>32509</v>
      </c>
      <c r="S217" s="8">
        <f t="shared" si="24"/>
        <v>1989</v>
      </c>
      <c r="T217" s="8">
        <v>1989</v>
      </c>
      <c r="U217" s="8">
        <f t="shared" si="25"/>
        <v>33</v>
      </c>
      <c r="V217" s="7">
        <v>1989</v>
      </c>
      <c r="W217" t="s">
        <v>6440</v>
      </c>
      <c r="X217" s="2">
        <v>0.68200000000000005</v>
      </c>
      <c r="Y217" s="6">
        <f t="shared" si="30"/>
        <v>1.8205600491177493E-2</v>
      </c>
      <c r="AA217">
        <v>2731177</v>
      </c>
      <c r="AB217">
        <v>12375</v>
      </c>
      <c r="AD217" t="s">
        <v>5</v>
      </c>
      <c r="AE217">
        <v>9</v>
      </c>
      <c r="AF217">
        <v>1</v>
      </c>
      <c r="AH217" t="s">
        <v>6922</v>
      </c>
      <c r="AI217" t="s">
        <v>6921</v>
      </c>
      <c r="AK217" t="s">
        <v>6920</v>
      </c>
      <c r="AL217">
        <v>33</v>
      </c>
      <c r="AM217" s="5">
        <f t="shared" si="26"/>
        <v>1</v>
      </c>
      <c r="AN217" s="4">
        <f t="shared" si="31"/>
        <v>1.5145778114350624E-3</v>
      </c>
      <c r="AO217" s="3"/>
      <c r="AP217">
        <v>0</v>
      </c>
      <c r="AR217" t="s">
        <v>0</v>
      </c>
      <c r="AT217" s="2">
        <v>2.1520000000000001</v>
      </c>
      <c r="AU217" s="1">
        <f t="shared" si="27"/>
        <v>1.3198293687254763</v>
      </c>
      <c r="AV217" s="1">
        <f t="shared" si="28"/>
        <v>0.98600891513062772</v>
      </c>
      <c r="AW217" s="1">
        <f t="shared" si="29"/>
        <v>0.65218846153577914</v>
      </c>
    </row>
    <row r="218" spans="1:49" x14ac:dyDescent="0.2">
      <c r="A218">
        <v>216</v>
      </c>
      <c r="B218" t="s">
        <v>6919</v>
      </c>
      <c r="C218" t="s">
        <v>6918</v>
      </c>
      <c r="D218" t="s">
        <v>6917</v>
      </c>
      <c r="F218" t="s">
        <v>6916</v>
      </c>
      <c r="G218" t="s">
        <v>15</v>
      </c>
      <c r="H218" t="s">
        <v>14</v>
      </c>
      <c r="I218" t="s">
        <v>6915</v>
      </c>
      <c r="J218">
        <v>60021624</v>
      </c>
      <c r="K218" t="s">
        <v>6914</v>
      </c>
      <c r="L218" t="s">
        <v>6913</v>
      </c>
      <c r="M218" t="s">
        <v>23</v>
      </c>
      <c r="N218">
        <v>1</v>
      </c>
      <c r="O218" t="s">
        <v>6912</v>
      </c>
      <c r="P218">
        <v>24379058100</v>
      </c>
      <c r="Q218">
        <v>60021624</v>
      </c>
      <c r="R218" s="7">
        <v>32509</v>
      </c>
      <c r="S218" s="8">
        <f t="shared" si="24"/>
        <v>1989</v>
      </c>
      <c r="T218" s="8">
        <v>1989</v>
      </c>
      <c r="U218" s="8">
        <f t="shared" si="25"/>
        <v>33</v>
      </c>
      <c r="V218" s="7" t="s">
        <v>6911</v>
      </c>
      <c r="W218" t="s">
        <v>6406</v>
      </c>
      <c r="X218" s="2">
        <v>0.51500000000000001</v>
      </c>
      <c r="Y218" s="6">
        <f t="shared" si="30"/>
        <v>1.374763086943755E-2</v>
      </c>
      <c r="AA218">
        <v>219169</v>
      </c>
      <c r="AB218">
        <v>30966</v>
      </c>
      <c r="AD218" t="s">
        <v>5</v>
      </c>
      <c r="AE218">
        <v>51</v>
      </c>
      <c r="AF218" s="9">
        <v>44478</v>
      </c>
      <c r="AH218" t="s">
        <v>6910</v>
      </c>
      <c r="AI218" t="s">
        <v>6909</v>
      </c>
      <c r="AK218" t="s">
        <v>6908</v>
      </c>
      <c r="AL218">
        <v>16</v>
      </c>
      <c r="AM218" s="5">
        <f t="shared" si="26"/>
        <v>0.48484848484848486</v>
      </c>
      <c r="AN218" s="4">
        <f t="shared" si="31"/>
        <v>7.3434075705942426E-4</v>
      </c>
      <c r="AO218" s="3"/>
      <c r="AP218">
        <v>0</v>
      </c>
      <c r="AR218" t="s">
        <v>0</v>
      </c>
      <c r="AT218" s="2" t="s">
        <v>19</v>
      </c>
      <c r="AU218" s="1">
        <f t="shared" si="27"/>
        <v>0.98436438357241107</v>
      </c>
      <c r="AV218" s="1">
        <f t="shared" si="28"/>
        <v>0.72409858132484872</v>
      </c>
      <c r="AW218" s="1">
        <f t="shared" si="29"/>
        <v>0.46383277907728626</v>
      </c>
    </row>
    <row r="219" spans="1:49" x14ac:dyDescent="0.2">
      <c r="A219">
        <v>217</v>
      </c>
      <c r="B219" t="s">
        <v>6907</v>
      </c>
      <c r="C219" t="s">
        <v>6906</v>
      </c>
      <c r="D219">
        <v>32063389900196</v>
      </c>
      <c r="F219" t="s">
        <v>6905</v>
      </c>
      <c r="G219" t="s">
        <v>15</v>
      </c>
      <c r="H219" t="s">
        <v>14</v>
      </c>
      <c r="I219" t="s">
        <v>6904</v>
      </c>
      <c r="J219" t="s">
        <v>6903</v>
      </c>
      <c r="K219" t="s">
        <v>6902</v>
      </c>
      <c r="L219" t="s">
        <v>6901</v>
      </c>
      <c r="M219" t="s">
        <v>6900</v>
      </c>
      <c r="N219">
        <v>3</v>
      </c>
      <c r="O219" t="s">
        <v>6899</v>
      </c>
      <c r="P219" t="s">
        <v>6898</v>
      </c>
      <c r="Q219" t="s">
        <v>6897</v>
      </c>
      <c r="R219" s="7">
        <v>32509</v>
      </c>
      <c r="S219" s="8">
        <f t="shared" si="24"/>
        <v>1989</v>
      </c>
      <c r="T219" s="8">
        <v>1989</v>
      </c>
      <c r="U219" s="8">
        <f t="shared" si="25"/>
        <v>33</v>
      </c>
      <c r="V219" s="7">
        <v>32782</v>
      </c>
      <c r="W219" t="s">
        <v>6364</v>
      </c>
      <c r="X219" s="2">
        <v>0.69599999999999995</v>
      </c>
      <c r="Y219" s="6">
        <f t="shared" si="30"/>
        <v>1.857932249539521E-2</v>
      </c>
      <c r="AA219">
        <v>320633</v>
      </c>
      <c r="AB219">
        <v>27773</v>
      </c>
      <c r="AD219" t="s">
        <v>5</v>
      </c>
      <c r="AE219">
        <v>37</v>
      </c>
      <c r="AF219">
        <v>10</v>
      </c>
      <c r="AH219" t="s">
        <v>6896</v>
      </c>
      <c r="AI219" t="s">
        <v>6895</v>
      </c>
      <c r="AK219" t="s">
        <v>6894</v>
      </c>
      <c r="AL219">
        <v>3</v>
      </c>
      <c r="AM219" s="5">
        <f t="shared" si="26"/>
        <v>9.0909090909090912E-2</v>
      </c>
      <c r="AN219" s="4">
        <f t="shared" si="31"/>
        <v>1.3768889194864205E-4</v>
      </c>
      <c r="AO219" s="3"/>
      <c r="AP219">
        <v>0</v>
      </c>
      <c r="AR219" t="s">
        <v>0</v>
      </c>
      <c r="AT219" s="2">
        <v>2.0299999999999998</v>
      </c>
      <c r="AU219" s="1">
        <f t="shared" si="27"/>
        <v>1.304683241436124</v>
      </c>
      <c r="AV219" s="1">
        <f t="shared" si="28"/>
        <v>0.93585056936719246</v>
      </c>
      <c r="AW219" s="1">
        <f t="shared" si="29"/>
        <v>0.56701789729826124</v>
      </c>
    </row>
    <row r="220" spans="1:49" x14ac:dyDescent="0.2">
      <c r="A220">
        <v>218</v>
      </c>
      <c r="B220" t="s">
        <v>6893</v>
      </c>
      <c r="C220" t="s">
        <v>6892</v>
      </c>
      <c r="D220" t="s">
        <v>6891</v>
      </c>
      <c r="F220" t="s">
        <v>6890</v>
      </c>
      <c r="G220" t="s">
        <v>15</v>
      </c>
      <c r="H220" t="s">
        <v>14</v>
      </c>
      <c r="I220" t="s">
        <v>6889</v>
      </c>
      <c r="J220" t="s">
        <v>6888</v>
      </c>
      <c r="K220" t="s">
        <v>6887</v>
      </c>
      <c r="L220" t="s">
        <v>6886</v>
      </c>
      <c r="M220" t="s">
        <v>6885</v>
      </c>
      <c r="N220">
        <v>13</v>
      </c>
      <c r="O220" t="s">
        <v>6884</v>
      </c>
      <c r="P220" t="s">
        <v>6883</v>
      </c>
      <c r="Q220" t="s">
        <v>6882</v>
      </c>
      <c r="R220" s="7">
        <v>32509</v>
      </c>
      <c r="S220" s="8">
        <f t="shared" si="24"/>
        <v>1989</v>
      </c>
      <c r="T220" s="8">
        <v>1989</v>
      </c>
      <c r="U220" s="8">
        <f t="shared" si="25"/>
        <v>33</v>
      </c>
      <c r="V220" s="7">
        <v>1989</v>
      </c>
      <c r="W220" t="s">
        <v>6844</v>
      </c>
      <c r="X220" s="2">
        <v>0.65600000000000003</v>
      </c>
      <c r="Y220" s="6">
        <f t="shared" si="30"/>
        <v>1.751154534048744E-2</v>
      </c>
      <c r="AA220">
        <v>9203796</v>
      </c>
      <c r="AB220">
        <v>20344</v>
      </c>
      <c r="AD220" t="s">
        <v>5</v>
      </c>
      <c r="AE220">
        <v>10</v>
      </c>
      <c r="AF220" t="s">
        <v>5662</v>
      </c>
      <c r="AH220" t="s">
        <v>6881</v>
      </c>
      <c r="AI220" t="s">
        <v>6880</v>
      </c>
      <c r="AK220" t="s">
        <v>6879</v>
      </c>
      <c r="AL220">
        <v>2</v>
      </c>
      <c r="AM220" s="5">
        <f t="shared" si="26"/>
        <v>6.0606060606060608E-2</v>
      </c>
      <c r="AN220" s="4">
        <f t="shared" si="31"/>
        <v>9.1792594632428032E-5</v>
      </c>
      <c r="AO220" s="3"/>
      <c r="AP220">
        <v>0</v>
      </c>
      <c r="AR220" t="s">
        <v>0</v>
      </c>
      <c r="AT220" s="2">
        <v>1.4530000000000001</v>
      </c>
      <c r="AU220" s="1">
        <f t="shared" si="27"/>
        <v>1.2285619516730937</v>
      </c>
      <c r="AV220" s="1">
        <f t="shared" si="28"/>
        <v>0.88016689675599336</v>
      </c>
      <c r="AW220" s="1">
        <f t="shared" si="29"/>
        <v>0.53177184183889314</v>
      </c>
    </row>
    <row r="221" spans="1:49" x14ac:dyDescent="0.2">
      <c r="A221">
        <v>219</v>
      </c>
      <c r="B221" t="s">
        <v>6878</v>
      </c>
      <c r="C221" t="s">
        <v>6877</v>
      </c>
      <c r="D221">
        <v>263224189900225</v>
      </c>
      <c r="F221" t="s">
        <v>6876</v>
      </c>
      <c r="G221" t="s">
        <v>15</v>
      </c>
      <c r="H221" t="s">
        <v>14</v>
      </c>
      <c r="I221" t="s">
        <v>6875</v>
      </c>
      <c r="J221">
        <v>60009999</v>
      </c>
      <c r="K221" t="s">
        <v>6874</v>
      </c>
      <c r="L221" t="s">
        <v>6873</v>
      </c>
      <c r="M221" t="s">
        <v>4992</v>
      </c>
      <c r="N221">
        <v>1</v>
      </c>
      <c r="O221" t="s">
        <v>6872</v>
      </c>
      <c r="P221">
        <v>6701919255</v>
      </c>
      <c r="Q221">
        <v>60009999</v>
      </c>
      <c r="R221" s="7">
        <v>32509</v>
      </c>
      <c r="S221" s="8">
        <f t="shared" si="24"/>
        <v>1989</v>
      </c>
      <c r="T221" s="8">
        <v>1989</v>
      </c>
      <c r="U221" s="8">
        <f t="shared" si="25"/>
        <v>33</v>
      </c>
      <c r="V221" s="7" t="s">
        <v>6871</v>
      </c>
      <c r="W221" t="s">
        <v>6870</v>
      </c>
      <c r="X221" s="2">
        <v>1.2929999999999999</v>
      </c>
      <c r="Y221" s="6">
        <f t="shared" si="30"/>
        <v>3.4515896532393689E-2</v>
      </c>
      <c r="AA221">
        <v>2632241</v>
      </c>
      <c r="AB221">
        <v>15424</v>
      </c>
      <c r="AD221" t="s">
        <v>5</v>
      </c>
      <c r="AE221">
        <v>7</v>
      </c>
      <c r="AF221">
        <v>1</v>
      </c>
      <c r="AH221" t="s">
        <v>6869</v>
      </c>
      <c r="AI221" t="s">
        <v>6868</v>
      </c>
      <c r="AJ221" t="s">
        <v>6867</v>
      </c>
      <c r="AK221" t="s">
        <v>6866</v>
      </c>
      <c r="AL221">
        <v>0</v>
      </c>
      <c r="AM221" s="5">
        <f t="shared" si="26"/>
        <v>0</v>
      </c>
      <c r="AN221" s="4">
        <f t="shared" si="31"/>
        <v>0</v>
      </c>
      <c r="AO221" s="3"/>
      <c r="AP221">
        <v>0</v>
      </c>
      <c r="AR221" t="s">
        <v>0</v>
      </c>
      <c r="AT221" s="2">
        <v>3.927</v>
      </c>
      <c r="AU221" s="1">
        <f t="shared" si="27"/>
        <v>2.416112757267558</v>
      </c>
      <c r="AV221" s="1">
        <f t="shared" si="28"/>
        <v>1.7257948266196845</v>
      </c>
      <c r="AW221" s="1">
        <f t="shared" si="29"/>
        <v>1.0354768959718106</v>
      </c>
    </row>
    <row r="222" spans="1:49" x14ac:dyDescent="0.2">
      <c r="A222">
        <v>220</v>
      </c>
      <c r="B222" t="s">
        <v>6865</v>
      </c>
      <c r="C222" t="s">
        <v>6864</v>
      </c>
      <c r="D222" t="s">
        <v>6863</v>
      </c>
      <c r="F222" t="s">
        <v>6862</v>
      </c>
      <c r="G222" t="s">
        <v>15</v>
      </c>
      <c r="H222" t="s">
        <v>14</v>
      </c>
      <c r="I222" t="s">
        <v>6861</v>
      </c>
      <c r="J222" t="s">
        <v>6860</v>
      </c>
      <c r="K222" t="s">
        <v>6859</v>
      </c>
      <c r="L222" t="s">
        <v>6858</v>
      </c>
      <c r="M222" t="s">
        <v>554</v>
      </c>
      <c r="N222">
        <v>3</v>
      </c>
      <c r="O222" t="s">
        <v>6857</v>
      </c>
      <c r="P222" t="s">
        <v>6856</v>
      </c>
      <c r="Q222" t="s">
        <v>6855</v>
      </c>
      <c r="R222" s="7">
        <v>32509</v>
      </c>
      <c r="S222" s="8">
        <f t="shared" si="24"/>
        <v>1989</v>
      </c>
      <c r="T222" s="8">
        <v>1989</v>
      </c>
      <c r="U222" s="8">
        <f t="shared" si="25"/>
        <v>33</v>
      </c>
      <c r="V222" s="7">
        <v>32599</v>
      </c>
      <c r="W222" t="s">
        <v>464</v>
      </c>
      <c r="X222" s="2">
        <v>1.1339999999999999</v>
      </c>
      <c r="Y222" s="6">
        <f t="shared" si="30"/>
        <v>3.0271482341635299E-2</v>
      </c>
      <c r="AA222">
        <v>945765</v>
      </c>
      <c r="AB222">
        <v>12372</v>
      </c>
      <c r="AD222" t="s">
        <v>5</v>
      </c>
      <c r="AE222">
        <v>19</v>
      </c>
      <c r="AF222">
        <v>4</v>
      </c>
      <c r="AH222" t="s">
        <v>6854</v>
      </c>
      <c r="AI222" t="s">
        <v>6853</v>
      </c>
      <c r="AK222" t="s">
        <v>6852</v>
      </c>
      <c r="AL222">
        <v>0</v>
      </c>
      <c r="AM222" s="5">
        <f t="shared" si="26"/>
        <v>0</v>
      </c>
      <c r="AN222" s="4">
        <f t="shared" si="31"/>
        <v>0</v>
      </c>
      <c r="AO222" s="3"/>
      <c r="AP222">
        <v>0</v>
      </c>
      <c r="AR222" t="s">
        <v>0</v>
      </c>
      <c r="AT222" s="2">
        <v>2.4129999999999998</v>
      </c>
      <c r="AU222" s="1">
        <f t="shared" si="27"/>
        <v>2.119003763914471</v>
      </c>
      <c r="AV222" s="1">
        <f t="shared" si="28"/>
        <v>1.5135741170817649</v>
      </c>
      <c r="AW222" s="1">
        <f t="shared" si="29"/>
        <v>0.90814447024905898</v>
      </c>
    </row>
    <row r="223" spans="1:49" x14ac:dyDescent="0.2">
      <c r="A223">
        <v>221</v>
      </c>
      <c r="B223" t="s">
        <v>6851</v>
      </c>
      <c r="C223" t="s">
        <v>6850</v>
      </c>
      <c r="D223" t="s">
        <v>6849</v>
      </c>
      <c r="F223" t="s">
        <v>6848</v>
      </c>
      <c r="G223" t="s">
        <v>15</v>
      </c>
      <c r="H223" t="s">
        <v>14</v>
      </c>
      <c r="I223" t="s">
        <v>6847</v>
      </c>
      <c r="J223">
        <v>60025104</v>
      </c>
      <c r="K223" t="s">
        <v>6846</v>
      </c>
      <c r="M223" t="s">
        <v>792</v>
      </c>
      <c r="N223">
        <v>1</v>
      </c>
      <c r="O223" t="s">
        <v>6845</v>
      </c>
      <c r="P223">
        <v>6701711860</v>
      </c>
      <c r="Q223">
        <v>60025104</v>
      </c>
      <c r="R223" s="7">
        <v>32509</v>
      </c>
      <c r="S223" s="8">
        <f t="shared" si="24"/>
        <v>1989</v>
      </c>
      <c r="T223" s="8">
        <v>1989</v>
      </c>
      <c r="U223" s="8">
        <f t="shared" si="25"/>
        <v>33</v>
      </c>
      <c r="V223" s="7" t="s">
        <v>465</v>
      </c>
      <c r="W223" t="s">
        <v>6844</v>
      </c>
      <c r="X223" s="2">
        <v>0.65600000000000003</v>
      </c>
      <c r="Y223" s="6">
        <f t="shared" si="30"/>
        <v>1.751154534048744E-2</v>
      </c>
      <c r="AA223">
        <v>9203796</v>
      </c>
      <c r="AB223">
        <v>20344</v>
      </c>
      <c r="AD223" t="s">
        <v>5</v>
      </c>
      <c r="AE223">
        <v>11</v>
      </c>
      <c r="AF223" s="9">
        <v>44228</v>
      </c>
      <c r="AH223" t="s">
        <v>6843</v>
      </c>
      <c r="AI223" t="s">
        <v>6842</v>
      </c>
      <c r="AK223" t="s">
        <v>6841</v>
      </c>
      <c r="AL223">
        <v>7</v>
      </c>
      <c r="AM223" s="5">
        <f t="shared" si="26"/>
        <v>0.21212121212121213</v>
      </c>
      <c r="AN223" s="4">
        <f t="shared" si="31"/>
        <v>3.2127408121349809E-4</v>
      </c>
      <c r="AO223" s="3"/>
      <c r="AP223">
        <v>0</v>
      </c>
      <c r="AR223" t="s">
        <v>0</v>
      </c>
      <c r="AT223" s="2">
        <v>1.4530000000000001</v>
      </c>
      <c r="AU223" s="1">
        <f t="shared" si="27"/>
        <v>1.2354463962705258</v>
      </c>
      <c r="AV223" s="1">
        <f t="shared" si="28"/>
        <v>0.89164097108504692</v>
      </c>
      <c r="AW223" s="1">
        <f t="shared" si="29"/>
        <v>0.54783554589956807</v>
      </c>
    </row>
    <row r="224" spans="1:49" x14ac:dyDescent="0.2">
      <c r="A224">
        <v>222</v>
      </c>
      <c r="B224" t="s">
        <v>6840</v>
      </c>
      <c r="C224" t="s">
        <v>6839</v>
      </c>
      <c r="F224" t="s">
        <v>6838</v>
      </c>
      <c r="G224" t="s">
        <v>15</v>
      </c>
      <c r="H224" t="s">
        <v>14</v>
      </c>
      <c r="I224" t="s">
        <v>6837</v>
      </c>
      <c r="J224">
        <v>60002286</v>
      </c>
      <c r="K224" t="s">
        <v>5551</v>
      </c>
      <c r="L224" t="s">
        <v>197</v>
      </c>
      <c r="M224" t="s">
        <v>196</v>
      </c>
      <c r="N224">
        <v>1</v>
      </c>
      <c r="O224" t="s">
        <v>6836</v>
      </c>
      <c r="P224">
        <v>56488904500</v>
      </c>
      <c r="Q224">
        <v>60002286</v>
      </c>
      <c r="R224" s="7">
        <v>32509</v>
      </c>
      <c r="S224" s="8">
        <f t="shared" si="24"/>
        <v>1989</v>
      </c>
      <c r="T224" s="8">
        <v>1989</v>
      </c>
      <c r="U224" s="8">
        <f t="shared" si="25"/>
        <v>33</v>
      </c>
      <c r="V224" s="7">
        <v>32568</v>
      </c>
      <c r="W224" t="s">
        <v>853</v>
      </c>
      <c r="X224" s="2">
        <v>2.141</v>
      </c>
      <c r="Y224" s="6">
        <f t="shared" si="30"/>
        <v>5.7152772216438434E-2</v>
      </c>
      <c r="AA224">
        <v>1962892</v>
      </c>
      <c r="AB224">
        <v>17360</v>
      </c>
      <c r="AC224">
        <v>15580644</v>
      </c>
      <c r="AD224" t="s">
        <v>5</v>
      </c>
      <c r="AE224">
        <v>27</v>
      </c>
      <c r="AF224">
        <v>2</v>
      </c>
      <c r="AH224" t="s">
        <v>6835</v>
      </c>
      <c r="AI224" t="s">
        <v>6834</v>
      </c>
      <c r="AK224" t="s">
        <v>6833</v>
      </c>
      <c r="AL224">
        <v>1</v>
      </c>
      <c r="AM224" s="5">
        <f t="shared" si="26"/>
        <v>3.0303030303030304E-2</v>
      </c>
      <c r="AN224" s="4">
        <f t="shared" si="31"/>
        <v>4.5896297316214016E-5</v>
      </c>
      <c r="AO224" s="3"/>
      <c r="AP224">
        <v>0</v>
      </c>
      <c r="AR224" t="s">
        <v>0</v>
      </c>
      <c r="AT224" s="2" t="s">
        <v>19</v>
      </c>
      <c r="AU224" s="1">
        <f t="shared" si="27"/>
        <v>4.0020709440701765</v>
      </c>
      <c r="AV224" s="1">
        <f t="shared" si="28"/>
        <v>2.8599334256877325</v>
      </c>
      <c r="AW224" s="1">
        <f t="shared" si="29"/>
        <v>1.717795907305288</v>
      </c>
    </row>
    <row r="225" spans="1:49" x14ac:dyDescent="0.2">
      <c r="A225">
        <v>223</v>
      </c>
      <c r="B225" t="s">
        <v>6832</v>
      </c>
      <c r="C225" t="s">
        <v>6831</v>
      </c>
      <c r="F225" t="s">
        <v>6830</v>
      </c>
      <c r="G225" t="s">
        <v>15</v>
      </c>
      <c r="H225" t="s">
        <v>14</v>
      </c>
      <c r="I225" t="s">
        <v>6829</v>
      </c>
      <c r="J225">
        <v>60071172</v>
      </c>
      <c r="K225" t="s">
        <v>6828</v>
      </c>
      <c r="L225" t="s">
        <v>6827</v>
      </c>
      <c r="M225" t="s">
        <v>6826</v>
      </c>
      <c r="N225">
        <v>3</v>
      </c>
      <c r="O225" t="s">
        <v>6825</v>
      </c>
      <c r="P225" t="s">
        <v>6824</v>
      </c>
      <c r="Q225" t="s">
        <v>6823</v>
      </c>
      <c r="R225" s="7">
        <v>32509</v>
      </c>
      <c r="S225" s="8">
        <f t="shared" si="24"/>
        <v>1989</v>
      </c>
      <c r="T225" s="8">
        <v>1989</v>
      </c>
      <c r="U225" s="8">
        <f t="shared" si="25"/>
        <v>33</v>
      </c>
      <c r="V225" s="7">
        <v>32509</v>
      </c>
      <c r="W225" t="s">
        <v>6822</v>
      </c>
      <c r="X225" s="2">
        <v>0.49099999999999999</v>
      </c>
      <c r="Y225" s="6">
        <f t="shared" si="30"/>
        <v>1.3106964576492887E-2</v>
      </c>
      <c r="AA225">
        <v>1650424</v>
      </c>
      <c r="AB225">
        <v>19144</v>
      </c>
      <c r="AC225">
        <v>17444152</v>
      </c>
      <c r="AD225" t="s">
        <v>5</v>
      </c>
      <c r="AE225">
        <v>11</v>
      </c>
      <c r="AF225">
        <v>2</v>
      </c>
      <c r="AH225" t="s">
        <v>6821</v>
      </c>
      <c r="AI225" t="s">
        <v>6820</v>
      </c>
      <c r="AK225" t="s">
        <v>6819</v>
      </c>
      <c r="AL225">
        <v>1</v>
      </c>
      <c r="AM225" s="5">
        <f t="shared" si="26"/>
        <v>3.0303030303030304E-2</v>
      </c>
      <c r="AN225" s="4">
        <f t="shared" si="31"/>
        <v>4.5896297316214016E-5</v>
      </c>
      <c r="AO225" s="3"/>
      <c r="AP225">
        <v>0</v>
      </c>
      <c r="AR225" t="s">
        <v>0</v>
      </c>
      <c r="AT225" s="2">
        <v>1.07</v>
      </c>
      <c r="AU225" s="1">
        <f t="shared" si="27"/>
        <v>0.91886440927398849</v>
      </c>
      <c r="AV225" s="1">
        <f t="shared" si="28"/>
        <v>0.65764304369045501</v>
      </c>
      <c r="AW225" s="1">
        <f t="shared" si="29"/>
        <v>0.39642167810692158</v>
      </c>
    </row>
    <row r="226" spans="1:49" x14ac:dyDescent="0.2">
      <c r="A226">
        <v>224</v>
      </c>
      <c r="B226" t="s">
        <v>6818</v>
      </c>
      <c r="C226" t="s">
        <v>6817</v>
      </c>
      <c r="D226" t="s">
        <v>6816</v>
      </c>
      <c r="F226" t="s">
        <v>6815</v>
      </c>
      <c r="G226" t="s">
        <v>15</v>
      </c>
      <c r="H226" t="s">
        <v>14</v>
      </c>
      <c r="I226" t="s">
        <v>6814</v>
      </c>
      <c r="J226">
        <v>60030318</v>
      </c>
      <c r="K226" t="s">
        <v>6813</v>
      </c>
      <c r="L226" t="s">
        <v>6812</v>
      </c>
      <c r="M226" t="s">
        <v>101</v>
      </c>
      <c r="N226">
        <v>3</v>
      </c>
      <c r="O226" t="s">
        <v>6811</v>
      </c>
      <c r="P226" t="s">
        <v>6810</v>
      </c>
      <c r="Q226" t="s">
        <v>6809</v>
      </c>
      <c r="R226" s="7">
        <v>32509</v>
      </c>
      <c r="S226" s="8">
        <f t="shared" si="24"/>
        <v>1989</v>
      </c>
      <c r="T226" s="8">
        <v>1989</v>
      </c>
      <c r="U226" s="8">
        <f t="shared" si="25"/>
        <v>33</v>
      </c>
      <c r="V226" s="7">
        <v>32660</v>
      </c>
      <c r="W226" t="s">
        <v>68</v>
      </c>
      <c r="X226" s="2">
        <v>1.59</v>
      </c>
      <c r="Y226" s="6">
        <f t="shared" si="30"/>
        <v>4.2444141907583888E-2</v>
      </c>
      <c r="AA226">
        <v>52728</v>
      </c>
      <c r="AB226">
        <v>16791</v>
      </c>
      <c r="AD226" t="s">
        <v>5</v>
      </c>
      <c r="AE226">
        <v>975</v>
      </c>
      <c r="AF226">
        <v>1</v>
      </c>
      <c r="AH226" t="s">
        <v>1492</v>
      </c>
      <c r="AI226" t="s">
        <v>6808</v>
      </c>
      <c r="AJ226" t="s">
        <v>6807</v>
      </c>
      <c r="AK226" t="s">
        <v>6806</v>
      </c>
      <c r="AL226">
        <v>8</v>
      </c>
      <c r="AM226" s="5">
        <f t="shared" si="26"/>
        <v>0.24242424242424243</v>
      </c>
      <c r="AN226" s="4">
        <f t="shared" si="31"/>
        <v>3.6717037852971213E-4</v>
      </c>
      <c r="AO226" s="3"/>
      <c r="AP226">
        <v>0</v>
      </c>
      <c r="AR226" t="s">
        <v>0</v>
      </c>
      <c r="AT226" s="2" t="s">
        <v>19</v>
      </c>
      <c r="AU226" s="1">
        <f t="shared" si="27"/>
        <v>2.9821050448867634</v>
      </c>
      <c r="AV226" s="1">
        <f t="shared" si="28"/>
        <v>2.1405656143056802</v>
      </c>
      <c r="AW226" s="1">
        <f t="shared" si="29"/>
        <v>1.2990261837245962</v>
      </c>
    </row>
    <row r="227" spans="1:49" x14ac:dyDescent="0.2">
      <c r="A227">
        <v>225</v>
      </c>
      <c r="B227" t="s">
        <v>6805</v>
      </c>
      <c r="C227" t="s">
        <v>6804</v>
      </c>
      <c r="F227" t="s">
        <v>6803</v>
      </c>
      <c r="G227" t="s">
        <v>15</v>
      </c>
      <c r="H227" t="s">
        <v>14</v>
      </c>
      <c r="I227" t="s">
        <v>6802</v>
      </c>
      <c r="J227">
        <v>60028186</v>
      </c>
      <c r="K227" t="s">
        <v>6801</v>
      </c>
      <c r="L227" t="s">
        <v>6800</v>
      </c>
      <c r="M227" t="s">
        <v>3833</v>
      </c>
      <c r="N227">
        <v>5</v>
      </c>
      <c r="O227" t="s">
        <v>6799</v>
      </c>
      <c r="P227" t="s">
        <v>6798</v>
      </c>
      <c r="Q227" t="s">
        <v>6797</v>
      </c>
      <c r="R227" s="7">
        <v>32509</v>
      </c>
      <c r="S227" s="8">
        <f t="shared" si="24"/>
        <v>1989</v>
      </c>
      <c r="T227" s="8">
        <v>1989</v>
      </c>
      <c r="U227" s="8">
        <f t="shared" si="25"/>
        <v>33</v>
      </c>
      <c r="V227" s="7">
        <v>1989</v>
      </c>
      <c r="W227" t="s">
        <v>111</v>
      </c>
      <c r="X227" s="2">
        <v>3.6880000000000002</v>
      </c>
      <c r="Y227" s="6">
        <f t="shared" si="30"/>
        <v>9.8449053682496471E-2</v>
      </c>
      <c r="AA227">
        <v>319007</v>
      </c>
      <c r="AB227">
        <v>29150</v>
      </c>
      <c r="AD227" t="s">
        <v>5</v>
      </c>
      <c r="AE227">
        <v>62</v>
      </c>
      <c r="AF227">
        <v>4</v>
      </c>
      <c r="AH227" t="s">
        <v>5943</v>
      </c>
      <c r="AI227" t="s">
        <v>6796</v>
      </c>
      <c r="AK227" t="s">
        <v>6795</v>
      </c>
      <c r="AL227">
        <v>33</v>
      </c>
      <c r="AM227" s="5">
        <f t="shared" si="26"/>
        <v>1</v>
      </c>
      <c r="AN227" s="4">
        <f t="shared" si="31"/>
        <v>1.5145778114350624E-3</v>
      </c>
      <c r="AO227" s="3"/>
      <c r="AP227">
        <v>0</v>
      </c>
      <c r="AR227" t="s">
        <v>0</v>
      </c>
      <c r="AT227" s="2">
        <v>9.1609999999999996</v>
      </c>
      <c r="AU227" s="1">
        <f t="shared" si="27"/>
        <v>6.9368710921178041</v>
      </c>
      <c r="AV227" s="1">
        <f t="shared" si="28"/>
        <v>4.9981815746965763</v>
      </c>
      <c r="AW227" s="1">
        <f t="shared" si="29"/>
        <v>3.0594920572753486</v>
      </c>
    </row>
    <row r="228" spans="1:49" x14ac:dyDescent="0.2">
      <c r="A228">
        <v>226</v>
      </c>
      <c r="B228" t="s">
        <v>6794</v>
      </c>
      <c r="C228" t="s">
        <v>6793</v>
      </c>
      <c r="F228" t="s">
        <v>6792</v>
      </c>
      <c r="G228" t="s">
        <v>15</v>
      </c>
      <c r="H228" t="s">
        <v>14</v>
      </c>
      <c r="I228" t="s">
        <v>6791</v>
      </c>
      <c r="J228">
        <v>60007566</v>
      </c>
      <c r="K228" t="s">
        <v>6790</v>
      </c>
      <c r="L228" t="s">
        <v>6789</v>
      </c>
      <c r="M228" t="s">
        <v>23</v>
      </c>
      <c r="N228">
        <v>5</v>
      </c>
      <c r="O228" t="s">
        <v>6788</v>
      </c>
      <c r="P228" t="s">
        <v>6787</v>
      </c>
      <c r="Q228" t="s">
        <v>6786</v>
      </c>
      <c r="R228" s="7">
        <v>32509</v>
      </c>
      <c r="S228" s="8">
        <f t="shared" ref="S228:S291" si="32">YEAR(R228)</f>
        <v>1989</v>
      </c>
      <c r="T228" s="8">
        <v>1989</v>
      </c>
      <c r="U228" s="8">
        <f t="shared" ref="U228:U291" si="33">2022-T228</f>
        <v>33</v>
      </c>
      <c r="V228" s="7">
        <v>1989</v>
      </c>
      <c r="W228" t="s">
        <v>6785</v>
      </c>
      <c r="X228" s="2">
        <v>1.887</v>
      </c>
      <c r="Y228" s="6">
        <f t="shared" si="30"/>
        <v>5.0372387282774087E-2</v>
      </c>
      <c r="AA228">
        <v>5562821</v>
      </c>
      <c r="AB228">
        <v>29459</v>
      </c>
      <c r="AD228" t="s">
        <v>5</v>
      </c>
      <c r="AE228">
        <v>40</v>
      </c>
      <c r="AF228">
        <v>6</v>
      </c>
      <c r="AH228" t="s">
        <v>6784</v>
      </c>
      <c r="AI228" t="s">
        <v>6783</v>
      </c>
      <c r="AK228" t="s">
        <v>6782</v>
      </c>
      <c r="AL228">
        <v>11</v>
      </c>
      <c r="AM228" s="5">
        <f t="shared" ref="AM228:AM291" si="34">AL228/U228</f>
        <v>0.33333333333333331</v>
      </c>
      <c r="AN228" s="4">
        <f t="shared" si="31"/>
        <v>5.048592704783541E-4</v>
      </c>
      <c r="AO228" s="3"/>
      <c r="AP228">
        <v>0</v>
      </c>
      <c r="AR228" t="s">
        <v>0</v>
      </c>
      <c r="AT228" s="2">
        <v>5.2960000000000003</v>
      </c>
      <c r="AU228" s="1">
        <f t="shared" ref="AU228:AU291" si="35">(Y228*0.7+AN228*0.3)*100</f>
        <v>3.5412128879085363</v>
      </c>
      <c r="AV228" s="1">
        <f t="shared" ref="AV228:AV291" si="36">(Y228*0.5+AN228*0.5)*100</f>
        <v>2.5438623276626218</v>
      </c>
      <c r="AW228" s="1">
        <f t="shared" ref="AW228:AW291" si="37">(Y228*0.3+AN228*0.7)*100</f>
        <v>1.5465117674167073</v>
      </c>
    </row>
    <row r="229" spans="1:49" x14ac:dyDescent="0.2">
      <c r="A229">
        <v>227</v>
      </c>
      <c r="B229" t="s">
        <v>6781</v>
      </c>
      <c r="C229" t="s">
        <v>6780</v>
      </c>
      <c r="D229">
        <v>741333589900055</v>
      </c>
      <c r="F229" t="s">
        <v>6779</v>
      </c>
      <c r="G229" t="s">
        <v>15</v>
      </c>
      <c r="H229" t="s">
        <v>14</v>
      </c>
      <c r="I229" t="s">
        <v>6778</v>
      </c>
      <c r="J229">
        <v>60025709</v>
      </c>
      <c r="K229" t="s">
        <v>6502</v>
      </c>
      <c r="L229" t="s">
        <v>2485</v>
      </c>
      <c r="M229" t="s">
        <v>857</v>
      </c>
      <c r="N229">
        <v>1</v>
      </c>
      <c r="O229" t="s">
        <v>6777</v>
      </c>
      <c r="P229">
        <v>7401451781</v>
      </c>
      <c r="Q229">
        <v>60025709</v>
      </c>
      <c r="R229" s="7">
        <v>32509</v>
      </c>
      <c r="S229" s="8">
        <f t="shared" si="32"/>
        <v>1989</v>
      </c>
      <c r="T229" s="8">
        <v>1989</v>
      </c>
      <c r="U229" s="8">
        <f t="shared" si="33"/>
        <v>33</v>
      </c>
      <c r="V229" s="7">
        <v>1989</v>
      </c>
      <c r="W229" t="s">
        <v>6624</v>
      </c>
      <c r="X229" s="2">
        <v>1.3280000000000001</v>
      </c>
      <c r="Y229" s="6">
        <f t="shared" si="30"/>
        <v>3.5450201542937994E-2</v>
      </c>
      <c r="AA229">
        <v>7413335</v>
      </c>
      <c r="AB229">
        <v>29251</v>
      </c>
      <c r="AD229" t="s">
        <v>5</v>
      </c>
      <c r="AE229">
        <v>31</v>
      </c>
      <c r="AF229">
        <v>1</v>
      </c>
      <c r="AG229">
        <v>3</v>
      </c>
      <c r="AH229" t="s">
        <v>6776</v>
      </c>
      <c r="AI229" t="s">
        <v>6775</v>
      </c>
      <c r="AK229" t="s">
        <v>6774</v>
      </c>
      <c r="AL229">
        <v>9</v>
      </c>
      <c r="AM229" s="5">
        <f t="shared" si="34"/>
        <v>0.27272727272727271</v>
      </c>
      <c r="AN229" s="4">
        <f t="shared" si="31"/>
        <v>4.1306667584592612E-4</v>
      </c>
      <c r="AO229" s="3"/>
      <c r="AP229">
        <v>0</v>
      </c>
      <c r="AQ229" t="s">
        <v>6773</v>
      </c>
      <c r="AR229" t="s">
        <v>0</v>
      </c>
      <c r="AS229" t="s">
        <v>6772</v>
      </c>
      <c r="AT229" s="2">
        <v>2.4580000000000002</v>
      </c>
      <c r="AU229" s="1">
        <f t="shared" si="35"/>
        <v>2.4939061082810374</v>
      </c>
      <c r="AV229" s="1">
        <f t="shared" si="36"/>
        <v>1.7931634109391958</v>
      </c>
      <c r="AW229" s="1">
        <f t="shared" si="37"/>
        <v>1.0924207135973547</v>
      </c>
    </row>
    <row r="230" spans="1:49" x14ac:dyDescent="0.2">
      <c r="A230">
        <v>228</v>
      </c>
      <c r="B230" t="s">
        <v>6771</v>
      </c>
      <c r="C230" t="s">
        <v>6770</v>
      </c>
      <c r="F230" t="s">
        <v>6769</v>
      </c>
      <c r="G230" t="s">
        <v>15</v>
      </c>
      <c r="H230" t="s">
        <v>14</v>
      </c>
      <c r="I230" t="s">
        <v>6768</v>
      </c>
      <c r="N230">
        <v>1</v>
      </c>
      <c r="O230" t="s">
        <v>6767</v>
      </c>
      <c r="P230">
        <v>7004676488</v>
      </c>
      <c r="R230" s="7">
        <v>32509</v>
      </c>
      <c r="S230" s="8">
        <f t="shared" si="32"/>
        <v>1989</v>
      </c>
      <c r="T230" s="8">
        <v>1989</v>
      </c>
      <c r="U230" s="8">
        <f t="shared" si="33"/>
        <v>33</v>
      </c>
      <c r="V230" s="7" t="s">
        <v>415</v>
      </c>
      <c r="W230" t="s">
        <v>334</v>
      </c>
      <c r="X230" s="2">
        <v>0.371</v>
      </c>
      <c r="Y230" s="6">
        <f t="shared" si="30"/>
        <v>9.9036331117695747E-3</v>
      </c>
      <c r="AA230">
        <v>486604</v>
      </c>
      <c r="AB230">
        <v>28580</v>
      </c>
      <c r="AC230" t="s">
        <v>333</v>
      </c>
      <c r="AD230" t="s">
        <v>5</v>
      </c>
      <c r="AE230">
        <v>24</v>
      </c>
      <c r="AF230">
        <v>4</v>
      </c>
      <c r="AH230" t="s">
        <v>6766</v>
      </c>
      <c r="AI230" t="s">
        <v>6765</v>
      </c>
      <c r="AK230" t="s">
        <v>6764</v>
      </c>
      <c r="AL230">
        <v>3</v>
      </c>
      <c r="AM230" s="5">
        <f t="shared" si="34"/>
        <v>9.0909090909090912E-2</v>
      </c>
      <c r="AN230" s="4">
        <f t="shared" si="31"/>
        <v>1.3768889194864205E-4</v>
      </c>
      <c r="AO230" s="3"/>
      <c r="AP230">
        <v>0</v>
      </c>
      <c r="AR230" t="s">
        <v>0</v>
      </c>
      <c r="AT230" s="2">
        <v>1.431</v>
      </c>
      <c r="AU230" s="1">
        <f t="shared" si="35"/>
        <v>0.69738498458232945</v>
      </c>
      <c r="AV230" s="1">
        <f t="shared" si="36"/>
        <v>0.5020661001859108</v>
      </c>
      <c r="AW230" s="1">
        <f t="shared" si="37"/>
        <v>0.30674721578949221</v>
      </c>
    </row>
    <row r="231" spans="1:49" x14ac:dyDescent="0.2">
      <c r="A231">
        <v>229</v>
      </c>
      <c r="B231" t="s">
        <v>6763</v>
      </c>
      <c r="C231" t="s">
        <v>6762</v>
      </c>
      <c r="D231">
        <v>300325689900263</v>
      </c>
      <c r="F231" t="s">
        <v>6761</v>
      </c>
      <c r="G231" t="s">
        <v>15</v>
      </c>
      <c r="H231" t="s">
        <v>14</v>
      </c>
      <c r="I231" t="s">
        <v>6760</v>
      </c>
      <c r="J231">
        <v>60003858</v>
      </c>
      <c r="K231" t="s">
        <v>6759</v>
      </c>
      <c r="L231" t="s">
        <v>6758</v>
      </c>
      <c r="M231" t="s">
        <v>10</v>
      </c>
      <c r="N231">
        <v>1</v>
      </c>
      <c r="O231" t="s">
        <v>6757</v>
      </c>
      <c r="P231">
        <v>6602503809</v>
      </c>
      <c r="Q231">
        <v>60003858</v>
      </c>
      <c r="R231" s="7">
        <v>32509</v>
      </c>
      <c r="S231" s="8">
        <f t="shared" si="32"/>
        <v>1989</v>
      </c>
      <c r="T231" s="8">
        <v>1989</v>
      </c>
      <c r="U231" s="8">
        <f t="shared" si="33"/>
        <v>33</v>
      </c>
      <c r="V231" s="7">
        <v>32782</v>
      </c>
      <c r="W231" t="s">
        <v>6746</v>
      </c>
      <c r="X231" s="2">
        <v>1.204</v>
      </c>
      <c r="Y231" s="6">
        <f t="shared" si="30"/>
        <v>3.2140092362723902E-2</v>
      </c>
      <c r="AA231">
        <v>3003256</v>
      </c>
      <c r="AB231">
        <v>24546</v>
      </c>
      <c r="AC231">
        <v>14636409</v>
      </c>
      <c r="AD231" t="s">
        <v>5</v>
      </c>
      <c r="AE231">
        <v>18</v>
      </c>
      <c r="AF231">
        <v>4</v>
      </c>
      <c r="AH231" t="s">
        <v>6756</v>
      </c>
      <c r="AI231" t="s">
        <v>6755</v>
      </c>
      <c r="AK231" t="s">
        <v>6754</v>
      </c>
      <c r="AL231">
        <v>7</v>
      </c>
      <c r="AM231" s="5">
        <f t="shared" si="34"/>
        <v>0.21212121212121213</v>
      </c>
      <c r="AN231" s="4">
        <f t="shared" si="31"/>
        <v>3.2127408121349809E-4</v>
      </c>
      <c r="AO231" s="3"/>
      <c r="AP231">
        <v>0</v>
      </c>
      <c r="AR231" t="s">
        <v>0</v>
      </c>
      <c r="AT231" s="2">
        <v>3.14</v>
      </c>
      <c r="AU231" s="1">
        <f t="shared" si="35"/>
        <v>2.2594446878270782</v>
      </c>
      <c r="AV231" s="1">
        <f t="shared" si="36"/>
        <v>1.62306832219687</v>
      </c>
      <c r="AW231" s="1">
        <f t="shared" si="37"/>
        <v>0.98669195656666198</v>
      </c>
    </row>
    <row r="232" spans="1:49" x14ac:dyDescent="0.2">
      <c r="A232">
        <v>230</v>
      </c>
      <c r="B232" t="s">
        <v>6753</v>
      </c>
      <c r="C232" t="s">
        <v>6752</v>
      </c>
      <c r="D232">
        <v>300325689900676</v>
      </c>
      <c r="F232" t="s">
        <v>6751</v>
      </c>
      <c r="G232" t="s">
        <v>15</v>
      </c>
      <c r="H232" t="s">
        <v>14</v>
      </c>
      <c r="I232" t="s">
        <v>6750</v>
      </c>
      <c r="J232">
        <v>60020306</v>
      </c>
      <c r="K232" t="s">
        <v>6749</v>
      </c>
      <c r="L232" t="s">
        <v>6748</v>
      </c>
      <c r="M232" t="s">
        <v>259</v>
      </c>
      <c r="N232">
        <v>1</v>
      </c>
      <c r="O232" t="s">
        <v>6747</v>
      </c>
      <c r="P232">
        <v>6603050411</v>
      </c>
      <c r="Q232">
        <v>60020306</v>
      </c>
      <c r="R232" s="7">
        <v>32509</v>
      </c>
      <c r="S232" s="8">
        <f t="shared" si="32"/>
        <v>1989</v>
      </c>
      <c r="T232" s="8">
        <v>1989</v>
      </c>
      <c r="U232" s="8">
        <f t="shared" si="33"/>
        <v>33</v>
      </c>
      <c r="V232" s="7">
        <v>32690</v>
      </c>
      <c r="W232" t="s">
        <v>6746</v>
      </c>
      <c r="X232" s="2">
        <v>1.204</v>
      </c>
      <c r="Y232" s="6">
        <f t="shared" si="30"/>
        <v>3.2140092362723902E-2</v>
      </c>
      <c r="AA232">
        <v>3003256</v>
      </c>
      <c r="AB232">
        <v>24546</v>
      </c>
      <c r="AC232">
        <v>14636409</v>
      </c>
      <c r="AD232" t="s">
        <v>5</v>
      </c>
      <c r="AE232">
        <v>18</v>
      </c>
      <c r="AF232">
        <v>3</v>
      </c>
      <c r="AH232" t="s">
        <v>6745</v>
      </c>
      <c r="AI232" t="s">
        <v>6744</v>
      </c>
      <c r="AK232" t="s">
        <v>6743</v>
      </c>
      <c r="AL232">
        <v>3</v>
      </c>
      <c r="AM232" s="5">
        <f t="shared" si="34"/>
        <v>9.0909090909090912E-2</v>
      </c>
      <c r="AN232" s="4">
        <f t="shared" si="31"/>
        <v>1.3768889194864205E-4</v>
      </c>
      <c r="AO232" s="3"/>
      <c r="AP232">
        <v>0</v>
      </c>
      <c r="AR232" t="s">
        <v>0</v>
      </c>
      <c r="AT232" s="2">
        <v>3.14</v>
      </c>
      <c r="AU232" s="1">
        <f t="shared" si="35"/>
        <v>2.2539371321491322</v>
      </c>
      <c r="AV232" s="1">
        <f t="shared" si="36"/>
        <v>1.6138890627336273</v>
      </c>
      <c r="AW232" s="1">
        <f t="shared" si="37"/>
        <v>0.97384099331812202</v>
      </c>
    </row>
    <row r="233" spans="1:49" x14ac:dyDescent="0.2">
      <c r="A233">
        <v>231</v>
      </c>
      <c r="B233" t="s">
        <v>6742</v>
      </c>
      <c r="C233" t="s">
        <v>6741</v>
      </c>
      <c r="F233" t="s">
        <v>6740</v>
      </c>
      <c r="G233" t="s">
        <v>15</v>
      </c>
      <c r="H233" t="s">
        <v>14</v>
      </c>
      <c r="I233" t="s">
        <v>6739</v>
      </c>
      <c r="J233">
        <v>60031004</v>
      </c>
      <c r="K233" t="s">
        <v>6738</v>
      </c>
      <c r="L233" t="s">
        <v>858</v>
      </c>
      <c r="M233" t="s">
        <v>857</v>
      </c>
      <c r="N233">
        <v>1</v>
      </c>
      <c r="O233" t="s">
        <v>6737</v>
      </c>
      <c r="P233">
        <v>7004073045</v>
      </c>
      <c r="Q233">
        <v>60031004</v>
      </c>
      <c r="R233" s="7">
        <v>32509</v>
      </c>
      <c r="S233" s="8">
        <f t="shared" si="32"/>
        <v>1989</v>
      </c>
      <c r="T233" s="8">
        <v>1989</v>
      </c>
      <c r="U233" s="8">
        <f t="shared" si="33"/>
        <v>33</v>
      </c>
      <c r="V233" s="7">
        <v>32599</v>
      </c>
      <c r="W233" t="s">
        <v>6736</v>
      </c>
      <c r="X233" s="2">
        <v>0.67200000000000004</v>
      </c>
      <c r="Y233" s="6">
        <f t="shared" si="30"/>
        <v>1.793865620245055E-2</v>
      </c>
      <c r="AA233">
        <v>221112</v>
      </c>
      <c r="AB233">
        <v>22560</v>
      </c>
      <c r="AC233">
        <v>10958649</v>
      </c>
      <c r="AD233" t="s">
        <v>5</v>
      </c>
      <c r="AE233">
        <v>34</v>
      </c>
      <c r="AF233">
        <v>4</v>
      </c>
      <c r="AH233" t="s">
        <v>6735</v>
      </c>
      <c r="AI233" t="s">
        <v>6734</v>
      </c>
      <c r="AK233" t="s">
        <v>6733</v>
      </c>
      <c r="AL233">
        <v>18</v>
      </c>
      <c r="AM233" s="5">
        <f t="shared" si="34"/>
        <v>0.54545454545454541</v>
      </c>
      <c r="AN233" s="4">
        <f t="shared" si="31"/>
        <v>8.2613335169185224E-4</v>
      </c>
      <c r="AO233" s="3"/>
      <c r="AP233">
        <v>0</v>
      </c>
      <c r="AR233" t="s">
        <v>0</v>
      </c>
      <c r="AT233" s="2">
        <v>2.0510000000000002</v>
      </c>
      <c r="AU233" s="1">
        <f t="shared" si="35"/>
        <v>1.280489934722294</v>
      </c>
      <c r="AV233" s="1">
        <f t="shared" si="36"/>
        <v>0.93823947770712013</v>
      </c>
      <c r="AW233" s="1">
        <f t="shared" si="37"/>
        <v>0.59598902069194615</v>
      </c>
    </row>
    <row r="234" spans="1:49" x14ac:dyDescent="0.2">
      <c r="A234">
        <v>232</v>
      </c>
      <c r="B234" t="s">
        <v>6732</v>
      </c>
      <c r="C234" t="s">
        <v>6731</v>
      </c>
      <c r="D234">
        <v>40816689900281</v>
      </c>
      <c r="F234" t="s">
        <v>6730</v>
      </c>
      <c r="G234" t="s">
        <v>15</v>
      </c>
      <c r="H234" t="s">
        <v>14</v>
      </c>
      <c r="I234" t="s">
        <v>6729</v>
      </c>
      <c r="J234">
        <v>60005460</v>
      </c>
      <c r="K234" t="s">
        <v>261</v>
      </c>
      <c r="L234" t="s">
        <v>260</v>
      </c>
      <c r="M234" t="s">
        <v>259</v>
      </c>
      <c r="N234">
        <v>1</v>
      </c>
      <c r="O234" t="s">
        <v>6728</v>
      </c>
      <c r="P234">
        <v>26643587600</v>
      </c>
      <c r="Q234">
        <v>60005460</v>
      </c>
      <c r="R234" s="7">
        <v>32509</v>
      </c>
      <c r="S234" s="8">
        <f t="shared" si="32"/>
        <v>1989</v>
      </c>
      <c r="T234" s="8">
        <v>1989</v>
      </c>
      <c r="U234" s="8">
        <f t="shared" si="33"/>
        <v>33</v>
      </c>
      <c r="V234" s="7">
        <v>1989</v>
      </c>
      <c r="W234" t="s">
        <v>5530</v>
      </c>
      <c r="X234" s="2">
        <v>0.58399999999999996</v>
      </c>
      <c r="Y234" s="6">
        <f t="shared" si="30"/>
        <v>1.5589546461653453E-2</v>
      </c>
      <c r="AA234">
        <v>408166</v>
      </c>
      <c r="AB234">
        <v>19057</v>
      </c>
      <c r="AD234" t="s">
        <v>5</v>
      </c>
      <c r="AE234">
        <v>21</v>
      </c>
      <c r="AF234">
        <v>1</v>
      </c>
      <c r="AH234" t="s">
        <v>6727</v>
      </c>
      <c r="AI234" t="s">
        <v>6726</v>
      </c>
      <c r="AJ234" t="s">
        <v>6725</v>
      </c>
      <c r="AK234" t="s">
        <v>6724</v>
      </c>
      <c r="AL234">
        <v>70</v>
      </c>
      <c r="AM234" s="5">
        <f t="shared" si="34"/>
        <v>2.1212121212121211</v>
      </c>
      <c r="AN234" s="4">
        <f t="shared" si="31"/>
        <v>3.2127408121349807E-3</v>
      </c>
      <c r="AO234" s="3"/>
      <c r="AP234">
        <v>0</v>
      </c>
      <c r="AR234" t="s">
        <v>0</v>
      </c>
      <c r="AT234" s="2" t="s">
        <v>19</v>
      </c>
      <c r="AU234" s="1">
        <f t="shared" si="35"/>
        <v>1.1876504766797911</v>
      </c>
      <c r="AV234" s="1">
        <f t="shared" si="36"/>
        <v>0.94011436368942169</v>
      </c>
      <c r="AW234" s="1">
        <f t="shared" si="37"/>
        <v>0.69257825069905221</v>
      </c>
    </row>
    <row r="235" spans="1:49" x14ac:dyDescent="0.2">
      <c r="A235">
        <v>233</v>
      </c>
      <c r="B235" t="s">
        <v>6723</v>
      </c>
      <c r="C235" t="s">
        <v>6722</v>
      </c>
      <c r="D235" t="s">
        <v>6721</v>
      </c>
      <c r="F235" t="s">
        <v>6720</v>
      </c>
      <c r="G235" t="s">
        <v>15</v>
      </c>
      <c r="H235" t="s">
        <v>14</v>
      </c>
      <c r="I235" t="s">
        <v>6719</v>
      </c>
      <c r="J235" t="s">
        <v>6718</v>
      </c>
      <c r="K235" t="s">
        <v>6717</v>
      </c>
      <c r="L235" t="s">
        <v>6716</v>
      </c>
      <c r="M235" t="s">
        <v>6715</v>
      </c>
      <c r="N235">
        <v>6</v>
      </c>
      <c r="O235" t="s">
        <v>6714</v>
      </c>
      <c r="P235" t="s">
        <v>6713</v>
      </c>
      <c r="Q235" t="s">
        <v>6712</v>
      </c>
      <c r="R235" s="7">
        <v>32509</v>
      </c>
      <c r="S235" s="8">
        <f t="shared" si="32"/>
        <v>1989</v>
      </c>
      <c r="T235" s="8">
        <v>1989</v>
      </c>
      <c r="U235" s="8">
        <f t="shared" si="33"/>
        <v>33</v>
      </c>
      <c r="V235" s="7">
        <v>1989</v>
      </c>
      <c r="W235" t="s">
        <v>6697</v>
      </c>
      <c r="X235" s="2" t="s">
        <v>19</v>
      </c>
      <c r="Y235" s="6" t="e">
        <f t="shared" si="30"/>
        <v>#VALUE!</v>
      </c>
      <c r="AA235">
        <v>224936</v>
      </c>
      <c r="AB235">
        <v>35328</v>
      </c>
      <c r="AD235" t="s">
        <v>5</v>
      </c>
      <c r="AF235">
        <v>19</v>
      </c>
      <c r="AH235" t="s">
        <v>6711</v>
      </c>
      <c r="AI235" t="s">
        <v>6710</v>
      </c>
      <c r="AK235" t="s">
        <v>6709</v>
      </c>
      <c r="AL235">
        <v>90</v>
      </c>
      <c r="AM235" s="5">
        <f t="shared" si="34"/>
        <v>2.7272727272727271</v>
      </c>
      <c r="AN235" s="4">
        <f t="shared" si="31"/>
        <v>4.1306667584592614E-3</v>
      </c>
      <c r="AO235" s="3"/>
      <c r="AP235">
        <v>0</v>
      </c>
      <c r="AR235" t="s">
        <v>0</v>
      </c>
      <c r="AT235" s="2" t="s">
        <v>19</v>
      </c>
      <c r="AU235" s="1" t="e">
        <f t="shared" si="35"/>
        <v>#VALUE!</v>
      </c>
      <c r="AV235" s="1" t="e">
        <f t="shared" si="36"/>
        <v>#VALUE!</v>
      </c>
      <c r="AW235" s="1" t="e">
        <f t="shared" si="37"/>
        <v>#VALUE!</v>
      </c>
    </row>
    <row r="236" spans="1:49" x14ac:dyDescent="0.2">
      <c r="A236">
        <v>234</v>
      </c>
      <c r="B236" t="s">
        <v>6708</v>
      </c>
      <c r="C236" t="s">
        <v>6707</v>
      </c>
      <c r="D236" t="s">
        <v>6706</v>
      </c>
      <c r="F236" t="s">
        <v>6705</v>
      </c>
      <c r="G236" t="s">
        <v>15</v>
      </c>
      <c r="H236" t="s">
        <v>14</v>
      </c>
      <c r="I236" t="s">
        <v>1155</v>
      </c>
      <c r="J236" t="s">
        <v>6704</v>
      </c>
      <c r="K236" t="s">
        <v>6703</v>
      </c>
      <c r="L236" t="s">
        <v>6702</v>
      </c>
      <c r="M236" t="s">
        <v>6701</v>
      </c>
      <c r="N236">
        <v>3</v>
      </c>
      <c r="O236" t="s">
        <v>6700</v>
      </c>
      <c r="P236" t="s">
        <v>6699</v>
      </c>
      <c r="Q236" t="s">
        <v>6698</v>
      </c>
      <c r="R236" s="7">
        <v>32509</v>
      </c>
      <c r="S236" s="8">
        <f t="shared" si="32"/>
        <v>1989</v>
      </c>
      <c r="T236" s="8">
        <v>1989</v>
      </c>
      <c r="U236" s="8">
        <f t="shared" si="33"/>
        <v>33</v>
      </c>
      <c r="V236" s="7">
        <v>1989</v>
      </c>
      <c r="W236" t="s">
        <v>6697</v>
      </c>
      <c r="X236" s="2" t="s">
        <v>19</v>
      </c>
      <c r="Y236" s="6" t="e">
        <f t="shared" si="30"/>
        <v>#VALUE!</v>
      </c>
      <c r="AA236">
        <v>224936</v>
      </c>
      <c r="AB236">
        <v>35328</v>
      </c>
      <c r="AD236" t="s">
        <v>5</v>
      </c>
      <c r="AF236">
        <v>9</v>
      </c>
      <c r="AH236" t="s">
        <v>6696</v>
      </c>
      <c r="AI236" t="s">
        <v>6695</v>
      </c>
      <c r="AK236" t="s">
        <v>6694</v>
      </c>
      <c r="AL236">
        <v>24</v>
      </c>
      <c r="AM236" s="5">
        <f t="shared" si="34"/>
        <v>0.72727272727272729</v>
      </c>
      <c r="AN236" s="4">
        <f t="shared" si="31"/>
        <v>1.1015111355891364E-3</v>
      </c>
      <c r="AO236" s="3"/>
      <c r="AP236">
        <v>0</v>
      </c>
      <c r="AR236" t="s">
        <v>0</v>
      </c>
      <c r="AT236" s="2" t="s">
        <v>19</v>
      </c>
      <c r="AU236" s="1" t="e">
        <f t="shared" si="35"/>
        <v>#VALUE!</v>
      </c>
      <c r="AV236" s="1" t="e">
        <f t="shared" si="36"/>
        <v>#VALUE!</v>
      </c>
      <c r="AW236" s="1" t="e">
        <f t="shared" si="37"/>
        <v>#VALUE!</v>
      </c>
    </row>
    <row r="237" spans="1:49" x14ac:dyDescent="0.2">
      <c r="A237">
        <v>235</v>
      </c>
      <c r="B237" t="s">
        <v>6693</v>
      </c>
      <c r="C237" t="s">
        <v>6692</v>
      </c>
      <c r="F237" t="s">
        <v>6691</v>
      </c>
      <c r="G237" t="s">
        <v>15</v>
      </c>
      <c r="H237" t="s">
        <v>14</v>
      </c>
      <c r="I237" t="s">
        <v>6690</v>
      </c>
      <c r="J237" t="s">
        <v>6689</v>
      </c>
      <c r="K237" t="s">
        <v>6688</v>
      </c>
      <c r="L237" t="s">
        <v>6687</v>
      </c>
      <c r="M237" t="s">
        <v>6686</v>
      </c>
      <c r="N237">
        <v>2</v>
      </c>
      <c r="O237" t="s">
        <v>6685</v>
      </c>
      <c r="P237" t="s">
        <v>6684</v>
      </c>
      <c r="Q237" t="s">
        <v>6683</v>
      </c>
      <c r="R237" s="7">
        <v>32509</v>
      </c>
      <c r="S237" s="8">
        <f t="shared" si="32"/>
        <v>1989</v>
      </c>
      <c r="T237" s="8">
        <v>1989</v>
      </c>
      <c r="U237" s="8">
        <f t="shared" si="33"/>
        <v>33</v>
      </c>
      <c r="V237" s="7">
        <v>1989</v>
      </c>
      <c r="W237" t="s">
        <v>125</v>
      </c>
      <c r="X237" s="2">
        <v>1.1879999999999999</v>
      </c>
      <c r="Y237" s="6">
        <f t="shared" si="30"/>
        <v>3.1712981500760788E-2</v>
      </c>
      <c r="AA237">
        <v>8998221</v>
      </c>
      <c r="AB237">
        <v>8900153323</v>
      </c>
      <c r="AD237" t="s">
        <v>5</v>
      </c>
      <c r="AE237">
        <v>1</v>
      </c>
      <c r="AF237">
        <v>4</v>
      </c>
      <c r="AH237" t="s">
        <v>6682</v>
      </c>
      <c r="AI237" t="s">
        <v>6681</v>
      </c>
      <c r="AK237" t="s">
        <v>6680</v>
      </c>
      <c r="AL237">
        <v>2</v>
      </c>
      <c r="AM237" s="5">
        <f t="shared" si="34"/>
        <v>6.0606060606060608E-2</v>
      </c>
      <c r="AN237" s="4">
        <f t="shared" si="31"/>
        <v>9.1792594632428032E-5</v>
      </c>
      <c r="AO237" s="3"/>
      <c r="AP237">
        <v>0</v>
      </c>
      <c r="AR237" t="s">
        <v>0</v>
      </c>
      <c r="AT237" s="2" t="s">
        <v>19</v>
      </c>
      <c r="AU237" s="1">
        <f t="shared" si="35"/>
        <v>2.2226624828922277</v>
      </c>
      <c r="AV237" s="1">
        <f t="shared" si="36"/>
        <v>1.5902387047696607</v>
      </c>
      <c r="AW237" s="1">
        <f t="shared" si="37"/>
        <v>0.95781492664709367</v>
      </c>
    </row>
    <row r="238" spans="1:49" x14ac:dyDescent="0.2">
      <c r="A238">
        <v>236</v>
      </c>
      <c r="B238" t="s">
        <v>6679</v>
      </c>
      <c r="C238" t="s">
        <v>6678</v>
      </c>
      <c r="F238" t="s">
        <v>6677</v>
      </c>
      <c r="G238" t="s">
        <v>15</v>
      </c>
      <c r="H238" t="s">
        <v>14</v>
      </c>
      <c r="I238" t="s">
        <v>6676</v>
      </c>
      <c r="J238">
        <v>60013372</v>
      </c>
      <c r="K238" t="s">
        <v>1796</v>
      </c>
      <c r="L238" t="s">
        <v>1795</v>
      </c>
      <c r="M238" t="s">
        <v>23</v>
      </c>
      <c r="N238">
        <v>3</v>
      </c>
      <c r="O238" t="s">
        <v>6675</v>
      </c>
      <c r="P238" t="s">
        <v>6674</v>
      </c>
      <c r="Q238" t="s">
        <v>6673</v>
      </c>
      <c r="R238" s="7">
        <v>32509</v>
      </c>
      <c r="S238" s="8">
        <f t="shared" si="32"/>
        <v>1989</v>
      </c>
      <c r="T238" s="8">
        <v>1989</v>
      </c>
      <c r="U238" s="8">
        <f t="shared" si="33"/>
        <v>33</v>
      </c>
      <c r="V238" s="7">
        <v>1989</v>
      </c>
      <c r="W238" t="s">
        <v>125</v>
      </c>
      <c r="X238" s="2">
        <v>1.1879999999999999</v>
      </c>
      <c r="Y238" s="6">
        <f t="shared" si="30"/>
        <v>3.1712981500760788E-2</v>
      </c>
      <c r="AA238">
        <v>8998221</v>
      </c>
      <c r="AB238">
        <v>8900153323</v>
      </c>
      <c r="AD238" t="s">
        <v>5</v>
      </c>
      <c r="AE238">
        <v>1</v>
      </c>
      <c r="AF238">
        <v>12</v>
      </c>
      <c r="AH238" t="s">
        <v>6672</v>
      </c>
      <c r="AI238" t="s">
        <v>6671</v>
      </c>
      <c r="AK238" t="s">
        <v>6670</v>
      </c>
      <c r="AL238">
        <v>6</v>
      </c>
      <c r="AM238" s="5">
        <f t="shared" si="34"/>
        <v>0.18181818181818182</v>
      </c>
      <c r="AN238" s="4">
        <f t="shared" si="31"/>
        <v>2.753777838972841E-4</v>
      </c>
      <c r="AO238" s="3"/>
      <c r="AP238">
        <v>0</v>
      </c>
      <c r="AR238" t="s">
        <v>0</v>
      </c>
      <c r="AT238" s="2" t="s">
        <v>19</v>
      </c>
      <c r="AU238" s="1">
        <f t="shared" si="35"/>
        <v>2.2281700385701737</v>
      </c>
      <c r="AV238" s="1">
        <f t="shared" si="36"/>
        <v>1.5994179642329034</v>
      </c>
      <c r="AW238" s="1">
        <f t="shared" si="37"/>
        <v>0.97066588989563363</v>
      </c>
    </row>
    <row r="239" spans="1:49" x14ac:dyDescent="0.2">
      <c r="A239">
        <v>237</v>
      </c>
      <c r="B239" t="s">
        <v>6669</v>
      </c>
      <c r="C239" t="s">
        <v>6668</v>
      </c>
      <c r="F239" t="s">
        <v>6667</v>
      </c>
      <c r="G239" t="s">
        <v>15</v>
      </c>
      <c r="H239" t="s">
        <v>14</v>
      </c>
      <c r="I239" t="s">
        <v>6666</v>
      </c>
      <c r="J239" t="s">
        <v>6665</v>
      </c>
      <c r="K239" t="s">
        <v>6664</v>
      </c>
      <c r="L239" t="s">
        <v>6663</v>
      </c>
      <c r="M239" t="s">
        <v>6662</v>
      </c>
      <c r="N239">
        <v>3</v>
      </c>
      <c r="O239" t="s">
        <v>6661</v>
      </c>
      <c r="P239" t="s">
        <v>6660</v>
      </c>
      <c r="Q239" t="s">
        <v>6659</v>
      </c>
      <c r="R239" s="7">
        <v>32509</v>
      </c>
      <c r="S239" s="8">
        <f t="shared" si="32"/>
        <v>1989</v>
      </c>
      <c r="T239" s="8">
        <v>1989</v>
      </c>
      <c r="U239" s="8">
        <f t="shared" si="33"/>
        <v>33</v>
      </c>
      <c r="V239" s="7">
        <v>1989</v>
      </c>
      <c r="W239" t="s">
        <v>125</v>
      </c>
      <c r="X239" s="2">
        <v>1.1879999999999999</v>
      </c>
      <c r="Y239" s="6">
        <f t="shared" si="30"/>
        <v>3.1712981500760788E-2</v>
      </c>
      <c r="AA239">
        <v>8998221</v>
      </c>
      <c r="AB239">
        <v>8900153323</v>
      </c>
      <c r="AD239" t="s">
        <v>5</v>
      </c>
      <c r="AE239">
        <v>1</v>
      </c>
      <c r="AF239">
        <v>10</v>
      </c>
      <c r="AH239" t="s">
        <v>6658</v>
      </c>
      <c r="AI239" t="s">
        <v>6657</v>
      </c>
      <c r="AK239" t="s">
        <v>6656</v>
      </c>
      <c r="AL239">
        <v>4</v>
      </c>
      <c r="AM239" s="5">
        <f t="shared" si="34"/>
        <v>0.12121212121212122</v>
      </c>
      <c r="AN239" s="4">
        <f t="shared" si="31"/>
        <v>1.8358518926485606E-4</v>
      </c>
      <c r="AO239" s="3"/>
      <c r="AP239">
        <v>0</v>
      </c>
      <c r="AR239" t="s">
        <v>0</v>
      </c>
      <c r="AT239" s="2" t="s">
        <v>19</v>
      </c>
      <c r="AU239" s="1">
        <f t="shared" si="35"/>
        <v>2.2254162607312007</v>
      </c>
      <c r="AV239" s="1">
        <f t="shared" si="36"/>
        <v>1.5948283345012821</v>
      </c>
      <c r="AW239" s="1">
        <f t="shared" si="37"/>
        <v>0.9642404082713637</v>
      </c>
    </row>
    <row r="240" spans="1:49" x14ac:dyDescent="0.2">
      <c r="A240">
        <v>238</v>
      </c>
      <c r="B240" t="s">
        <v>6655</v>
      </c>
      <c r="C240" t="s">
        <v>6654</v>
      </c>
      <c r="F240" t="s">
        <v>6653</v>
      </c>
      <c r="G240" t="s">
        <v>15</v>
      </c>
      <c r="H240" t="s">
        <v>14</v>
      </c>
      <c r="I240" t="s">
        <v>6652</v>
      </c>
      <c r="J240">
        <v>60027550</v>
      </c>
      <c r="K240" t="s">
        <v>482</v>
      </c>
      <c r="L240" t="s">
        <v>481</v>
      </c>
      <c r="M240" t="s">
        <v>23</v>
      </c>
      <c r="N240">
        <v>4</v>
      </c>
      <c r="O240" t="s">
        <v>6651</v>
      </c>
      <c r="P240" t="s">
        <v>6650</v>
      </c>
      <c r="Q240" t="s">
        <v>6649</v>
      </c>
      <c r="R240" s="7">
        <v>32509</v>
      </c>
      <c r="S240" s="8">
        <f t="shared" si="32"/>
        <v>1989</v>
      </c>
      <c r="T240" s="8">
        <v>1989</v>
      </c>
      <c r="U240" s="8">
        <f t="shared" si="33"/>
        <v>33</v>
      </c>
      <c r="V240" s="7">
        <v>1989</v>
      </c>
      <c r="W240" t="s">
        <v>125</v>
      </c>
      <c r="X240" s="2">
        <v>1.1879999999999999</v>
      </c>
      <c r="Y240" s="6">
        <f t="shared" si="30"/>
        <v>3.1712981500760788E-2</v>
      </c>
      <c r="AA240">
        <v>8998221</v>
      </c>
      <c r="AB240">
        <v>8900153323</v>
      </c>
      <c r="AD240" t="s">
        <v>5</v>
      </c>
      <c r="AE240">
        <v>1</v>
      </c>
      <c r="AF240">
        <v>10</v>
      </c>
      <c r="AH240" t="s">
        <v>6648</v>
      </c>
      <c r="AI240" t="s">
        <v>6647</v>
      </c>
      <c r="AK240" t="s">
        <v>6646</v>
      </c>
      <c r="AL240">
        <v>2</v>
      </c>
      <c r="AM240" s="5">
        <f t="shared" si="34"/>
        <v>6.0606060606060608E-2</v>
      </c>
      <c r="AN240" s="4">
        <f t="shared" si="31"/>
        <v>9.1792594632428032E-5</v>
      </c>
      <c r="AO240" s="3"/>
      <c r="AP240">
        <v>0</v>
      </c>
      <c r="AR240" t="s">
        <v>0</v>
      </c>
      <c r="AT240" s="2" t="s">
        <v>19</v>
      </c>
      <c r="AU240" s="1">
        <f t="shared" si="35"/>
        <v>2.2226624828922277</v>
      </c>
      <c r="AV240" s="1">
        <f t="shared" si="36"/>
        <v>1.5902387047696607</v>
      </c>
      <c r="AW240" s="1">
        <f t="shared" si="37"/>
        <v>0.95781492664709367</v>
      </c>
    </row>
    <row r="241" spans="1:49" x14ac:dyDescent="0.2">
      <c r="A241">
        <v>239</v>
      </c>
      <c r="B241" t="s">
        <v>6645</v>
      </c>
      <c r="C241" t="s">
        <v>6644</v>
      </c>
      <c r="F241" t="s">
        <v>6643</v>
      </c>
      <c r="G241" t="s">
        <v>15</v>
      </c>
      <c r="H241" t="s">
        <v>14</v>
      </c>
      <c r="I241" t="s">
        <v>6642</v>
      </c>
      <c r="J241" t="s">
        <v>6638</v>
      </c>
      <c r="K241" t="s">
        <v>6641</v>
      </c>
      <c r="L241" t="s">
        <v>1603</v>
      </c>
      <c r="M241" t="s">
        <v>554</v>
      </c>
      <c r="N241">
        <v>2</v>
      </c>
      <c r="O241" t="s">
        <v>6640</v>
      </c>
      <c r="P241" t="s">
        <v>6639</v>
      </c>
      <c r="Q241" t="s">
        <v>6638</v>
      </c>
      <c r="R241" s="7">
        <v>32509</v>
      </c>
      <c r="S241" s="8">
        <f t="shared" si="32"/>
        <v>1989</v>
      </c>
      <c r="T241" s="8">
        <v>1989</v>
      </c>
      <c r="U241" s="8">
        <f t="shared" si="33"/>
        <v>33</v>
      </c>
      <c r="V241" s="7">
        <v>32568</v>
      </c>
      <c r="W241" t="s">
        <v>6419</v>
      </c>
      <c r="X241" s="2">
        <v>1.9750000000000001</v>
      </c>
      <c r="Y241" s="6">
        <f t="shared" si="30"/>
        <v>5.2721497023571186E-2</v>
      </c>
      <c r="AA241">
        <v>320781</v>
      </c>
      <c r="AB241">
        <v>19019</v>
      </c>
      <c r="AD241" t="s">
        <v>5</v>
      </c>
      <c r="AE241">
        <v>30</v>
      </c>
      <c r="AF241">
        <v>2</v>
      </c>
      <c r="AH241" t="s">
        <v>6637</v>
      </c>
      <c r="AI241" t="s">
        <v>6636</v>
      </c>
      <c r="AJ241" t="s">
        <v>6635</v>
      </c>
      <c r="AK241" t="s">
        <v>6634</v>
      </c>
      <c r="AL241">
        <v>14</v>
      </c>
      <c r="AM241" s="5">
        <f t="shared" si="34"/>
        <v>0.42424242424242425</v>
      </c>
      <c r="AN241" s="4">
        <f t="shared" si="31"/>
        <v>6.4254816242699617E-4</v>
      </c>
      <c r="AO241" s="3"/>
      <c r="AP241">
        <v>1</v>
      </c>
      <c r="AR241" t="s">
        <v>0</v>
      </c>
      <c r="AT241" s="2">
        <v>4.9269999999999996</v>
      </c>
      <c r="AU241" s="1">
        <f t="shared" si="35"/>
        <v>3.7097812365227933</v>
      </c>
      <c r="AV241" s="1">
        <f t="shared" si="36"/>
        <v>2.6682022592999091</v>
      </c>
      <c r="AW241" s="1">
        <f t="shared" si="37"/>
        <v>1.6266232820770252</v>
      </c>
    </row>
    <row r="242" spans="1:49" x14ac:dyDescent="0.2">
      <c r="A242">
        <v>240</v>
      </c>
      <c r="B242" t="s">
        <v>6633</v>
      </c>
      <c r="C242" t="s">
        <v>6632</v>
      </c>
      <c r="D242">
        <v>741333589900031</v>
      </c>
      <c r="F242" t="s">
        <v>6631</v>
      </c>
      <c r="G242" t="s">
        <v>15</v>
      </c>
      <c r="H242" t="s">
        <v>14</v>
      </c>
      <c r="I242" t="s">
        <v>6630</v>
      </c>
      <c r="J242">
        <v>60000297</v>
      </c>
      <c r="K242" t="s">
        <v>6629</v>
      </c>
      <c r="L242" t="s">
        <v>6628</v>
      </c>
      <c r="M242" t="s">
        <v>3579</v>
      </c>
      <c r="N242">
        <v>23</v>
      </c>
      <c r="O242" t="s">
        <v>6627</v>
      </c>
      <c r="P242" t="s">
        <v>6626</v>
      </c>
      <c r="Q242" t="s">
        <v>6625</v>
      </c>
      <c r="R242" s="7">
        <v>32509</v>
      </c>
      <c r="S242" s="8">
        <f t="shared" si="32"/>
        <v>1989</v>
      </c>
      <c r="T242" s="8">
        <v>1989</v>
      </c>
      <c r="U242" s="8">
        <f t="shared" si="33"/>
        <v>33</v>
      </c>
      <c r="V242" s="7">
        <v>1989</v>
      </c>
      <c r="W242" t="s">
        <v>6624</v>
      </c>
      <c r="X242" s="2">
        <v>1.3280000000000001</v>
      </c>
      <c r="Y242" s="6">
        <f t="shared" si="30"/>
        <v>3.5450201542937994E-2</v>
      </c>
      <c r="AA242">
        <v>7413335</v>
      </c>
      <c r="AB242">
        <v>29251</v>
      </c>
      <c r="AD242" t="s">
        <v>5</v>
      </c>
      <c r="AE242">
        <v>31</v>
      </c>
      <c r="AF242">
        <v>1</v>
      </c>
      <c r="AG242">
        <v>1</v>
      </c>
      <c r="AH242" s="9">
        <v>44442</v>
      </c>
      <c r="AI242" t="s">
        <v>6623</v>
      </c>
      <c r="AK242" t="s">
        <v>6622</v>
      </c>
      <c r="AL242">
        <v>2</v>
      </c>
      <c r="AM242" s="5">
        <f t="shared" si="34"/>
        <v>6.0606060606060608E-2</v>
      </c>
      <c r="AN242" s="4">
        <f t="shared" si="31"/>
        <v>9.1792594632428032E-5</v>
      </c>
      <c r="AO242" s="3"/>
      <c r="AP242">
        <v>0</v>
      </c>
      <c r="AR242" t="s">
        <v>0</v>
      </c>
      <c r="AT242" s="2">
        <v>2.4580000000000002</v>
      </c>
      <c r="AU242" s="1">
        <f t="shared" si="35"/>
        <v>2.4842678858446323</v>
      </c>
      <c r="AV242" s="1">
        <f t="shared" si="36"/>
        <v>1.777099706878521</v>
      </c>
      <c r="AW242" s="1">
        <f t="shared" si="37"/>
        <v>1.0699315279124098</v>
      </c>
    </row>
    <row r="243" spans="1:49" x14ac:dyDescent="0.2">
      <c r="A243">
        <v>241</v>
      </c>
      <c r="B243" t="s">
        <v>6621</v>
      </c>
      <c r="C243" t="s">
        <v>6620</v>
      </c>
      <c r="F243" t="s">
        <v>6619</v>
      </c>
      <c r="G243" t="s">
        <v>15</v>
      </c>
      <c r="H243" t="s">
        <v>14</v>
      </c>
      <c r="I243" t="s">
        <v>6618</v>
      </c>
      <c r="J243">
        <v>60022990</v>
      </c>
      <c r="K243" t="s">
        <v>6617</v>
      </c>
      <c r="L243" t="s">
        <v>6616</v>
      </c>
      <c r="M243" t="s">
        <v>115</v>
      </c>
      <c r="N243">
        <v>3</v>
      </c>
      <c r="O243" t="s">
        <v>6615</v>
      </c>
      <c r="P243" t="s">
        <v>6614</v>
      </c>
      <c r="Q243" t="s">
        <v>6613</v>
      </c>
      <c r="R243" s="7">
        <v>32509</v>
      </c>
      <c r="S243" s="8">
        <f t="shared" si="32"/>
        <v>1989</v>
      </c>
      <c r="T243" s="8">
        <v>1989</v>
      </c>
      <c r="U243" s="8">
        <f t="shared" si="33"/>
        <v>33</v>
      </c>
      <c r="V243" s="7">
        <v>32568</v>
      </c>
      <c r="W243" t="s">
        <v>853</v>
      </c>
      <c r="X243" s="2">
        <v>2.141</v>
      </c>
      <c r="Y243" s="6">
        <f t="shared" si="30"/>
        <v>5.7152772216438434E-2</v>
      </c>
      <c r="AA243">
        <v>1962892</v>
      </c>
      <c r="AB243">
        <v>17360</v>
      </c>
      <c r="AC243">
        <v>15580644</v>
      </c>
      <c r="AD243" t="s">
        <v>5</v>
      </c>
      <c r="AE243">
        <v>27</v>
      </c>
      <c r="AF243">
        <v>2</v>
      </c>
      <c r="AH243" t="s">
        <v>6612</v>
      </c>
      <c r="AI243" t="s">
        <v>6611</v>
      </c>
      <c r="AK243" t="s">
        <v>6610</v>
      </c>
      <c r="AL243">
        <v>8</v>
      </c>
      <c r="AM243" s="5">
        <f t="shared" si="34"/>
        <v>0.24242424242424243</v>
      </c>
      <c r="AN243" s="4">
        <f t="shared" si="31"/>
        <v>3.6717037852971213E-4</v>
      </c>
      <c r="AO243" s="3"/>
      <c r="AP243">
        <v>0</v>
      </c>
      <c r="AR243" t="s">
        <v>0</v>
      </c>
      <c r="AT243" s="2" t="s">
        <v>19</v>
      </c>
      <c r="AU243" s="1">
        <f t="shared" si="35"/>
        <v>4.0117091665065816</v>
      </c>
      <c r="AV243" s="1">
        <f t="shared" si="36"/>
        <v>2.8759971297484075</v>
      </c>
      <c r="AW243" s="1">
        <f t="shared" si="37"/>
        <v>1.7402850929902329</v>
      </c>
    </row>
    <row r="244" spans="1:49" x14ac:dyDescent="0.2">
      <c r="A244">
        <v>242</v>
      </c>
      <c r="B244" t="s">
        <v>6609</v>
      </c>
      <c r="C244" t="s">
        <v>6608</v>
      </c>
      <c r="F244" t="s">
        <v>6607</v>
      </c>
      <c r="G244" t="s">
        <v>15</v>
      </c>
      <c r="H244" t="s">
        <v>14</v>
      </c>
      <c r="I244" t="s">
        <v>5056</v>
      </c>
      <c r="J244" t="s">
        <v>6606</v>
      </c>
      <c r="K244" t="s">
        <v>6605</v>
      </c>
      <c r="L244" t="s">
        <v>6604</v>
      </c>
      <c r="M244" t="s">
        <v>86</v>
      </c>
      <c r="N244">
        <v>3</v>
      </c>
      <c r="O244" t="s">
        <v>6603</v>
      </c>
      <c r="P244" t="s">
        <v>6602</v>
      </c>
      <c r="Q244" t="s">
        <v>6601</v>
      </c>
      <c r="R244" s="7">
        <v>32509</v>
      </c>
      <c r="S244" s="8">
        <f t="shared" si="32"/>
        <v>1989</v>
      </c>
      <c r="T244" s="8">
        <v>1989</v>
      </c>
      <c r="U244" s="8">
        <f t="shared" si="33"/>
        <v>33</v>
      </c>
      <c r="V244" s="7">
        <v>32599</v>
      </c>
      <c r="W244" t="s">
        <v>778</v>
      </c>
      <c r="X244" s="2">
        <v>1.6519999999999999</v>
      </c>
      <c r="Y244" s="6">
        <f t="shared" si="30"/>
        <v>4.409919649769093E-2</v>
      </c>
      <c r="AA244" t="s">
        <v>777</v>
      </c>
      <c r="AB244">
        <v>17337</v>
      </c>
      <c r="AC244">
        <v>15582221</v>
      </c>
      <c r="AD244" t="s">
        <v>5</v>
      </c>
      <c r="AE244">
        <v>37</v>
      </c>
      <c r="AF244">
        <v>4</v>
      </c>
      <c r="AH244" t="s">
        <v>6600</v>
      </c>
      <c r="AI244" t="s">
        <v>6599</v>
      </c>
      <c r="AK244" t="s">
        <v>6598</v>
      </c>
      <c r="AL244">
        <v>5</v>
      </c>
      <c r="AM244" s="5">
        <f t="shared" si="34"/>
        <v>0.15151515151515152</v>
      </c>
      <c r="AN244" s="4">
        <f t="shared" si="31"/>
        <v>2.2948148658107008E-4</v>
      </c>
      <c r="AO244" s="3"/>
      <c r="AP244">
        <v>0</v>
      </c>
      <c r="AR244" t="s">
        <v>0</v>
      </c>
      <c r="AT244" s="2" t="s">
        <v>19</v>
      </c>
      <c r="AU244" s="1">
        <f t="shared" si="35"/>
        <v>3.0938281994357975</v>
      </c>
      <c r="AV244" s="1">
        <f t="shared" si="36"/>
        <v>2.2164338992135999</v>
      </c>
      <c r="AW244" s="1">
        <f t="shared" si="37"/>
        <v>1.3390395989914028</v>
      </c>
    </row>
    <row r="245" spans="1:49" x14ac:dyDescent="0.2">
      <c r="A245">
        <v>243</v>
      </c>
      <c r="B245" t="s">
        <v>6597</v>
      </c>
      <c r="C245" t="s">
        <v>6596</v>
      </c>
      <c r="F245" t="s">
        <v>6595</v>
      </c>
      <c r="G245" t="s">
        <v>15</v>
      </c>
      <c r="H245" t="s">
        <v>14</v>
      </c>
      <c r="I245" t="s">
        <v>6594</v>
      </c>
      <c r="J245" t="s">
        <v>6593</v>
      </c>
      <c r="K245" t="s">
        <v>6592</v>
      </c>
      <c r="L245" t="s">
        <v>6591</v>
      </c>
      <c r="M245" t="s">
        <v>644</v>
      </c>
      <c r="N245">
        <v>4</v>
      </c>
      <c r="O245" t="s">
        <v>6590</v>
      </c>
      <c r="P245" t="s">
        <v>6589</v>
      </c>
      <c r="Q245" t="s">
        <v>6588</v>
      </c>
      <c r="R245" s="7">
        <v>32509</v>
      </c>
      <c r="S245" s="8">
        <f t="shared" si="32"/>
        <v>1989</v>
      </c>
      <c r="T245" s="8">
        <v>1989</v>
      </c>
      <c r="U245" s="8">
        <f t="shared" si="33"/>
        <v>33</v>
      </c>
      <c r="V245" s="7">
        <v>32568</v>
      </c>
      <c r="W245" t="s">
        <v>853</v>
      </c>
      <c r="X245" s="2">
        <v>2.141</v>
      </c>
      <c r="Y245" s="6">
        <f t="shared" si="30"/>
        <v>5.7152772216438434E-2</v>
      </c>
      <c r="AA245">
        <v>1962892</v>
      </c>
      <c r="AB245">
        <v>17360</v>
      </c>
      <c r="AC245">
        <v>15580644</v>
      </c>
      <c r="AD245" t="s">
        <v>5</v>
      </c>
      <c r="AE245">
        <v>27</v>
      </c>
      <c r="AF245">
        <v>2</v>
      </c>
      <c r="AH245" t="s">
        <v>3126</v>
      </c>
      <c r="AI245" t="s">
        <v>6587</v>
      </c>
      <c r="AK245" t="s">
        <v>6586</v>
      </c>
      <c r="AL245">
        <v>22</v>
      </c>
      <c r="AM245" s="5">
        <f t="shared" si="34"/>
        <v>0.66666666666666663</v>
      </c>
      <c r="AN245" s="4">
        <f t="shared" si="31"/>
        <v>1.0097185409567082E-3</v>
      </c>
      <c r="AO245" s="3"/>
      <c r="AP245">
        <v>0</v>
      </c>
      <c r="AR245" t="s">
        <v>0</v>
      </c>
      <c r="AT245" s="2" t="s">
        <v>19</v>
      </c>
      <c r="AU245" s="1">
        <f t="shared" si="35"/>
        <v>4.0309856113793909</v>
      </c>
      <c r="AV245" s="1">
        <f t="shared" si="36"/>
        <v>2.9081245378697571</v>
      </c>
      <c r="AW245" s="1">
        <f t="shared" si="37"/>
        <v>1.7852634643601226</v>
      </c>
    </row>
    <row r="246" spans="1:49" x14ac:dyDescent="0.2">
      <c r="A246">
        <v>244</v>
      </c>
      <c r="B246" t="s">
        <v>6585</v>
      </c>
      <c r="C246" t="s">
        <v>6584</v>
      </c>
      <c r="F246" t="s">
        <v>6583</v>
      </c>
      <c r="G246" t="s">
        <v>15</v>
      </c>
      <c r="H246" t="s">
        <v>14</v>
      </c>
      <c r="I246" t="s">
        <v>3688</v>
      </c>
      <c r="J246" t="s">
        <v>6582</v>
      </c>
      <c r="K246" t="s">
        <v>6581</v>
      </c>
      <c r="L246" t="s">
        <v>6580</v>
      </c>
      <c r="M246" t="s">
        <v>6579</v>
      </c>
      <c r="N246">
        <v>4</v>
      </c>
      <c r="O246" t="s">
        <v>6578</v>
      </c>
      <c r="P246" t="s">
        <v>6577</v>
      </c>
      <c r="Q246" t="s">
        <v>6576</v>
      </c>
      <c r="R246" s="7">
        <v>32509</v>
      </c>
      <c r="S246" s="8">
        <f t="shared" si="32"/>
        <v>1989</v>
      </c>
      <c r="T246" s="8">
        <v>1989</v>
      </c>
      <c r="U246" s="8">
        <f t="shared" si="33"/>
        <v>33</v>
      </c>
      <c r="V246" s="7">
        <v>32813</v>
      </c>
      <c r="W246" t="s">
        <v>6575</v>
      </c>
      <c r="X246" s="2" t="s">
        <v>19</v>
      </c>
      <c r="Y246" s="6" t="e">
        <f t="shared" si="30"/>
        <v>#VALUE!</v>
      </c>
      <c r="AA246">
        <v>39039</v>
      </c>
      <c r="AB246">
        <v>31407</v>
      </c>
      <c r="AC246">
        <v>14320487</v>
      </c>
      <c r="AD246" t="s">
        <v>5</v>
      </c>
      <c r="AE246">
        <v>72</v>
      </c>
      <c r="AF246">
        <v>6</v>
      </c>
      <c r="AH246" t="s">
        <v>6574</v>
      </c>
      <c r="AI246" t="s">
        <v>6573</v>
      </c>
      <c r="AK246" t="s">
        <v>6572</v>
      </c>
      <c r="AL246">
        <v>3</v>
      </c>
      <c r="AM246" s="5">
        <f t="shared" si="34"/>
        <v>9.0909090909090912E-2</v>
      </c>
      <c r="AN246" s="4">
        <f t="shared" si="31"/>
        <v>1.3768889194864205E-4</v>
      </c>
      <c r="AO246" s="3"/>
      <c r="AP246">
        <v>0</v>
      </c>
      <c r="AR246" t="s">
        <v>0</v>
      </c>
      <c r="AT246" s="2" t="s">
        <v>19</v>
      </c>
      <c r="AU246" s="1" t="e">
        <f t="shared" si="35"/>
        <v>#VALUE!</v>
      </c>
      <c r="AV246" s="1" t="e">
        <f t="shared" si="36"/>
        <v>#VALUE!</v>
      </c>
      <c r="AW246" s="1" t="e">
        <f t="shared" si="37"/>
        <v>#VALUE!</v>
      </c>
    </row>
    <row r="247" spans="1:49" x14ac:dyDescent="0.2">
      <c r="A247">
        <v>245</v>
      </c>
      <c r="B247" t="s">
        <v>6571</v>
      </c>
      <c r="C247" t="s">
        <v>6570</v>
      </c>
      <c r="F247" t="s">
        <v>6569</v>
      </c>
      <c r="G247" t="s">
        <v>15</v>
      </c>
      <c r="H247" t="s">
        <v>14</v>
      </c>
      <c r="I247" t="s">
        <v>6568</v>
      </c>
      <c r="J247" t="s">
        <v>6567</v>
      </c>
      <c r="K247" t="s">
        <v>6566</v>
      </c>
      <c r="L247" t="s">
        <v>6565</v>
      </c>
      <c r="M247" t="s">
        <v>644</v>
      </c>
      <c r="N247">
        <v>3</v>
      </c>
      <c r="O247" t="s">
        <v>6564</v>
      </c>
      <c r="P247" t="s">
        <v>6563</v>
      </c>
      <c r="Q247" t="s">
        <v>6562</v>
      </c>
      <c r="R247" s="7">
        <v>32509</v>
      </c>
      <c r="S247" s="8">
        <f t="shared" si="32"/>
        <v>1989</v>
      </c>
      <c r="T247" s="8">
        <v>1989</v>
      </c>
      <c r="U247" s="8">
        <f t="shared" si="33"/>
        <v>33</v>
      </c>
      <c r="V247" s="7">
        <v>32509</v>
      </c>
      <c r="W247" t="s">
        <v>6498</v>
      </c>
      <c r="X247" s="2">
        <v>0.61499999999999999</v>
      </c>
      <c r="Y247" s="6">
        <f t="shared" si="30"/>
        <v>1.6417073756706976E-2</v>
      </c>
      <c r="AA247">
        <v>1959271</v>
      </c>
      <c r="AB247">
        <v>12141</v>
      </c>
      <c r="AC247">
        <v>15729559</v>
      </c>
      <c r="AD247" t="s">
        <v>5</v>
      </c>
      <c r="AE247">
        <v>10</v>
      </c>
      <c r="AF247">
        <v>1</v>
      </c>
      <c r="AH247" t="s">
        <v>6561</v>
      </c>
      <c r="AI247" t="s">
        <v>6560</v>
      </c>
      <c r="AJ247" t="s">
        <v>6559</v>
      </c>
      <c r="AK247" t="s">
        <v>6558</v>
      </c>
      <c r="AL247">
        <v>0</v>
      </c>
      <c r="AM247" s="5">
        <f t="shared" si="34"/>
        <v>0</v>
      </c>
      <c r="AN247" s="4">
        <f t="shared" si="31"/>
        <v>0</v>
      </c>
      <c r="AO247" s="3"/>
      <c r="AP247">
        <v>0</v>
      </c>
      <c r="AR247" t="s">
        <v>0</v>
      </c>
      <c r="AT247" s="2" t="s">
        <v>19</v>
      </c>
      <c r="AU247" s="1">
        <f t="shared" si="35"/>
        <v>1.1491951629694881</v>
      </c>
      <c r="AV247" s="1">
        <f t="shared" si="36"/>
        <v>0.82085368783534873</v>
      </c>
      <c r="AW247" s="1">
        <f t="shared" si="37"/>
        <v>0.49251221270120926</v>
      </c>
    </row>
    <row r="248" spans="1:49" x14ac:dyDescent="0.2">
      <c r="A248">
        <v>246</v>
      </c>
      <c r="B248" t="s">
        <v>6557</v>
      </c>
      <c r="C248" t="s">
        <v>6556</v>
      </c>
      <c r="F248" t="s">
        <v>6555</v>
      </c>
      <c r="G248" t="s">
        <v>15</v>
      </c>
      <c r="H248" t="s">
        <v>14</v>
      </c>
      <c r="I248" t="s">
        <v>6554</v>
      </c>
      <c r="N248">
        <v>7</v>
      </c>
      <c r="O248" t="s">
        <v>6553</v>
      </c>
      <c r="P248" t="s">
        <v>6552</v>
      </c>
      <c r="Q248" t="s">
        <v>336</v>
      </c>
      <c r="R248" s="7">
        <v>32509</v>
      </c>
      <c r="S248" s="8">
        <f t="shared" si="32"/>
        <v>1989</v>
      </c>
      <c r="T248" s="8">
        <v>1989</v>
      </c>
      <c r="U248" s="8">
        <f t="shared" si="33"/>
        <v>33</v>
      </c>
      <c r="V248" s="7">
        <v>32509</v>
      </c>
      <c r="W248" t="s">
        <v>6551</v>
      </c>
      <c r="X248" s="2">
        <v>0.318</v>
      </c>
      <c r="Y248" s="6">
        <f t="shared" si="30"/>
        <v>8.4888283815167786E-3</v>
      </c>
      <c r="AA248">
        <v>338443</v>
      </c>
      <c r="AB248">
        <v>27160</v>
      </c>
      <c r="AC248">
        <v>15739120</v>
      </c>
      <c r="AD248" t="s">
        <v>5</v>
      </c>
      <c r="AE248">
        <v>32</v>
      </c>
      <c r="AF248">
        <v>1</v>
      </c>
      <c r="AH248" t="s">
        <v>6550</v>
      </c>
      <c r="AL248">
        <v>7</v>
      </c>
      <c r="AM248" s="5">
        <f t="shared" si="34"/>
        <v>0.21212121212121213</v>
      </c>
      <c r="AN248" s="4">
        <f t="shared" si="31"/>
        <v>3.2127408121349809E-4</v>
      </c>
      <c r="AO248" s="3"/>
      <c r="AP248">
        <v>0</v>
      </c>
      <c r="AR248" t="s">
        <v>0</v>
      </c>
      <c r="AT248" s="2">
        <v>0.77</v>
      </c>
      <c r="AU248" s="1">
        <f t="shared" si="35"/>
        <v>0.60385620914257943</v>
      </c>
      <c r="AV248" s="1">
        <f t="shared" si="36"/>
        <v>0.4405051231365138</v>
      </c>
      <c r="AW248" s="1">
        <f t="shared" si="37"/>
        <v>0.27715403713044823</v>
      </c>
    </row>
    <row r="249" spans="1:49" x14ac:dyDescent="0.2">
      <c r="A249">
        <v>247</v>
      </c>
      <c r="B249" t="s">
        <v>6549</v>
      </c>
      <c r="C249" t="s">
        <v>6548</v>
      </c>
      <c r="F249" t="s">
        <v>6547</v>
      </c>
      <c r="G249" t="s">
        <v>15</v>
      </c>
      <c r="H249" t="s">
        <v>14</v>
      </c>
      <c r="I249" t="s">
        <v>6546</v>
      </c>
      <c r="J249">
        <v>60008950</v>
      </c>
      <c r="K249" t="s">
        <v>6545</v>
      </c>
      <c r="L249" t="s">
        <v>6478</v>
      </c>
      <c r="M249" t="s">
        <v>857</v>
      </c>
      <c r="N249">
        <v>2</v>
      </c>
      <c r="O249" t="s">
        <v>6544</v>
      </c>
      <c r="P249" t="s">
        <v>6543</v>
      </c>
      <c r="Q249" t="s">
        <v>6542</v>
      </c>
      <c r="R249" s="7">
        <v>32509</v>
      </c>
      <c r="S249" s="8">
        <f t="shared" si="32"/>
        <v>1989</v>
      </c>
      <c r="T249" s="8">
        <v>1989</v>
      </c>
      <c r="U249" s="8">
        <f t="shared" si="33"/>
        <v>33</v>
      </c>
      <c r="V249" s="7">
        <v>1989</v>
      </c>
      <c r="W249" t="s">
        <v>111</v>
      </c>
      <c r="X249" s="2">
        <v>3.6880000000000002</v>
      </c>
      <c r="Y249" s="6">
        <f t="shared" si="30"/>
        <v>9.8449053682496471E-2</v>
      </c>
      <c r="AA249">
        <v>319007</v>
      </c>
      <c r="AB249">
        <v>29150</v>
      </c>
      <c r="AD249" t="s">
        <v>5</v>
      </c>
      <c r="AE249">
        <v>63</v>
      </c>
      <c r="AF249">
        <v>26</v>
      </c>
      <c r="AH249" t="s">
        <v>6541</v>
      </c>
      <c r="AI249" t="s">
        <v>6540</v>
      </c>
      <c r="AK249" t="s">
        <v>6539</v>
      </c>
      <c r="AL249">
        <v>78</v>
      </c>
      <c r="AM249" s="5">
        <f t="shared" si="34"/>
        <v>2.3636363636363638</v>
      </c>
      <c r="AN249" s="4">
        <f t="shared" si="31"/>
        <v>3.5799111906646935E-3</v>
      </c>
      <c r="AO249" s="3"/>
      <c r="AP249">
        <v>0</v>
      </c>
      <c r="AR249" t="s">
        <v>0</v>
      </c>
      <c r="AT249" s="2">
        <v>9.1609999999999996</v>
      </c>
      <c r="AU249" s="1">
        <f t="shared" si="35"/>
        <v>6.9988310934946938</v>
      </c>
      <c r="AV249" s="1">
        <f t="shared" si="36"/>
        <v>5.1014482436580586</v>
      </c>
      <c r="AW249" s="1">
        <f t="shared" si="37"/>
        <v>3.2040653938214225</v>
      </c>
    </row>
    <row r="250" spans="1:49" x14ac:dyDescent="0.2">
      <c r="A250">
        <v>248</v>
      </c>
      <c r="B250" t="s">
        <v>6538</v>
      </c>
      <c r="C250" t="s">
        <v>6537</v>
      </c>
      <c r="F250" t="s">
        <v>6536</v>
      </c>
      <c r="G250" t="s">
        <v>15</v>
      </c>
      <c r="H250" t="s">
        <v>14</v>
      </c>
      <c r="I250" t="s">
        <v>6535</v>
      </c>
      <c r="J250">
        <v>60023254</v>
      </c>
      <c r="K250" t="s">
        <v>6534</v>
      </c>
      <c r="L250" t="s">
        <v>6533</v>
      </c>
      <c r="M250" t="s">
        <v>792</v>
      </c>
      <c r="N250">
        <v>1</v>
      </c>
      <c r="O250" t="s">
        <v>6532</v>
      </c>
      <c r="P250">
        <v>7004504569</v>
      </c>
      <c r="Q250">
        <v>60023254</v>
      </c>
      <c r="R250" s="7">
        <v>32509</v>
      </c>
      <c r="S250" s="8">
        <f t="shared" si="32"/>
        <v>1989</v>
      </c>
      <c r="T250" s="8">
        <v>1989</v>
      </c>
      <c r="U250" s="8">
        <f t="shared" si="33"/>
        <v>33</v>
      </c>
      <c r="V250" s="7">
        <v>1989</v>
      </c>
      <c r="W250" t="s">
        <v>6531</v>
      </c>
      <c r="X250" s="2">
        <v>0.312</v>
      </c>
      <c r="Y250" s="6">
        <f t="shared" si="30"/>
        <v>8.3286618082806119E-3</v>
      </c>
      <c r="AA250">
        <v>9540695</v>
      </c>
      <c r="AB250">
        <v>61637</v>
      </c>
      <c r="AD250" t="s">
        <v>5</v>
      </c>
      <c r="AE250">
        <v>1</v>
      </c>
      <c r="AF250">
        <v>6</v>
      </c>
      <c r="AH250" t="s">
        <v>6530</v>
      </c>
      <c r="AI250" t="s">
        <v>6529</v>
      </c>
      <c r="AK250" t="s">
        <v>6528</v>
      </c>
      <c r="AL250">
        <v>4</v>
      </c>
      <c r="AM250" s="5">
        <f t="shared" si="34"/>
        <v>0.12121212121212122</v>
      </c>
      <c r="AN250" s="4">
        <f t="shared" si="31"/>
        <v>1.8358518926485606E-4</v>
      </c>
      <c r="AO250" s="3"/>
      <c r="AP250">
        <v>0</v>
      </c>
      <c r="AR250" t="s">
        <v>0</v>
      </c>
      <c r="AT250" s="2" t="s">
        <v>19</v>
      </c>
      <c r="AU250" s="1">
        <f t="shared" si="35"/>
        <v>0.58851388225758849</v>
      </c>
      <c r="AV250" s="1">
        <f t="shared" si="36"/>
        <v>0.42561234987727337</v>
      </c>
      <c r="AW250" s="1">
        <f t="shared" si="37"/>
        <v>0.26271081749695824</v>
      </c>
    </row>
    <row r="251" spans="1:49" x14ac:dyDescent="0.2">
      <c r="A251">
        <v>249</v>
      </c>
      <c r="B251" t="s">
        <v>6527</v>
      </c>
      <c r="C251" t="s">
        <v>6526</v>
      </c>
      <c r="F251" t="s">
        <v>6525</v>
      </c>
      <c r="G251" t="s">
        <v>15</v>
      </c>
      <c r="H251" t="s">
        <v>14</v>
      </c>
      <c r="I251" t="s">
        <v>6524</v>
      </c>
      <c r="J251">
        <v>60017246</v>
      </c>
      <c r="K251" t="s">
        <v>6523</v>
      </c>
      <c r="L251" t="s">
        <v>6522</v>
      </c>
      <c r="M251" t="s">
        <v>259</v>
      </c>
      <c r="N251">
        <v>1</v>
      </c>
      <c r="O251" t="s">
        <v>6521</v>
      </c>
      <c r="P251">
        <v>24313994200</v>
      </c>
      <c r="Q251">
        <v>60017246</v>
      </c>
      <c r="R251" s="7">
        <v>32509</v>
      </c>
      <c r="S251" s="8">
        <f t="shared" si="32"/>
        <v>1989</v>
      </c>
      <c r="T251" s="8">
        <v>1989</v>
      </c>
      <c r="U251" s="8">
        <f t="shared" si="33"/>
        <v>33</v>
      </c>
      <c r="V251" s="7">
        <v>32509</v>
      </c>
      <c r="W251" t="s">
        <v>580</v>
      </c>
      <c r="X251" s="2">
        <v>0.8</v>
      </c>
      <c r="Y251" s="6">
        <f t="shared" si="30"/>
        <v>2.1355543098155415E-2</v>
      </c>
      <c r="AA251">
        <v>3407594</v>
      </c>
      <c r="AB251">
        <v>23456</v>
      </c>
      <c r="AC251">
        <v>14321351</v>
      </c>
      <c r="AD251" t="s">
        <v>5</v>
      </c>
      <c r="AE251">
        <v>165</v>
      </c>
      <c r="AF251">
        <v>1</v>
      </c>
      <c r="AH251" t="s">
        <v>6520</v>
      </c>
      <c r="AI251" t="s">
        <v>6519</v>
      </c>
      <c r="AK251" t="s">
        <v>6518</v>
      </c>
      <c r="AL251">
        <v>1</v>
      </c>
      <c r="AM251" s="5">
        <f t="shared" si="34"/>
        <v>3.0303030303030304E-2</v>
      </c>
      <c r="AN251" s="4">
        <f t="shared" si="31"/>
        <v>4.5896297316214016E-5</v>
      </c>
      <c r="AO251" s="3"/>
      <c r="AP251">
        <v>0</v>
      </c>
      <c r="AR251" t="s">
        <v>0</v>
      </c>
      <c r="AT251" s="2" t="s">
        <v>19</v>
      </c>
      <c r="AU251" s="1">
        <f t="shared" si="35"/>
        <v>1.4962649057903654</v>
      </c>
      <c r="AV251" s="1">
        <f t="shared" si="36"/>
        <v>1.0700719697735814</v>
      </c>
      <c r="AW251" s="1">
        <f t="shared" si="37"/>
        <v>0.64387903375679745</v>
      </c>
    </row>
    <row r="252" spans="1:49" x14ac:dyDescent="0.2">
      <c r="A252">
        <v>250</v>
      </c>
      <c r="B252" t="s">
        <v>6517</v>
      </c>
      <c r="C252" t="s">
        <v>6516</v>
      </c>
      <c r="D252">
        <v>273117789900148</v>
      </c>
      <c r="F252" t="s">
        <v>6515</v>
      </c>
      <c r="G252" t="s">
        <v>15</v>
      </c>
      <c r="H252" t="s">
        <v>14</v>
      </c>
      <c r="I252" t="s">
        <v>6514</v>
      </c>
      <c r="J252">
        <v>60000221</v>
      </c>
      <c r="K252" t="s">
        <v>1840</v>
      </c>
      <c r="L252" t="s">
        <v>1839</v>
      </c>
      <c r="M252" t="s">
        <v>23</v>
      </c>
      <c r="N252">
        <v>6</v>
      </c>
      <c r="O252" t="s">
        <v>6513</v>
      </c>
      <c r="P252" t="s">
        <v>6512</v>
      </c>
      <c r="Q252" t="s">
        <v>6511</v>
      </c>
      <c r="R252" s="7">
        <v>32509</v>
      </c>
      <c r="S252" s="8">
        <f t="shared" si="32"/>
        <v>1989</v>
      </c>
      <c r="T252" s="8">
        <v>1989</v>
      </c>
      <c r="U252" s="8">
        <f t="shared" si="33"/>
        <v>33</v>
      </c>
      <c r="V252" s="7">
        <v>1989</v>
      </c>
      <c r="W252" t="s">
        <v>6440</v>
      </c>
      <c r="X252" s="2">
        <v>0.68200000000000005</v>
      </c>
      <c r="Y252" s="6">
        <f t="shared" si="30"/>
        <v>1.8205600491177493E-2</v>
      </c>
      <c r="AA252">
        <v>2731177</v>
      </c>
      <c r="AB252">
        <v>12375</v>
      </c>
      <c r="AD252" t="s">
        <v>5</v>
      </c>
      <c r="AE252">
        <v>9</v>
      </c>
      <c r="AF252">
        <v>9</v>
      </c>
      <c r="AH252" t="s">
        <v>6510</v>
      </c>
      <c r="AI252" t="s">
        <v>6509</v>
      </c>
      <c r="AK252" t="s">
        <v>6508</v>
      </c>
      <c r="AL252">
        <v>28</v>
      </c>
      <c r="AM252" s="5">
        <f t="shared" si="34"/>
        <v>0.84848484848484851</v>
      </c>
      <c r="AN252" s="4">
        <f t="shared" si="31"/>
        <v>1.2850963248539923E-3</v>
      </c>
      <c r="AO252" s="3"/>
      <c r="AP252">
        <v>0</v>
      </c>
      <c r="AQ252" t="s">
        <v>746</v>
      </c>
      <c r="AR252" t="s">
        <v>6507</v>
      </c>
      <c r="AS252" t="s">
        <v>744</v>
      </c>
      <c r="AT252" s="2">
        <v>2.1520000000000001</v>
      </c>
      <c r="AU252" s="1">
        <f t="shared" si="35"/>
        <v>1.3129449241280442</v>
      </c>
      <c r="AV252" s="1">
        <f t="shared" si="36"/>
        <v>0.97453484080157438</v>
      </c>
      <c r="AW252" s="1">
        <f t="shared" si="37"/>
        <v>0.63612475747510422</v>
      </c>
    </row>
    <row r="253" spans="1:49" x14ac:dyDescent="0.2">
      <c r="A253">
        <v>251</v>
      </c>
      <c r="B253" t="s">
        <v>6506</v>
      </c>
      <c r="C253" t="s">
        <v>6505</v>
      </c>
      <c r="F253" t="s">
        <v>6504</v>
      </c>
      <c r="G253" t="s">
        <v>15</v>
      </c>
      <c r="H253" t="s">
        <v>14</v>
      </c>
      <c r="I253" t="s">
        <v>6503</v>
      </c>
      <c r="J253">
        <v>60025709</v>
      </c>
      <c r="K253" t="s">
        <v>6502</v>
      </c>
      <c r="L253" t="s">
        <v>2485</v>
      </c>
      <c r="M253" t="s">
        <v>857</v>
      </c>
      <c r="N253">
        <v>2</v>
      </c>
      <c r="O253" t="s">
        <v>6501</v>
      </c>
      <c r="P253" t="s">
        <v>6500</v>
      </c>
      <c r="Q253" t="s">
        <v>6499</v>
      </c>
      <c r="R253" s="7">
        <v>32509</v>
      </c>
      <c r="S253" s="8">
        <f t="shared" si="32"/>
        <v>1989</v>
      </c>
      <c r="T253" s="8">
        <v>1989</v>
      </c>
      <c r="U253" s="8">
        <f t="shared" si="33"/>
        <v>33</v>
      </c>
      <c r="V253" s="7">
        <v>32509</v>
      </c>
      <c r="W253" t="s">
        <v>6498</v>
      </c>
      <c r="X253" s="2">
        <v>0.61499999999999999</v>
      </c>
      <c r="Y253" s="6">
        <f t="shared" si="30"/>
        <v>1.6417073756706976E-2</v>
      </c>
      <c r="AA253">
        <v>1959271</v>
      </c>
      <c r="AB253">
        <v>12141</v>
      </c>
      <c r="AC253">
        <v>15729559</v>
      </c>
      <c r="AD253" t="s">
        <v>5</v>
      </c>
      <c r="AE253">
        <v>10</v>
      </c>
      <c r="AF253">
        <v>1</v>
      </c>
      <c r="AH253" t="s">
        <v>6497</v>
      </c>
      <c r="AI253" t="s">
        <v>6496</v>
      </c>
      <c r="AK253" t="s">
        <v>6495</v>
      </c>
      <c r="AL253">
        <v>9</v>
      </c>
      <c r="AM253" s="5">
        <f t="shared" si="34"/>
        <v>0.27272727272727271</v>
      </c>
      <c r="AN253" s="4">
        <f t="shared" si="31"/>
        <v>4.1306667584592612E-4</v>
      </c>
      <c r="AO253" s="3"/>
      <c r="AP253">
        <v>0</v>
      </c>
      <c r="AR253" t="s">
        <v>0</v>
      </c>
      <c r="AT253" s="2" t="s">
        <v>19</v>
      </c>
      <c r="AU253" s="1">
        <f t="shared" si="35"/>
        <v>1.161587163244866</v>
      </c>
      <c r="AV253" s="1">
        <f t="shared" si="36"/>
        <v>0.84150702162764501</v>
      </c>
      <c r="AW253" s="1">
        <f t="shared" si="37"/>
        <v>0.52142688001042403</v>
      </c>
    </row>
    <row r="254" spans="1:49" x14ac:dyDescent="0.2">
      <c r="A254">
        <v>252</v>
      </c>
      <c r="B254" t="s">
        <v>6494</v>
      </c>
      <c r="C254" t="s">
        <v>6493</v>
      </c>
      <c r="F254" t="s">
        <v>6492</v>
      </c>
      <c r="G254" t="s">
        <v>15</v>
      </c>
      <c r="H254" t="s">
        <v>14</v>
      </c>
      <c r="I254" t="s">
        <v>6491</v>
      </c>
      <c r="J254">
        <v>60014176</v>
      </c>
      <c r="K254" t="s">
        <v>6490</v>
      </c>
      <c r="L254" t="s">
        <v>6489</v>
      </c>
      <c r="M254" t="s">
        <v>792</v>
      </c>
      <c r="N254">
        <v>1</v>
      </c>
      <c r="O254" t="s">
        <v>6488</v>
      </c>
      <c r="P254">
        <v>55900158000</v>
      </c>
      <c r="Q254">
        <v>60014176</v>
      </c>
      <c r="R254" s="7">
        <v>32509</v>
      </c>
      <c r="S254" s="8">
        <f t="shared" si="32"/>
        <v>1989</v>
      </c>
      <c r="T254" s="8">
        <v>1989</v>
      </c>
      <c r="U254" s="8">
        <f t="shared" si="33"/>
        <v>33</v>
      </c>
      <c r="V254" s="7" t="s">
        <v>5289</v>
      </c>
      <c r="W254" t="s">
        <v>414</v>
      </c>
      <c r="X254" s="2">
        <v>0.51100000000000001</v>
      </c>
      <c r="Y254" s="6">
        <f t="shared" si="30"/>
        <v>1.3640853153946772E-2</v>
      </c>
      <c r="AA254">
        <v>222933</v>
      </c>
      <c r="AB254">
        <v>29630</v>
      </c>
      <c r="AC254">
        <v>14645262</v>
      </c>
      <c r="AD254" t="s">
        <v>5</v>
      </c>
      <c r="AE254">
        <v>23</v>
      </c>
      <c r="AF254">
        <v>6</v>
      </c>
      <c r="AH254" t="s">
        <v>6487</v>
      </c>
      <c r="AI254" t="s">
        <v>6486</v>
      </c>
      <c r="AJ254" t="s">
        <v>6485</v>
      </c>
      <c r="AK254" t="s">
        <v>6484</v>
      </c>
      <c r="AL254">
        <v>3</v>
      </c>
      <c r="AM254" s="5">
        <f t="shared" si="34"/>
        <v>9.0909090909090912E-2</v>
      </c>
      <c r="AN254" s="4">
        <f t="shared" si="31"/>
        <v>1.3768889194864205E-4</v>
      </c>
      <c r="AO254" s="3"/>
      <c r="AP254">
        <v>0</v>
      </c>
      <c r="AR254" t="s">
        <v>0</v>
      </c>
      <c r="AT254" s="2">
        <v>1.016</v>
      </c>
      <c r="AU254" s="1">
        <f t="shared" si="35"/>
        <v>0.95899038753473331</v>
      </c>
      <c r="AV254" s="1">
        <f t="shared" si="36"/>
        <v>0.68892710229477072</v>
      </c>
      <c r="AW254" s="1">
        <f t="shared" si="37"/>
        <v>0.41886381705480813</v>
      </c>
    </row>
    <row r="255" spans="1:49" x14ac:dyDescent="0.2">
      <c r="A255">
        <v>253</v>
      </c>
      <c r="B255" t="s">
        <v>6483</v>
      </c>
      <c r="C255" t="s">
        <v>6482</v>
      </c>
      <c r="F255" t="s">
        <v>6481</v>
      </c>
      <c r="G255" t="s">
        <v>15</v>
      </c>
      <c r="H255" t="s">
        <v>14</v>
      </c>
      <c r="I255" t="s">
        <v>6480</v>
      </c>
      <c r="J255">
        <v>60026708</v>
      </c>
      <c r="K255" t="s">
        <v>6479</v>
      </c>
      <c r="L255" t="s">
        <v>6478</v>
      </c>
      <c r="M255" t="s">
        <v>857</v>
      </c>
      <c r="N255">
        <v>1</v>
      </c>
      <c r="O255" t="s">
        <v>6477</v>
      </c>
      <c r="P255">
        <v>7003446625</v>
      </c>
      <c r="Q255">
        <v>60026708</v>
      </c>
      <c r="R255" s="7">
        <v>32509</v>
      </c>
      <c r="S255" s="8">
        <f t="shared" si="32"/>
        <v>1989</v>
      </c>
      <c r="T255" s="8">
        <v>1989</v>
      </c>
      <c r="U255" s="8">
        <f t="shared" si="33"/>
        <v>33</v>
      </c>
      <c r="V255" s="7">
        <v>32509</v>
      </c>
      <c r="W255" t="s">
        <v>6476</v>
      </c>
      <c r="X255" s="2">
        <v>0.61899999999999999</v>
      </c>
      <c r="Y255" s="6">
        <f t="shared" si="30"/>
        <v>1.6523851472197752E-2</v>
      </c>
      <c r="AA255">
        <v>14966</v>
      </c>
      <c r="AB255">
        <v>12936</v>
      </c>
      <c r="AC255" t="s">
        <v>6475</v>
      </c>
      <c r="AD255" t="s">
        <v>5</v>
      </c>
      <c r="AE255">
        <v>85</v>
      </c>
      <c r="AF255">
        <v>1</v>
      </c>
      <c r="AH255" t="s">
        <v>6474</v>
      </c>
      <c r="AI255" t="s">
        <v>6473</v>
      </c>
      <c r="AK255" t="s">
        <v>6472</v>
      </c>
      <c r="AL255">
        <v>25</v>
      </c>
      <c r="AM255" s="5">
        <f t="shared" si="34"/>
        <v>0.75757575757575757</v>
      </c>
      <c r="AN255" s="4">
        <f t="shared" si="31"/>
        <v>1.1474074329053503E-3</v>
      </c>
      <c r="AO255" s="3"/>
      <c r="AP255">
        <v>0</v>
      </c>
      <c r="AR255" t="s">
        <v>0</v>
      </c>
      <c r="AT255" s="2" t="s">
        <v>19</v>
      </c>
      <c r="AU255" s="1">
        <f t="shared" si="35"/>
        <v>1.1910918260410031</v>
      </c>
      <c r="AV255" s="1">
        <f t="shared" si="36"/>
        <v>0.88356294525515511</v>
      </c>
      <c r="AW255" s="1">
        <f t="shared" si="37"/>
        <v>0.57603406446930705</v>
      </c>
    </row>
    <row r="256" spans="1:49" x14ac:dyDescent="0.2">
      <c r="A256">
        <v>254</v>
      </c>
      <c r="B256" t="s">
        <v>6471</v>
      </c>
      <c r="C256" t="s">
        <v>6470</v>
      </c>
      <c r="F256" t="s">
        <v>6469</v>
      </c>
      <c r="G256" t="s">
        <v>15</v>
      </c>
      <c r="H256" t="s">
        <v>14</v>
      </c>
      <c r="I256" t="s">
        <v>6468</v>
      </c>
      <c r="J256" t="s">
        <v>6467</v>
      </c>
      <c r="K256" t="s">
        <v>6466</v>
      </c>
      <c r="L256" t="s">
        <v>2047</v>
      </c>
      <c r="M256" t="s">
        <v>86</v>
      </c>
      <c r="N256">
        <v>6</v>
      </c>
      <c r="O256" t="s">
        <v>6465</v>
      </c>
      <c r="P256" t="s">
        <v>6464</v>
      </c>
      <c r="Q256" t="s">
        <v>6463</v>
      </c>
      <c r="R256" s="7">
        <v>32509</v>
      </c>
      <c r="S256" s="8">
        <f t="shared" si="32"/>
        <v>1989</v>
      </c>
      <c r="T256" s="8">
        <v>1989</v>
      </c>
      <c r="U256" s="8">
        <f t="shared" si="33"/>
        <v>33</v>
      </c>
      <c r="V256" s="7">
        <v>32752</v>
      </c>
      <c r="W256" t="s">
        <v>5681</v>
      </c>
      <c r="X256" s="2">
        <v>2.0070000000000001</v>
      </c>
      <c r="Y256" s="6">
        <f t="shared" si="30"/>
        <v>5.3575718747497406E-2</v>
      </c>
      <c r="AA256">
        <v>948276</v>
      </c>
      <c r="AB256">
        <v>27962</v>
      </c>
      <c r="AC256">
        <v>19448007</v>
      </c>
      <c r="AD256" t="s">
        <v>5</v>
      </c>
      <c r="AE256">
        <v>16</v>
      </c>
      <c r="AF256">
        <v>9</v>
      </c>
      <c r="AH256" t="s">
        <v>6462</v>
      </c>
      <c r="AI256" t="s">
        <v>6461</v>
      </c>
      <c r="AK256" t="s">
        <v>6460</v>
      </c>
      <c r="AL256">
        <v>4</v>
      </c>
      <c r="AM256" s="5">
        <f t="shared" si="34"/>
        <v>0.12121212121212122</v>
      </c>
      <c r="AN256" s="4">
        <f t="shared" si="31"/>
        <v>1.8358518926485606E-4</v>
      </c>
      <c r="AO256" s="3"/>
      <c r="AP256">
        <v>0</v>
      </c>
      <c r="AR256" t="s">
        <v>0</v>
      </c>
      <c r="AT256" s="2">
        <v>4.72</v>
      </c>
      <c r="AU256" s="1">
        <f t="shared" si="35"/>
        <v>3.7558078680027638</v>
      </c>
      <c r="AV256" s="1">
        <f t="shared" si="36"/>
        <v>2.6879651968381131</v>
      </c>
      <c r="AW256" s="1">
        <f t="shared" si="37"/>
        <v>1.6201225256734619</v>
      </c>
    </row>
    <row r="257" spans="1:49" x14ac:dyDescent="0.2">
      <c r="A257">
        <v>255</v>
      </c>
      <c r="B257" t="s">
        <v>6459</v>
      </c>
      <c r="C257" t="s">
        <v>6458</v>
      </c>
      <c r="D257">
        <v>168945289901453</v>
      </c>
      <c r="F257" t="s">
        <v>6457</v>
      </c>
      <c r="G257" t="s">
        <v>15</v>
      </c>
      <c r="H257" t="s">
        <v>14</v>
      </c>
      <c r="I257" t="s">
        <v>6456</v>
      </c>
      <c r="J257">
        <v>60000635</v>
      </c>
      <c r="K257" t="s">
        <v>6455</v>
      </c>
      <c r="L257" t="s">
        <v>6454</v>
      </c>
      <c r="M257" t="s">
        <v>23</v>
      </c>
      <c r="N257">
        <v>1</v>
      </c>
      <c r="O257" t="s">
        <v>6453</v>
      </c>
      <c r="P257">
        <v>7006334315</v>
      </c>
      <c r="Q257">
        <v>60000635</v>
      </c>
      <c r="R257" s="7">
        <v>32509</v>
      </c>
      <c r="S257" s="8">
        <f t="shared" si="32"/>
        <v>1989</v>
      </c>
      <c r="T257" s="8">
        <v>1989</v>
      </c>
      <c r="U257" s="8">
        <f t="shared" si="33"/>
        <v>33</v>
      </c>
      <c r="V257" s="7">
        <v>1989</v>
      </c>
      <c r="W257" t="s">
        <v>6452</v>
      </c>
      <c r="X257" s="2">
        <v>1.508</v>
      </c>
      <c r="Y257" s="6">
        <f t="shared" si="30"/>
        <v>4.0255198740022959E-2</v>
      </c>
      <c r="AA257">
        <v>1689452</v>
      </c>
      <c r="AB257">
        <v>16620</v>
      </c>
      <c r="AD257" t="s">
        <v>5</v>
      </c>
      <c r="AE257">
        <v>64</v>
      </c>
      <c r="AF257">
        <v>1</v>
      </c>
      <c r="AH257" s="10">
        <v>41275</v>
      </c>
      <c r="AI257" t="s">
        <v>6451</v>
      </c>
      <c r="AJ257" t="s">
        <v>6450</v>
      </c>
      <c r="AK257" t="s">
        <v>6449</v>
      </c>
      <c r="AL257">
        <v>7</v>
      </c>
      <c r="AM257" s="5">
        <f t="shared" si="34"/>
        <v>0.21212121212121213</v>
      </c>
      <c r="AN257" s="4">
        <f t="shared" si="31"/>
        <v>3.2127408121349809E-4</v>
      </c>
      <c r="AO257" s="3"/>
      <c r="AP257">
        <v>0</v>
      </c>
      <c r="AR257" t="s">
        <v>0</v>
      </c>
      <c r="AT257" s="2">
        <v>4.7290000000000001</v>
      </c>
      <c r="AU257" s="1">
        <f t="shared" si="35"/>
        <v>2.8275021342380118</v>
      </c>
      <c r="AV257" s="1">
        <f t="shared" si="36"/>
        <v>2.0288236410618228</v>
      </c>
      <c r="AW257" s="1">
        <f t="shared" si="37"/>
        <v>1.2301451478856336</v>
      </c>
    </row>
    <row r="258" spans="1:49" x14ac:dyDescent="0.2">
      <c r="A258">
        <v>256</v>
      </c>
      <c r="B258" t="s">
        <v>6448</v>
      </c>
      <c r="C258" t="s">
        <v>6447</v>
      </c>
      <c r="D258" t="s">
        <v>6446</v>
      </c>
      <c r="F258" t="s">
        <v>6445</v>
      </c>
      <c r="G258" t="s">
        <v>15</v>
      </c>
      <c r="H258" t="s">
        <v>14</v>
      </c>
      <c r="I258" t="s">
        <v>6444</v>
      </c>
      <c r="J258">
        <v>60000221</v>
      </c>
      <c r="K258" t="s">
        <v>1840</v>
      </c>
      <c r="L258" t="s">
        <v>1839</v>
      </c>
      <c r="M258" t="s">
        <v>23</v>
      </c>
      <c r="N258">
        <v>4</v>
      </c>
      <c r="O258" t="s">
        <v>6443</v>
      </c>
      <c r="P258" t="s">
        <v>6442</v>
      </c>
      <c r="Q258" t="s">
        <v>6441</v>
      </c>
      <c r="R258" s="7">
        <v>32509</v>
      </c>
      <c r="S258" s="8">
        <f t="shared" si="32"/>
        <v>1989</v>
      </c>
      <c r="T258" s="8">
        <v>1989</v>
      </c>
      <c r="U258" s="8">
        <f t="shared" si="33"/>
        <v>33</v>
      </c>
      <c r="V258" s="7">
        <v>1989</v>
      </c>
      <c r="W258" t="s">
        <v>6440</v>
      </c>
      <c r="X258" s="2">
        <v>0.68200000000000005</v>
      </c>
      <c r="Y258" s="6">
        <f t="shared" ref="Y258:Y321" si="38">(X258-$Z$4)/($Z$3-$Z$4)</f>
        <v>1.8205600491177493E-2</v>
      </c>
      <c r="AA258">
        <v>2731177</v>
      </c>
      <c r="AB258">
        <v>12375</v>
      </c>
      <c r="AD258" t="s">
        <v>5</v>
      </c>
      <c r="AE258">
        <v>9</v>
      </c>
      <c r="AF258">
        <v>9</v>
      </c>
      <c r="AH258" t="s">
        <v>6439</v>
      </c>
      <c r="AI258" t="s">
        <v>6438</v>
      </c>
      <c r="AK258" t="s">
        <v>6437</v>
      </c>
      <c r="AL258">
        <v>16</v>
      </c>
      <c r="AM258" s="5">
        <f t="shared" si="34"/>
        <v>0.48484848484848486</v>
      </c>
      <c r="AN258" s="4">
        <f t="shared" ref="AN258:AN321" si="39">(AM258-$AO$4)/($AO$3-$AO$4)</f>
        <v>7.3434075705942426E-4</v>
      </c>
      <c r="AO258" s="3"/>
      <c r="AP258">
        <v>0</v>
      </c>
      <c r="AQ258" t="s">
        <v>746</v>
      </c>
      <c r="AR258" t="s">
        <v>6436</v>
      </c>
      <c r="AS258" t="s">
        <v>744</v>
      </c>
      <c r="AT258" s="2">
        <v>2.1520000000000001</v>
      </c>
      <c r="AU258" s="1">
        <f t="shared" si="35"/>
        <v>1.296422257094207</v>
      </c>
      <c r="AV258" s="1">
        <f t="shared" si="36"/>
        <v>0.946997062411846</v>
      </c>
      <c r="AW258" s="1">
        <f t="shared" si="37"/>
        <v>0.59757186772948445</v>
      </c>
    </row>
    <row r="259" spans="1:49" x14ac:dyDescent="0.2">
      <c r="A259">
        <v>257</v>
      </c>
      <c r="B259" t="s">
        <v>6435</v>
      </c>
      <c r="C259" t="s">
        <v>6434</v>
      </c>
      <c r="F259" t="s">
        <v>6433</v>
      </c>
      <c r="G259" t="s">
        <v>15</v>
      </c>
      <c r="H259" t="s">
        <v>14</v>
      </c>
      <c r="I259" t="s">
        <v>6432</v>
      </c>
      <c r="J259">
        <v>60019647</v>
      </c>
      <c r="K259" t="s">
        <v>2552</v>
      </c>
      <c r="L259" t="s">
        <v>2551</v>
      </c>
      <c r="M259" t="s">
        <v>23</v>
      </c>
      <c r="N259">
        <v>2</v>
      </c>
      <c r="O259" t="s">
        <v>6431</v>
      </c>
      <c r="P259" t="s">
        <v>6430</v>
      </c>
      <c r="Q259" t="s">
        <v>6429</v>
      </c>
      <c r="R259" s="7">
        <v>32509</v>
      </c>
      <c r="S259" s="8">
        <f t="shared" si="32"/>
        <v>1989</v>
      </c>
      <c r="T259" s="8">
        <v>1989</v>
      </c>
      <c r="U259" s="8">
        <f t="shared" si="33"/>
        <v>33</v>
      </c>
      <c r="V259" s="7">
        <v>32782</v>
      </c>
      <c r="W259" s="11" t="s">
        <v>6428</v>
      </c>
      <c r="X259" s="2">
        <v>1.3280000000000001</v>
      </c>
      <c r="Y259" s="6">
        <f t="shared" si="38"/>
        <v>3.5450201542937994E-2</v>
      </c>
      <c r="AA259">
        <v>21680329</v>
      </c>
      <c r="AB259">
        <v>21100399421</v>
      </c>
      <c r="AD259" t="s">
        <v>5</v>
      </c>
      <c r="AE259">
        <v>31</v>
      </c>
      <c r="AF259">
        <v>5</v>
      </c>
      <c r="AH259">
        <v>62</v>
      </c>
      <c r="AL259">
        <v>7</v>
      </c>
      <c r="AM259" s="5">
        <f t="shared" si="34"/>
        <v>0.21212121212121213</v>
      </c>
      <c r="AN259" s="4">
        <f t="shared" si="39"/>
        <v>3.2127408121349809E-4</v>
      </c>
      <c r="AO259" s="3"/>
      <c r="AP259">
        <v>0</v>
      </c>
      <c r="AR259" t="s">
        <v>0</v>
      </c>
      <c r="AT259" s="2" t="s">
        <v>19</v>
      </c>
      <c r="AU259" s="1">
        <f t="shared" si="35"/>
        <v>2.4911523304420644</v>
      </c>
      <c r="AV259" s="1">
        <f t="shared" si="36"/>
        <v>1.7885737812075746</v>
      </c>
      <c r="AW259" s="1">
        <f t="shared" si="37"/>
        <v>1.0859952319730848</v>
      </c>
    </row>
    <row r="260" spans="1:49" x14ac:dyDescent="0.2">
      <c r="A260">
        <v>258</v>
      </c>
      <c r="B260" t="s">
        <v>6427</v>
      </c>
      <c r="C260" t="s">
        <v>6426</v>
      </c>
      <c r="F260" t="s">
        <v>6425</v>
      </c>
      <c r="G260" t="s">
        <v>15</v>
      </c>
      <c r="H260" t="s">
        <v>14</v>
      </c>
      <c r="I260" t="s">
        <v>6424</v>
      </c>
      <c r="J260">
        <v>60027762</v>
      </c>
      <c r="K260" t="s">
        <v>6423</v>
      </c>
      <c r="L260" t="s">
        <v>2539</v>
      </c>
      <c r="M260" t="s">
        <v>115</v>
      </c>
      <c r="N260">
        <v>4</v>
      </c>
      <c r="O260" t="s">
        <v>6422</v>
      </c>
      <c r="P260" t="s">
        <v>6421</v>
      </c>
      <c r="Q260" t="s">
        <v>6420</v>
      </c>
      <c r="R260" s="7">
        <v>32509</v>
      </c>
      <c r="S260" s="8">
        <f t="shared" si="32"/>
        <v>1989</v>
      </c>
      <c r="T260" s="8">
        <v>1989</v>
      </c>
      <c r="U260" s="8">
        <f t="shared" si="33"/>
        <v>33</v>
      </c>
      <c r="V260" s="7">
        <v>32509</v>
      </c>
      <c r="W260" t="s">
        <v>6419</v>
      </c>
      <c r="X260" s="2">
        <v>1.9750000000000001</v>
      </c>
      <c r="Y260" s="6">
        <f t="shared" si="38"/>
        <v>5.2721497023571186E-2</v>
      </c>
      <c r="AA260">
        <v>320781</v>
      </c>
      <c r="AB260">
        <v>19019</v>
      </c>
      <c r="AD260" t="s">
        <v>5</v>
      </c>
      <c r="AE260">
        <v>30</v>
      </c>
      <c r="AF260">
        <v>1</v>
      </c>
      <c r="AH260" t="s">
        <v>6418</v>
      </c>
      <c r="AI260" t="s">
        <v>6417</v>
      </c>
      <c r="AJ260" t="s">
        <v>6416</v>
      </c>
      <c r="AK260" t="s">
        <v>6415</v>
      </c>
      <c r="AL260">
        <v>6</v>
      </c>
      <c r="AM260" s="5">
        <f t="shared" si="34"/>
        <v>0.18181818181818182</v>
      </c>
      <c r="AN260" s="4">
        <f t="shared" si="39"/>
        <v>2.753777838972841E-4</v>
      </c>
      <c r="AO260" s="3"/>
      <c r="AP260">
        <v>0</v>
      </c>
      <c r="AR260" t="s">
        <v>0</v>
      </c>
      <c r="AT260" s="2">
        <v>4.9269999999999996</v>
      </c>
      <c r="AU260" s="1">
        <f t="shared" si="35"/>
        <v>3.6987661251669017</v>
      </c>
      <c r="AV260" s="1">
        <f t="shared" si="36"/>
        <v>2.6498437403734232</v>
      </c>
      <c r="AW260" s="1">
        <f t="shared" si="37"/>
        <v>1.6009213555799453</v>
      </c>
    </row>
    <row r="261" spans="1:49" x14ac:dyDescent="0.2">
      <c r="A261">
        <v>259</v>
      </c>
      <c r="B261" t="s">
        <v>6414</v>
      </c>
      <c r="C261" t="s">
        <v>6413</v>
      </c>
      <c r="D261">
        <v>21916989900160</v>
      </c>
      <c r="F261" t="s">
        <v>6412</v>
      </c>
      <c r="G261" t="s">
        <v>15</v>
      </c>
      <c r="H261" t="s">
        <v>14</v>
      </c>
      <c r="I261" t="s">
        <v>6411</v>
      </c>
      <c r="J261">
        <v>60191856</v>
      </c>
      <c r="K261" t="s">
        <v>6410</v>
      </c>
      <c r="L261" t="s">
        <v>1204</v>
      </c>
      <c r="M261" t="s">
        <v>283</v>
      </c>
      <c r="N261">
        <v>2</v>
      </c>
      <c r="O261" t="s">
        <v>6409</v>
      </c>
      <c r="P261" t="s">
        <v>6408</v>
      </c>
      <c r="Q261" t="s">
        <v>6407</v>
      </c>
      <c r="R261" s="7">
        <v>32509</v>
      </c>
      <c r="S261" s="8">
        <f t="shared" si="32"/>
        <v>1989</v>
      </c>
      <c r="T261" s="8">
        <v>1989</v>
      </c>
      <c r="U261" s="8">
        <f t="shared" si="33"/>
        <v>33</v>
      </c>
      <c r="V261" s="7" t="s">
        <v>6275</v>
      </c>
      <c r="W261" t="s">
        <v>6406</v>
      </c>
      <c r="X261" s="2">
        <v>0.51500000000000001</v>
      </c>
      <c r="Y261" s="6">
        <f t="shared" si="38"/>
        <v>1.374763086943755E-2</v>
      </c>
      <c r="AA261">
        <v>219169</v>
      </c>
      <c r="AB261">
        <v>30966</v>
      </c>
      <c r="AD261" t="s">
        <v>5</v>
      </c>
      <c r="AE261">
        <v>51</v>
      </c>
      <c r="AF261" s="9">
        <v>44541</v>
      </c>
      <c r="AH261" t="s">
        <v>6405</v>
      </c>
      <c r="AI261" t="s">
        <v>6404</v>
      </c>
      <c r="AK261" t="s">
        <v>6403</v>
      </c>
      <c r="AL261">
        <v>6</v>
      </c>
      <c r="AM261" s="5">
        <f t="shared" si="34"/>
        <v>0.18181818181818182</v>
      </c>
      <c r="AN261" s="4">
        <f t="shared" si="39"/>
        <v>2.753777838972841E-4</v>
      </c>
      <c r="AO261" s="3"/>
      <c r="AP261">
        <v>0</v>
      </c>
      <c r="AR261" t="s">
        <v>0</v>
      </c>
      <c r="AT261" s="2" t="s">
        <v>19</v>
      </c>
      <c r="AU261" s="1">
        <f t="shared" si="35"/>
        <v>0.97059549437754689</v>
      </c>
      <c r="AV261" s="1">
        <f t="shared" si="36"/>
        <v>0.70115043266674171</v>
      </c>
      <c r="AW261" s="1">
        <f t="shared" si="37"/>
        <v>0.43170537095593642</v>
      </c>
    </row>
    <row r="262" spans="1:49" x14ac:dyDescent="0.2">
      <c r="A262">
        <v>260</v>
      </c>
      <c r="B262" t="s">
        <v>6402</v>
      </c>
      <c r="C262" t="s">
        <v>6401</v>
      </c>
      <c r="F262" t="s">
        <v>6400</v>
      </c>
      <c r="G262" t="s">
        <v>15</v>
      </c>
      <c r="H262" t="s">
        <v>14</v>
      </c>
      <c r="I262" t="s">
        <v>6399</v>
      </c>
      <c r="J262" t="s">
        <v>6398</v>
      </c>
      <c r="K262" t="s">
        <v>6397</v>
      </c>
      <c r="L262" t="s">
        <v>6396</v>
      </c>
      <c r="M262" t="s">
        <v>86</v>
      </c>
      <c r="N262">
        <v>3</v>
      </c>
      <c r="O262" t="s">
        <v>6395</v>
      </c>
      <c r="P262" t="s">
        <v>6394</v>
      </c>
      <c r="Q262" t="s">
        <v>6393</v>
      </c>
      <c r="R262" s="7">
        <v>32509</v>
      </c>
      <c r="S262" s="8">
        <f t="shared" si="32"/>
        <v>1989</v>
      </c>
      <c r="T262" s="8">
        <v>1989</v>
      </c>
      <c r="U262" s="8">
        <f t="shared" si="33"/>
        <v>33</v>
      </c>
      <c r="V262" s="7">
        <v>1989</v>
      </c>
      <c r="W262" t="s">
        <v>180</v>
      </c>
      <c r="X262" s="2">
        <v>1.391</v>
      </c>
      <c r="Y262" s="6">
        <f t="shared" si="38"/>
        <v>3.7131950561917731E-2</v>
      </c>
      <c r="AA262">
        <v>10502947</v>
      </c>
      <c r="AB262">
        <v>29143</v>
      </c>
      <c r="AD262" t="s">
        <v>5</v>
      </c>
      <c r="AE262">
        <v>40</v>
      </c>
      <c r="AF262">
        <v>5</v>
      </c>
      <c r="AH262" t="s">
        <v>6392</v>
      </c>
      <c r="AI262" t="s">
        <v>6391</v>
      </c>
      <c r="AK262" t="s">
        <v>6390</v>
      </c>
      <c r="AL262">
        <v>5</v>
      </c>
      <c r="AM262" s="5">
        <f t="shared" si="34"/>
        <v>0.15151515151515152</v>
      </c>
      <c r="AN262" s="4">
        <f t="shared" si="39"/>
        <v>2.2948148658107008E-4</v>
      </c>
      <c r="AO262" s="3"/>
      <c r="AP262">
        <v>0</v>
      </c>
      <c r="AR262" t="s">
        <v>0</v>
      </c>
      <c r="AT262" s="2">
        <v>3.14</v>
      </c>
      <c r="AU262" s="1">
        <f t="shared" si="35"/>
        <v>2.6061209839316732</v>
      </c>
      <c r="AV262" s="1">
        <f t="shared" si="36"/>
        <v>1.8680716024249402</v>
      </c>
      <c r="AW262" s="1">
        <f t="shared" si="37"/>
        <v>1.1300222209182067</v>
      </c>
    </row>
    <row r="263" spans="1:49" x14ac:dyDescent="0.2">
      <c r="A263">
        <v>261</v>
      </c>
      <c r="B263" t="s">
        <v>6389</v>
      </c>
      <c r="C263" t="s">
        <v>6388</v>
      </c>
      <c r="F263" t="s">
        <v>6387</v>
      </c>
      <c r="G263" t="s">
        <v>15</v>
      </c>
      <c r="H263" t="s">
        <v>14</v>
      </c>
      <c r="I263" t="s">
        <v>1155</v>
      </c>
      <c r="J263">
        <v>60026415</v>
      </c>
      <c r="K263" t="s">
        <v>1154</v>
      </c>
      <c r="L263" t="s">
        <v>1153</v>
      </c>
      <c r="M263" t="s">
        <v>23</v>
      </c>
      <c r="N263">
        <v>1</v>
      </c>
      <c r="O263" t="s">
        <v>6386</v>
      </c>
      <c r="P263">
        <v>36043755100</v>
      </c>
      <c r="Q263">
        <v>60026415</v>
      </c>
      <c r="R263" s="7">
        <v>32509</v>
      </c>
      <c r="S263" s="8">
        <f t="shared" si="32"/>
        <v>1989</v>
      </c>
      <c r="T263" s="8">
        <v>1989</v>
      </c>
      <c r="U263" s="8">
        <f t="shared" si="33"/>
        <v>33</v>
      </c>
      <c r="V263" s="7">
        <v>32509</v>
      </c>
      <c r="W263" t="s">
        <v>6385</v>
      </c>
      <c r="X263" s="2">
        <v>0.439</v>
      </c>
      <c r="Y263" s="6">
        <f t="shared" si="38"/>
        <v>1.1718854275112784E-2</v>
      </c>
      <c r="AA263">
        <v>334545</v>
      </c>
      <c r="AB263">
        <v>21458</v>
      </c>
      <c r="AC263">
        <v>13653075</v>
      </c>
      <c r="AD263" t="s">
        <v>5</v>
      </c>
      <c r="AE263">
        <v>61</v>
      </c>
      <c r="AF263">
        <v>3</v>
      </c>
      <c r="AH263" t="s">
        <v>6384</v>
      </c>
      <c r="AI263" t="s">
        <v>6383</v>
      </c>
      <c r="AK263" t="s">
        <v>6382</v>
      </c>
      <c r="AL263">
        <v>11</v>
      </c>
      <c r="AM263" s="5">
        <f t="shared" si="34"/>
        <v>0.33333333333333331</v>
      </c>
      <c r="AN263" s="4">
        <f t="shared" si="39"/>
        <v>5.048592704783541E-4</v>
      </c>
      <c r="AO263" s="3"/>
      <c r="AP263">
        <v>0</v>
      </c>
      <c r="AQ263" t="s">
        <v>618</v>
      </c>
      <c r="AR263" t="s">
        <v>0</v>
      </c>
      <c r="AS263" t="s">
        <v>616</v>
      </c>
      <c r="AT263" s="2">
        <v>2.4529999999999998</v>
      </c>
      <c r="AU263" s="1">
        <f t="shared" si="35"/>
        <v>0.83546557737224547</v>
      </c>
      <c r="AV263" s="1">
        <f t="shared" si="36"/>
        <v>0.61118567727955697</v>
      </c>
      <c r="AW263" s="1">
        <f t="shared" si="37"/>
        <v>0.3869057771868683</v>
      </c>
    </row>
    <row r="264" spans="1:49" x14ac:dyDescent="0.2">
      <c r="A264">
        <v>262</v>
      </c>
      <c r="B264" t="s">
        <v>6381</v>
      </c>
      <c r="C264" t="s">
        <v>6380</v>
      </c>
      <c r="F264" t="s">
        <v>6379</v>
      </c>
      <c r="G264" t="s">
        <v>15</v>
      </c>
      <c r="H264" t="s">
        <v>14</v>
      </c>
      <c r="I264" t="s">
        <v>6378</v>
      </c>
      <c r="J264">
        <v>60008023</v>
      </c>
      <c r="K264" t="s">
        <v>6377</v>
      </c>
      <c r="L264" t="s">
        <v>6376</v>
      </c>
      <c r="M264" t="s">
        <v>23</v>
      </c>
      <c r="N264">
        <v>3</v>
      </c>
      <c r="O264" t="s">
        <v>6375</v>
      </c>
      <c r="P264" t="s">
        <v>6374</v>
      </c>
      <c r="Q264" t="s">
        <v>6373</v>
      </c>
      <c r="R264" s="7">
        <v>32509</v>
      </c>
      <c r="S264" s="8">
        <f t="shared" si="32"/>
        <v>1989</v>
      </c>
      <c r="T264" s="8">
        <v>1989</v>
      </c>
      <c r="U264" s="8">
        <f t="shared" si="33"/>
        <v>33</v>
      </c>
      <c r="V264" s="7">
        <v>1989</v>
      </c>
      <c r="W264" t="s">
        <v>49</v>
      </c>
      <c r="X264" s="2">
        <v>1.641</v>
      </c>
      <c r="Y264" s="6">
        <f t="shared" si="38"/>
        <v>4.3805557780091299E-2</v>
      </c>
      <c r="AA264">
        <v>223654</v>
      </c>
      <c r="AB264">
        <v>30422</v>
      </c>
      <c r="AD264" t="s">
        <v>5</v>
      </c>
      <c r="AE264">
        <v>93</v>
      </c>
      <c r="AF264">
        <v>18</v>
      </c>
      <c r="AH264" t="s">
        <v>6372</v>
      </c>
      <c r="AI264" t="s">
        <v>6371</v>
      </c>
      <c r="AK264" t="s">
        <v>6370</v>
      </c>
      <c r="AL264">
        <v>28</v>
      </c>
      <c r="AM264" s="5">
        <f t="shared" si="34"/>
        <v>0.84848484848484851</v>
      </c>
      <c r="AN264" s="4">
        <f t="shared" si="39"/>
        <v>1.2850963248539923E-3</v>
      </c>
      <c r="AO264" s="3"/>
      <c r="AP264">
        <v>0</v>
      </c>
      <c r="AR264" t="s">
        <v>0</v>
      </c>
      <c r="AT264" s="2" t="s">
        <v>19</v>
      </c>
      <c r="AU264" s="1">
        <f t="shared" si="35"/>
        <v>3.1049419343520106</v>
      </c>
      <c r="AV264" s="1">
        <f t="shared" si="36"/>
        <v>2.2545327052472643</v>
      </c>
      <c r="AW264" s="1">
        <f t="shared" si="37"/>
        <v>1.4041234761425185</v>
      </c>
    </row>
    <row r="265" spans="1:49" x14ac:dyDescent="0.2">
      <c r="A265">
        <v>263</v>
      </c>
      <c r="B265" t="s">
        <v>6369</v>
      </c>
      <c r="C265" t="s">
        <v>6368</v>
      </c>
      <c r="D265">
        <v>32063389901347</v>
      </c>
      <c r="F265" t="s">
        <v>6367</v>
      </c>
      <c r="G265" t="s">
        <v>15</v>
      </c>
      <c r="H265" t="s">
        <v>14</v>
      </c>
      <c r="I265" t="s">
        <v>6366</v>
      </c>
      <c r="J265">
        <v>60003480</v>
      </c>
      <c r="K265" t="s">
        <v>956</v>
      </c>
      <c r="L265" t="s">
        <v>955</v>
      </c>
      <c r="M265" t="s">
        <v>857</v>
      </c>
      <c r="N265">
        <v>1</v>
      </c>
      <c r="O265" t="s">
        <v>6365</v>
      </c>
      <c r="P265">
        <v>15038478900</v>
      </c>
      <c r="Q265">
        <v>60003480</v>
      </c>
      <c r="R265" s="7">
        <v>32509</v>
      </c>
      <c r="S265" s="8">
        <f t="shared" si="32"/>
        <v>1989</v>
      </c>
      <c r="T265" s="8">
        <v>1989</v>
      </c>
      <c r="U265" s="8">
        <f t="shared" si="33"/>
        <v>33</v>
      </c>
      <c r="V265" s="7">
        <v>32690</v>
      </c>
      <c r="W265" t="s">
        <v>6364</v>
      </c>
      <c r="X265" s="2">
        <v>0.69599999999999995</v>
      </c>
      <c r="Y265" s="6">
        <f t="shared" si="38"/>
        <v>1.857932249539521E-2</v>
      </c>
      <c r="AA265">
        <v>320633</v>
      </c>
      <c r="AB265">
        <v>27773</v>
      </c>
      <c r="AD265" t="s">
        <v>5</v>
      </c>
      <c r="AE265">
        <v>37</v>
      </c>
      <c r="AF265">
        <v>7</v>
      </c>
      <c r="AH265" t="s">
        <v>6363</v>
      </c>
      <c r="AI265" t="s">
        <v>6362</v>
      </c>
      <c r="AK265" t="s">
        <v>6361</v>
      </c>
      <c r="AL265">
        <v>3</v>
      </c>
      <c r="AM265" s="5">
        <f t="shared" si="34"/>
        <v>9.0909090909090912E-2</v>
      </c>
      <c r="AN265" s="4">
        <f t="shared" si="39"/>
        <v>1.3768889194864205E-4</v>
      </c>
      <c r="AO265" s="3"/>
      <c r="AP265">
        <v>0</v>
      </c>
      <c r="AR265" t="s">
        <v>0</v>
      </c>
      <c r="AT265" s="2">
        <v>2.0299999999999998</v>
      </c>
      <c r="AU265" s="1">
        <f t="shared" si="35"/>
        <v>1.304683241436124</v>
      </c>
      <c r="AV265" s="1">
        <f t="shared" si="36"/>
        <v>0.93585056936719246</v>
      </c>
      <c r="AW265" s="1">
        <f t="shared" si="37"/>
        <v>0.56701789729826124</v>
      </c>
    </row>
    <row r="266" spans="1:49" x14ac:dyDescent="0.2">
      <c r="A266">
        <v>264</v>
      </c>
      <c r="B266" t="s">
        <v>6360</v>
      </c>
      <c r="C266" t="s">
        <v>6359</v>
      </c>
      <c r="D266" t="s">
        <v>6358</v>
      </c>
      <c r="F266" t="s">
        <v>6357</v>
      </c>
      <c r="G266" t="s">
        <v>15</v>
      </c>
      <c r="H266" t="s">
        <v>14</v>
      </c>
      <c r="I266" t="s">
        <v>6356</v>
      </c>
      <c r="J266">
        <v>60029278</v>
      </c>
      <c r="K266" t="s">
        <v>3874</v>
      </c>
      <c r="L266" t="s">
        <v>1746</v>
      </c>
      <c r="M266" t="s">
        <v>23</v>
      </c>
      <c r="N266">
        <v>4</v>
      </c>
      <c r="O266" t="s">
        <v>6355</v>
      </c>
      <c r="P266" t="s">
        <v>6354</v>
      </c>
      <c r="Q266" t="s">
        <v>6353</v>
      </c>
      <c r="R266" s="7">
        <v>32509</v>
      </c>
      <c r="S266" s="8">
        <f t="shared" si="32"/>
        <v>1989</v>
      </c>
      <c r="T266" s="8">
        <v>1989</v>
      </c>
      <c r="U266" s="8">
        <f t="shared" si="33"/>
        <v>33</v>
      </c>
      <c r="V266" s="7">
        <v>32660</v>
      </c>
      <c r="W266" t="s">
        <v>68</v>
      </c>
      <c r="X266" s="2">
        <v>1.59</v>
      </c>
      <c r="Y266" s="6">
        <f t="shared" si="38"/>
        <v>4.2444141907583888E-2</v>
      </c>
      <c r="AA266">
        <v>52728</v>
      </c>
      <c r="AB266">
        <v>16791</v>
      </c>
      <c r="AD266" t="s">
        <v>5</v>
      </c>
      <c r="AE266">
        <v>975</v>
      </c>
      <c r="AF266">
        <v>1</v>
      </c>
      <c r="AH266" t="s">
        <v>6352</v>
      </c>
      <c r="AI266" t="s">
        <v>6351</v>
      </c>
      <c r="AJ266" t="s">
        <v>6350</v>
      </c>
      <c r="AK266" t="s">
        <v>6349</v>
      </c>
      <c r="AL266">
        <v>2</v>
      </c>
      <c r="AM266" s="5">
        <f t="shared" si="34"/>
        <v>6.0606060606060608E-2</v>
      </c>
      <c r="AN266" s="4">
        <f t="shared" si="39"/>
        <v>9.1792594632428032E-5</v>
      </c>
      <c r="AO266" s="3"/>
      <c r="AP266">
        <v>0</v>
      </c>
      <c r="AQ266" t="s">
        <v>618</v>
      </c>
      <c r="AR266" t="s">
        <v>0</v>
      </c>
      <c r="AS266" t="s">
        <v>616</v>
      </c>
      <c r="AT266" s="2" t="s">
        <v>19</v>
      </c>
      <c r="AU266" s="1">
        <f t="shared" si="35"/>
        <v>2.9738437113698448</v>
      </c>
      <c r="AV266" s="1">
        <f t="shared" si="36"/>
        <v>2.1267967251108155</v>
      </c>
      <c r="AW266" s="1">
        <f t="shared" si="37"/>
        <v>1.2797497388517864</v>
      </c>
    </row>
    <row r="267" spans="1:49" x14ac:dyDescent="0.2">
      <c r="A267">
        <v>265</v>
      </c>
      <c r="B267" t="s">
        <v>6348</v>
      </c>
      <c r="C267" t="s">
        <v>6347</v>
      </c>
      <c r="F267" t="s">
        <v>6346</v>
      </c>
      <c r="G267" t="s">
        <v>15</v>
      </c>
      <c r="H267" t="s">
        <v>14</v>
      </c>
      <c r="I267" t="s">
        <v>6345</v>
      </c>
      <c r="N267">
        <v>3</v>
      </c>
      <c r="O267" t="s">
        <v>6344</v>
      </c>
      <c r="P267" t="s">
        <v>6343</v>
      </c>
      <c r="Q267" t="s">
        <v>296</v>
      </c>
      <c r="R267" s="7">
        <v>32509</v>
      </c>
      <c r="S267" s="8">
        <f t="shared" si="32"/>
        <v>1989</v>
      </c>
      <c r="T267" s="8">
        <v>1989</v>
      </c>
      <c r="U267" s="8">
        <f t="shared" si="33"/>
        <v>33</v>
      </c>
      <c r="V267" s="7" t="s">
        <v>6342</v>
      </c>
      <c r="W267" t="s">
        <v>334</v>
      </c>
      <c r="X267" s="2">
        <v>0.371</v>
      </c>
      <c r="Y267" s="6">
        <f t="shared" si="38"/>
        <v>9.9036331117695747E-3</v>
      </c>
      <c r="AA267">
        <v>486604</v>
      </c>
      <c r="AB267">
        <v>28580</v>
      </c>
      <c r="AC267" t="s">
        <v>333</v>
      </c>
      <c r="AD267" t="s">
        <v>5</v>
      </c>
      <c r="AE267">
        <v>24</v>
      </c>
      <c r="AF267">
        <v>3</v>
      </c>
      <c r="AH267" t="s">
        <v>6341</v>
      </c>
      <c r="AI267" t="s">
        <v>6340</v>
      </c>
      <c r="AK267" t="s">
        <v>6339</v>
      </c>
      <c r="AL267">
        <v>22</v>
      </c>
      <c r="AM267" s="5">
        <f t="shared" si="34"/>
        <v>0.66666666666666663</v>
      </c>
      <c r="AN267" s="4">
        <f t="shared" si="39"/>
        <v>1.0097185409567082E-3</v>
      </c>
      <c r="AO267" s="3"/>
      <c r="AP267">
        <v>0</v>
      </c>
      <c r="AR267" t="s">
        <v>0</v>
      </c>
      <c r="AT267" s="2">
        <v>1.431</v>
      </c>
      <c r="AU267" s="1">
        <f t="shared" si="35"/>
        <v>0.72354587405257142</v>
      </c>
      <c r="AV267" s="1">
        <f t="shared" si="36"/>
        <v>0.5456675826363141</v>
      </c>
      <c r="AW267" s="1">
        <f t="shared" si="37"/>
        <v>0.36778929122005682</v>
      </c>
    </row>
    <row r="268" spans="1:49" x14ac:dyDescent="0.2">
      <c r="A268">
        <v>266</v>
      </c>
      <c r="B268" t="s">
        <v>6338</v>
      </c>
      <c r="C268" t="s">
        <v>6337</v>
      </c>
      <c r="F268" t="s">
        <v>6336</v>
      </c>
      <c r="G268" t="s">
        <v>15</v>
      </c>
      <c r="H268" t="s">
        <v>14</v>
      </c>
      <c r="I268" t="s">
        <v>6335</v>
      </c>
      <c r="J268" t="s">
        <v>6334</v>
      </c>
      <c r="K268" t="s">
        <v>6333</v>
      </c>
      <c r="L268" t="s">
        <v>6332</v>
      </c>
      <c r="M268" t="s">
        <v>4260</v>
      </c>
      <c r="N268">
        <v>4</v>
      </c>
      <c r="O268" t="s">
        <v>6331</v>
      </c>
      <c r="P268" t="s">
        <v>6330</v>
      </c>
      <c r="Q268" t="s">
        <v>6329</v>
      </c>
      <c r="R268" s="7">
        <v>32509</v>
      </c>
      <c r="S268" s="8">
        <f t="shared" si="32"/>
        <v>1989</v>
      </c>
      <c r="T268" s="8">
        <v>1989</v>
      </c>
      <c r="U268" s="8">
        <f t="shared" si="33"/>
        <v>33</v>
      </c>
      <c r="V268" s="7">
        <v>32509</v>
      </c>
      <c r="W268" t="s">
        <v>34</v>
      </c>
      <c r="X268" s="2">
        <v>0.76500000000000001</v>
      </c>
      <c r="Y268" s="6">
        <f t="shared" si="38"/>
        <v>2.0421238087611118E-2</v>
      </c>
      <c r="AA268">
        <v>138703</v>
      </c>
      <c r="AB268">
        <v>19793</v>
      </c>
      <c r="AC268">
        <v>15707458</v>
      </c>
      <c r="AD268" t="s">
        <v>5</v>
      </c>
      <c r="AE268">
        <v>50</v>
      </c>
      <c r="AF268">
        <v>1</v>
      </c>
      <c r="AH268" t="s">
        <v>6328</v>
      </c>
      <c r="AI268" t="s">
        <v>6327</v>
      </c>
      <c r="AJ268" t="s">
        <v>6326</v>
      </c>
      <c r="AK268" t="s">
        <v>6325</v>
      </c>
      <c r="AL268">
        <v>30</v>
      </c>
      <c r="AM268" s="5">
        <f t="shared" si="34"/>
        <v>0.90909090909090906</v>
      </c>
      <c r="AN268" s="4">
        <f t="shared" si="39"/>
        <v>1.3768889194864203E-3</v>
      </c>
      <c r="AO268" s="3"/>
      <c r="AP268">
        <v>0</v>
      </c>
      <c r="AR268" t="s">
        <v>0</v>
      </c>
      <c r="AT268" s="2" t="s">
        <v>19</v>
      </c>
      <c r="AU268" s="1">
        <f t="shared" si="35"/>
        <v>1.4707933337173706</v>
      </c>
      <c r="AV268" s="1">
        <f t="shared" si="36"/>
        <v>1.0899063503548769</v>
      </c>
      <c r="AW268" s="1">
        <f t="shared" si="37"/>
        <v>0.70901936699238299</v>
      </c>
    </row>
    <row r="269" spans="1:49" x14ac:dyDescent="0.2">
      <c r="A269">
        <v>267</v>
      </c>
      <c r="B269" t="s">
        <v>6324</v>
      </c>
      <c r="C269" t="s">
        <v>6323</v>
      </c>
      <c r="F269" t="s">
        <v>6322</v>
      </c>
      <c r="G269" t="s">
        <v>15</v>
      </c>
      <c r="H269" t="s">
        <v>14</v>
      </c>
      <c r="I269" t="s">
        <v>483</v>
      </c>
      <c r="J269">
        <v>60027550</v>
      </c>
      <c r="K269" t="s">
        <v>482</v>
      </c>
      <c r="L269" t="s">
        <v>481</v>
      </c>
      <c r="M269" t="s">
        <v>23</v>
      </c>
      <c r="N269">
        <v>1</v>
      </c>
      <c r="O269" t="s">
        <v>480</v>
      </c>
      <c r="P269">
        <v>7004643397</v>
      </c>
      <c r="Q269">
        <v>60027550</v>
      </c>
      <c r="R269" s="7">
        <v>32509</v>
      </c>
      <c r="S269" s="8">
        <f t="shared" si="32"/>
        <v>1989</v>
      </c>
      <c r="T269" s="8">
        <v>1989</v>
      </c>
      <c r="U269" s="8">
        <f t="shared" si="33"/>
        <v>33</v>
      </c>
      <c r="V269" s="7">
        <v>1989</v>
      </c>
      <c r="W269" t="s">
        <v>125</v>
      </c>
      <c r="X269" s="2">
        <v>1.1879999999999999</v>
      </c>
      <c r="Y269" s="6">
        <f t="shared" si="38"/>
        <v>3.1712981500760788E-2</v>
      </c>
      <c r="AA269">
        <v>8998221</v>
      </c>
      <c r="AB269">
        <v>8900153323</v>
      </c>
      <c r="AD269" t="s">
        <v>5</v>
      </c>
      <c r="AE269">
        <v>1</v>
      </c>
      <c r="AF269">
        <v>7</v>
      </c>
      <c r="AH269" t="s">
        <v>6321</v>
      </c>
      <c r="AI269" t="s">
        <v>6320</v>
      </c>
      <c r="AK269" t="s">
        <v>6319</v>
      </c>
      <c r="AL269">
        <v>19</v>
      </c>
      <c r="AM269" s="5">
        <f t="shared" si="34"/>
        <v>0.5757575757575758</v>
      </c>
      <c r="AN269" s="4">
        <f t="shared" si="39"/>
        <v>8.7202964900806633E-4</v>
      </c>
      <c r="AO269" s="3"/>
      <c r="AP269">
        <v>0</v>
      </c>
      <c r="AR269" t="s">
        <v>0</v>
      </c>
      <c r="AT269" s="2" t="s">
        <v>19</v>
      </c>
      <c r="AU269" s="1">
        <f t="shared" si="35"/>
        <v>2.246069594523497</v>
      </c>
      <c r="AV269" s="1">
        <f t="shared" si="36"/>
        <v>1.6292505574884426</v>
      </c>
      <c r="AW269" s="1">
        <f t="shared" si="37"/>
        <v>1.0124315204533882</v>
      </c>
    </row>
    <row r="270" spans="1:49" x14ac:dyDescent="0.2">
      <c r="A270">
        <v>268</v>
      </c>
      <c r="B270" t="s">
        <v>6318</v>
      </c>
      <c r="C270" t="s">
        <v>6317</v>
      </c>
      <c r="F270" t="s">
        <v>6316</v>
      </c>
      <c r="G270" t="s">
        <v>15</v>
      </c>
      <c r="H270" t="s">
        <v>14</v>
      </c>
      <c r="I270" t="s">
        <v>6315</v>
      </c>
      <c r="N270">
        <v>1</v>
      </c>
      <c r="O270" t="s">
        <v>6314</v>
      </c>
      <c r="P270">
        <v>7005651378</v>
      </c>
      <c r="R270" s="7">
        <v>32509</v>
      </c>
      <c r="S270" s="8">
        <f t="shared" si="32"/>
        <v>1989</v>
      </c>
      <c r="T270" s="8">
        <v>1989</v>
      </c>
      <c r="U270" s="8">
        <f t="shared" si="33"/>
        <v>33</v>
      </c>
      <c r="V270" s="7">
        <v>39417</v>
      </c>
      <c r="W270" t="s">
        <v>1462</v>
      </c>
      <c r="X270" s="2" t="s">
        <v>19</v>
      </c>
      <c r="Y270" s="6" t="e">
        <f t="shared" si="38"/>
        <v>#VALUE!</v>
      </c>
      <c r="AA270">
        <v>135127</v>
      </c>
      <c r="AB270">
        <v>17422</v>
      </c>
      <c r="AD270" t="s">
        <v>5</v>
      </c>
      <c r="AE270">
        <v>35</v>
      </c>
      <c r="AF270">
        <v>11</v>
      </c>
      <c r="AH270" t="s">
        <v>6313</v>
      </c>
      <c r="AI270" t="s">
        <v>6312</v>
      </c>
      <c r="AK270" t="s">
        <v>6311</v>
      </c>
      <c r="AL270">
        <v>0</v>
      </c>
      <c r="AM270" s="5">
        <f t="shared" si="34"/>
        <v>0</v>
      </c>
      <c r="AN270" s="4">
        <f t="shared" si="39"/>
        <v>0</v>
      </c>
      <c r="AO270" s="3"/>
      <c r="AP270">
        <v>0</v>
      </c>
      <c r="AR270" t="s">
        <v>0</v>
      </c>
      <c r="AT270" s="2" t="s">
        <v>19</v>
      </c>
      <c r="AU270" s="1" t="e">
        <f t="shared" si="35"/>
        <v>#VALUE!</v>
      </c>
      <c r="AV270" s="1" t="e">
        <f t="shared" si="36"/>
        <v>#VALUE!</v>
      </c>
      <c r="AW270" s="1" t="e">
        <f t="shared" si="37"/>
        <v>#VALUE!</v>
      </c>
    </row>
    <row r="271" spans="1:49" x14ac:dyDescent="0.2">
      <c r="A271">
        <v>269</v>
      </c>
      <c r="B271" t="s">
        <v>6310</v>
      </c>
      <c r="E271">
        <v>2546948</v>
      </c>
      <c r="F271" t="s">
        <v>6309</v>
      </c>
      <c r="G271" t="s">
        <v>15</v>
      </c>
      <c r="H271" t="s">
        <v>14</v>
      </c>
      <c r="I271" t="s">
        <v>6308</v>
      </c>
      <c r="J271">
        <v>60010910</v>
      </c>
      <c r="K271" t="s">
        <v>6307</v>
      </c>
      <c r="L271" t="s">
        <v>6306</v>
      </c>
      <c r="M271" t="s">
        <v>23</v>
      </c>
      <c r="N271">
        <v>2</v>
      </c>
      <c r="O271" t="s">
        <v>6305</v>
      </c>
      <c r="P271" t="s">
        <v>6304</v>
      </c>
      <c r="Q271" t="s">
        <v>6303</v>
      </c>
      <c r="R271" s="7">
        <v>32509</v>
      </c>
      <c r="S271" s="8">
        <f t="shared" si="32"/>
        <v>1989</v>
      </c>
      <c r="T271" s="8">
        <v>1989</v>
      </c>
      <c r="U271" s="8">
        <f t="shared" si="33"/>
        <v>33</v>
      </c>
      <c r="V271" s="7">
        <v>32725</v>
      </c>
      <c r="W271" t="s">
        <v>6291</v>
      </c>
      <c r="X271" s="2">
        <v>0.22900000000000001</v>
      </c>
      <c r="Y271" s="6">
        <f t="shared" si="38"/>
        <v>6.1130242118469878E-3</v>
      </c>
      <c r="AA271">
        <v>219258</v>
      </c>
      <c r="AB271">
        <v>17592</v>
      </c>
      <c r="AD271" t="s">
        <v>5</v>
      </c>
      <c r="AE271">
        <v>264</v>
      </c>
      <c r="AF271">
        <v>22</v>
      </c>
      <c r="AH271" t="s">
        <v>6302</v>
      </c>
      <c r="AI271" t="s">
        <v>6301</v>
      </c>
      <c r="AK271" t="s">
        <v>6300</v>
      </c>
      <c r="AL271">
        <v>43</v>
      </c>
      <c r="AM271" s="5">
        <f t="shared" si="34"/>
        <v>1.303030303030303</v>
      </c>
      <c r="AN271" s="4">
        <f t="shared" si="39"/>
        <v>1.9735407845972025E-3</v>
      </c>
      <c r="AO271" s="3"/>
      <c r="AP271">
        <v>0</v>
      </c>
      <c r="AR271" t="s">
        <v>0</v>
      </c>
      <c r="AT271" s="2" t="s">
        <v>19</v>
      </c>
      <c r="AU271" s="1">
        <f t="shared" si="35"/>
        <v>0.48711791836720514</v>
      </c>
      <c r="AV271" s="1">
        <f t="shared" si="36"/>
        <v>0.4043282498222095</v>
      </c>
      <c r="AW271" s="1">
        <f t="shared" si="37"/>
        <v>0.3215385812772138</v>
      </c>
    </row>
    <row r="272" spans="1:49" x14ac:dyDescent="0.2">
      <c r="A272">
        <v>270</v>
      </c>
      <c r="B272" t="s">
        <v>6299</v>
      </c>
      <c r="E272">
        <v>2909515</v>
      </c>
      <c r="F272" t="s">
        <v>6298</v>
      </c>
      <c r="G272" t="s">
        <v>15</v>
      </c>
      <c r="H272" t="s">
        <v>14</v>
      </c>
      <c r="I272" t="s">
        <v>6297</v>
      </c>
      <c r="J272">
        <v>60014439</v>
      </c>
      <c r="K272" t="s">
        <v>6296</v>
      </c>
      <c r="L272" t="s">
        <v>6295</v>
      </c>
      <c r="M272" t="s">
        <v>23</v>
      </c>
      <c r="N272">
        <v>4</v>
      </c>
      <c r="O272" t="s">
        <v>6294</v>
      </c>
      <c r="P272" t="s">
        <v>6293</v>
      </c>
      <c r="Q272" t="s">
        <v>6292</v>
      </c>
      <c r="R272" s="7">
        <v>32509</v>
      </c>
      <c r="S272" s="8">
        <f t="shared" si="32"/>
        <v>1989</v>
      </c>
      <c r="T272" s="8">
        <v>1989</v>
      </c>
      <c r="U272" s="8">
        <f t="shared" si="33"/>
        <v>33</v>
      </c>
      <c r="V272" s="7">
        <v>32513</v>
      </c>
      <c r="W272" t="s">
        <v>6291</v>
      </c>
      <c r="X272" s="2">
        <v>0.22900000000000001</v>
      </c>
      <c r="Y272" s="6">
        <f t="shared" si="38"/>
        <v>6.1130242118469878E-3</v>
      </c>
      <c r="AA272">
        <v>219258</v>
      </c>
      <c r="AB272">
        <v>17592</v>
      </c>
      <c r="AD272" t="s">
        <v>5</v>
      </c>
      <c r="AE272">
        <v>264</v>
      </c>
      <c r="AF272">
        <v>1</v>
      </c>
      <c r="AH272" t="s">
        <v>6290</v>
      </c>
      <c r="AI272" t="s">
        <v>6289</v>
      </c>
      <c r="AK272" t="s">
        <v>6288</v>
      </c>
      <c r="AL272">
        <v>64</v>
      </c>
      <c r="AM272" s="5">
        <f t="shared" si="34"/>
        <v>1.9393939393939394</v>
      </c>
      <c r="AN272" s="4">
        <f t="shared" si="39"/>
        <v>2.937363028237697E-3</v>
      </c>
      <c r="AO272" s="3"/>
      <c r="AP272">
        <v>0</v>
      </c>
      <c r="AQ272" t="s">
        <v>5569</v>
      </c>
      <c r="AR272" t="s">
        <v>6287</v>
      </c>
      <c r="AS272" t="s">
        <v>5567</v>
      </c>
      <c r="AT272" s="2" t="s">
        <v>19</v>
      </c>
      <c r="AU272" s="1">
        <f t="shared" si="35"/>
        <v>0.51603258567641996</v>
      </c>
      <c r="AV272" s="1">
        <f t="shared" si="36"/>
        <v>0.45251936200423426</v>
      </c>
      <c r="AW272" s="1">
        <f t="shared" si="37"/>
        <v>0.38900613833204839</v>
      </c>
    </row>
    <row r="273" spans="1:49" x14ac:dyDescent="0.2">
      <c r="A273">
        <v>271</v>
      </c>
      <c r="B273" t="s">
        <v>6286</v>
      </c>
      <c r="C273" t="s">
        <v>6285</v>
      </c>
      <c r="D273" t="s">
        <v>6284</v>
      </c>
      <c r="E273">
        <v>2630842</v>
      </c>
      <c r="F273" t="s">
        <v>6283</v>
      </c>
      <c r="G273" t="s">
        <v>15</v>
      </c>
      <c r="H273" t="s">
        <v>14</v>
      </c>
      <c r="I273" t="s">
        <v>6282</v>
      </c>
      <c r="J273" t="s">
        <v>6281</v>
      </c>
      <c r="K273" t="s">
        <v>6280</v>
      </c>
      <c r="L273" t="s">
        <v>6279</v>
      </c>
      <c r="M273" t="s">
        <v>86</v>
      </c>
      <c r="N273">
        <v>3</v>
      </c>
      <c r="O273" t="s">
        <v>6278</v>
      </c>
      <c r="P273" t="s">
        <v>6277</v>
      </c>
      <c r="Q273" t="s">
        <v>6276</v>
      </c>
      <c r="R273" s="7">
        <v>32509</v>
      </c>
      <c r="S273" s="8">
        <f t="shared" si="32"/>
        <v>1989</v>
      </c>
      <c r="T273" s="8">
        <v>1989</v>
      </c>
      <c r="U273" s="8">
        <f t="shared" si="33"/>
        <v>33</v>
      </c>
      <c r="V273" s="7" t="s">
        <v>6275</v>
      </c>
      <c r="W273" t="s">
        <v>6274</v>
      </c>
      <c r="X273" s="2">
        <v>0.72299999999999998</v>
      </c>
      <c r="Y273" s="6">
        <f t="shared" si="38"/>
        <v>1.9300072074957958E-2</v>
      </c>
      <c r="AA273" t="s">
        <v>6273</v>
      </c>
      <c r="AB273">
        <v>17264</v>
      </c>
      <c r="AD273" t="s">
        <v>5</v>
      </c>
      <c r="AE273">
        <v>7</v>
      </c>
      <c r="AF273">
        <v>6</v>
      </c>
      <c r="AH273" t="s">
        <v>6272</v>
      </c>
      <c r="AI273" t="s">
        <v>6271</v>
      </c>
      <c r="AK273" t="s">
        <v>6270</v>
      </c>
      <c r="AL273">
        <v>0</v>
      </c>
      <c r="AM273" s="5">
        <f t="shared" si="34"/>
        <v>0</v>
      </c>
      <c r="AN273" s="4">
        <f t="shared" si="39"/>
        <v>0</v>
      </c>
      <c r="AO273" s="3"/>
      <c r="AP273">
        <v>0</v>
      </c>
      <c r="AR273" t="s">
        <v>0</v>
      </c>
      <c r="AT273" s="2">
        <v>2.5459999999999998</v>
      </c>
      <c r="AU273" s="1">
        <f t="shared" si="35"/>
        <v>1.351005045247057</v>
      </c>
      <c r="AV273" s="1">
        <f t="shared" si="36"/>
        <v>0.96500360374789795</v>
      </c>
      <c r="AW273" s="1">
        <f t="shared" si="37"/>
        <v>0.57900216224873868</v>
      </c>
    </row>
    <row r="274" spans="1:49" x14ac:dyDescent="0.2">
      <c r="A274">
        <v>272</v>
      </c>
      <c r="B274" t="s">
        <v>6269</v>
      </c>
      <c r="C274" t="s">
        <v>6268</v>
      </c>
      <c r="F274" t="s">
        <v>6267</v>
      </c>
      <c r="G274" t="s">
        <v>15</v>
      </c>
      <c r="H274" t="s">
        <v>14</v>
      </c>
      <c r="I274" t="s">
        <v>5994</v>
      </c>
      <c r="J274" t="s">
        <v>5988</v>
      </c>
      <c r="K274" t="s">
        <v>5993</v>
      </c>
      <c r="L274" t="s">
        <v>5992</v>
      </c>
      <c r="M274" t="s">
        <v>5991</v>
      </c>
      <c r="N274">
        <v>2</v>
      </c>
      <c r="O274" t="s">
        <v>5990</v>
      </c>
      <c r="P274" t="s">
        <v>5989</v>
      </c>
      <c r="Q274" t="s">
        <v>5988</v>
      </c>
      <c r="R274" s="7">
        <v>32509</v>
      </c>
      <c r="S274" s="8">
        <f t="shared" si="32"/>
        <v>1989</v>
      </c>
      <c r="T274" s="8">
        <v>1989</v>
      </c>
      <c r="U274" s="8">
        <f t="shared" si="33"/>
        <v>33</v>
      </c>
      <c r="V274" s="7">
        <v>32843</v>
      </c>
      <c r="W274" t="s">
        <v>778</v>
      </c>
      <c r="X274" s="2">
        <v>1.6519999999999999</v>
      </c>
      <c r="Y274" s="6">
        <f t="shared" si="38"/>
        <v>4.409919649769093E-2</v>
      </c>
      <c r="AA274" t="s">
        <v>777</v>
      </c>
      <c r="AB274">
        <v>17337</v>
      </c>
      <c r="AC274">
        <v>15582221</v>
      </c>
      <c r="AD274" t="s">
        <v>5</v>
      </c>
      <c r="AE274">
        <v>37</v>
      </c>
      <c r="AF274">
        <v>12</v>
      </c>
      <c r="AH274" t="s">
        <v>6266</v>
      </c>
      <c r="AI274" t="s">
        <v>6265</v>
      </c>
      <c r="AK274" t="s">
        <v>6264</v>
      </c>
      <c r="AL274">
        <v>7</v>
      </c>
      <c r="AM274" s="5">
        <f t="shared" si="34"/>
        <v>0.21212121212121213</v>
      </c>
      <c r="AN274" s="4">
        <f t="shared" si="39"/>
        <v>3.2127408121349809E-4</v>
      </c>
      <c r="AO274" s="3"/>
      <c r="AP274">
        <v>0</v>
      </c>
      <c r="AR274" t="s">
        <v>0</v>
      </c>
      <c r="AT274" s="2" t="s">
        <v>19</v>
      </c>
      <c r="AU274" s="1">
        <f t="shared" si="35"/>
        <v>3.09658197727477</v>
      </c>
      <c r="AV274" s="1">
        <f t="shared" si="36"/>
        <v>2.2210235289452216</v>
      </c>
      <c r="AW274" s="1">
        <f t="shared" si="37"/>
        <v>1.3454650806156727</v>
      </c>
    </row>
    <row r="275" spans="1:49" x14ac:dyDescent="0.2">
      <c r="A275">
        <v>273</v>
      </c>
      <c r="B275" t="s">
        <v>6263</v>
      </c>
      <c r="C275" t="s">
        <v>6262</v>
      </c>
      <c r="F275" t="s">
        <v>6261</v>
      </c>
      <c r="G275" t="s">
        <v>15</v>
      </c>
      <c r="H275" t="s">
        <v>14</v>
      </c>
      <c r="I275" t="s">
        <v>6260</v>
      </c>
      <c r="J275" t="s">
        <v>6259</v>
      </c>
      <c r="K275" t="s">
        <v>6258</v>
      </c>
      <c r="L275" t="s">
        <v>6257</v>
      </c>
      <c r="M275" t="s">
        <v>554</v>
      </c>
      <c r="N275">
        <v>6</v>
      </c>
      <c r="O275" t="s">
        <v>6256</v>
      </c>
      <c r="P275" t="s">
        <v>6255</v>
      </c>
      <c r="Q275" t="s">
        <v>6254</v>
      </c>
      <c r="R275" s="7">
        <v>32509</v>
      </c>
      <c r="S275" s="8">
        <f t="shared" si="32"/>
        <v>1989</v>
      </c>
      <c r="T275" s="8">
        <v>1989</v>
      </c>
      <c r="U275" s="8">
        <f t="shared" si="33"/>
        <v>33</v>
      </c>
      <c r="V275" s="7">
        <v>1989</v>
      </c>
      <c r="W275" t="s">
        <v>2192</v>
      </c>
      <c r="X275" s="2">
        <v>0.13900000000000001</v>
      </c>
      <c r="Y275" s="6">
        <f t="shared" si="38"/>
        <v>3.7105256133045036E-3</v>
      </c>
      <c r="AA275" t="s">
        <v>2191</v>
      </c>
      <c r="AB275">
        <v>24891</v>
      </c>
      <c r="AC275">
        <v>15206432</v>
      </c>
      <c r="AD275" t="s">
        <v>5</v>
      </c>
      <c r="AE275">
        <v>72</v>
      </c>
      <c r="AF275">
        <v>12</v>
      </c>
      <c r="AH275" t="s">
        <v>6253</v>
      </c>
      <c r="AI275" t="s">
        <v>6252</v>
      </c>
      <c r="AK275" t="s">
        <v>6251</v>
      </c>
      <c r="AL275">
        <v>1</v>
      </c>
      <c r="AM275" s="5">
        <f t="shared" si="34"/>
        <v>3.0303030303030304E-2</v>
      </c>
      <c r="AN275" s="4">
        <f t="shared" si="39"/>
        <v>4.5896297316214016E-5</v>
      </c>
      <c r="AO275" s="3"/>
      <c r="AP275">
        <v>0</v>
      </c>
      <c r="AR275" t="s">
        <v>0</v>
      </c>
      <c r="AT275" s="2" t="s">
        <v>19</v>
      </c>
      <c r="AU275" s="1">
        <f t="shared" si="35"/>
        <v>0.26111368185080164</v>
      </c>
      <c r="AV275" s="1">
        <f t="shared" si="36"/>
        <v>0.18782109553103588</v>
      </c>
      <c r="AW275" s="1">
        <f t="shared" si="37"/>
        <v>0.11452850921127007</v>
      </c>
    </row>
    <row r="276" spans="1:49" x14ac:dyDescent="0.2">
      <c r="A276">
        <v>274</v>
      </c>
      <c r="B276" t="s">
        <v>6250</v>
      </c>
      <c r="C276" t="s">
        <v>6249</v>
      </c>
      <c r="F276" t="s">
        <v>6248</v>
      </c>
      <c r="G276" t="s">
        <v>15</v>
      </c>
      <c r="H276" t="s">
        <v>14</v>
      </c>
      <c r="I276" t="s">
        <v>6247</v>
      </c>
      <c r="J276">
        <v>60017386</v>
      </c>
      <c r="K276" t="s">
        <v>6246</v>
      </c>
      <c r="L276" t="s">
        <v>6245</v>
      </c>
      <c r="M276" t="s">
        <v>115</v>
      </c>
      <c r="N276">
        <v>4</v>
      </c>
      <c r="O276" t="s">
        <v>6244</v>
      </c>
      <c r="P276" t="s">
        <v>6243</v>
      </c>
      <c r="Q276" t="s">
        <v>6242</v>
      </c>
      <c r="R276" s="7">
        <v>32509</v>
      </c>
      <c r="S276" s="8">
        <f t="shared" si="32"/>
        <v>1989</v>
      </c>
      <c r="T276" s="8">
        <v>1989</v>
      </c>
      <c r="U276" s="8">
        <f t="shared" si="33"/>
        <v>33</v>
      </c>
      <c r="V276" s="7">
        <v>32843</v>
      </c>
      <c r="W276" t="s">
        <v>360</v>
      </c>
      <c r="X276" s="2">
        <v>1.3720000000000001</v>
      </c>
      <c r="Y276" s="6">
        <f t="shared" si="38"/>
        <v>3.662475641333654E-2</v>
      </c>
      <c r="AA276">
        <v>189480</v>
      </c>
      <c r="AB276">
        <v>17366</v>
      </c>
      <c r="AC276">
        <v>15579670</v>
      </c>
      <c r="AD276" t="s">
        <v>5</v>
      </c>
      <c r="AE276">
        <v>37</v>
      </c>
      <c r="AF276">
        <v>12</v>
      </c>
      <c r="AH276" t="s">
        <v>6241</v>
      </c>
      <c r="AI276" t="s">
        <v>6240</v>
      </c>
      <c r="AK276" t="s">
        <v>6239</v>
      </c>
      <c r="AL276">
        <v>2</v>
      </c>
      <c r="AM276" s="5">
        <f t="shared" si="34"/>
        <v>6.0606060606060608E-2</v>
      </c>
      <c r="AN276" s="4">
        <f t="shared" si="39"/>
        <v>9.1792594632428032E-5</v>
      </c>
      <c r="AO276" s="3"/>
      <c r="AP276">
        <v>0</v>
      </c>
      <c r="AR276" t="s">
        <v>0</v>
      </c>
      <c r="AT276" s="2" t="s">
        <v>19</v>
      </c>
      <c r="AU276" s="1">
        <f t="shared" si="35"/>
        <v>2.5664867267725304</v>
      </c>
      <c r="AV276" s="1">
        <f t="shared" si="36"/>
        <v>1.8358274503984484</v>
      </c>
      <c r="AW276" s="1">
        <f t="shared" si="37"/>
        <v>1.1051681740243662</v>
      </c>
    </row>
    <row r="277" spans="1:49" x14ac:dyDescent="0.2">
      <c r="A277">
        <v>275</v>
      </c>
      <c r="B277" t="s">
        <v>6238</v>
      </c>
      <c r="C277" t="s">
        <v>6237</v>
      </c>
      <c r="F277" t="s">
        <v>6236</v>
      </c>
      <c r="G277" t="s">
        <v>15</v>
      </c>
      <c r="H277" t="s">
        <v>14</v>
      </c>
      <c r="I277" t="s">
        <v>6235</v>
      </c>
      <c r="J277">
        <v>60025757</v>
      </c>
      <c r="K277" t="s">
        <v>6234</v>
      </c>
      <c r="L277" t="s">
        <v>6233</v>
      </c>
      <c r="M277" t="s">
        <v>885</v>
      </c>
      <c r="N277">
        <v>2</v>
      </c>
      <c r="O277" t="s">
        <v>6232</v>
      </c>
      <c r="P277" t="s">
        <v>6231</v>
      </c>
      <c r="Q277" t="s">
        <v>6230</v>
      </c>
      <c r="R277" s="7">
        <v>32509</v>
      </c>
      <c r="S277" s="8">
        <f t="shared" si="32"/>
        <v>1989</v>
      </c>
      <c r="T277" s="8">
        <v>1989</v>
      </c>
      <c r="U277" s="8">
        <f t="shared" si="33"/>
        <v>33</v>
      </c>
      <c r="V277" s="7">
        <v>32843</v>
      </c>
      <c r="W277" t="s">
        <v>778</v>
      </c>
      <c r="X277" s="2">
        <v>1.6519999999999999</v>
      </c>
      <c r="Y277" s="6">
        <f t="shared" si="38"/>
        <v>4.409919649769093E-2</v>
      </c>
      <c r="AA277" t="s">
        <v>777</v>
      </c>
      <c r="AB277">
        <v>17337</v>
      </c>
      <c r="AC277">
        <v>15582221</v>
      </c>
      <c r="AD277" t="s">
        <v>5</v>
      </c>
      <c r="AE277">
        <v>37</v>
      </c>
      <c r="AF277">
        <v>12</v>
      </c>
      <c r="AH277" t="s">
        <v>6229</v>
      </c>
      <c r="AI277" t="s">
        <v>6228</v>
      </c>
      <c r="AK277" t="s">
        <v>6227</v>
      </c>
      <c r="AL277">
        <v>1</v>
      </c>
      <c r="AM277" s="5">
        <f t="shared" si="34"/>
        <v>3.0303030303030304E-2</v>
      </c>
      <c r="AN277" s="4">
        <f t="shared" si="39"/>
        <v>4.5896297316214016E-5</v>
      </c>
      <c r="AO277" s="3"/>
      <c r="AP277">
        <v>0</v>
      </c>
      <c r="AR277" t="s">
        <v>0</v>
      </c>
      <c r="AT277" s="2" t="s">
        <v>19</v>
      </c>
      <c r="AU277" s="1">
        <f t="shared" si="35"/>
        <v>3.0883206437578514</v>
      </c>
      <c r="AV277" s="1">
        <f t="shared" si="36"/>
        <v>2.2072546397503574</v>
      </c>
      <c r="AW277" s="1">
        <f t="shared" si="37"/>
        <v>1.3261886357428627</v>
      </c>
    </row>
    <row r="278" spans="1:49" x14ac:dyDescent="0.2">
      <c r="A278">
        <v>276</v>
      </c>
      <c r="B278" t="s">
        <v>6226</v>
      </c>
      <c r="C278" t="s">
        <v>6225</v>
      </c>
      <c r="D278">
        <v>921453489910678</v>
      </c>
      <c r="F278" t="s">
        <v>6224</v>
      </c>
      <c r="G278" t="s">
        <v>15</v>
      </c>
      <c r="H278" t="s">
        <v>14</v>
      </c>
      <c r="I278" t="s">
        <v>6223</v>
      </c>
      <c r="J278" t="s">
        <v>6222</v>
      </c>
      <c r="K278" t="s">
        <v>6221</v>
      </c>
      <c r="L278" t="s">
        <v>6220</v>
      </c>
      <c r="M278" t="s">
        <v>1862</v>
      </c>
      <c r="N278">
        <v>5</v>
      </c>
      <c r="O278" t="s">
        <v>6219</v>
      </c>
      <c r="P278" t="s">
        <v>6218</v>
      </c>
      <c r="Q278" t="s">
        <v>6217</v>
      </c>
      <c r="R278" s="7">
        <v>32509</v>
      </c>
      <c r="S278" s="8">
        <f t="shared" si="32"/>
        <v>1989</v>
      </c>
      <c r="T278" s="8">
        <v>1989</v>
      </c>
      <c r="U278" s="8">
        <f t="shared" si="33"/>
        <v>33</v>
      </c>
      <c r="V278" s="7">
        <v>32843</v>
      </c>
      <c r="W278" t="s">
        <v>6216</v>
      </c>
      <c r="X278" s="2" t="s">
        <v>19</v>
      </c>
      <c r="Y278" s="6" t="e">
        <f t="shared" si="38"/>
        <v>#VALUE!</v>
      </c>
      <c r="AA278">
        <v>9214534</v>
      </c>
      <c r="AB278">
        <v>29119</v>
      </c>
      <c r="AD278" t="s">
        <v>5</v>
      </c>
      <c r="AE278" t="s">
        <v>6215</v>
      </c>
      <c r="AF278" t="s">
        <v>6214</v>
      </c>
      <c r="AH278" t="s">
        <v>6213</v>
      </c>
      <c r="AI278" t="s">
        <v>6212</v>
      </c>
      <c r="AK278" t="s">
        <v>6211</v>
      </c>
      <c r="AL278">
        <v>11</v>
      </c>
      <c r="AM278" s="5">
        <f t="shared" si="34"/>
        <v>0.33333333333333331</v>
      </c>
      <c r="AN278" s="4">
        <f t="shared" si="39"/>
        <v>5.048592704783541E-4</v>
      </c>
      <c r="AO278" s="3"/>
      <c r="AP278">
        <v>0</v>
      </c>
      <c r="AR278" t="s">
        <v>0</v>
      </c>
      <c r="AT278" s="2" t="s">
        <v>19</v>
      </c>
      <c r="AU278" s="1" t="e">
        <f t="shared" si="35"/>
        <v>#VALUE!</v>
      </c>
      <c r="AV278" s="1" t="e">
        <f t="shared" si="36"/>
        <v>#VALUE!</v>
      </c>
      <c r="AW278" s="1" t="e">
        <f t="shared" si="37"/>
        <v>#VALUE!</v>
      </c>
    </row>
    <row r="279" spans="1:49" x14ac:dyDescent="0.2">
      <c r="A279">
        <v>277</v>
      </c>
      <c r="B279" t="s">
        <v>6210</v>
      </c>
      <c r="C279" t="s">
        <v>6209</v>
      </c>
      <c r="F279" t="s">
        <v>6208</v>
      </c>
      <c r="G279" t="s">
        <v>15</v>
      </c>
      <c r="H279" t="s">
        <v>14</v>
      </c>
      <c r="I279" t="s">
        <v>6207</v>
      </c>
      <c r="J279" t="s">
        <v>6206</v>
      </c>
      <c r="K279" t="s">
        <v>6205</v>
      </c>
      <c r="L279" t="s">
        <v>6204</v>
      </c>
      <c r="M279" t="s">
        <v>6203</v>
      </c>
      <c r="N279">
        <v>2</v>
      </c>
      <c r="O279" t="s">
        <v>6202</v>
      </c>
      <c r="P279" t="s">
        <v>6201</v>
      </c>
      <c r="Q279" t="s">
        <v>6200</v>
      </c>
      <c r="R279" s="7">
        <v>32509</v>
      </c>
      <c r="S279" s="8">
        <f t="shared" si="32"/>
        <v>1989</v>
      </c>
      <c r="T279" s="8">
        <v>1989</v>
      </c>
      <c r="U279" s="8">
        <f t="shared" si="33"/>
        <v>33</v>
      </c>
      <c r="V279" s="7">
        <v>32509</v>
      </c>
      <c r="W279" t="s">
        <v>5465</v>
      </c>
      <c r="X279" s="2">
        <v>0.22500000000000001</v>
      </c>
      <c r="Y279" s="6">
        <f t="shared" si="38"/>
        <v>6.0062464963562111E-3</v>
      </c>
      <c r="AA279">
        <v>2726343</v>
      </c>
      <c r="AB279">
        <v>16128</v>
      </c>
      <c r="AC279" t="s">
        <v>5464</v>
      </c>
      <c r="AD279" t="s">
        <v>5</v>
      </c>
      <c r="AE279">
        <v>9</v>
      </c>
      <c r="AF279">
        <v>4</v>
      </c>
      <c r="AH279" t="s">
        <v>6199</v>
      </c>
      <c r="AI279" t="s">
        <v>6198</v>
      </c>
      <c r="AK279" t="s">
        <v>6197</v>
      </c>
      <c r="AL279">
        <v>4</v>
      </c>
      <c r="AM279" s="5">
        <f t="shared" si="34"/>
        <v>0.12121212121212122</v>
      </c>
      <c r="AN279" s="4">
        <f t="shared" si="39"/>
        <v>1.8358518926485606E-4</v>
      </c>
      <c r="AO279" s="3"/>
      <c r="AP279">
        <v>0</v>
      </c>
      <c r="AR279" t="s">
        <v>0</v>
      </c>
      <c r="AT279" s="2">
        <v>1.099</v>
      </c>
      <c r="AU279" s="1">
        <f t="shared" si="35"/>
        <v>0.4259448104228804</v>
      </c>
      <c r="AV279" s="1">
        <f t="shared" si="36"/>
        <v>0.30949158428105339</v>
      </c>
      <c r="AW279" s="1">
        <f t="shared" si="37"/>
        <v>0.19303835813922626</v>
      </c>
    </row>
    <row r="280" spans="1:49" x14ac:dyDescent="0.2">
      <c r="A280">
        <v>278</v>
      </c>
      <c r="B280" t="s">
        <v>6196</v>
      </c>
      <c r="C280" t="s">
        <v>6195</v>
      </c>
      <c r="F280" t="s">
        <v>6194</v>
      </c>
      <c r="G280" t="s">
        <v>15</v>
      </c>
      <c r="H280" t="s">
        <v>14</v>
      </c>
      <c r="I280" t="s">
        <v>6129</v>
      </c>
      <c r="J280">
        <v>60022476</v>
      </c>
      <c r="K280" t="s">
        <v>6193</v>
      </c>
      <c r="L280" t="s">
        <v>1839</v>
      </c>
      <c r="M280" t="s">
        <v>23</v>
      </c>
      <c r="N280">
        <v>2</v>
      </c>
      <c r="O280" t="s">
        <v>6192</v>
      </c>
      <c r="P280" t="s">
        <v>6191</v>
      </c>
      <c r="Q280" t="s">
        <v>6190</v>
      </c>
      <c r="R280" s="7">
        <v>32509</v>
      </c>
      <c r="S280" s="8">
        <f t="shared" si="32"/>
        <v>1989</v>
      </c>
      <c r="T280" s="8">
        <v>1989</v>
      </c>
      <c r="U280" s="8">
        <f t="shared" si="33"/>
        <v>33</v>
      </c>
      <c r="V280" s="7" t="s">
        <v>5739</v>
      </c>
      <c r="W280" s="11" t="s">
        <v>1449</v>
      </c>
      <c r="X280" s="2">
        <v>2.383</v>
      </c>
      <c r="Y280" s="6">
        <f t="shared" si="38"/>
        <v>6.3612824003630442E-2</v>
      </c>
      <c r="AA280" t="s">
        <v>1448</v>
      </c>
      <c r="AB280">
        <v>101151</v>
      </c>
      <c r="AD280" t="s">
        <v>5</v>
      </c>
      <c r="AE280">
        <v>136</v>
      </c>
      <c r="AF280">
        <v>6</v>
      </c>
      <c r="AH280" t="s">
        <v>6189</v>
      </c>
      <c r="AI280" t="s">
        <v>6188</v>
      </c>
      <c r="AK280" t="s">
        <v>6187</v>
      </c>
      <c r="AL280">
        <v>11</v>
      </c>
      <c r="AM280" s="5">
        <f t="shared" si="34"/>
        <v>0.33333333333333331</v>
      </c>
      <c r="AN280" s="4">
        <f t="shared" si="39"/>
        <v>5.048592704783541E-4</v>
      </c>
      <c r="AO280" s="3"/>
      <c r="AP280">
        <v>0</v>
      </c>
      <c r="AR280" t="s">
        <v>0</v>
      </c>
      <c r="AT280" s="2" t="s">
        <v>19</v>
      </c>
      <c r="AU280" s="1">
        <f t="shared" si="35"/>
        <v>4.4680434583684816</v>
      </c>
      <c r="AV280" s="1">
        <f t="shared" si="36"/>
        <v>3.20588416370544</v>
      </c>
      <c r="AW280" s="1">
        <f t="shared" si="37"/>
        <v>1.9437248690423978</v>
      </c>
    </row>
    <row r="281" spans="1:49" x14ac:dyDescent="0.2">
      <c r="A281">
        <v>279</v>
      </c>
      <c r="B281" t="s">
        <v>6186</v>
      </c>
      <c r="C281" t="s">
        <v>6185</v>
      </c>
      <c r="F281" t="s">
        <v>6184</v>
      </c>
      <c r="G281" t="s">
        <v>15</v>
      </c>
      <c r="H281" t="s">
        <v>14</v>
      </c>
      <c r="I281" t="s">
        <v>6183</v>
      </c>
      <c r="J281">
        <v>60121579</v>
      </c>
      <c r="K281" t="s">
        <v>6182</v>
      </c>
      <c r="L281" t="s">
        <v>1045</v>
      </c>
      <c r="M281" t="s">
        <v>23</v>
      </c>
      <c r="N281">
        <v>1</v>
      </c>
      <c r="O281" t="s">
        <v>6181</v>
      </c>
      <c r="P281">
        <v>7006189685</v>
      </c>
      <c r="Q281">
        <v>60121579</v>
      </c>
      <c r="R281" s="7">
        <v>32509</v>
      </c>
      <c r="S281" s="8">
        <f t="shared" si="32"/>
        <v>1989</v>
      </c>
      <c r="T281" s="8">
        <v>1989</v>
      </c>
      <c r="U281" s="8">
        <f t="shared" si="33"/>
        <v>33</v>
      </c>
      <c r="V281" s="7">
        <v>1989</v>
      </c>
      <c r="W281" t="s">
        <v>6180</v>
      </c>
      <c r="X281" s="2" t="s">
        <v>19</v>
      </c>
      <c r="Y281" s="6" t="e">
        <f t="shared" si="38"/>
        <v>#VALUE!</v>
      </c>
      <c r="AA281">
        <v>8948763</v>
      </c>
      <c r="AB281">
        <v>13548</v>
      </c>
      <c r="AD281" t="s">
        <v>5</v>
      </c>
      <c r="AE281">
        <v>28</v>
      </c>
      <c r="AF281">
        <v>9</v>
      </c>
      <c r="AH281" t="s">
        <v>6179</v>
      </c>
      <c r="AI281" t="s">
        <v>6178</v>
      </c>
      <c r="AK281" t="s">
        <v>6177</v>
      </c>
      <c r="AL281">
        <v>4</v>
      </c>
      <c r="AM281" s="5">
        <f t="shared" si="34"/>
        <v>0.12121212121212122</v>
      </c>
      <c r="AN281" s="4">
        <f t="shared" si="39"/>
        <v>1.8358518926485606E-4</v>
      </c>
      <c r="AO281" s="3"/>
      <c r="AP281">
        <v>0</v>
      </c>
      <c r="AR281" t="s">
        <v>0</v>
      </c>
      <c r="AT281" s="2" t="s">
        <v>19</v>
      </c>
      <c r="AU281" s="1" t="e">
        <f t="shared" si="35"/>
        <v>#VALUE!</v>
      </c>
      <c r="AV281" s="1" t="e">
        <f t="shared" si="36"/>
        <v>#VALUE!</v>
      </c>
      <c r="AW281" s="1" t="e">
        <f t="shared" si="37"/>
        <v>#VALUE!</v>
      </c>
    </row>
    <row r="282" spans="1:49" x14ac:dyDescent="0.2">
      <c r="A282">
        <v>280</v>
      </c>
      <c r="B282" t="s">
        <v>6176</v>
      </c>
      <c r="C282" t="s">
        <v>6175</v>
      </c>
      <c r="F282" t="s">
        <v>6174</v>
      </c>
      <c r="G282" t="s">
        <v>15</v>
      </c>
      <c r="H282" t="s">
        <v>14</v>
      </c>
      <c r="I282" t="s">
        <v>6173</v>
      </c>
      <c r="J282" t="s">
        <v>6172</v>
      </c>
      <c r="K282" t="s">
        <v>6171</v>
      </c>
      <c r="L282" t="s">
        <v>6170</v>
      </c>
      <c r="M282" t="s">
        <v>225</v>
      </c>
      <c r="N282">
        <v>2</v>
      </c>
      <c r="O282" t="s">
        <v>6169</v>
      </c>
      <c r="P282" t="s">
        <v>6168</v>
      </c>
      <c r="Q282" t="s">
        <v>6167</v>
      </c>
      <c r="R282" s="7">
        <v>32509</v>
      </c>
      <c r="S282" s="8">
        <f t="shared" si="32"/>
        <v>1989</v>
      </c>
      <c r="T282" s="8">
        <v>1989</v>
      </c>
      <c r="U282" s="8">
        <f t="shared" si="33"/>
        <v>33</v>
      </c>
      <c r="V282" s="7">
        <v>32843</v>
      </c>
      <c r="W282" t="s">
        <v>943</v>
      </c>
      <c r="X282" s="2">
        <v>0.30399999999999999</v>
      </c>
      <c r="Y282" s="6">
        <f t="shared" si="38"/>
        <v>8.115106377299057E-3</v>
      </c>
      <c r="AA282">
        <v>8952477</v>
      </c>
      <c r="AB282">
        <v>12250</v>
      </c>
      <c r="AC282">
        <v>10982760</v>
      </c>
      <c r="AD282" t="s">
        <v>5</v>
      </c>
      <c r="AE282">
        <v>2</v>
      </c>
      <c r="AF282">
        <v>12</v>
      </c>
      <c r="AH282" t="s">
        <v>6166</v>
      </c>
      <c r="AI282" t="s">
        <v>6165</v>
      </c>
      <c r="AJ282" t="s">
        <v>6164</v>
      </c>
      <c r="AK282" t="s">
        <v>6163</v>
      </c>
      <c r="AL282">
        <v>0</v>
      </c>
      <c r="AM282" s="5">
        <f t="shared" si="34"/>
        <v>0</v>
      </c>
      <c r="AN282" s="4">
        <f t="shared" si="39"/>
        <v>0</v>
      </c>
      <c r="AO282" s="3"/>
      <c r="AP282">
        <v>0</v>
      </c>
      <c r="AR282" t="s">
        <v>0</v>
      </c>
      <c r="AT282" s="2" t="s">
        <v>19</v>
      </c>
      <c r="AU282" s="1">
        <f t="shared" si="35"/>
        <v>0.56805744641093392</v>
      </c>
      <c r="AV282" s="1">
        <f t="shared" si="36"/>
        <v>0.40575531886495286</v>
      </c>
      <c r="AW282" s="1">
        <f t="shared" si="37"/>
        <v>0.24345319131897172</v>
      </c>
    </row>
    <row r="283" spans="1:49" x14ac:dyDescent="0.2">
      <c r="A283">
        <v>281</v>
      </c>
      <c r="B283" t="s">
        <v>6162</v>
      </c>
      <c r="C283" t="s">
        <v>6161</v>
      </c>
      <c r="F283" t="s">
        <v>6160</v>
      </c>
      <c r="G283" t="s">
        <v>15</v>
      </c>
      <c r="H283" t="s">
        <v>14</v>
      </c>
      <c r="I283" t="s">
        <v>6159</v>
      </c>
      <c r="J283" t="s">
        <v>6155</v>
      </c>
      <c r="K283" t="s">
        <v>6158</v>
      </c>
      <c r="L283" t="s">
        <v>3389</v>
      </c>
      <c r="M283" t="s">
        <v>86</v>
      </c>
      <c r="N283">
        <v>2</v>
      </c>
      <c r="O283" t="s">
        <v>6157</v>
      </c>
      <c r="P283" t="s">
        <v>6156</v>
      </c>
      <c r="Q283" t="s">
        <v>6155</v>
      </c>
      <c r="R283" s="7">
        <v>32509</v>
      </c>
      <c r="S283" s="8">
        <f t="shared" si="32"/>
        <v>1989</v>
      </c>
      <c r="T283" s="8">
        <v>1989</v>
      </c>
      <c r="U283" s="8">
        <f t="shared" si="33"/>
        <v>33</v>
      </c>
      <c r="V283" s="7">
        <v>32843</v>
      </c>
      <c r="W283" t="s">
        <v>778</v>
      </c>
      <c r="X283" s="2">
        <v>1.6519999999999999</v>
      </c>
      <c r="Y283" s="6">
        <f t="shared" si="38"/>
        <v>4.409919649769093E-2</v>
      </c>
      <c r="AA283" t="s">
        <v>777</v>
      </c>
      <c r="AB283">
        <v>17337</v>
      </c>
      <c r="AC283">
        <v>15582221</v>
      </c>
      <c r="AD283" t="s">
        <v>5</v>
      </c>
      <c r="AE283">
        <v>37</v>
      </c>
      <c r="AF283">
        <v>12</v>
      </c>
      <c r="AH283" t="s">
        <v>6154</v>
      </c>
      <c r="AI283" t="s">
        <v>6153</v>
      </c>
      <c r="AK283" t="s">
        <v>6152</v>
      </c>
      <c r="AL283">
        <v>5</v>
      </c>
      <c r="AM283" s="5">
        <f t="shared" si="34"/>
        <v>0.15151515151515152</v>
      </c>
      <c r="AN283" s="4">
        <f t="shared" si="39"/>
        <v>2.2948148658107008E-4</v>
      </c>
      <c r="AO283" s="3"/>
      <c r="AP283">
        <v>0</v>
      </c>
      <c r="AR283" t="s">
        <v>0</v>
      </c>
      <c r="AT283" s="2" t="s">
        <v>19</v>
      </c>
      <c r="AU283" s="1">
        <f t="shared" si="35"/>
        <v>3.0938281994357975</v>
      </c>
      <c r="AV283" s="1">
        <f t="shared" si="36"/>
        <v>2.2164338992135999</v>
      </c>
      <c r="AW283" s="1">
        <f t="shared" si="37"/>
        <v>1.3390395989914028</v>
      </c>
    </row>
    <row r="284" spans="1:49" x14ac:dyDescent="0.2">
      <c r="A284">
        <v>282</v>
      </c>
      <c r="B284" t="s">
        <v>6151</v>
      </c>
      <c r="C284" t="s">
        <v>6150</v>
      </c>
      <c r="F284" t="s">
        <v>6149</v>
      </c>
      <c r="G284" t="s">
        <v>15</v>
      </c>
      <c r="H284" t="s">
        <v>14</v>
      </c>
      <c r="I284" t="s">
        <v>6148</v>
      </c>
      <c r="J284">
        <v>60003771</v>
      </c>
      <c r="K284" t="s">
        <v>6147</v>
      </c>
      <c r="L284" t="s">
        <v>6146</v>
      </c>
      <c r="M284" t="s">
        <v>792</v>
      </c>
      <c r="N284">
        <v>1</v>
      </c>
      <c r="O284" t="s">
        <v>6145</v>
      </c>
      <c r="P284">
        <v>6601959831</v>
      </c>
      <c r="Q284">
        <v>60003771</v>
      </c>
      <c r="R284" s="7">
        <v>32509</v>
      </c>
      <c r="S284" s="8">
        <f t="shared" si="32"/>
        <v>1989</v>
      </c>
      <c r="T284" s="8">
        <v>1989</v>
      </c>
      <c r="U284" s="8">
        <f t="shared" si="33"/>
        <v>33</v>
      </c>
      <c r="V284" s="7">
        <v>32660</v>
      </c>
      <c r="W284" t="s">
        <v>5964</v>
      </c>
      <c r="X284" s="2">
        <v>0.91500000000000004</v>
      </c>
      <c r="Y284" s="6">
        <f t="shared" si="38"/>
        <v>2.4425402418515259E-2</v>
      </c>
      <c r="AA284">
        <v>9528369</v>
      </c>
      <c r="AB284">
        <v>22608</v>
      </c>
      <c r="AC284">
        <v>14697998</v>
      </c>
      <c r="AD284" t="s">
        <v>5</v>
      </c>
      <c r="AE284">
        <v>218</v>
      </c>
      <c r="AF284">
        <v>2</v>
      </c>
      <c r="AH284" t="s">
        <v>6144</v>
      </c>
      <c r="AI284" t="s">
        <v>6143</v>
      </c>
      <c r="AK284" t="s">
        <v>6142</v>
      </c>
      <c r="AL284">
        <v>38</v>
      </c>
      <c r="AM284" s="5">
        <f t="shared" si="34"/>
        <v>1.1515151515151516</v>
      </c>
      <c r="AN284" s="4">
        <f t="shared" si="39"/>
        <v>1.7440592980161327E-3</v>
      </c>
      <c r="AO284" s="3"/>
      <c r="AP284">
        <v>0</v>
      </c>
      <c r="AR284" t="s">
        <v>0</v>
      </c>
      <c r="AT284" s="2">
        <v>2.3220000000000001</v>
      </c>
      <c r="AU284" s="1">
        <f t="shared" si="35"/>
        <v>1.762099948236552</v>
      </c>
      <c r="AV284" s="1">
        <f t="shared" si="36"/>
        <v>1.3084730858265696</v>
      </c>
      <c r="AW284" s="1">
        <f t="shared" si="37"/>
        <v>0.854846223416587</v>
      </c>
    </row>
    <row r="285" spans="1:49" x14ac:dyDescent="0.2">
      <c r="A285">
        <v>283</v>
      </c>
      <c r="B285" t="s">
        <v>6141</v>
      </c>
      <c r="C285" t="s">
        <v>6140</v>
      </c>
      <c r="F285" t="s">
        <v>6139</v>
      </c>
      <c r="G285" t="s">
        <v>15</v>
      </c>
      <c r="H285" t="s">
        <v>14</v>
      </c>
      <c r="I285" t="s">
        <v>6138</v>
      </c>
      <c r="J285">
        <v>60015186</v>
      </c>
      <c r="K285" t="s">
        <v>1205</v>
      </c>
      <c r="L285" t="s">
        <v>1204</v>
      </c>
      <c r="M285" t="s">
        <v>283</v>
      </c>
      <c r="N285">
        <v>2</v>
      </c>
      <c r="O285" t="s">
        <v>6137</v>
      </c>
      <c r="P285" t="s">
        <v>6136</v>
      </c>
      <c r="Q285" t="s">
        <v>1201</v>
      </c>
      <c r="R285" s="7">
        <v>32509</v>
      </c>
      <c r="S285" s="8">
        <f t="shared" si="32"/>
        <v>1989</v>
      </c>
      <c r="T285" s="8">
        <v>1989</v>
      </c>
      <c r="U285" s="8">
        <f t="shared" si="33"/>
        <v>33</v>
      </c>
      <c r="V285" s="7">
        <v>32509</v>
      </c>
      <c r="W285" t="s">
        <v>5465</v>
      </c>
      <c r="X285" s="2">
        <v>0.22500000000000001</v>
      </c>
      <c r="Y285" s="6">
        <f t="shared" si="38"/>
        <v>6.0062464963562111E-3</v>
      </c>
      <c r="AA285">
        <v>2726343</v>
      </c>
      <c r="AB285">
        <v>16128</v>
      </c>
      <c r="AC285" t="s">
        <v>5464</v>
      </c>
      <c r="AD285" t="s">
        <v>5</v>
      </c>
      <c r="AE285">
        <v>9</v>
      </c>
      <c r="AF285">
        <v>4</v>
      </c>
      <c r="AH285" t="s">
        <v>6135</v>
      </c>
      <c r="AI285" t="s">
        <v>6134</v>
      </c>
      <c r="AK285" t="s">
        <v>6133</v>
      </c>
      <c r="AL285">
        <v>1</v>
      </c>
      <c r="AM285" s="5">
        <f t="shared" si="34"/>
        <v>3.0303030303030304E-2</v>
      </c>
      <c r="AN285" s="4">
        <f t="shared" si="39"/>
        <v>4.5896297316214016E-5</v>
      </c>
      <c r="AO285" s="3"/>
      <c r="AP285">
        <v>0</v>
      </c>
      <c r="AR285" t="s">
        <v>0</v>
      </c>
      <c r="AT285" s="2">
        <v>1.099</v>
      </c>
      <c r="AU285" s="1">
        <f t="shared" si="35"/>
        <v>0.42181414366442121</v>
      </c>
      <c r="AV285" s="1">
        <f t="shared" si="36"/>
        <v>0.3026071396836213</v>
      </c>
      <c r="AW285" s="1">
        <f t="shared" si="37"/>
        <v>0.18340013570282129</v>
      </c>
    </row>
    <row r="286" spans="1:49" x14ac:dyDescent="0.2">
      <c r="A286">
        <v>284</v>
      </c>
      <c r="B286" t="s">
        <v>6132</v>
      </c>
      <c r="C286" t="s">
        <v>6131</v>
      </c>
      <c r="F286" t="s">
        <v>6130</v>
      </c>
      <c r="G286" t="s">
        <v>15</v>
      </c>
      <c r="H286" t="s">
        <v>14</v>
      </c>
      <c r="I286" t="s">
        <v>6129</v>
      </c>
      <c r="N286">
        <v>1</v>
      </c>
      <c r="O286" t="s">
        <v>6128</v>
      </c>
      <c r="P286">
        <v>55448539100</v>
      </c>
      <c r="R286" s="7">
        <v>32509</v>
      </c>
      <c r="S286" s="8">
        <f t="shared" si="32"/>
        <v>1989</v>
      </c>
      <c r="T286" s="8">
        <v>1989</v>
      </c>
      <c r="U286" s="8">
        <f t="shared" si="33"/>
        <v>33</v>
      </c>
      <c r="V286" s="7">
        <v>32509</v>
      </c>
      <c r="W286" t="s">
        <v>5465</v>
      </c>
      <c r="X286" s="2">
        <v>0.22500000000000001</v>
      </c>
      <c r="Y286" s="6">
        <f t="shared" si="38"/>
        <v>6.0062464963562111E-3</v>
      </c>
      <c r="AA286">
        <v>2726343</v>
      </c>
      <c r="AB286">
        <v>16128</v>
      </c>
      <c r="AC286" t="s">
        <v>5464</v>
      </c>
      <c r="AD286" t="s">
        <v>5</v>
      </c>
      <c r="AE286">
        <v>9</v>
      </c>
      <c r="AF286">
        <v>4</v>
      </c>
      <c r="AH286" t="s">
        <v>6127</v>
      </c>
      <c r="AI286" t="s">
        <v>6126</v>
      </c>
      <c r="AK286" t="s">
        <v>6125</v>
      </c>
      <c r="AL286">
        <v>33</v>
      </c>
      <c r="AM286" s="5">
        <f t="shared" si="34"/>
        <v>1</v>
      </c>
      <c r="AN286" s="4">
        <f t="shared" si="39"/>
        <v>1.5145778114350624E-3</v>
      </c>
      <c r="AO286" s="3"/>
      <c r="AP286">
        <v>0</v>
      </c>
      <c r="AR286" t="s">
        <v>0</v>
      </c>
      <c r="AT286" s="2">
        <v>1.099</v>
      </c>
      <c r="AU286" s="1">
        <f t="shared" si="35"/>
        <v>0.46587458908798662</v>
      </c>
      <c r="AV286" s="1">
        <f t="shared" si="36"/>
        <v>0.3760412153895637</v>
      </c>
      <c r="AW286" s="1">
        <f t="shared" si="37"/>
        <v>0.28620784169114072</v>
      </c>
    </row>
    <row r="287" spans="1:49" x14ac:dyDescent="0.2">
      <c r="A287">
        <v>285</v>
      </c>
      <c r="B287" t="s">
        <v>6124</v>
      </c>
      <c r="C287" t="s">
        <v>6123</v>
      </c>
      <c r="D287">
        <v>31920189902112</v>
      </c>
      <c r="F287" t="s">
        <v>6122</v>
      </c>
      <c r="G287" t="s">
        <v>15</v>
      </c>
      <c r="H287" t="s">
        <v>14</v>
      </c>
      <c r="I287" t="s">
        <v>6121</v>
      </c>
      <c r="J287" t="s">
        <v>6117</v>
      </c>
      <c r="K287" t="s">
        <v>6120</v>
      </c>
      <c r="L287" t="s">
        <v>2609</v>
      </c>
      <c r="M287" t="s">
        <v>554</v>
      </c>
      <c r="N287">
        <v>2</v>
      </c>
      <c r="O287" t="s">
        <v>6119</v>
      </c>
      <c r="P287" t="s">
        <v>6118</v>
      </c>
      <c r="Q287" t="s">
        <v>6117</v>
      </c>
      <c r="R287" s="7">
        <v>32509</v>
      </c>
      <c r="S287" s="8">
        <f t="shared" si="32"/>
        <v>1989</v>
      </c>
      <c r="T287" s="8">
        <v>1989</v>
      </c>
      <c r="U287" s="8">
        <f t="shared" si="33"/>
        <v>33</v>
      </c>
      <c r="V287" s="7">
        <v>32782</v>
      </c>
      <c r="W287" t="s">
        <v>5852</v>
      </c>
      <c r="X287" s="2">
        <v>1.099</v>
      </c>
      <c r="Y287" s="6">
        <f t="shared" si="38"/>
        <v>2.9337177331091001E-2</v>
      </c>
      <c r="AA287">
        <v>319201</v>
      </c>
      <c r="AB287">
        <v>28551</v>
      </c>
      <c r="AD287" t="s">
        <v>5</v>
      </c>
      <c r="AE287">
        <v>57</v>
      </c>
      <c r="AF287" s="9">
        <v>44228</v>
      </c>
      <c r="AH287" t="s">
        <v>6116</v>
      </c>
      <c r="AI287" t="s">
        <v>6115</v>
      </c>
      <c r="AK287" t="s">
        <v>6114</v>
      </c>
      <c r="AL287">
        <v>8</v>
      </c>
      <c r="AM287" s="5">
        <f t="shared" si="34"/>
        <v>0.24242424242424243</v>
      </c>
      <c r="AN287" s="4">
        <f t="shared" si="39"/>
        <v>3.6717037852971213E-4</v>
      </c>
      <c r="AO287" s="3"/>
      <c r="AP287">
        <v>0</v>
      </c>
      <c r="AR287" t="s">
        <v>0</v>
      </c>
      <c r="AT287" s="2" t="s">
        <v>19</v>
      </c>
      <c r="AU287" s="1">
        <f t="shared" si="35"/>
        <v>2.0646175245322618</v>
      </c>
      <c r="AV287" s="1">
        <f t="shared" si="36"/>
        <v>1.4852173854810355</v>
      </c>
      <c r="AW287" s="1">
        <f t="shared" si="37"/>
        <v>0.90581724642980976</v>
      </c>
    </row>
    <row r="288" spans="1:49" x14ac:dyDescent="0.2">
      <c r="A288">
        <v>286</v>
      </c>
      <c r="B288" t="s">
        <v>6113</v>
      </c>
      <c r="C288" t="s">
        <v>6112</v>
      </c>
      <c r="F288" t="s">
        <v>6111</v>
      </c>
      <c r="G288" t="s">
        <v>15</v>
      </c>
      <c r="H288" t="s">
        <v>14</v>
      </c>
      <c r="I288" t="s">
        <v>6110</v>
      </c>
      <c r="J288" t="s">
        <v>6105</v>
      </c>
      <c r="K288" t="s">
        <v>6109</v>
      </c>
      <c r="L288" t="s">
        <v>6108</v>
      </c>
      <c r="M288" t="s">
        <v>86</v>
      </c>
      <c r="N288">
        <v>2</v>
      </c>
      <c r="O288" t="s">
        <v>6107</v>
      </c>
      <c r="P288" t="s">
        <v>6106</v>
      </c>
      <c r="Q288" t="s">
        <v>6105</v>
      </c>
      <c r="R288" s="7">
        <v>32509</v>
      </c>
      <c r="S288" s="8">
        <f t="shared" si="32"/>
        <v>1989</v>
      </c>
      <c r="T288" s="8">
        <v>1989</v>
      </c>
      <c r="U288" s="8">
        <f t="shared" si="33"/>
        <v>33</v>
      </c>
      <c r="V288" s="7">
        <v>32843</v>
      </c>
      <c r="W288" t="s">
        <v>6104</v>
      </c>
      <c r="X288" s="2">
        <v>0.39600000000000002</v>
      </c>
      <c r="Y288" s="6">
        <f t="shared" si="38"/>
        <v>1.0570993833586931E-2</v>
      </c>
      <c r="AA288">
        <v>8858985</v>
      </c>
      <c r="AB288">
        <v>25993</v>
      </c>
      <c r="AD288" t="s">
        <v>5</v>
      </c>
      <c r="AE288">
        <v>4</v>
      </c>
      <c r="AF288">
        <v>12</v>
      </c>
      <c r="AH288" t="s">
        <v>6103</v>
      </c>
      <c r="AI288" t="s">
        <v>6102</v>
      </c>
      <c r="AK288" t="s">
        <v>6101</v>
      </c>
      <c r="AL288">
        <v>7</v>
      </c>
      <c r="AM288" s="5">
        <f t="shared" si="34"/>
        <v>0.21212121212121213</v>
      </c>
      <c r="AN288" s="4">
        <f t="shared" si="39"/>
        <v>3.2127408121349809E-4</v>
      </c>
      <c r="AO288" s="3"/>
      <c r="AP288">
        <v>0</v>
      </c>
      <c r="AR288" t="s">
        <v>0</v>
      </c>
      <c r="AT288" s="2" t="s">
        <v>19</v>
      </c>
      <c r="AU288" s="1">
        <f t="shared" si="35"/>
        <v>0.74960779078749018</v>
      </c>
      <c r="AV288" s="1">
        <f t="shared" si="36"/>
        <v>0.54461339574002143</v>
      </c>
      <c r="AW288" s="1">
        <f t="shared" si="37"/>
        <v>0.3396190006925528</v>
      </c>
    </row>
    <row r="289" spans="1:49" x14ac:dyDescent="0.2">
      <c r="A289">
        <v>287</v>
      </c>
      <c r="B289" t="s">
        <v>6100</v>
      </c>
      <c r="C289" t="s">
        <v>6099</v>
      </c>
      <c r="F289" t="s">
        <v>6098</v>
      </c>
      <c r="G289" t="s">
        <v>15</v>
      </c>
      <c r="H289" t="s">
        <v>14</v>
      </c>
      <c r="I289" t="s">
        <v>6097</v>
      </c>
      <c r="J289">
        <v>115569186</v>
      </c>
      <c r="K289" t="s">
        <v>6096</v>
      </c>
      <c r="L289" t="s">
        <v>6095</v>
      </c>
      <c r="M289" t="s">
        <v>23</v>
      </c>
      <c r="N289">
        <v>2</v>
      </c>
      <c r="O289" t="s">
        <v>6094</v>
      </c>
      <c r="P289" t="s">
        <v>6093</v>
      </c>
      <c r="Q289" t="s">
        <v>6092</v>
      </c>
      <c r="R289" s="7">
        <v>32509</v>
      </c>
      <c r="S289" s="8">
        <f t="shared" si="32"/>
        <v>1989</v>
      </c>
      <c r="T289" s="8">
        <v>1989</v>
      </c>
      <c r="U289" s="8">
        <f t="shared" si="33"/>
        <v>33</v>
      </c>
      <c r="V289" s="7">
        <v>32509</v>
      </c>
      <c r="W289" t="s">
        <v>5465</v>
      </c>
      <c r="X289" s="2">
        <v>0.22500000000000001</v>
      </c>
      <c r="Y289" s="6">
        <f t="shared" si="38"/>
        <v>6.0062464963562111E-3</v>
      </c>
      <c r="AA289">
        <v>2726343</v>
      </c>
      <c r="AB289">
        <v>16128</v>
      </c>
      <c r="AC289" t="s">
        <v>5464</v>
      </c>
      <c r="AD289" t="s">
        <v>5</v>
      </c>
      <c r="AE289">
        <v>9</v>
      </c>
      <c r="AF289">
        <v>4</v>
      </c>
      <c r="AH289" t="s">
        <v>6091</v>
      </c>
      <c r="AI289" t="s">
        <v>6090</v>
      </c>
      <c r="AK289" t="s">
        <v>6089</v>
      </c>
      <c r="AL289">
        <v>2</v>
      </c>
      <c r="AM289" s="5">
        <f t="shared" si="34"/>
        <v>6.0606060606060608E-2</v>
      </c>
      <c r="AN289" s="4">
        <f t="shared" si="39"/>
        <v>9.1792594632428032E-5</v>
      </c>
      <c r="AO289" s="3"/>
      <c r="AP289">
        <v>0</v>
      </c>
      <c r="AR289" t="s">
        <v>0</v>
      </c>
      <c r="AT289" s="2">
        <v>1.099</v>
      </c>
      <c r="AU289" s="1">
        <f t="shared" si="35"/>
        <v>0.42319103258390767</v>
      </c>
      <c r="AV289" s="1">
        <f t="shared" si="36"/>
        <v>0.30490195454943192</v>
      </c>
      <c r="AW289" s="1">
        <f t="shared" si="37"/>
        <v>0.18661287651495628</v>
      </c>
    </row>
    <row r="290" spans="1:49" x14ac:dyDescent="0.2">
      <c r="A290">
        <v>288</v>
      </c>
      <c r="B290" t="s">
        <v>6088</v>
      </c>
      <c r="C290" t="s">
        <v>6087</v>
      </c>
      <c r="F290" t="s">
        <v>6086</v>
      </c>
      <c r="G290" t="s">
        <v>15</v>
      </c>
      <c r="H290" t="s">
        <v>14</v>
      </c>
      <c r="I290" t="s">
        <v>6085</v>
      </c>
      <c r="J290" t="s">
        <v>6084</v>
      </c>
      <c r="K290" t="s">
        <v>6083</v>
      </c>
      <c r="L290" t="s">
        <v>6082</v>
      </c>
      <c r="M290" t="s">
        <v>86</v>
      </c>
      <c r="N290">
        <v>3</v>
      </c>
      <c r="O290" t="s">
        <v>6081</v>
      </c>
      <c r="P290" t="s">
        <v>6080</v>
      </c>
      <c r="Q290" t="s">
        <v>6079</v>
      </c>
      <c r="R290" s="7">
        <v>32509</v>
      </c>
      <c r="S290" s="8">
        <f t="shared" si="32"/>
        <v>1989</v>
      </c>
      <c r="T290" s="8">
        <v>1989</v>
      </c>
      <c r="U290" s="8">
        <f t="shared" si="33"/>
        <v>33</v>
      </c>
      <c r="V290" s="7">
        <v>32843</v>
      </c>
      <c r="W290" t="s">
        <v>778</v>
      </c>
      <c r="X290" s="2">
        <v>1.6519999999999999</v>
      </c>
      <c r="Y290" s="6">
        <f t="shared" si="38"/>
        <v>4.409919649769093E-2</v>
      </c>
      <c r="AA290" t="s">
        <v>777</v>
      </c>
      <c r="AB290">
        <v>17337</v>
      </c>
      <c r="AC290">
        <v>15582221</v>
      </c>
      <c r="AD290" t="s">
        <v>5</v>
      </c>
      <c r="AE290">
        <v>37</v>
      </c>
      <c r="AF290">
        <v>12</v>
      </c>
      <c r="AH290" t="s">
        <v>6078</v>
      </c>
      <c r="AI290" t="s">
        <v>6077</v>
      </c>
      <c r="AK290" t="s">
        <v>6076</v>
      </c>
      <c r="AL290">
        <v>6</v>
      </c>
      <c r="AM290" s="5">
        <f t="shared" si="34"/>
        <v>0.18181818181818182</v>
      </c>
      <c r="AN290" s="4">
        <f t="shared" si="39"/>
        <v>2.753777838972841E-4</v>
      </c>
      <c r="AO290" s="3"/>
      <c r="AP290">
        <v>0</v>
      </c>
      <c r="AR290" t="s">
        <v>0</v>
      </c>
      <c r="AT290" s="2" t="s">
        <v>19</v>
      </c>
      <c r="AU290" s="1">
        <f t="shared" si="35"/>
        <v>3.0952050883552835</v>
      </c>
      <c r="AV290" s="1">
        <f t="shared" si="36"/>
        <v>2.2187287140794107</v>
      </c>
      <c r="AW290" s="1">
        <f t="shared" si="37"/>
        <v>1.3422523398035378</v>
      </c>
    </row>
    <row r="291" spans="1:49" x14ac:dyDescent="0.2">
      <c r="A291">
        <v>289</v>
      </c>
      <c r="B291" t="s">
        <v>6075</v>
      </c>
      <c r="C291" t="s">
        <v>6074</v>
      </c>
      <c r="F291" t="s">
        <v>6073</v>
      </c>
      <c r="G291" t="s">
        <v>15</v>
      </c>
      <c r="H291" t="s">
        <v>14</v>
      </c>
      <c r="I291" t="s">
        <v>6072</v>
      </c>
      <c r="N291">
        <v>3</v>
      </c>
      <c r="O291" t="s">
        <v>6071</v>
      </c>
      <c r="P291" t="s">
        <v>6070</v>
      </c>
      <c r="Q291" t="s">
        <v>296</v>
      </c>
      <c r="R291" s="7">
        <v>32509</v>
      </c>
      <c r="S291" s="8">
        <f t="shared" si="32"/>
        <v>1989</v>
      </c>
      <c r="T291" s="8">
        <v>1989</v>
      </c>
      <c r="U291" s="8">
        <f t="shared" si="33"/>
        <v>33</v>
      </c>
      <c r="V291" s="7">
        <v>32509</v>
      </c>
      <c r="W291" t="s">
        <v>5465</v>
      </c>
      <c r="X291" s="2">
        <v>0.22500000000000001</v>
      </c>
      <c r="Y291" s="6">
        <f t="shared" si="38"/>
        <v>6.0062464963562111E-3</v>
      </c>
      <c r="AA291">
        <v>2726343</v>
      </c>
      <c r="AB291">
        <v>16128</v>
      </c>
      <c r="AC291" t="s">
        <v>5464</v>
      </c>
      <c r="AD291" t="s">
        <v>5</v>
      </c>
      <c r="AE291">
        <v>9</v>
      </c>
      <c r="AF291">
        <v>4</v>
      </c>
      <c r="AH291" t="s">
        <v>6069</v>
      </c>
      <c r="AI291" t="s">
        <v>6068</v>
      </c>
      <c r="AK291" t="s">
        <v>6067</v>
      </c>
      <c r="AL291">
        <v>5</v>
      </c>
      <c r="AM291" s="5">
        <f t="shared" si="34"/>
        <v>0.15151515151515152</v>
      </c>
      <c r="AN291" s="4">
        <f t="shared" si="39"/>
        <v>2.2948148658107008E-4</v>
      </c>
      <c r="AO291" s="3"/>
      <c r="AP291">
        <v>0</v>
      </c>
      <c r="AR291" t="s">
        <v>0</v>
      </c>
      <c r="AT291" s="2">
        <v>1.099</v>
      </c>
      <c r="AU291" s="1">
        <f t="shared" si="35"/>
        <v>0.42732169934236686</v>
      </c>
      <c r="AV291" s="1">
        <f t="shared" si="36"/>
        <v>0.31178639914686407</v>
      </c>
      <c r="AW291" s="1">
        <f t="shared" si="37"/>
        <v>0.19625109895136122</v>
      </c>
    </row>
    <row r="292" spans="1:49" x14ac:dyDescent="0.2">
      <c r="A292">
        <v>290</v>
      </c>
      <c r="B292" t="s">
        <v>6066</v>
      </c>
      <c r="C292" t="s">
        <v>6065</v>
      </c>
      <c r="F292" t="s">
        <v>6064</v>
      </c>
      <c r="G292" t="s">
        <v>15</v>
      </c>
      <c r="H292" t="s">
        <v>14</v>
      </c>
      <c r="I292" t="s">
        <v>6063</v>
      </c>
      <c r="J292">
        <v>60000221</v>
      </c>
      <c r="K292" t="s">
        <v>1840</v>
      </c>
      <c r="L292" t="s">
        <v>1839</v>
      </c>
      <c r="M292" t="s">
        <v>23</v>
      </c>
      <c r="N292">
        <v>2</v>
      </c>
      <c r="O292" t="s">
        <v>6062</v>
      </c>
      <c r="P292" t="s">
        <v>6061</v>
      </c>
      <c r="Q292" t="s">
        <v>1836</v>
      </c>
      <c r="R292" s="7">
        <v>32509</v>
      </c>
      <c r="S292" s="8">
        <f t="shared" ref="S292:S355" si="40">YEAR(R292)</f>
        <v>1989</v>
      </c>
      <c r="T292" s="8">
        <v>1989</v>
      </c>
      <c r="U292" s="8">
        <f t="shared" ref="U292:U355" si="41">2022-T292</f>
        <v>33</v>
      </c>
      <c r="V292" s="7">
        <v>32509</v>
      </c>
      <c r="W292" t="s">
        <v>5465</v>
      </c>
      <c r="X292" s="2">
        <v>0.22500000000000001</v>
      </c>
      <c r="Y292" s="6">
        <f t="shared" si="38"/>
        <v>6.0062464963562111E-3</v>
      </c>
      <c r="AA292">
        <v>2726343</v>
      </c>
      <c r="AB292">
        <v>16128</v>
      </c>
      <c r="AC292" t="s">
        <v>5464</v>
      </c>
      <c r="AD292" t="s">
        <v>5</v>
      </c>
      <c r="AE292">
        <v>9</v>
      </c>
      <c r="AF292">
        <v>4</v>
      </c>
      <c r="AH292" t="s">
        <v>6060</v>
      </c>
      <c r="AI292" t="s">
        <v>6059</v>
      </c>
      <c r="AK292" t="s">
        <v>6058</v>
      </c>
      <c r="AL292">
        <v>2</v>
      </c>
      <c r="AM292" s="5">
        <f t="shared" ref="AM292:AM355" si="42">AL292/U292</f>
        <v>6.0606060606060608E-2</v>
      </c>
      <c r="AN292" s="4">
        <f t="shared" si="39"/>
        <v>9.1792594632428032E-5</v>
      </c>
      <c r="AO292" s="3"/>
      <c r="AP292">
        <v>0</v>
      </c>
      <c r="AR292" t="s">
        <v>0</v>
      </c>
      <c r="AT292" s="2">
        <v>1.099</v>
      </c>
      <c r="AU292" s="1">
        <f t="shared" ref="AU292:AU355" si="43">(Y292*0.7+AN292*0.3)*100</f>
        <v>0.42319103258390767</v>
      </c>
      <c r="AV292" s="1">
        <f t="shared" ref="AV292:AV355" si="44">(Y292*0.5+AN292*0.5)*100</f>
        <v>0.30490195454943192</v>
      </c>
      <c r="AW292" s="1">
        <f t="shared" ref="AW292:AW355" si="45">(Y292*0.3+AN292*0.7)*100</f>
        <v>0.18661287651495628</v>
      </c>
    </row>
    <row r="293" spans="1:49" x14ac:dyDescent="0.2">
      <c r="A293">
        <v>291</v>
      </c>
      <c r="B293" t="s">
        <v>6057</v>
      </c>
      <c r="F293" t="s">
        <v>6056</v>
      </c>
      <c r="G293" t="s">
        <v>15</v>
      </c>
      <c r="H293" t="s">
        <v>14</v>
      </c>
      <c r="I293" t="s">
        <v>6055</v>
      </c>
      <c r="N293">
        <v>3</v>
      </c>
      <c r="O293" t="s">
        <v>6054</v>
      </c>
      <c r="P293" t="s">
        <v>6053</v>
      </c>
      <c r="Q293" t="s">
        <v>296</v>
      </c>
      <c r="R293" s="7">
        <v>32509</v>
      </c>
      <c r="S293" s="8">
        <f t="shared" si="40"/>
        <v>1989</v>
      </c>
      <c r="T293" s="8">
        <v>1989</v>
      </c>
      <c r="U293" s="8">
        <f t="shared" si="41"/>
        <v>33</v>
      </c>
      <c r="V293" s="7">
        <v>1989</v>
      </c>
      <c r="W293" t="s">
        <v>6052</v>
      </c>
      <c r="X293" s="2">
        <v>0.42599999999999999</v>
      </c>
      <c r="Y293" s="6">
        <f t="shared" si="38"/>
        <v>1.1371826699767759E-2</v>
      </c>
      <c r="AA293">
        <v>14370</v>
      </c>
      <c r="AB293">
        <v>28420</v>
      </c>
      <c r="AD293" t="s">
        <v>5</v>
      </c>
      <c r="AE293">
        <v>29</v>
      </c>
      <c r="AF293">
        <v>1</v>
      </c>
      <c r="AH293" t="s">
        <v>6051</v>
      </c>
      <c r="AI293" t="s">
        <v>6050</v>
      </c>
      <c r="AK293" t="s">
        <v>6049</v>
      </c>
      <c r="AL293">
        <v>0</v>
      </c>
      <c r="AM293" s="5">
        <f t="shared" si="42"/>
        <v>0</v>
      </c>
      <c r="AN293" s="4">
        <f t="shared" si="39"/>
        <v>0</v>
      </c>
      <c r="AO293" s="3"/>
      <c r="AP293">
        <v>0</v>
      </c>
      <c r="AR293" t="s">
        <v>0</v>
      </c>
      <c r="AT293" s="2">
        <v>0.69399999999999995</v>
      </c>
      <c r="AU293" s="1">
        <f t="shared" si="43"/>
        <v>0.79602786898374311</v>
      </c>
      <c r="AV293" s="1">
        <f t="shared" si="44"/>
        <v>0.56859133498838799</v>
      </c>
      <c r="AW293" s="1">
        <f t="shared" si="45"/>
        <v>0.34115480099303275</v>
      </c>
    </row>
    <row r="294" spans="1:49" x14ac:dyDescent="0.2">
      <c r="A294">
        <v>292</v>
      </c>
      <c r="B294" t="s">
        <v>6048</v>
      </c>
      <c r="C294" t="s">
        <v>6047</v>
      </c>
      <c r="F294" t="s">
        <v>6046</v>
      </c>
      <c r="G294" t="s">
        <v>15</v>
      </c>
      <c r="H294" t="s">
        <v>14</v>
      </c>
      <c r="I294" t="s">
        <v>6045</v>
      </c>
      <c r="J294">
        <v>116394064</v>
      </c>
      <c r="K294" t="s">
        <v>6044</v>
      </c>
      <c r="L294" t="s">
        <v>6043</v>
      </c>
      <c r="M294" t="s">
        <v>23</v>
      </c>
      <c r="N294">
        <v>2</v>
      </c>
      <c r="O294" t="s">
        <v>6042</v>
      </c>
      <c r="P294" t="s">
        <v>6041</v>
      </c>
      <c r="Q294" t="s">
        <v>6040</v>
      </c>
      <c r="R294" s="7">
        <v>32509</v>
      </c>
      <c r="S294" s="8">
        <f t="shared" si="40"/>
        <v>1989</v>
      </c>
      <c r="T294" s="8">
        <v>1989</v>
      </c>
      <c r="U294" s="8">
        <f t="shared" si="41"/>
        <v>33</v>
      </c>
      <c r="V294" s="7" t="s">
        <v>5739</v>
      </c>
      <c r="W294" t="s">
        <v>6039</v>
      </c>
      <c r="X294" s="2" t="s">
        <v>19</v>
      </c>
      <c r="Y294" s="6" t="e">
        <f t="shared" si="38"/>
        <v>#VALUE!</v>
      </c>
      <c r="AA294">
        <v>361682</v>
      </c>
      <c r="AB294">
        <v>9500153941</v>
      </c>
      <c r="AD294" t="s">
        <v>5</v>
      </c>
      <c r="AE294">
        <v>98</v>
      </c>
      <c r="AF294">
        <v>12</v>
      </c>
      <c r="AH294" t="s">
        <v>6038</v>
      </c>
      <c r="AI294" t="s">
        <v>6037</v>
      </c>
      <c r="AK294" t="s">
        <v>6036</v>
      </c>
      <c r="AL294">
        <v>0</v>
      </c>
      <c r="AM294" s="5">
        <f t="shared" si="42"/>
        <v>0</v>
      </c>
      <c r="AN294" s="4">
        <f t="shared" si="39"/>
        <v>0</v>
      </c>
      <c r="AO294" s="3"/>
      <c r="AP294">
        <v>0</v>
      </c>
      <c r="AR294" t="s">
        <v>0</v>
      </c>
      <c r="AT294" s="2" t="s">
        <v>19</v>
      </c>
      <c r="AU294" s="1" t="e">
        <f t="shared" si="43"/>
        <v>#VALUE!</v>
      </c>
      <c r="AV294" s="1" t="e">
        <f t="shared" si="44"/>
        <v>#VALUE!</v>
      </c>
      <c r="AW294" s="1" t="e">
        <f t="shared" si="45"/>
        <v>#VALUE!</v>
      </c>
    </row>
    <row r="295" spans="1:49" x14ac:dyDescent="0.2">
      <c r="A295">
        <v>293</v>
      </c>
      <c r="B295" t="s">
        <v>6035</v>
      </c>
      <c r="C295" t="s">
        <v>6034</v>
      </c>
      <c r="F295" t="s">
        <v>6033</v>
      </c>
      <c r="G295" t="s">
        <v>15</v>
      </c>
      <c r="H295" t="s">
        <v>14</v>
      </c>
      <c r="I295" t="s">
        <v>4454</v>
      </c>
      <c r="J295">
        <v>101168246</v>
      </c>
      <c r="K295" t="s">
        <v>6032</v>
      </c>
      <c r="M295" t="s">
        <v>10</v>
      </c>
      <c r="N295">
        <v>1</v>
      </c>
      <c r="O295" t="s">
        <v>6031</v>
      </c>
      <c r="P295">
        <v>7101988263</v>
      </c>
      <c r="Q295">
        <v>101168246</v>
      </c>
      <c r="R295" s="7">
        <v>32509</v>
      </c>
      <c r="S295" s="8">
        <f t="shared" si="40"/>
        <v>1989</v>
      </c>
      <c r="T295" s="8">
        <v>1989</v>
      </c>
      <c r="U295" s="8">
        <f t="shared" si="41"/>
        <v>33</v>
      </c>
      <c r="V295" s="7" t="s">
        <v>5739</v>
      </c>
      <c r="W295" s="11" t="s">
        <v>1449</v>
      </c>
      <c r="X295" s="2">
        <v>2.383</v>
      </c>
      <c r="Y295" s="6">
        <f t="shared" si="38"/>
        <v>6.3612824003630442E-2</v>
      </c>
      <c r="AA295" t="s">
        <v>1448</v>
      </c>
      <c r="AB295">
        <v>101151</v>
      </c>
      <c r="AD295" t="s">
        <v>5</v>
      </c>
      <c r="AE295">
        <v>136</v>
      </c>
      <c r="AF295">
        <v>6</v>
      </c>
      <c r="AH295" t="s">
        <v>6030</v>
      </c>
      <c r="AI295" t="s">
        <v>6029</v>
      </c>
      <c r="AK295" t="s">
        <v>6028</v>
      </c>
      <c r="AL295">
        <v>13</v>
      </c>
      <c r="AM295" s="5">
        <f t="shared" si="42"/>
        <v>0.39393939393939392</v>
      </c>
      <c r="AN295" s="4">
        <f t="shared" si="39"/>
        <v>5.9665186511078218E-4</v>
      </c>
      <c r="AO295" s="3"/>
      <c r="AP295">
        <v>0</v>
      </c>
      <c r="AR295" t="s">
        <v>0</v>
      </c>
      <c r="AT295" s="2" t="s">
        <v>19</v>
      </c>
      <c r="AU295" s="1">
        <f t="shared" si="43"/>
        <v>4.4707972362074546</v>
      </c>
      <c r="AV295" s="1">
        <f t="shared" si="44"/>
        <v>3.2104737934370609</v>
      </c>
      <c r="AW295" s="1">
        <f t="shared" si="45"/>
        <v>1.950150350666668</v>
      </c>
    </row>
    <row r="296" spans="1:49" x14ac:dyDescent="0.2">
      <c r="A296">
        <v>294</v>
      </c>
      <c r="B296" t="s">
        <v>6027</v>
      </c>
      <c r="C296" t="s">
        <v>6026</v>
      </c>
      <c r="F296" t="s">
        <v>6025</v>
      </c>
      <c r="G296" t="s">
        <v>15</v>
      </c>
      <c r="H296" t="s">
        <v>14</v>
      </c>
      <c r="I296" t="s">
        <v>6024</v>
      </c>
      <c r="J296" t="s">
        <v>6023</v>
      </c>
      <c r="K296" t="s">
        <v>6022</v>
      </c>
      <c r="L296" t="s">
        <v>6021</v>
      </c>
      <c r="M296" t="s">
        <v>554</v>
      </c>
      <c r="N296">
        <v>3</v>
      </c>
      <c r="O296" t="s">
        <v>6020</v>
      </c>
      <c r="P296" t="s">
        <v>6019</v>
      </c>
      <c r="Q296" t="s">
        <v>6018</v>
      </c>
      <c r="R296" s="7">
        <v>32509</v>
      </c>
      <c r="S296" s="8">
        <f t="shared" si="40"/>
        <v>1989</v>
      </c>
      <c r="T296" s="8">
        <v>1989</v>
      </c>
      <c r="U296" s="8">
        <f t="shared" si="41"/>
        <v>33</v>
      </c>
      <c r="V296" s="7">
        <v>32843</v>
      </c>
      <c r="W296" t="s">
        <v>6017</v>
      </c>
      <c r="X296" s="2">
        <v>0.46</v>
      </c>
      <c r="Y296" s="6">
        <f t="shared" si="38"/>
        <v>1.2279437281439364E-2</v>
      </c>
      <c r="AA296">
        <v>933813</v>
      </c>
      <c r="AB296">
        <v>28031</v>
      </c>
      <c r="AC296">
        <v>19399375</v>
      </c>
      <c r="AD296" t="s">
        <v>5</v>
      </c>
      <c r="AE296">
        <v>17</v>
      </c>
      <c r="AF296">
        <v>6</v>
      </c>
      <c r="AH296" t="s">
        <v>6016</v>
      </c>
      <c r="AI296" t="s">
        <v>6015</v>
      </c>
      <c r="AK296" t="s">
        <v>6014</v>
      </c>
      <c r="AL296">
        <v>3</v>
      </c>
      <c r="AM296" s="5">
        <f t="shared" si="42"/>
        <v>9.0909090909090912E-2</v>
      </c>
      <c r="AN296" s="4">
        <f t="shared" si="39"/>
        <v>1.3768889194864205E-4</v>
      </c>
      <c r="AO296" s="3"/>
      <c r="AP296">
        <v>0</v>
      </c>
      <c r="AR296" t="s">
        <v>0</v>
      </c>
      <c r="AT296" s="2">
        <v>1.222</v>
      </c>
      <c r="AU296" s="1">
        <f t="shared" si="43"/>
        <v>0.86369127645921462</v>
      </c>
      <c r="AV296" s="1">
        <f t="shared" si="44"/>
        <v>0.62085630866940034</v>
      </c>
      <c r="AW296" s="1">
        <f t="shared" si="45"/>
        <v>0.37802134087958583</v>
      </c>
    </row>
    <row r="297" spans="1:49" x14ac:dyDescent="0.2">
      <c r="A297">
        <v>295</v>
      </c>
      <c r="B297" t="s">
        <v>6013</v>
      </c>
      <c r="C297" t="s">
        <v>6012</v>
      </c>
      <c r="F297" t="s">
        <v>6011</v>
      </c>
      <c r="G297" t="s">
        <v>15</v>
      </c>
      <c r="H297" t="s">
        <v>14</v>
      </c>
      <c r="I297" t="s">
        <v>2028</v>
      </c>
      <c r="J297">
        <v>60002947</v>
      </c>
      <c r="K297" t="s">
        <v>2027</v>
      </c>
      <c r="L297" t="s">
        <v>2026</v>
      </c>
      <c r="M297" t="s">
        <v>2025</v>
      </c>
      <c r="N297">
        <v>1</v>
      </c>
      <c r="O297" t="s">
        <v>2024</v>
      </c>
      <c r="P297">
        <v>7004716169</v>
      </c>
      <c r="Q297">
        <v>60002947</v>
      </c>
      <c r="R297" s="7">
        <v>32509</v>
      </c>
      <c r="S297" s="8">
        <f t="shared" si="40"/>
        <v>1989</v>
      </c>
      <c r="T297" s="8">
        <v>1989</v>
      </c>
      <c r="U297" s="8">
        <f t="shared" si="41"/>
        <v>33</v>
      </c>
      <c r="V297" s="7">
        <v>32843</v>
      </c>
      <c r="W297" t="s">
        <v>778</v>
      </c>
      <c r="X297" s="2">
        <v>1.6519999999999999</v>
      </c>
      <c r="Y297" s="6">
        <f t="shared" si="38"/>
        <v>4.409919649769093E-2</v>
      </c>
      <c r="AA297" t="s">
        <v>777</v>
      </c>
      <c r="AB297">
        <v>17337</v>
      </c>
      <c r="AC297">
        <v>15582221</v>
      </c>
      <c r="AD297" t="s">
        <v>5</v>
      </c>
      <c r="AE297">
        <v>37</v>
      </c>
      <c r="AF297">
        <v>12</v>
      </c>
      <c r="AH297" t="s">
        <v>6010</v>
      </c>
      <c r="AI297" t="s">
        <v>6009</v>
      </c>
      <c r="AK297" t="s">
        <v>6008</v>
      </c>
      <c r="AL297">
        <v>6</v>
      </c>
      <c r="AM297" s="5">
        <f t="shared" si="42"/>
        <v>0.18181818181818182</v>
      </c>
      <c r="AN297" s="4">
        <f t="shared" si="39"/>
        <v>2.753777838972841E-4</v>
      </c>
      <c r="AO297" s="3"/>
      <c r="AP297">
        <v>0</v>
      </c>
      <c r="AR297" t="s">
        <v>0</v>
      </c>
      <c r="AT297" s="2" t="s">
        <v>19</v>
      </c>
      <c r="AU297" s="1">
        <f t="shared" si="43"/>
        <v>3.0952050883552835</v>
      </c>
      <c r="AV297" s="1">
        <f t="shared" si="44"/>
        <v>2.2187287140794107</v>
      </c>
      <c r="AW297" s="1">
        <f t="shared" si="45"/>
        <v>1.3422523398035378</v>
      </c>
    </row>
    <row r="298" spans="1:49" x14ac:dyDescent="0.2">
      <c r="A298">
        <v>296</v>
      </c>
      <c r="B298" t="s">
        <v>6007</v>
      </c>
      <c r="C298" t="s">
        <v>6006</v>
      </c>
      <c r="F298" t="s">
        <v>6005</v>
      </c>
      <c r="G298" t="s">
        <v>15</v>
      </c>
      <c r="H298" t="s">
        <v>14</v>
      </c>
      <c r="I298" t="s">
        <v>6004</v>
      </c>
      <c r="J298">
        <v>60010348</v>
      </c>
      <c r="K298" t="s">
        <v>6003</v>
      </c>
      <c r="L298" t="s">
        <v>5609</v>
      </c>
      <c r="M298" t="s">
        <v>5608</v>
      </c>
      <c r="N298">
        <v>1</v>
      </c>
      <c r="O298" t="s">
        <v>6002</v>
      </c>
      <c r="P298">
        <v>57189529088</v>
      </c>
      <c r="Q298">
        <v>60010348</v>
      </c>
      <c r="R298" s="7">
        <v>32509</v>
      </c>
      <c r="S298" s="8">
        <f t="shared" si="40"/>
        <v>1989</v>
      </c>
      <c r="T298" s="8">
        <v>1989</v>
      </c>
      <c r="U298" s="8">
        <f t="shared" si="41"/>
        <v>33</v>
      </c>
      <c r="V298" s="7">
        <v>32629</v>
      </c>
      <c r="W298" t="s">
        <v>6001</v>
      </c>
      <c r="X298" s="2">
        <v>0.5</v>
      </c>
      <c r="Y298" s="6">
        <f t="shared" si="38"/>
        <v>1.3347214436347135E-2</v>
      </c>
      <c r="AA298">
        <v>253154</v>
      </c>
      <c r="AB298">
        <v>12162</v>
      </c>
      <c r="AC298">
        <v>14697769</v>
      </c>
      <c r="AD298" t="s">
        <v>5</v>
      </c>
      <c r="AE298">
        <v>69</v>
      </c>
      <c r="AF298">
        <v>2</v>
      </c>
      <c r="AH298" t="s">
        <v>6000</v>
      </c>
      <c r="AI298" t="s">
        <v>5999</v>
      </c>
      <c r="AK298" t="s">
        <v>5998</v>
      </c>
      <c r="AL298">
        <v>12</v>
      </c>
      <c r="AM298" s="5">
        <f t="shared" si="42"/>
        <v>0.36363636363636365</v>
      </c>
      <c r="AN298" s="4">
        <f t="shared" si="39"/>
        <v>5.5075556779456819E-4</v>
      </c>
      <c r="AO298" s="3"/>
      <c r="AP298">
        <v>0</v>
      </c>
      <c r="AR298" t="s">
        <v>0</v>
      </c>
      <c r="AT298" s="2" t="s">
        <v>19</v>
      </c>
      <c r="AU298" s="1">
        <f t="shared" si="43"/>
        <v>0.95082767757813635</v>
      </c>
      <c r="AV298" s="1">
        <f t="shared" si="44"/>
        <v>0.69489850020708521</v>
      </c>
      <c r="AW298" s="1">
        <f t="shared" si="45"/>
        <v>0.43896932283603374</v>
      </c>
    </row>
    <row r="299" spans="1:49" x14ac:dyDescent="0.2">
      <c r="A299">
        <v>297</v>
      </c>
      <c r="B299" t="s">
        <v>5997</v>
      </c>
      <c r="C299" t="s">
        <v>5996</v>
      </c>
      <c r="F299" t="s">
        <v>5995</v>
      </c>
      <c r="G299" t="s">
        <v>15</v>
      </c>
      <c r="H299" t="s">
        <v>14</v>
      </c>
      <c r="I299" t="s">
        <v>5994</v>
      </c>
      <c r="J299" t="s">
        <v>5988</v>
      </c>
      <c r="K299" t="s">
        <v>5993</v>
      </c>
      <c r="L299" t="s">
        <v>5992</v>
      </c>
      <c r="M299" t="s">
        <v>5991</v>
      </c>
      <c r="N299">
        <v>2</v>
      </c>
      <c r="O299" t="s">
        <v>5990</v>
      </c>
      <c r="P299" t="s">
        <v>5989</v>
      </c>
      <c r="Q299" t="s">
        <v>5988</v>
      </c>
      <c r="R299" s="7">
        <v>32509</v>
      </c>
      <c r="S299" s="8">
        <f t="shared" si="40"/>
        <v>1989</v>
      </c>
      <c r="T299" s="8">
        <v>1989</v>
      </c>
      <c r="U299" s="8">
        <f t="shared" si="41"/>
        <v>33</v>
      </c>
      <c r="V299" s="7">
        <v>32843</v>
      </c>
      <c r="W299" t="s">
        <v>778</v>
      </c>
      <c r="X299" s="2">
        <v>1.6519999999999999</v>
      </c>
      <c r="Y299" s="6">
        <f t="shared" si="38"/>
        <v>4.409919649769093E-2</v>
      </c>
      <c r="AA299" t="s">
        <v>777</v>
      </c>
      <c r="AB299">
        <v>17337</v>
      </c>
      <c r="AC299">
        <v>15582221</v>
      </c>
      <c r="AD299" t="s">
        <v>5</v>
      </c>
      <c r="AE299">
        <v>37</v>
      </c>
      <c r="AF299">
        <v>12</v>
      </c>
      <c r="AH299" t="s">
        <v>5987</v>
      </c>
      <c r="AI299" t="s">
        <v>5986</v>
      </c>
      <c r="AK299" t="s">
        <v>5985</v>
      </c>
      <c r="AL299">
        <v>13</v>
      </c>
      <c r="AM299" s="5">
        <f t="shared" si="42"/>
        <v>0.39393939393939392</v>
      </c>
      <c r="AN299" s="4">
        <f t="shared" si="39"/>
        <v>5.9665186511078218E-4</v>
      </c>
      <c r="AO299" s="3"/>
      <c r="AP299">
        <v>0</v>
      </c>
      <c r="AR299" t="s">
        <v>0</v>
      </c>
      <c r="AT299" s="2" t="s">
        <v>19</v>
      </c>
      <c r="AU299" s="1">
        <f t="shared" si="43"/>
        <v>3.1048433107916882</v>
      </c>
      <c r="AV299" s="1">
        <f t="shared" si="44"/>
        <v>2.2347924181400858</v>
      </c>
      <c r="AW299" s="1">
        <f t="shared" si="45"/>
        <v>1.3647415254884827</v>
      </c>
    </row>
    <row r="300" spans="1:49" x14ac:dyDescent="0.2">
      <c r="A300">
        <v>298</v>
      </c>
      <c r="B300" t="s">
        <v>5984</v>
      </c>
      <c r="C300" t="s">
        <v>5983</v>
      </c>
      <c r="F300" t="s">
        <v>5982</v>
      </c>
      <c r="G300" t="s">
        <v>15</v>
      </c>
      <c r="H300" t="s">
        <v>14</v>
      </c>
      <c r="I300" t="s">
        <v>5981</v>
      </c>
      <c r="J300">
        <v>60024784</v>
      </c>
      <c r="K300" t="s">
        <v>5980</v>
      </c>
      <c r="L300" t="s">
        <v>5979</v>
      </c>
      <c r="M300" t="s">
        <v>115</v>
      </c>
      <c r="N300">
        <v>2</v>
      </c>
      <c r="O300" t="s">
        <v>5978</v>
      </c>
      <c r="P300" t="s">
        <v>5977</v>
      </c>
      <c r="Q300" t="s">
        <v>5976</v>
      </c>
      <c r="R300" s="7">
        <v>32509</v>
      </c>
      <c r="S300" s="8">
        <f t="shared" si="40"/>
        <v>1989</v>
      </c>
      <c r="T300" s="8">
        <v>1989</v>
      </c>
      <c r="U300" s="8">
        <f t="shared" si="41"/>
        <v>33</v>
      </c>
      <c r="V300" s="7">
        <v>32843</v>
      </c>
      <c r="W300" t="s">
        <v>2247</v>
      </c>
      <c r="X300" s="2">
        <v>0.111</v>
      </c>
      <c r="Y300" s="6">
        <f t="shared" si="38"/>
        <v>2.9630816048690639E-3</v>
      </c>
      <c r="AA300">
        <v>87566621</v>
      </c>
      <c r="AB300">
        <v>24890</v>
      </c>
      <c r="AC300">
        <v>15206424</v>
      </c>
      <c r="AD300" t="s">
        <v>5</v>
      </c>
      <c r="AE300">
        <v>72</v>
      </c>
      <c r="AF300">
        <v>12</v>
      </c>
      <c r="AH300" t="s">
        <v>5975</v>
      </c>
      <c r="AI300" t="s">
        <v>5974</v>
      </c>
      <c r="AK300" t="s">
        <v>5973</v>
      </c>
      <c r="AL300">
        <v>2</v>
      </c>
      <c r="AM300" s="5">
        <f t="shared" si="42"/>
        <v>6.0606060606060608E-2</v>
      </c>
      <c r="AN300" s="4">
        <f t="shared" si="39"/>
        <v>9.1792594632428032E-5</v>
      </c>
      <c r="AO300" s="3"/>
      <c r="AP300">
        <v>0</v>
      </c>
      <c r="AR300" t="s">
        <v>0</v>
      </c>
      <c r="AT300" s="2" t="s">
        <v>19</v>
      </c>
      <c r="AU300" s="1">
        <f t="shared" si="43"/>
        <v>0.21016949017980727</v>
      </c>
      <c r="AV300" s="1">
        <f t="shared" si="44"/>
        <v>0.15274370997507461</v>
      </c>
      <c r="AW300" s="1">
        <f t="shared" si="45"/>
        <v>9.5317929770341869E-2</v>
      </c>
    </row>
    <row r="301" spans="1:49" x14ac:dyDescent="0.2">
      <c r="A301">
        <v>299</v>
      </c>
      <c r="B301" t="s">
        <v>5972</v>
      </c>
      <c r="C301" t="s">
        <v>5971</v>
      </c>
      <c r="F301" t="s">
        <v>5970</v>
      </c>
      <c r="G301" t="s">
        <v>15</v>
      </c>
      <c r="H301" t="s">
        <v>14</v>
      </c>
      <c r="I301" t="s">
        <v>5969</v>
      </c>
      <c r="J301">
        <v>60013272</v>
      </c>
      <c r="K301" t="s">
        <v>5968</v>
      </c>
      <c r="L301" t="s">
        <v>1816</v>
      </c>
      <c r="M301" t="s">
        <v>1815</v>
      </c>
      <c r="N301">
        <v>2</v>
      </c>
      <c r="O301" t="s">
        <v>5967</v>
      </c>
      <c r="P301" t="s">
        <v>5966</v>
      </c>
      <c r="Q301" t="s">
        <v>5965</v>
      </c>
      <c r="R301" s="7">
        <v>32509</v>
      </c>
      <c r="S301" s="8">
        <f t="shared" si="40"/>
        <v>1989</v>
      </c>
      <c r="T301" s="8">
        <v>1989</v>
      </c>
      <c r="U301" s="8">
        <f t="shared" si="41"/>
        <v>33</v>
      </c>
      <c r="V301" s="7">
        <v>32568</v>
      </c>
      <c r="W301" t="s">
        <v>5964</v>
      </c>
      <c r="X301" s="2">
        <v>0.91500000000000004</v>
      </c>
      <c r="Y301" s="6">
        <f t="shared" si="38"/>
        <v>2.4425402418515259E-2</v>
      </c>
      <c r="AA301">
        <v>9528369</v>
      </c>
      <c r="AB301">
        <v>22608</v>
      </c>
      <c r="AC301">
        <v>14697998</v>
      </c>
      <c r="AD301" t="s">
        <v>5</v>
      </c>
      <c r="AE301">
        <v>217</v>
      </c>
      <c r="AF301">
        <v>3</v>
      </c>
      <c r="AH301" t="s">
        <v>5963</v>
      </c>
      <c r="AI301" t="s">
        <v>5962</v>
      </c>
      <c r="AK301" t="s">
        <v>5961</v>
      </c>
      <c r="AL301">
        <v>39</v>
      </c>
      <c r="AM301" s="5">
        <f t="shared" si="42"/>
        <v>1.1818181818181819</v>
      </c>
      <c r="AN301" s="4">
        <f t="shared" si="39"/>
        <v>1.7899555953323468E-3</v>
      </c>
      <c r="AO301" s="3"/>
      <c r="AP301">
        <v>0</v>
      </c>
      <c r="AR301" t="s">
        <v>0</v>
      </c>
      <c r="AT301" s="2">
        <v>2.3220000000000001</v>
      </c>
      <c r="AU301" s="1">
        <f t="shared" si="43"/>
        <v>1.7634768371560385</v>
      </c>
      <c r="AV301" s="1">
        <f t="shared" si="44"/>
        <v>1.3107679006923803</v>
      </c>
      <c r="AW301" s="1">
        <f t="shared" si="45"/>
        <v>0.85805896422872197</v>
      </c>
    </row>
    <row r="302" spans="1:49" x14ac:dyDescent="0.2">
      <c r="A302">
        <v>300</v>
      </c>
      <c r="B302" t="s">
        <v>5960</v>
      </c>
      <c r="C302" t="s">
        <v>5959</v>
      </c>
      <c r="F302" t="s">
        <v>5958</v>
      </c>
      <c r="G302" t="s">
        <v>15</v>
      </c>
      <c r="H302" t="s">
        <v>14</v>
      </c>
      <c r="I302" t="s">
        <v>5957</v>
      </c>
      <c r="J302">
        <v>60021366</v>
      </c>
      <c r="K302" t="s">
        <v>5956</v>
      </c>
      <c r="L302" t="s">
        <v>5955</v>
      </c>
      <c r="M302" t="s">
        <v>23</v>
      </c>
      <c r="N302">
        <v>1</v>
      </c>
      <c r="O302" t="s">
        <v>5954</v>
      </c>
      <c r="P302">
        <v>57210718742</v>
      </c>
      <c r="Q302">
        <v>60021366</v>
      </c>
      <c r="R302" s="7">
        <v>32509</v>
      </c>
      <c r="S302" s="8">
        <f t="shared" si="40"/>
        <v>1989</v>
      </c>
      <c r="T302" s="8">
        <v>1989</v>
      </c>
      <c r="U302" s="8">
        <f t="shared" si="41"/>
        <v>33</v>
      </c>
      <c r="V302" s="7">
        <v>32843</v>
      </c>
      <c r="W302" t="s">
        <v>360</v>
      </c>
      <c r="X302" s="2">
        <v>1.3720000000000001</v>
      </c>
      <c r="Y302" s="6">
        <f t="shared" si="38"/>
        <v>3.662475641333654E-2</v>
      </c>
      <c r="AA302">
        <v>189480</v>
      </c>
      <c r="AB302">
        <v>17366</v>
      </c>
      <c r="AC302">
        <v>15579670</v>
      </c>
      <c r="AD302" t="s">
        <v>5</v>
      </c>
      <c r="AE302">
        <v>37</v>
      </c>
      <c r="AF302">
        <v>12</v>
      </c>
      <c r="AH302" t="s">
        <v>5953</v>
      </c>
      <c r="AI302" t="s">
        <v>5952</v>
      </c>
      <c r="AK302" t="s">
        <v>5951</v>
      </c>
      <c r="AL302">
        <v>89</v>
      </c>
      <c r="AM302" s="5">
        <f t="shared" si="42"/>
        <v>2.6969696969696968</v>
      </c>
      <c r="AN302" s="4">
        <f t="shared" si="39"/>
        <v>4.0847704611430471E-3</v>
      </c>
      <c r="AO302" s="3"/>
      <c r="AP302">
        <v>0</v>
      </c>
      <c r="AR302" t="s">
        <v>0</v>
      </c>
      <c r="AT302" s="2" t="s">
        <v>19</v>
      </c>
      <c r="AU302" s="1">
        <f t="shared" si="43"/>
        <v>2.686276062767849</v>
      </c>
      <c r="AV302" s="1">
        <f t="shared" si="44"/>
        <v>2.0354763437239796</v>
      </c>
      <c r="AW302" s="1">
        <f t="shared" si="45"/>
        <v>1.3846766246801094</v>
      </c>
    </row>
    <row r="303" spans="1:49" x14ac:dyDescent="0.2">
      <c r="A303">
        <v>301</v>
      </c>
      <c r="B303" t="s">
        <v>5950</v>
      </c>
      <c r="C303" t="s">
        <v>5949</v>
      </c>
      <c r="F303" t="s">
        <v>5948</v>
      </c>
      <c r="G303" t="s">
        <v>15</v>
      </c>
      <c r="H303" t="s">
        <v>14</v>
      </c>
      <c r="I303" t="s">
        <v>5947</v>
      </c>
      <c r="J303">
        <v>60015573</v>
      </c>
      <c r="K303" t="s">
        <v>5946</v>
      </c>
      <c r="L303" t="s">
        <v>5945</v>
      </c>
      <c r="M303" t="s">
        <v>23</v>
      </c>
      <c r="N303">
        <v>1</v>
      </c>
      <c r="O303" t="s">
        <v>5944</v>
      </c>
      <c r="P303">
        <v>6602516657</v>
      </c>
      <c r="Q303">
        <v>60015573</v>
      </c>
      <c r="R303" s="7">
        <v>32509</v>
      </c>
      <c r="S303" s="8">
        <f t="shared" si="40"/>
        <v>1989</v>
      </c>
      <c r="T303" s="8">
        <v>1989</v>
      </c>
      <c r="U303" s="8">
        <f t="shared" si="41"/>
        <v>33</v>
      </c>
      <c r="V303" s="7">
        <v>32843</v>
      </c>
      <c r="W303" t="s">
        <v>943</v>
      </c>
      <c r="X303" s="2">
        <v>0.30399999999999999</v>
      </c>
      <c r="Y303" s="6">
        <f t="shared" si="38"/>
        <v>8.115106377299057E-3</v>
      </c>
      <c r="AA303">
        <v>8952477</v>
      </c>
      <c r="AB303">
        <v>12250</v>
      </c>
      <c r="AC303">
        <v>10982760</v>
      </c>
      <c r="AD303" t="s">
        <v>5</v>
      </c>
      <c r="AE303">
        <v>2</v>
      </c>
      <c r="AF303">
        <v>12</v>
      </c>
      <c r="AH303" t="s">
        <v>5943</v>
      </c>
      <c r="AI303" t="s">
        <v>5942</v>
      </c>
      <c r="AJ303" t="s">
        <v>5941</v>
      </c>
      <c r="AK303" t="s">
        <v>5940</v>
      </c>
      <c r="AL303">
        <v>0</v>
      </c>
      <c r="AM303" s="5">
        <f t="shared" si="42"/>
        <v>0</v>
      </c>
      <c r="AN303" s="4">
        <f t="shared" si="39"/>
        <v>0</v>
      </c>
      <c r="AO303" s="3"/>
      <c r="AP303">
        <v>0</v>
      </c>
      <c r="AR303" t="s">
        <v>0</v>
      </c>
      <c r="AT303" s="2" t="s">
        <v>19</v>
      </c>
      <c r="AU303" s="1">
        <f t="shared" si="43"/>
        <v>0.56805744641093392</v>
      </c>
      <c r="AV303" s="1">
        <f t="shared" si="44"/>
        <v>0.40575531886495286</v>
      </c>
      <c r="AW303" s="1">
        <f t="shared" si="45"/>
        <v>0.24345319131897172</v>
      </c>
    </row>
    <row r="304" spans="1:49" x14ac:dyDescent="0.2">
      <c r="A304">
        <v>302</v>
      </c>
      <c r="B304" t="s">
        <v>5939</v>
      </c>
      <c r="C304" t="s">
        <v>5938</v>
      </c>
      <c r="F304" t="s">
        <v>5937</v>
      </c>
      <c r="G304" t="s">
        <v>15</v>
      </c>
      <c r="H304" t="s">
        <v>14</v>
      </c>
      <c r="I304" t="s">
        <v>5936</v>
      </c>
      <c r="J304">
        <v>60020420</v>
      </c>
      <c r="K304" t="s">
        <v>5935</v>
      </c>
      <c r="L304" t="s">
        <v>24</v>
      </c>
      <c r="M304" t="s">
        <v>23</v>
      </c>
      <c r="N304">
        <v>2</v>
      </c>
      <c r="O304" t="s">
        <v>5934</v>
      </c>
      <c r="P304" t="s">
        <v>5933</v>
      </c>
      <c r="Q304" t="s">
        <v>5932</v>
      </c>
      <c r="R304" s="7">
        <v>32509</v>
      </c>
      <c r="S304" s="8">
        <f t="shared" si="40"/>
        <v>1989</v>
      </c>
      <c r="T304" s="8">
        <v>1989</v>
      </c>
      <c r="U304" s="8">
        <f t="shared" si="41"/>
        <v>33</v>
      </c>
      <c r="V304" s="7">
        <v>1989</v>
      </c>
      <c r="W304" t="s">
        <v>5931</v>
      </c>
      <c r="X304" s="2" t="s">
        <v>19</v>
      </c>
      <c r="Y304" s="6" t="e">
        <f t="shared" si="38"/>
        <v>#VALUE!</v>
      </c>
      <c r="AA304">
        <v>143820</v>
      </c>
      <c r="AB304">
        <v>22104</v>
      </c>
      <c r="AD304" t="s">
        <v>5</v>
      </c>
      <c r="AE304">
        <v>43</v>
      </c>
      <c r="AF304">
        <v>3</v>
      </c>
      <c r="AH304" t="s">
        <v>5930</v>
      </c>
      <c r="AI304" t="s">
        <v>5929</v>
      </c>
      <c r="AK304" t="s">
        <v>5928</v>
      </c>
      <c r="AL304">
        <v>29</v>
      </c>
      <c r="AM304" s="5">
        <f t="shared" si="42"/>
        <v>0.87878787878787878</v>
      </c>
      <c r="AN304" s="4">
        <f t="shared" si="39"/>
        <v>1.3309926221702064E-3</v>
      </c>
      <c r="AO304" s="3"/>
      <c r="AP304">
        <v>1</v>
      </c>
      <c r="AR304" t="s">
        <v>0</v>
      </c>
      <c r="AT304" s="2">
        <v>3.694</v>
      </c>
      <c r="AU304" s="1" t="e">
        <f t="shared" si="43"/>
        <v>#VALUE!</v>
      </c>
      <c r="AV304" s="1" t="e">
        <f t="shared" si="44"/>
        <v>#VALUE!</v>
      </c>
      <c r="AW304" s="1" t="e">
        <f t="shared" si="45"/>
        <v>#VALUE!</v>
      </c>
    </row>
    <row r="305" spans="1:49" x14ac:dyDescent="0.2">
      <c r="A305">
        <v>303</v>
      </c>
      <c r="B305" t="s">
        <v>5927</v>
      </c>
      <c r="C305" t="s">
        <v>5926</v>
      </c>
      <c r="F305" t="s">
        <v>5925</v>
      </c>
      <c r="G305" t="s">
        <v>15</v>
      </c>
      <c r="H305" t="s">
        <v>14</v>
      </c>
      <c r="I305" t="s">
        <v>5924</v>
      </c>
      <c r="J305" t="s">
        <v>5923</v>
      </c>
      <c r="K305" t="s">
        <v>5922</v>
      </c>
      <c r="L305" t="s">
        <v>5921</v>
      </c>
      <c r="M305" t="s">
        <v>53</v>
      </c>
      <c r="N305">
        <v>3</v>
      </c>
      <c r="O305" t="s">
        <v>5920</v>
      </c>
      <c r="P305" t="s">
        <v>5919</v>
      </c>
      <c r="Q305" t="s">
        <v>5918</v>
      </c>
      <c r="R305" s="7">
        <v>32509</v>
      </c>
      <c r="S305" s="8">
        <f t="shared" si="40"/>
        <v>1989</v>
      </c>
      <c r="T305" s="8">
        <v>1989</v>
      </c>
      <c r="U305" s="8">
        <f t="shared" si="41"/>
        <v>33</v>
      </c>
      <c r="V305" s="7">
        <v>32843</v>
      </c>
      <c r="W305" t="s">
        <v>778</v>
      </c>
      <c r="X305" s="2">
        <v>1.6519999999999999</v>
      </c>
      <c r="Y305" s="6">
        <f t="shared" si="38"/>
        <v>4.409919649769093E-2</v>
      </c>
      <c r="AA305" t="s">
        <v>777</v>
      </c>
      <c r="AB305">
        <v>17337</v>
      </c>
      <c r="AC305">
        <v>15582221</v>
      </c>
      <c r="AD305" t="s">
        <v>5</v>
      </c>
      <c r="AE305">
        <v>37</v>
      </c>
      <c r="AF305">
        <v>12</v>
      </c>
      <c r="AH305" t="s">
        <v>5917</v>
      </c>
      <c r="AI305" t="s">
        <v>5916</v>
      </c>
      <c r="AK305" t="s">
        <v>5915</v>
      </c>
      <c r="AL305">
        <v>30</v>
      </c>
      <c r="AM305" s="5">
        <f t="shared" si="42"/>
        <v>0.90909090909090906</v>
      </c>
      <c r="AN305" s="4">
        <f t="shared" si="39"/>
        <v>1.3768889194864203E-3</v>
      </c>
      <c r="AO305" s="3"/>
      <c r="AP305">
        <v>0</v>
      </c>
      <c r="AR305" t="s">
        <v>0</v>
      </c>
      <c r="AT305" s="2" t="s">
        <v>19</v>
      </c>
      <c r="AU305" s="1">
        <f t="shared" si="43"/>
        <v>3.1282504224229575</v>
      </c>
      <c r="AV305" s="1">
        <f t="shared" si="44"/>
        <v>2.2738042708588675</v>
      </c>
      <c r="AW305" s="1">
        <f t="shared" si="45"/>
        <v>1.4193581192947773</v>
      </c>
    </row>
    <row r="306" spans="1:49" x14ac:dyDescent="0.2">
      <c r="A306">
        <v>304</v>
      </c>
      <c r="B306" t="s">
        <v>5914</v>
      </c>
      <c r="C306" t="s">
        <v>5913</v>
      </c>
      <c r="D306" t="s">
        <v>5912</v>
      </c>
      <c r="F306" t="s">
        <v>5911</v>
      </c>
      <c r="G306" t="s">
        <v>15</v>
      </c>
      <c r="H306" t="s">
        <v>14</v>
      </c>
      <c r="I306" t="s">
        <v>5910</v>
      </c>
      <c r="J306">
        <v>60004572</v>
      </c>
      <c r="K306" t="s">
        <v>5909</v>
      </c>
      <c r="L306" t="s">
        <v>5908</v>
      </c>
      <c r="M306" t="s">
        <v>792</v>
      </c>
      <c r="N306">
        <v>1</v>
      </c>
      <c r="O306" t="s">
        <v>5907</v>
      </c>
      <c r="P306">
        <v>7201720749</v>
      </c>
      <c r="Q306">
        <v>60004572</v>
      </c>
      <c r="R306" s="7">
        <v>32509</v>
      </c>
      <c r="S306" s="8">
        <f t="shared" si="40"/>
        <v>1989</v>
      </c>
      <c r="T306" s="8">
        <v>1989</v>
      </c>
      <c r="U306" s="8">
        <f t="shared" si="41"/>
        <v>33</v>
      </c>
      <c r="V306" s="7">
        <v>1989</v>
      </c>
      <c r="W306" t="s">
        <v>5906</v>
      </c>
      <c r="X306" s="2">
        <v>0.96499999999999997</v>
      </c>
      <c r="Y306" s="6">
        <f t="shared" si="38"/>
        <v>2.5760123862149969E-2</v>
      </c>
      <c r="AA306">
        <v>220981</v>
      </c>
      <c r="AB306">
        <v>29606</v>
      </c>
      <c r="AD306" t="s">
        <v>5</v>
      </c>
      <c r="AE306">
        <v>132</v>
      </c>
      <c r="AF306">
        <v>1</v>
      </c>
      <c r="AH306" t="s">
        <v>5905</v>
      </c>
      <c r="AI306" t="s">
        <v>5904</v>
      </c>
      <c r="AJ306" t="s">
        <v>5903</v>
      </c>
      <c r="AK306" t="s">
        <v>5902</v>
      </c>
      <c r="AL306">
        <v>32</v>
      </c>
      <c r="AM306" s="5">
        <f t="shared" si="42"/>
        <v>0.96969696969696972</v>
      </c>
      <c r="AN306" s="4">
        <f t="shared" si="39"/>
        <v>1.4686815141188485E-3</v>
      </c>
      <c r="AO306" s="3"/>
      <c r="AP306">
        <v>0</v>
      </c>
      <c r="AR306" t="s">
        <v>0</v>
      </c>
      <c r="AT306" s="2" t="s">
        <v>19</v>
      </c>
      <c r="AU306" s="1">
        <f t="shared" si="43"/>
        <v>1.8472691157740628</v>
      </c>
      <c r="AV306" s="1">
        <f t="shared" si="44"/>
        <v>1.3614402688134408</v>
      </c>
      <c r="AW306" s="1">
        <f t="shared" si="45"/>
        <v>0.87561142185281837</v>
      </c>
    </row>
    <row r="307" spans="1:49" x14ac:dyDescent="0.2">
      <c r="A307">
        <v>305</v>
      </c>
      <c r="B307" t="s">
        <v>5901</v>
      </c>
      <c r="C307" t="s">
        <v>5900</v>
      </c>
      <c r="D307">
        <v>31920189902252</v>
      </c>
      <c r="F307" t="s">
        <v>5899</v>
      </c>
      <c r="G307" t="s">
        <v>15</v>
      </c>
      <c r="H307" t="s">
        <v>14</v>
      </c>
      <c r="I307" t="s">
        <v>5898</v>
      </c>
      <c r="J307">
        <v>60000264</v>
      </c>
      <c r="K307" t="s">
        <v>5897</v>
      </c>
      <c r="L307" t="s">
        <v>2539</v>
      </c>
      <c r="M307" t="s">
        <v>115</v>
      </c>
      <c r="N307">
        <v>3</v>
      </c>
      <c r="O307" t="s">
        <v>5896</v>
      </c>
      <c r="P307" t="s">
        <v>5895</v>
      </c>
      <c r="Q307" t="s">
        <v>5894</v>
      </c>
      <c r="R307" s="7">
        <v>32509</v>
      </c>
      <c r="S307" s="8">
        <f t="shared" si="40"/>
        <v>1989</v>
      </c>
      <c r="T307" s="8">
        <v>1989</v>
      </c>
      <c r="U307" s="8">
        <f t="shared" si="41"/>
        <v>33</v>
      </c>
      <c r="V307" s="7">
        <v>32782</v>
      </c>
      <c r="W307" t="s">
        <v>5852</v>
      </c>
      <c r="X307" s="2">
        <v>1.099</v>
      </c>
      <c r="Y307" s="6">
        <f t="shared" si="38"/>
        <v>2.9337177331091001E-2</v>
      </c>
      <c r="AA307">
        <v>319201</v>
      </c>
      <c r="AB307">
        <v>28551</v>
      </c>
      <c r="AD307" t="s">
        <v>5</v>
      </c>
      <c r="AE307">
        <v>57</v>
      </c>
      <c r="AF307" s="9">
        <v>44228</v>
      </c>
      <c r="AH307" t="s">
        <v>5893</v>
      </c>
      <c r="AI307" t="s">
        <v>5892</v>
      </c>
      <c r="AK307" t="s">
        <v>5891</v>
      </c>
      <c r="AL307">
        <v>201</v>
      </c>
      <c r="AM307" s="5">
        <f t="shared" si="42"/>
        <v>6.0909090909090908</v>
      </c>
      <c r="AN307" s="4">
        <f t="shared" si="39"/>
        <v>9.2251557605590173E-3</v>
      </c>
      <c r="AO307" s="3"/>
      <c r="AP307">
        <v>0</v>
      </c>
      <c r="AQ307" t="s">
        <v>427</v>
      </c>
      <c r="AR307" t="s">
        <v>0</v>
      </c>
      <c r="AS307" t="s">
        <v>426</v>
      </c>
      <c r="AT307" s="2" t="s">
        <v>19</v>
      </c>
      <c r="AU307" s="1">
        <f t="shared" si="43"/>
        <v>2.3303570859931408</v>
      </c>
      <c r="AV307" s="1">
        <f t="shared" si="44"/>
        <v>1.9281166545825008</v>
      </c>
      <c r="AW307" s="1">
        <f t="shared" si="45"/>
        <v>1.5258762231718612</v>
      </c>
    </row>
    <row r="308" spans="1:49" x14ac:dyDescent="0.2">
      <c r="A308">
        <v>306</v>
      </c>
      <c r="B308" t="s">
        <v>5890</v>
      </c>
      <c r="C308" t="s">
        <v>5889</v>
      </c>
      <c r="F308" t="s">
        <v>5888</v>
      </c>
      <c r="G308" t="s">
        <v>15</v>
      </c>
      <c r="H308" t="s">
        <v>14</v>
      </c>
      <c r="I308" t="s">
        <v>5887</v>
      </c>
      <c r="J308">
        <v>60021097</v>
      </c>
      <c r="K308" t="s">
        <v>4820</v>
      </c>
      <c r="L308" t="s">
        <v>4819</v>
      </c>
      <c r="M308" t="s">
        <v>792</v>
      </c>
      <c r="N308">
        <v>1</v>
      </c>
      <c r="O308" t="s">
        <v>5886</v>
      </c>
      <c r="P308">
        <v>7004675477</v>
      </c>
      <c r="Q308">
        <v>60021097</v>
      </c>
      <c r="R308" s="7">
        <v>32509</v>
      </c>
      <c r="S308" s="8">
        <f t="shared" si="40"/>
        <v>1989</v>
      </c>
      <c r="T308" s="8">
        <v>1989</v>
      </c>
      <c r="U308" s="8">
        <f t="shared" si="41"/>
        <v>33</v>
      </c>
      <c r="V308" s="7" t="s">
        <v>5739</v>
      </c>
      <c r="W308" s="11" t="s">
        <v>1449</v>
      </c>
      <c r="X308" s="2">
        <v>2.383</v>
      </c>
      <c r="Y308" s="6">
        <f t="shared" si="38"/>
        <v>6.3612824003630442E-2</v>
      </c>
      <c r="AA308" t="s">
        <v>1448</v>
      </c>
      <c r="AB308">
        <v>101151</v>
      </c>
      <c r="AD308" t="s">
        <v>5</v>
      </c>
      <c r="AE308">
        <v>136</v>
      </c>
      <c r="AF308">
        <v>6</v>
      </c>
      <c r="AH308" t="s">
        <v>5885</v>
      </c>
      <c r="AI308" t="s">
        <v>5884</v>
      </c>
      <c r="AK308" t="s">
        <v>5883</v>
      </c>
      <c r="AL308">
        <v>0</v>
      </c>
      <c r="AM308" s="5">
        <f t="shared" si="42"/>
        <v>0</v>
      </c>
      <c r="AN308" s="4">
        <f t="shared" si="39"/>
        <v>0</v>
      </c>
      <c r="AO308" s="3"/>
      <c r="AP308">
        <v>0</v>
      </c>
      <c r="AR308" t="s">
        <v>0</v>
      </c>
      <c r="AT308" s="2" t="s">
        <v>19</v>
      </c>
      <c r="AU308" s="1">
        <f t="shared" si="43"/>
        <v>4.4528976802541305</v>
      </c>
      <c r="AV308" s="1">
        <f t="shared" si="44"/>
        <v>3.1806412001815221</v>
      </c>
      <c r="AW308" s="1">
        <f t="shared" si="45"/>
        <v>1.9083847201089132</v>
      </c>
    </row>
    <row r="309" spans="1:49" x14ac:dyDescent="0.2">
      <c r="A309">
        <v>307</v>
      </c>
      <c r="B309" t="s">
        <v>5882</v>
      </c>
      <c r="F309" t="s">
        <v>5881</v>
      </c>
      <c r="G309" t="s">
        <v>15</v>
      </c>
      <c r="H309" t="s">
        <v>14</v>
      </c>
      <c r="I309" t="s">
        <v>5880</v>
      </c>
      <c r="J309">
        <v>60017750</v>
      </c>
      <c r="K309" t="s">
        <v>5879</v>
      </c>
      <c r="L309" t="s">
        <v>5878</v>
      </c>
      <c r="M309" t="s">
        <v>5010</v>
      </c>
      <c r="N309">
        <v>1</v>
      </c>
      <c r="O309" t="s">
        <v>5877</v>
      </c>
      <c r="P309">
        <v>6507134694</v>
      </c>
      <c r="Q309">
        <v>60017750</v>
      </c>
      <c r="R309" s="7">
        <v>32509</v>
      </c>
      <c r="S309" s="8">
        <f t="shared" si="40"/>
        <v>1989</v>
      </c>
      <c r="T309" s="8">
        <v>1989</v>
      </c>
      <c r="U309" s="8">
        <f t="shared" si="41"/>
        <v>33</v>
      </c>
      <c r="V309" s="7">
        <v>1989</v>
      </c>
      <c r="W309" t="s">
        <v>5876</v>
      </c>
      <c r="X309" s="2" t="s">
        <v>19</v>
      </c>
      <c r="Y309" s="6" t="e">
        <f t="shared" si="38"/>
        <v>#VALUE!</v>
      </c>
      <c r="AB309">
        <v>24105</v>
      </c>
      <c r="AD309" t="s">
        <v>5</v>
      </c>
      <c r="AE309">
        <v>32</v>
      </c>
      <c r="AF309" s="9">
        <v>44378</v>
      </c>
      <c r="AH309" t="s">
        <v>5875</v>
      </c>
      <c r="AI309" t="s">
        <v>5874</v>
      </c>
      <c r="AK309" t="s">
        <v>5873</v>
      </c>
      <c r="AL309">
        <v>7</v>
      </c>
      <c r="AM309" s="5">
        <f t="shared" si="42"/>
        <v>0.21212121212121213</v>
      </c>
      <c r="AN309" s="4">
        <f t="shared" si="39"/>
        <v>3.2127408121349809E-4</v>
      </c>
      <c r="AO309" s="3"/>
      <c r="AP309">
        <v>0</v>
      </c>
      <c r="AR309" t="s">
        <v>0</v>
      </c>
      <c r="AT309" s="2" t="s">
        <v>19</v>
      </c>
      <c r="AU309" s="1" t="e">
        <f t="shared" si="43"/>
        <v>#VALUE!</v>
      </c>
      <c r="AV309" s="1" t="e">
        <f t="shared" si="44"/>
        <v>#VALUE!</v>
      </c>
      <c r="AW309" s="1" t="e">
        <f t="shared" si="45"/>
        <v>#VALUE!</v>
      </c>
    </row>
    <row r="310" spans="1:49" x14ac:dyDescent="0.2">
      <c r="A310">
        <v>308</v>
      </c>
      <c r="B310" t="s">
        <v>5872</v>
      </c>
      <c r="C310" t="s">
        <v>5871</v>
      </c>
      <c r="F310" t="s">
        <v>5870</v>
      </c>
      <c r="G310" t="s">
        <v>15</v>
      </c>
      <c r="H310" t="s">
        <v>14</v>
      </c>
      <c r="I310" t="s">
        <v>5869</v>
      </c>
      <c r="J310">
        <v>60022403</v>
      </c>
      <c r="K310" t="s">
        <v>3061</v>
      </c>
      <c r="L310" t="s">
        <v>3060</v>
      </c>
      <c r="M310" t="s">
        <v>1940</v>
      </c>
      <c r="N310">
        <v>3</v>
      </c>
      <c r="O310" t="s">
        <v>5868</v>
      </c>
      <c r="P310" t="s">
        <v>5867</v>
      </c>
      <c r="Q310" t="s">
        <v>3057</v>
      </c>
      <c r="R310" s="7">
        <v>32509</v>
      </c>
      <c r="S310" s="8">
        <f t="shared" si="40"/>
        <v>1989</v>
      </c>
      <c r="T310" s="8">
        <v>1989</v>
      </c>
      <c r="U310" s="8">
        <f t="shared" si="41"/>
        <v>33</v>
      </c>
      <c r="V310" s="7">
        <v>32843</v>
      </c>
      <c r="W310" t="s">
        <v>778</v>
      </c>
      <c r="X310" s="2">
        <v>1.6519999999999999</v>
      </c>
      <c r="Y310" s="6">
        <f t="shared" si="38"/>
        <v>4.409919649769093E-2</v>
      </c>
      <c r="AA310" t="s">
        <v>777</v>
      </c>
      <c r="AB310">
        <v>17337</v>
      </c>
      <c r="AC310">
        <v>15582221</v>
      </c>
      <c r="AD310" t="s">
        <v>5</v>
      </c>
      <c r="AE310">
        <v>37</v>
      </c>
      <c r="AF310">
        <v>12</v>
      </c>
      <c r="AH310" t="s">
        <v>5866</v>
      </c>
      <c r="AI310" t="s">
        <v>5865</v>
      </c>
      <c r="AK310" t="s">
        <v>5864</v>
      </c>
      <c r="AL310">
        <v>12</v>
      </c>
      <c r="AM310" s="5">
        <f t="shared" si="42"/>
        <v>0.36363636363636365</v>
      </c>
      <c r="AN310" s="4">
        <f t="shared" si="39"/>
        <v>5.5075556779456819E-4</v>
      </c>
      <c r="AO310" s="3"/>
      <c r="AP310">
        <v>0</v>
      </c>
      <c r="AR310" t="s">
        <v>0</v>
      </c>
      <c r="AT310" s="2" t="s">
        <v>19</v>
      </c>
      <c r="AU310" s="1">
        <f t="shared" si="43"/>
        <v>3.1034664218722021</v>
      </c>
      <c r="AV310" s="1">
        <f t="shared" si="44"/>
        <v>2.2324976032742749</v>
      </c>
      <c r="AW310" s="1">
        <f t="shared" si="45"/>
        <v>1.3615287846763475</v>
      </c>
    </row>
    <row r="311" spans="1:49" x14ac:dyDescent="0.2">
      <c r="A311">
        <v>309</v>
      </c>
      <c r="B311" t="s">
        <v>5863</v>
      </c>
      <c r="C311" t="s">
        <v>5862</v>
      </c>
      <c r="D311">
        <v>31920189902185</v>
      </c>
      <c r="F311" t="s">
        <v>5861</v>
      </c>
      <c r="G311" t="s">
        <v>15</v>
      </c>
      <c r="H311" t="s">
        <v>14</v>
      </c>
      <c r="I311" t="s">
        <v>5860</v>
      </c>
      <c r="J311" t="s">
        <v>5859</v>
      </c>
      <c r="K311" t="s">
        <v>5858</v>
      </c>
      <c r="L311" t="s">
        <v>5857</v>
      </c>
      <c r="M311" t="s">
        <v>5856</v>
      </c>
      <c r="N311">
        <v>2</v>
      </c>
      <c r="O311" t="s">
        <v>5855</v>
      </c>
      <c r="P311" t="s">
        <v>5854</v>
      </c>
      <c r="Q311" t="s">
        <v>5853</v>
      </c>
      <c r="R311" s="7">
        <v>32509</v>
      </c>
      <c r="S311" s="8">
        <f t="shared" si="40"/>
        <v>1989</v>
      </c>
      <c r="T311" s="8">
        <v>1989</v>
      </c>
      <c r="U311" s="8">
        <f t="shared" si="41"/>
        <v>33</v>
      </c>
      <c r="V311" s="7">
        <v>32782</v>
      </c>
      <c r="W311" t="s">
        <v>5852</v>
      </c>
      <c r="X311" s="2">
        <v>1.099</v>
      </c>
      <c r="Y311" s="6">
        <f t="shared" si="38"/>
        <v>2.9337177331091001E-2</v>
      </c>
      <c r="AA311">
        <v>319201</v>
      </c>
      <c r="AB311">
        <v>28551</v>
      </c>
      <c r="AD311" t="s">
        <v>5</v>
      </c>
      <c r="AE311">
        <v>57</v>
      </c>
      <c r="AF311" s="9">
        <v>44228</v>
      </c>
      <c r="AH311" t="s">
        <v>5851</v>
      </c>
      <c r="AI311" t="s">
        <v>5850</v>
      </c>
      <c r="AK311" t="s">
        <v>5849</v>
      </c>
      <c r="AL311">
        <v>114</v>
      </c>
      <c r="AM311" s="5">
        <f t="shared" si="42"/>
        <v>3.4545454545454546</v>
      </c>
      <c r="AN311" s="4">
        <f t="shared" si="39"/>
        <v>5.232177894048398E-3</v>
      </c>
      <c r="AO311" s="3"/>
      <c r="AP311">
        <v>0</v>
      </c>
      <c r="AR311" t="s">
        <v>0</v>
      </c>
      <c r="AT311" s="2" t="s">
        <v>19</v>
      </c>
      <c r="AU311" s="1">
        <f t="shared" si="43"/>
        <v>2.2105677499978218</v>
      </c>
      <c r="AV311" s="1">
        <f t="shared" si="44"/>
        <v>1.7284677612569699</v>
      </c>
      <c r="AW311" s="1">
        <f t="shared" si="45"/>
        <v>1.246367772516118</v>
      </c>
    </row>
    <row r="312" spans="1:49" x14ac:dyDescent="0.2">
      <c r="A312">
        <v>310</v>
      </c>
      <c r="B312" t="s">
        <v>5848</v>
      </c>
      <c r="C312" t="s">
        <v>5847</v>
      </c>
      <c r="F312" t="s">
        <v>5846</v>
      </c>
      <c r="G312" t="s">
        <v>15</v>
      </c>
      <c r="H312" t="s">
        <v>14</v>
      </c>
      <c r="I312" t="s">
        <v>5845</v>
      </c>
      <c r="J312">
        <v>60004176</v>
      </c>
      <c r="K312" t="s">
        <v>5844</v>
      </c>
      <c r="L312" t="s">
        <v>5843</v>
      </c>
      <c r="M312" t="s">
        <v>115</v>
      </c>
      <c r="N312">
        <v>4</v>
      </c>
      <c r="O312" t="s">
        <v>5842</v>
      </c>
      <c r="P312" t="s">
        <v>5841</v>
      </c>
      <c r="Q312" t="s">
        <v>5840</v>
      </c>
      <c r="R312" s="7">
        <v>32509</v>
      </c>
      <c r="S312" s="8">
        <f t="shared" si="40"/>
        <v>1989</v>
      </c>
      <c r="T312" s="8">
        <v>1989</v>
      </c>
      <c r="U312" s="8">
        <f t="shared" si="41"/>
        <v>33</v>
      </c>
      <c r="V312" s="7">
        <v>32843</v>
      </c>
      <c r="W312" t="s">
        <v>2247</v>
      </c>
      <c r="X312" s="2">
        <v>0.111</v>
      </c>
      <c r="Y312" s="6">
        <f t="shared" si="38"/>
        <v>2.9630816048690639E-3</v>
      </c>
      <c r="AA312">
        <v>87566621</v>
      </c>
      <c r="AB312">
        <v>24890</v>
      </c>
      <c r="AC312">
        <v>15206424</v>
      </c>
      <c r="AD312" t="s">
        <v>5</v>
      </c>
      <c r="AE312">
        <v>72</v>
      </c>
      <c r="AF312">
        <v>12</v>
      </c>
      <c r="AH312" t="s">
        <v>5839</v>
      </c>
      <c r="AI312" t="s">
        <v>5838</v>
      </c>
      <c r="AK312" t="s">
        <v>5837</v>
      </c>
      <c r="AL312">
        <v>0</v>
      </c>
      <c r="AM312" s="5">
        <f t="shared" si="42"/>
        <v>0</v>
      </c>
      <c r="AN312" s="4">
        <f t="shared" si="39"/>
        <v>0</v>
      </c>
      <c r="AO312" s="3"/>
      <c r="AP312">
        <v>0</v>
      </c>
      <c r="AR312" t="s">
        <v>0</v>
      </c>
      <c r="AT312" s="2" t="s">
        <v>19</v>
      </c>
      <c r="AU312" s="1">
        <f t="shared" si="43"/>
        <v>0.20741571234083445</v>
      </c>
      <c r="AV312" s="1">
        <f t="shared" si="44"/>
        <v>0.1481540802434532</v>
      </c>
      <c r="AW312" s="1">
        <f t="shared" si="45"/>
        <v>8.8892448146071903E-2</v>
      </c>
    </row>
    <row r="313" spans="1:49" x14ac:dyDescent="0.2">
      <c r="A313">
        <v>311</v>
      </c>
      <c r="B313" t="s">
        <v>5836</v>
      </c>
      <c r="C313" t="s">
        <v>5835</v>
      </c>
      <c r="F313" t="s">
        <v>5834</v>
      </c>
      <c r="G313" t="s">
        <v>15</v>
      </c>
      <c r="H313" t="s">
        <v>14</v>
      </c>
      <c r="I313" t="s">
        <v>5833</v>
      </c>
      <c r="J313">
        <v>60014171</v>
      </c>
      <c r="K313" t="s">
        <v>5832</v>
      </c>
      <c r="L313" t="s">
        <v>5831</v>
      </c>
      <c r="M313" t="s">
        <v>283</v>
      </c>
      <c r="N313">
        <v>2</v>
      </c>
      <c r="O313" t="s">
        <v>5830</v>
      </c>
      <c r="P313" t="s">
        <v>5829</v>
      </c>
      <c r="Q313" t="s">
        <v>5828</v>
      </c>
      <c r="R313" s="7">
        <v>32509</v>
      </c>
      <c r="S313" s="8">
        <f t="shared" si="40"/>
        <v>1989</v>
      </c>
      <c r="T313" s="8">
        <v>1989</v>
      </c>
      <c r="U313" s="8">
        <f t="shared" si="41"/>
        <v>33</v>
      </c>
      <c r="V313" s="7">
        <v>32843</v>
      </c>
      <c r="W313" t="s">
        <v>778</v>
      </c>
      <c r="X313" s="2">
        <v>1.6519999999999999</v>
      </c>
      <c r="Y313" s="6">
        <f t="shared" si="38"/>
        <v>4.409919649769093E-2</v>
      </c>
      <c r="AA313" t="s">
        <v>777</v>
      </c>
      <c r="AB313">
        <v>17337</v>
      </c>
      <c r="AC313">
        <v>15582221</v>
      </c>
      <c r="AD313" t="s">
        <v>5</v>
      </c>
      <c r="AE313">
        <v>37</v>
      </c>
      <c r="AF313">
        <v>12</v>
      </c>
      <c r="AH313" t="s">
        <v>5827</v>
      </c>
      <c r="AI313" t="s">
        <v>5826</v>
      </c>
      <c r="AK313" t="s">
        <v>5825</v>
      </c>
      <c r="AL313">
        <v>12</v>
      </c>
      <c r="AM313" s="5">
        <f t="shared" si="42"/>
        <v>0.36363636363636365</v>
      </c>
      <c r="AN313" s="4">
        <f t="shared" si="39"/>
        <v>5.5075556779456819E-4</v>
      </c>
      <c r="AO313" s="3"/>
      <c r="AP313">
        <v>0</v>
      </c>
      <c r="AR313" t="s">
        <v>0</v>
      </c>
      <c r="AT313" s="2" t="s">
        <v>19</v>
      </c>
      <c r="AU313" s="1">
        <f t="shared" si="43"/>
        <v>3.1034664218722021</v>
      </c>
      <c r="AV313" s="1">
        <f t="shared" si="44"/>
        <v>2.2324976032742749</v>
      </c>
      <c r="AW313" s="1">
        <f t="shared" si="45"/>
        <v>1.3615287846763475</v>
      </c>
    </row>
    <row r="314" spans="1:49" x14ac:dyDescent="0.2">
      <c r="A314">
        <v>312</v>
      </c>
      <c r="B314" t="s">
        <v>5824</v>
      </c>
      <c r="C314" t="s">
        <v>5823</v>
      </c>
      <c r="F314" t="s">
        <v>5822</v>
      </c>
      <c r="G314" t="s">
        <v>15</v>
      </c>
      <c r="H314" t="s">
        <v>14</v>
      </c>
      <c r="I314" t="s">
        <v>5821</v>
      </c>
      <c r="J314">
        <v>60033154</v>
      </c>
      <c r="K314" t="s">
        <v>5820</v>
      </c>
      <c r="L314" t="s">
        <v>4069</v>
      </c>
      <c r="M314" t="s">
        <v>283</v>
      </c>
      <c r="N314">
        <v>3</v>
      </c>
      <c r="O314" t="s">
        <v>5819</v>
      </c>
      <c r="P314" t="s">
        <v>5818</v>
      </c>
      <c r="Q314" t="s">
        <v>5817</v>
      </c>
      <c r="R314" s="7">
        <v>32509</v>
      </c>
      <c r="S314" s="8">
        <f t="shared" si="40"/>
        <v>1989</v>
      </c>
      <c r="T314" s="8">
        <v>1989</v>
      </c>
      <c r="U314" s="8">
        <f t="shared" si="41"/>
        <v>33</v>
      </c>
      <c r="V314" s="7">
        <v>32843</v>
      </c>
      <c r="W314" t="s">
        <v>2256</v>
      </c>
      <c r="X314" s="2">
        <v>0.78200000000000003</v>
      </c>
      <c r="Y314" s="6">
        <f t="shared" si="38"/>
        <v>2.0875043378446919E-2</v>
      </c>
      <c r="AA314">
        <v>189316</v>
      </c>
      <c r="AB314">
        <v>19901</v>
      </c>
      <c r="AC314">
        <v>15579611</v>
      </c>
      <c r="AD314" t="s">
        <v>5</v>
      </c>
      <c r="AE314">
        <v>35</v>
      </c>
      <c r="AF314">
        <v>4</v>
      </c>
      <c r="AH314" t="s">
        <v>5816</v>
      </c>
      <c r="AI314" t="s">
        <v>5815</v>
      </c>
      <c r="AK314" t="s">
        <v>5814</v>
      </c>
      <c r="AL314">
        <v>13</v>
      </c>
      <c r="AM314" s="5">
        <f t="shared" si="42"/>
        <v>0.39393939393939392</v>
      </c>
      <c r="AN314" s="4">
        <f t="shared" si="39"/>
        <v>5.9665186511078218E-4</v>
      </c>
      <c r="AO314" s="3"/>
      <c r="AP314">
        <v>0</v>
      </c>
      <c r="AQ314" t="s">
        <v>4062</v>
      </c>
      <c r="AR314" t="s">
        <v>0</v>
      </c>
      <c r="AS314" t="s">
        <v>4060</v>
      </c>
      <c r="AT314" s="2">
        <v>3.863</v>
      </c>
      <c r="AU314" s="1">
        <f t="shared" si="43"/>
        <v>1.4791525924446076</v>
      </c>
      <c r="AV314" s="1">
        <f t="shared" si="44"/>
        <v>1.0735847621778851</v>
      </c>
      <c r="AW314" s="1">
        <f t="shared" si="45"/>
        <v>0.66801693191116229</v>
      </c>
    </row>
    <row r="315" spans="1:49" x14ac:dyDescent="0.2">
      <c r="A315">
        <v>313</v>
      </c>
      <c r="B315" t="s">
        <v>5813</v>
      </c>
      <c r="C315" t="s">
        <v>5812</v>
      </c>
      <c r="F315" t="s">
        <v>5811</v>
      </c>
      <c r="G315" t="s">
        <v>15</v>
      </c>
      <c r="H315" t="s">
        <v>14</v>
      </c>
      <c r="I315" t="s">
        <v>5810</v>
      </c>
      <c r="J315">
        <v>60025555</v>
      </c>
      <c r="K315" t="s">
        <v>2757</v>
      </c>
      <c r="L315" t="s">
        <v>1496</v>
      </c>
      <c r="M315" t="s">
        <v>115</v>
      </c>
      <c r="N315">
        <v>2</v>
      </c>
      <c r="O315" t="s">
        <v>5809</v>
      </c>
      <c r="P315" t="s">
        <v>5808</v>
      </c>
      <c r="Q315" t="s">
        <v>4724</v>
      </c>
      <c r="R315" s="7">
        <v>32509</v>
      </c>
      <c r="S315" s="8">
        <f t="shared" si="40"/>
        <v>1989</v>
      </c>
      <c r="T315" s="8">
        <v>1989</v>
      </c>
      <c r="U315" s="8">
        <f t="shared" si="41"/>
        <v>33</v>
      </c>
      <c r="V315" s="7">
        <v>32843</v>
      </c>
      <c r="W315" t="s">
        <v>2247</v>
      </c>
      <c r="X315" s="2">
        <v>0.111</v>
      </c>
      <c r="Y315" s="6">
        <f t="shared" si="38"/>
        <v>2.9630816048690639E-3</v>
      </c>
      <c r="AA315">
        <v>87566621</v>
      </c>
      <c r="AB315">
        <v>24890</v>
      </c>
      <c r="AC315">
        <v>15206424</v>
      </c>
      <c r="AD315" t="s">
        <v>5</v>
      </c>
      <c r="AE315">
        <v>72</v>
      </c>
      <c r="AF315">
        <v>12</v>
      </c>
      <c r="AH315" t="s">
        <v>5807</v>
      </c>
      <c r="AI315" t="s">
        <v>5806</v>
      </c>
      <c r="AK315" t="s">
        <v>5805</v>
      </c>
      <c r="AL315">
        <v>2</v>
      </c>
      <c r="AM315" s="5">
        <f t="shared" si="42"/>
        <v>6.0606060606060608E-2</v>
      </c>
      <c r="AN315" s="4">
        <f t="shared" si="39"/>
        <v>9.1792594632428032E-5</v>
      </c>
      <c r="AO315" s="3"/>
      <c r="AP315">
        <v>0</v>
      </c>
      <c r="AR315" t="s">
        <v>0</v>
      </c>
      <c r="AT315" s="2" t="s">
        <v>19</v>
      </c>
      <c r="AU315" s="1">
        <f t="shared" si="43"/>
        <v>0.21016949017980727</v>
      </c>
      <c r="AV315" s="1">
        <f t="shared" si="44"/>
        <v>0.15274370997507461</v>
      </c>
      <c r="AW315" s="1">
        <f t="shared" si="45"/>
        <v>9.5317929770341869E-2</v>
      </c>
    </row>
    <row r="316" spans="1:49" x14ac:dyDescent="0.2">
      <c r="A316">
        <v>314</v>
      </c>
      <c r="B316" t="s">
        <v>5804</v>
      </c>
      <c r="C316" t="s">
        <v>5803</v>
      </c>
      <c r="F316" t="s">
        <v>5802</v>
      </c>
      <c r="G316" t="s">
        <v>15</v>
      </c>
      <c r="H316" t="s">
        <v>14</v>
      </c>
      <c r="I316" t="s">
        <v>5801</v>
      </c>
      <c r="J316">
        <v>60033012</v>
      </c>
      <c r="K316" t="s">
        <v>5800</v>
      </c>
      <c r="L316" t="s">
        <v>5799</v>
      </c>
      <c r="M316" t="s">
        <v>23</v>
      </c>
      <c r="N316">
        <v>1</v>
      </c>
      <c r="O316" t="s">
        <v>5798</v>
      </c>
      <c r="P316">
        <v>7004052021</v>
      </c>
      <c r="Q316">
        <v>60033012</v>
      </c>
      <c r="R316" s="7">
        <v>32509</v>
      </c>
      <c r="S316" s="8">
        <f t="shared" si="40"/>
        <v>1989</v>
      </c>
      <c r="T316" s="8">
        <v>1989</v>
      </c>
      <c r="U316" s="8">
        <f t="shared" si="41"/>
        <v>33</v>
      </c>
      <c r="V316" s="7">
        <v>32843</v>
      </c>
      <c r="W316" t="s">
        <v>778</v>
      </c>
      <c r="X316" s="2">
        <v>1.6519999999999999</v>
      </c>
      <c r="Y316" s="6">
        <f t="shared" si="38"/>
        <v>4.409919649769093E-2</v>
      </c>
      <c r="AA316" t="s">
        <v>777</v>
      </c>
      <c r="AB316">
        <v>17337</v>
      </c>
      <c r="AC316">
        <v>15582221</v>
      </c>
      <c r="AD316" t="s">
        <v>5</v>
      </c>
      <c r="AE316">
        <v>37</v>
      </c>
      <c r="AF316">
        <v>12</v>
      </c>
      <c r="AH316" t="s">
        <v>5797</v>
      </c>
      <c r="AI316" t="s">
        <v>5796</v>
      </c>
      <c r="AK316" t="s">
        <v>5795</v>
      </c>
      <c r="AL316">
        <v>31</v>
      </c>
      <c r="AM316" s="5">
        <f t="shared" si="42"/>
        <v>0.93939393939393945</v>
      </c>
      <c r="AN316" s="4">
        <f t="shared" si="39"/>
        <v>1.4227852168026346E-3</v>
      </c>
      <c r="AO316" s="3"/>
      <c r="AP316">
        <v>0</v>
      </c>
      <c r="AR316" t="s">
        <v>0</v>
      </c>
      <c r="AT316" s="2" t="s">
        <v>19</v>
      </c>
      <c r="AU316" s="1">
        <f t="shared" si="43"/>
        <v>3.1296273113424444</v>
      </c>
      <c r="AV316" s="1">
        <f t="shared" si="44"/>
        <v>2.2760990857246783</v>
      </c>
      <c r="AW316" s="1">
        <f t="shared" si="45"/>
        <v>1.4225708601069122</v>
      </c>
    </row>
    <row r="317" spans="1:49" x14ac:dyDescent="0.2">
      <c r="A317">
        <v>315</v>
      </c>
      <c r="B317" t="s">
        <v>5794</v>
      </c>
      <c r="C317" t="s">
        <v>5793</v>
      </c>
      <c r="F317" t="s">
        <v>5792</v>
      </c>
      <c r="G317" t="s">
        <v>15</v>
      </c>
      <c r="H317" t="s">
        <v>14</v>
      </c>
      <c r="I317" t="s">
        <v>5791</v>
      </c>
      <c r="J317">
        <v>101517208</v>
      </c>
      <c r="K317" t="s">
        <v>5790</v>
      </c>
      <c r="L317" t="s">
        <v>5789</v>
      </c>
      <c r="M317" t="s">
        <v>23</v>
      </c>
      <c r="N317">
        <v>1</v>
      </c>
      <c r="O317" t="s">
        <v>5788</v>
      </c>
      <c r="P317">
        <v>57198995306</v>
      </c>
      <c r="Q317">
        <v>101517208</v>
      </c>
      <c r="R317" s="7">
        <v>32509</v>
      </c>
      <c r="S317" s="8">
        <f t="shared" si="40"/>
        <v>1989</v>
      </c>
      <c r="T317" s="8">
        <v>1989</v>
      </c>
      <c r="U317" s="8">
        <f t="shared" si="41"/>
        <v>33</v>
      </c>
      <c r="V317" s="7" t="s">
        <v>5739</v>
      </c>
      <c r="W317" s="11" t="s">
        <v>1449</v>
      </c>
      <c r="X317" s="2">
        <v>2.383</v>
      </c>
      <c r="Y317" s="6">
        <f t="shared" si="38"/>
        <v>6.3612824003630442E-2</v>
      </c>
      <c r="AA317" t="s">
        <v>1448</v>
      </c>
      <c r="AB317">
        <v>101151</v>
      </c>
      <c r="AD317" t="s">
        <v>5</v>
      </c>
      <c r="AE317">
        <v>136</v>
      </c>
      <c r="AF317">
        <v>6</v>
      </c>
      <c r="AH317" t="s">
        <v>5787</v>
      </c>
      <c r="AI317" t="s">
        <v>5786</v>
      </c>
      <c r="AK317" t="s">
        <v>5785</v>
      </c>
      <c r="AL317">
        <v>1</v>
      </c>
      <c r="AM317" s="5">
        <f t="shared" si="42"/>
        <v>3.0303030303030304E-2</v>
      </c>
      <c r="AN317" s="4">
        <f t="shared" si="39"/>
        <v>4.5896297316214016E-5</v>
      </c>
      <c r="AO317" s="3"/>
      <c r="AP317">
        <v>0</v>
      </c>
      <c r="AR317" t="s">
        <v>0</v>
      </c>
      <c r="AT317" s="2" t="s">
        <v>19</v>
      </c>
      <c r="AU317" s="1">
        <f t="shared" si="43"/>
        <v>4.4542745691736174</v>
      </c>
      <c r="AV317" s="1">
        <f t="shared" si="44"/>
        <v>3.1829360150473329</v>
      </c>
      <c r="AW317" s="1">
        <f t="shared" si="45"/>
        <v>1.9115974609210482</v>
      </c>
    </row>
    <row r="318" spans="1:49" x14ac:dyDescent="0.2">
      <c r="A318">
        <v>316</v>
      </c>
      <c r="B318" t="s">
        <v>5784</v>
      </c>
      <c r="C318" t="s">
        <v>5783</v>
      </c>
      <c r="F318" t="s">
        <v>5782</v>
      </c>
      <c r="G318" t="s">
        <v>15</v>
      </c>
      <c r="H318" t="s">
        <v>14</v>
      </c>
      <c r="I318" t="s">
        <v>5781</v>
      </c>
      <c r="J318" t="s">
        <v>5780</v>
      </c>
      <c r="K318" t="s">
        <v>5779</v>
      </c>
      <c r="L318" t="s">
        <v>5778</v>
      </c>
      <c r="M318" t="s">
        <v>86</v>
      </c>
      <c r="N318">
        <v>1</v>
      </c>
      <c r="O318" t="s">
        <v>5777</v>
      </c>
      <c r="P318">
        <v>7005104430</v>
      </c>
      <c r="Q318" t="s">
        <v>5776</v>
      </c>
      <c r="R318" s="7">
        <v>32509</v>
      </c>
      <c r="S318" s="8">
        <f t="shared" si="40"/>
        <v>1989</v>
      </c>
      <c r="T318" s="8">
        <v>1989</v>
      </c>
      <c r="U318" s="8">
        <f t="shared" si="41"/>
        <v>33</v>
      </c>
      <c r="V318" s="7">
        <v>32509</v>
      </c>
      <c r="W318" t="s">
        <v>5465</v>
      </c>
      <c r="X318" s="2">
        <v>0.22500000000000001</v>
      </c>
      <c r="Y318" s="6">
        <f t="shared" si="38"/>
        <v>6.0062464963562111E-3</v>
      </c>
      <c r="AA318">
        <v>2726343</v>
      </c>
      <c r="AB318">
        <v>16128</v>
      </c>
      <c r="AC318" t="s">
        <v>5464</v>
      </c>
      <c r="AD318" t="s">
        <v>5</v>
      </c>
      <c r="AE318">
        <v>9</v>
      </c>
      <c r="AF318">
        <v>4</v>
      </c>
      <c r="AH318" t="s">
        <v>5775</v>
      </c>
      <c r="AI318" t="s">
        <v>5774</v>
      </c>
      <c r="AK318" t="s">
        <v>5773</v>
      </c>
      <c r="AL318">
        <v>18</v>
      </c>
      <c r="AM318" s="5">
        <f t="shared" si="42"/>
        <v>0.54545454545454541</v>
      </c>
      <c r="AN318" s="4">
        <f t="shared" si="39"/>
        <v>8.2613335169185224E-4</v>
      </c>
      <c r="AO318" s="3"/>
      <c r="AP318">
        <v>0</v>
      </c>
      <c r="AR318" t="s">
        <v>0</v>
      </c>
      <c r="AT318" s="2">
        <v>1.099</v>
      </c>
      <c r="AU318" s="1">
        <f t="shared" si="43"/>
        <v>0.44522125529569029</v>
      </c>
      <c r="AV318" s="1">
        <f t="shared" si="44"/>
        <v>0.34161899240240318</v>
      </c>
      <c r="AW318" s="1">
        <f t="shared" si="45"/>
        <v>0.23801672950911598</v>
      </c>
    </row>
    <row r="319" spans="1:49" x14ac:dyDescent="0.2">
      <c r="A319">
        <v>317</v>
      </c>
      <c r="B319" t="s">
        <v>5772</v>
      </c>
      <c r="C319" t="s">
        <v>5771</v>
      </c>
      <c r="F319" t="s">
        <v>5770</v>
      </c>
      <c r="G319" t="s">
        <v>15</v>
      </c>
      <c r="H319" t="s">
        <v>14</v>
      </c>
      <c r="I319" t="s">
        <v>5769</v>
      </c>
      <c r="J319">
        <v>60025225</v>
      </c>
      <c r="K319" t="s">
        <v>4577</v>
      </c>
      <c r="L319" t="s">
        <v>4576</v>
      </c>
      <c r="M319" t="s">
        <v>792</v>
      </c>
      <c r="N319">
        <v>1</v>
      </c>
      <c r="O319" t="s">
        <v>5768</v>
      </c>
      <c r="P319">
        <v>7003406984</v>
      </c>
      <c r="Q319">
        <v>60025225</v>
      </c>
      <c r="R319" s="7">
        <v>32509</v>
      </c>
      <c r="S319" s="8">
        <f t="shared" si="40"/>
        <v>1989</v>
      </c>
      <c r="T319" s="8">
        <v>1989</v>
      </c>
      <c r="U319" s="8">
        <f t="shared" si="41"/>
        <v>33</v>
      </c>
      <c r="V319" s="7" t="s">
        <v>5739</v>
      </c>
      <c r="W319" s="11" t="s">
        <v>2429</v>
      </c>
      <c r="X319" s="2">
        <v>2.383</v>
      </c>
      <c r="Y319" s="6">
        <f t="shared" si="38"/>
        <v>6.3612824003630442E-2</v>
      </c>
      <c r="AA319">
        <v>1437070</v>
      </c>
      <c r="AB319">
        <v>39742</v>
      </c>
      <c r="AD319" t="s">
        <v>5</v>
      </c>
      <c r="AE319">
        <v>136</v>
      </c>
      <c r="AF319">
        <v>6</v>
      </c>
      <c r="AH319" t="s">
        <v>1435</v>
      </c>
      <c r="AI319" t="s">
        <v>5767</v>
      </c>
      <c r="AK319" t="s">
        <v>5766</v>
      </c>
      <c r="AL319">
        <v>1</v>
      </c>
      <c r="AM319" s="5">
        <f t="shared" si="42"/>
        <v>3.0303030303030304E-2</v>
      </c>
      <c r="AN319" s="4">
        <f t="shared" si="39"/>
        <v>4.5896297316214016E-5</v>
      </c>
      <c r="AO319" s="3"/>
      <c r="AP319">
        <v>0</v>
      </c>
      <c r="AR319" t="s">
        <v>0</v>
      </c>
      <c r="AT319" s="2" t="s">
        <v>19</v>
      </c>
      <c r="AU319" s="1">
        <f t="shared" si="43"/>
        <v>4.4542745691736174</v>
      </c>
      <c r="AV319" s="1">
        <f t="shared" si="44"/>
        <v>3.1829360150473329</v>
      </c>
      <c r="AW319" s="1">
        <f t="shared" si="45"/>
        <v>1.9115974609210482</v>
      </c>
    </row>
    <row r="320" spans="1:49" x14ac:dyDescent="0.2">
      <c r="A320">
        <v>318</v>
      </c>
      <c r="B320" t="s">
        <v>5765</v>
      </c>
      <c r="C320" t="s">
        <v>5764</v>
      </c>
      <c r="F320" t="s">
        <v>5763</v>
      </c>
      <c r="G320" t="s">
        <v>15</v>
      </c>
      <c r="H320" t="s">
        <v>14</v>
      </c>
      <c r="I320" t="s">
        <v>5762</v>
      </c>
      <c r="J320">
        <v>60024266</v>
      </c>
      <c r="K320" t="s">
        <v>1903</v>
      </c>
      <c r="L320" t="s">
        <v>1902</v>
      </c>
      <c r="M320" t="s">
        <v>23</v>
      </c>
      <c r="N320">
        <v>3</v>
      </c>
      <c r="O320" t="s">
        <v>5761</v>
      </c>
      <c r="P320" t="s">
        <v>5760</v>
      </c>
      <c r="Q320" t="s">
        <v>5759</v>
      </c>
      <c r="R320" s="7">
        <v>32509</v>
      </c>
      <c r="S320" s="8">
        <f t="shared" si="40"/>
        <v>1989</v>
      </c>
      <c r="T320" s="8">
        <v>1989</v>
      </c>
      <c r="U320" s="8">
        <f t="shared" si="41"/>
        <v>33</v>
      </c>
      <c r="V320" s="7">
        <v>32843</v>
      </c>
      <c r="W320" t="s">
        <v>538</v>
      </c>
      <c r="X320" s="2">
        <v>1.774</v>
      </c>
      <c r="Y320" s="6">
        <f t="shared" si="38"/>
        <v>4.7355916820159633E-2</v>
      </c>
      <c r="AA320">
        <v>295515</v>
      </c>
      <c r="AB320">
        <v>29066</v>
      </c>
      <c r="AC320">
        <v>17414326</v>
      </c>
      <c r="AD320" t="s">
        <v>5</v>
      </c>
      <c r="AE320">
        <v>29</v>
      </c>
      <c r="AF320">
        <v>12</v>
      </c>
      <c r="AH320" t="s">
        <v>5758</v>
      </c>
      <c r="AI320" t="s">
        <v>5757</v>
      </c>
      <c r="AK320" t="s">
        <v>5756</v>
      </c>
      <c r="AL320">
        <v>4</v>
      </c>
      <c r="AM320" s="5">
        <f t="shared" si="42"/>
        <v>0.12121212121212122</v>
      </c>
      <c r="AN320" s="4">
        <f t="shared" si="39"/>
        <v>1.8358518926485606E-4</v>
      </c>
      <c r="AO320" s="3"/>
      <c r="AP320">
        <v>0</v>
      </c>
      <c r="AR320" t="s">
        <v>0</v>
      </c>
      <c r="AT320" s="2">
        <v>3.1789999999999998</v>
      </c>
      <c r="AU320" s="1">
        <f t="shared" si="43"/>
        <v>3.3204217330891197</v>
      </c>
      <c r="AV320" s="1">
        <f t="shared" si="44"/>
        <v>2.3769751004712245</v>
      </c>
      <c r="AW320" s="1">
        <f t="shared" si="45"/>
        <v>1.4335284678533289</v>
      </c>
    </row>
    <row r="321" spans="1:49" x14ac:dyDescent="0.2">
      <c r="A321">
        <v>319</v>
      </c>
      <c r="B321" t="s">
        <v>5755</v>
      </c>
      <c r="C321" t="s">
        <v>5754</v>
      </c>
      <c r="F321" t="s">
        <v>5753</v>
      </c>
      <c r="G321" t="s">
        <v>15</v>
      </c>
      <c r="H321" t="s">
        <v>14</v>
      </c>
      <c r="I321" t="s">
        <v>5752</v>
      </c>
      <c r="J321">
        <v>60015186</v>
      </c>
      <c r="K321" t="s">
        <v>1205</v>
      </c>
      <c r="L321" t="s">
        <v>1204</v>
      </c>
      <c r="M321" t="s">
        <v>283</v>
      </c>
      <c r="N321">
        <v>2</v>
      </c>
      <c r="O321" t="s">
        <v>5751</v>
      </c>
      <c r="P321" t="s">
        <v>5750</v>
      </c>
      <c r="Q321" t="s">
        <v>1201</v>
      </c>
      <c r="R321" s="7">
        <v>32509</v>
      </c>
      <c r="S321" s="8">
        <f t="shared" si="40"/>
        <v>1989</v>
      </c>
      <c r="T321" s="8">
        <v>1989</v>
      </c>
      <c r="U321" s="8">
        <f t="shared" si="41"/>
        <v>33</v>
      </c>
      <c r="V321" s="7">
        <v>1989</v>
      </c>
      <c r="W321" t="s">
        <v>5749</v>
      </c>
      <c r="X321" s="2">
        <v>0.46400000000000002</v>
      </c>
      <c r="Y321" s="6">
        <f t="shared" si="38"/>
        <v>1.2386214996930142E-2</v>
      </c>
      <c r="AA321">
        <v>8408688</v>
      </c>
      <c r="AB321">
        <v>26200</v>
      </c>
      <c r="AD321" t="s">
        <v>5</v>
      </c>
      <c r="AE321">
        <v>14</v>
      </c>
      <c r="AF321">
        <v>3</v>
      </c>
      <c r="AH321" t="s">
        <v>5748</v>
      </c>
      <c r="AI321" t="s">
        <v>5747</v>
      </c>
      <c r="AK321" t="s">
        <v>5746</v>
      </c>
      <c r="AL321">
        <v>2</v>
      </c>
      <c r="AM321" s="5">
        <f t="shared" si="42"/>
        <v>6.0606060606060608E-2</v>
      </c>
      <c r="AN321" s="4">
        <f t="shared" si="39"/>
        <v>9.1792594632428032E-5</v>
      </c>
      <c r="AO321" s="3"/>
      <c r="AP321">
        <v>0</v>
      </c>
      <c r="AR321" t="s">
        <v>0</v>
      </c>
      <c r="AT321" s="2" t="s">
        <v>19</v>
      </c>
      <c r="AU321" s="1">
        <f t="shared" si="43"/>
        <v>0.86978882762408283</v>
      </c>
      <c r="AV321" s="1">
        <f t="shared" si="44"/>
        <v>0.62390037957812849</v>
      </c>
      <c r="AW321" s="1">
        <f t="shared" si="45"/>
        <v>0.37801193153217422</v>
      </c>
    </row>
    <row r="322" spans="1:49" x14ac:dyDescent="0.2">
      <c r="A322">
        <v>320</v>
      </c>
      <c r="B322" t="s">
        <v>5745</v>
      </c>
      <c r="C322" t="s">
        <v>5744</v>
      </c>
      <c r="F322" t="s">
        <v>5743</v>
      </c>
      <c r="G322" t="s">
        <v>15</v>
      </c>
      <c r="H322" t="s">
        <v>14</v>
      </c>
      <c r="I322" t="s">
        <v>2964</v>
      </c>
      <c r="J322">
        <v>60011001</v>
      </c>
      <c r="K322" t="s">
        <v>2963</v>
      </c>
      <c r="L322" t="s">
        <v>844</v>
      </c>
      <c r="M322" t="s">
        <v>115</v>
      </c>
      <c r="N322">
        <v>2</v>
      </c>
      <c r="O322" t="s">
        <v>5742</v>
      </c>
      <c r="P322" t="s">
        <v>5741</v>
      </c>
      <c r="Q322" t="s">
        <v>5740</v>
      </c>
      <c r="R322" s="7">
        <v>32509</v>
      </c>
      <c r="S322" s="8">
        <f t="shared" si="40"/>
        <v>1989</v>
      </c>
      <c r="T322" s="8">
        <v>1989</v>
      </c>
      <c r="U322" s="8">
        <f t="shared" si="41"/>
        <v>33</v>
      </c>
      <c r="V322" s="7" t="s">
        <v>5739</v>
      </c>
      <c r="W322" s="11" t="s">
        <v>1449</v>
      </c>
      <c r="X322" s="2">
        <v>2.383</v>
      </c>
      <c r="Y322" s="6">
        <f t="shared" ref="Y322:Y385" si="46">(X322-$Z$4)/($Z$3-$Z$4)</f>
        <v>6.3612824003630442E-2</v>
      </c>
      <c r="AA322" t="s">
        <v>1448</v>
      </c>
      <c r="AB322">
        <v>101151</v>
      </c>
      <c r="AD322" t="s">
        <v>5</v>
      </c>
      <c r="AE322">
        <v>136</v>
      </c>
      <c r="AF322">
        <v>6</v>
      </c>
      <c r="AH322" t="s">
        <v>5738</v>
      </c>
      <c r="AI322" t="s">
        <v>5737</v>
      </c>
      <c r="AK322" t="s">
        <v>5736</v>
      </c>
      <c r="AL322">
        <v>28</v>
      </c>
      <c r="AM322" s="5">
        <f t="shared" si="42"/>
        <v>0.84848484848484851</v>
      </c>
      <c r="AN322" s="4">
        <f t="shared" ref="AN322:AN385" si="47">(AM322-$AO$4)/($AO$3-$AO$4)</f>
        <v>1.2850963248539923E-3</v>
      </c>
      <c r="AO322" s="3"/>
      <c r="AP322">
        <v>0</v>
      </c>
      <c r="AR322" t="s">
        <v>0</v>
      </c>
      <c r="AT322" s="2" t="s">
        <v>19</v>
      </c>
      <c r="AU322" s="1">
        <f t="shared" si="43"/>
        <v>4.4914505699997509</v>
      </c>
      <c r="AV322" s="1">
        <f t="shared" si="44"/>
        <v>3.2448960164242218</v>
      </c>
      <c r="AW322" s="1">
        <f t="shared" si="45"/>
        <v>1.9983414628486926</v>
      </c>
    </row>
    <row r="323" spans="1:49" x14ac:dyDescent="0.2">
      <c r="A323">
        <v>321</v>
      </c>
      <c r="B323" t="s">
        <v>5735</v>
      </c>
      <c r="C323" t="s">
        <v>5734</v>
      </c>
      <c r="F323" t="s">
        <v>5733</v>
      </c>
      <c r="G323" t="s">
        <v>15</v>
      </c>
      <c r="H323" t="s">
        <v>14</v>
      </c>
      <c r="I323" t="s">
        <v>5732</v>
      </c>
      <c r="J323">
        <v>60009037</v>
      </c>
      <c r="K323" t="s">
        <v>1694</v>
      </c>
      <c r="L323" t="s">
        <v>1693</v>
      </c>
      <c r="M323" t="s">
        <v>23</v>
      </c>
      <c r="N323">
        <v>5</v>
      </c>
      <c r="O323" t="s">
        <v>5731</v>
      </c>
      <c r="P323" t="s">
        <v>5730</v>
      </c>
      <c r="Q323" t="s">
        <v>5729</v>
      </c>
      <c r="R323" s="7">
        <v>32509</v>
      </c>
      <c r="S323" s="8">
        <f t="shared" si="40"/>
        <v>1989</v>
      </c>
      <c r="T323" s="8">
        <v>1989</v>
      </c>
      <c r="U323" s="8">
        <f t="shared" si="41"/>
        <v>33</v>
      </c>
      <c r="V323" s="7">
        <v>32843</v>
      </c>
      <c r="W323" t="s">
        <v>360</v>
      </c>
      <c r="X323" s="2">
        <v>1.3720000000000001</v>
      </c>
      <c r="Y323" s="6">
        <f t="shared" si="46"/>
        <v>3.662475641333654E-2</v>
      </c>
      <c r="AA323">
        <v>189480</v>
      </c>
      <c r="AB323">
        <v>17366</v>
      </c>
      <c r="AC323">
        <v>15579670</v>
      </c>
      <c r="AD323" t="s">
        <v>5</v>
      </c>
      <c r="AE323">
        <v>37</v>
      </c>
      <c r="AF323">
        <v>12</v>
      </c>
      <c r="AH323" t="s">
        <v>5728</v>
      </c>
      <c r="AI323" t="s">
        <v>5727</v>
      </c>
      <c r="AK323" t="s">
        <v>5726</v>
      </c>
      <c r="AL323">
        <v>12</v>
      </c>
      <c r="AM323" s="5">
        <f t="shared" si="42"/>
        <v>0.36363636363636365</v>
      </c>
      <c r="AN323" s="4">
        <f t="shared" si="47"/>
        <v>5.5075556779456819E-4</v>
      </c>
      <c r="AO323" s="3"/>
      <c r="AP323">
        <v>0</v>
      </c>
      <c r="AR323" t="s">
        <v>0</v>
      </c>
      <c r="AT323" s="2" t="s">
        <v>19</v>
      </c>
      <c r="AU323" s="1">
        <f t="shared" si="43"/>
        <v>2.5802556159673946</v>
      </c>
      <c r="AV323" s="1">
        <f t="shared" si="44"/>
        <v>1.8587755990565553</v>
      </c>
      <c r="AW323" s="1">
        <f t="shared" si="45"/>
        <v>1.137295582145716</v>
      </c>
    </row>
    <row r="324" spans="1:49" x14ac:dyDescent="0.2">
      <c r="A324">
        <v>322</v>
      </c>
      <c r="B324" t="s">
        <v>5725</v>
      </c>
      <c r="C324" t="s">
        <v>5724</v>
      </c>
      <c r="D324">
        <v>16003289900598</v>
      </c>
      <c r="F324" t="s">
        <v>5723</v>
      </c>
      <c r="G324" t="s">
        <v>15</v>
      </c>
      <c r="H324" t="s">
        <v>14</v>
      </c>
      <c r="I324" t="s">
        <v>5722</v>
      </c>
      <c r="J324">
        <v>60026340</v>
      </c>
      <c r="K324" t="s">
        <v>3663</v>
      </c>
      <c r="L324" t="s">
        <v>3060</v>
      </c>
      <c r="M324" t="s">
        <v>1940</v>
      </c>
      <c r="N324">
        <v>3</v>
      </c>
      <c r="O324" t="s">
        <v>5721</v>
      </c>
      <c r="P324" t="s">
        <v>5720</v>
      </c>
      <c r="Q324" t="s">
        <v>5719</v>
      </c>
      <c r="R324" s="7">
        <v>32509</v>
      </c>
      <c r="S324" s="8">
        <f t="shared" si="40"/>
        <v>1989</v>
      </c>
      <c r="T324" s="8">
        <v>1989</v>
      </c>
      <c r="U324" s="8">
        <f t="shared" si="41"/>
        <v>33</v>
      </c>
      <c r="V324" s="7">
        <v>1989</v>
      </c>
      <c r="W324" t="s">
        <v>5718</v>
      </c>
      <c r="X324" s="2">
        <v>1.0049999999999999</v>
      </c>
      <c r="Y324" s="6">
        <f t="shared" si="46"/>
        <v>2.6827901017057738E-2</v>
      </c>
      <c r="AA324">
        <v>160032</v>
      </c>
      <c r="AB324">
        <v>27959</v>
      </c>
      <c r="AD324" t="s">
        <v>5</v>
      </c>
      <c r="AE324">
        <v>326</v>
      </c>
      <c r="AF324">
        <v>1</v>
      </c>
      <c r="AH324" t="s">
        <v>5717</v>
      </c>
      <c r="AI324" t="s">
        <v>5716</v>
      </c>
      <c r="AK324" t="s">
        <v>5715</v>
      </c>
      <c r="AL324">
        <v>0</v>
      </c>
      <c r="AM324" s="5">
        <f t="shared" si="42"/>
        <v>0</v>
      </c>
      <c r="AN324" s="4">
        <f t="shared" si="47"/>
        <v>0</v>
      </c>
      <c r="AO324" s="3"/>
      <c r="AP324">
        <v>0</v>
      </c>
      <c r="AR324" t="s">
        <v>0</v>
      </c>
      <c r="AT324" s="2" t="s">
        <v>19</v>
      </c>
      <c r="AU324" s="1">
        <f t="shared" si="43"/>
        <v>1.8779530711940415</v>
      </c>
      <c r="AV324" s="1">
        <f t="shared" si="44"/>
        <v>1.3413950508528869</v>
      </c>
      <c r="AW324" s="1">
        <f t="shared" si="45"/>
        <v>0.80483703051173217</v>
      </c>
    </row>
    <row r="325" spans="1:49" x14ac:dyDescent="0.2">
      <c r="A325">
        <v>323</v>
      </c>
      <c r="B325" t="s">
        <v>5714</v>
      </c>
      <c r="C325" t="s">
        <v>5713</v>
      </c>
      <c r="F325" t="s">
        <v>5712</v>
      </c>
      <c r="G325" t="s">
        <v>15</v>
      </c>
      <c r="H325" t="s">
        <v>14</v>
      </c>
      <c r="I325" t="s">
        <v>5711</v>
      </c>
      <c r="J325">
        <v>60014965</v>
      </c>
      <c r="K325" t="s">
        <v>5710</v>
      </c>
      <c r="L325" t="s">
        <v>5709</v>
      </c>
      <c r="M325" t="s">
        <v>23</v>
      </c>
      <c r="N325">
        <v>2</v>
      </c>
      <c r="O325" t="s">
        <v>5708</v>
      </c>
      <c r="P325" t="s">
        <v>5707</v>
      </c>
      <c r="Q325" t="s">
        <v>5706</v>
      </c>
      <c r="R325" s="7">
        <v>32509</v>
      </c>
      <c r="S325" s="8">
        <f t="shared" si="40"/>
        <v>1989</v>
      </c>
      <c r="T325" s="8">
        <v>1989</v>
      </c>
      <c r="U325" s="8">
        <f t="shared" si="41"/>
        <v>33</v>
      </c>
      <c r="V325" s="7">
        <v>1989</v>
      </c>
      <c r="W325" t="s">
        <v>5705</v>
      </c>
      <c r="X325" s="2">
        <v>1.1779999999999999</v>
      </c>
      <c r="Y325" s="6">
        <f t="shared" si="46"/>
        <v>3.1446037212033845E-2</v>
      </c>
      <c r="AA325">
        <v>168033</v>
      </c>
      <c r="AB325">
        <v>27965</v>
      </c>
      <c r="AD325" t="s">
        <v>5</v>
      </c>
      <c r="AE325">
        <v>54</v>
      </c>
      <c r="AF325">
        <v>10</v>
      </c>
      <c r="AH325" t="s">
        <v>5704</v>
      </c>
      <c r="AI325" t="s">
        <v>5703</v>
      </c>
      <c r="AK325" t="s">
        <v>5702</v>
      </c>
      <c r="AL325">
        <v>7</v>
      </c>
      <c r="AM325" s="5">
        <f t="shared" si="42"/>
        <v>0.21212121212121213</v>
      </c>
      <c r="AN325" s="4">
        <f t="shared" si="47"/>
        <v>3.2127408121349809E-4</v>
      </c>
      <c r="AO325" s="3"/>
      <c r="AP325">
        <v>0</v>
      </c>
      <c r="AR325" t="s">
        <v>0</v>
      </c>
      <c r="AT325" s="2">
        <v>2.9279999999999999</v>
      </c>
      <c r="AU325" s="1">
        <f t="shared" si="43"/>
        <v>2.2108608272787742</v>
      </c>
      <c r="AV325" s="1">
        <f t="shared" si="44"/>
        <v>1.5883655646623671</v>
      </c>
      <c r="AW325" s="1">
        <f t="shared" si="45"/>
        <v>0.96587030204596025</v>
      </c>
    </row>
    <row r="326" spans="1:49" x14ac:dyDescent="0.2">
      <c r="A326">
        <v>324</v>
      </c>
      <c r="B326" t="s">
        <v>5701</v>
      </c>
      <c r="C326" t="s">
        <v>5700</v>
      </c>
      <c r="F326" t="s">
        <v>5699</v>
      </c>
      <c r="G326" t="s">
        <v>15</v>
      </c>
      <c r="H326" t="s">
        <v>14</v>
      </c>
      <c r="I326" t="s">
        <v>5698</v>
      </c>
      <c r="J326" t="s">
        <v>5697</v>
      </c>
      <c r="K326" t="s">
        <v>5696</v>
      </c>
      <c r="L326" t="s">
        <v>5695</v>
      </c>
      <c r="M326" t="s">
        <v>86</v>
      </c>
      <c r="N326">
        <v>1</v>
      </c>
      <c r="O326" t="s">
        <v>5694</v>
      </c>
      <c r="P326">
        <v>24522606100</v>
      </c>
      <c r="Q326" t="s">
        <v>5693</v>
      </c>
      <c r="R326" s="7">
        <v>32509</v>
      </c>
      <c r="S326" s="8">
        <f t="shared" si="40"/>
        <v>1989</v>
      </c>
      <c r="T326" s="8">
        <v>1989</v>
      </c>
      <c r="U326" s="8">
        <f t="shared" si="41"/>
        <v>33</v>
      </c>
      <c r="V326" s="7">
        <v>32509</v>
      </c>
      <c r="W326" t="s">
        <v>5465</v>
      </c>
      <c r="X326" s="2">
        <v>0.22500000000000001</v>
      </c>
      <c r="Y326" s="6">
        <f t="shared" si="46"/>
        <v>6.0062464963562111E-3</v>
      </c>
      <c r="AA326">
        <v>2726343</v>
      </c>
      <c r="AB326">
        <v>16128</v>
      </c>
      <c r="AC326" t="s">
        <v>5464</v>
      </c>
      <c r="AD326" t="s">
        <v>5</v>
      </c>
      <c r="AE326">
        <v>9</v>
      </c>
      <c r="AF326">
        <v>4</v>
      </c>
      <c r="AH326" t="s">
        <v>5692</v>
      </c>
      <c r="AI326" t="s">
        <v>5691</v>
      </c>
      <c r="AK326" t="s">
        <v>5690</v>
      </c>
      <c r="AL326">
        <v>3</v>
      </c>
      <c r="AM326" s="5">
        <f t="shared" si="42"/>
        <v>9.0909090909090912E-2</v>
      </c>
      <c r="AN326" s="4">
        <f t="shared" si="47"/>
        <v>1.3768889194864205E-4</v>
      </c>
      <c r="AO326" s="3"/>
      <c r="AP326">
        <v>0</v>
      </c>
      <c r="AR326" t="s">
        <v>0</v>
      </c>
      <c r="AT326" s="2">
        <v>1.099</v>
      </c>
      <c r="AU326" s="1">
        <f t="shared" si="43"/>
        <v>0.42456792150339401</v>
      </c>
      <c r="AV326" s="1">
        <f t="shared" si="44"/>
        <v>0.30719676941524265</v>
      </c>
      <c r="AW326" s="1">
        <f t="shared" si="45"/>
        <v>0.18982561732709127</v>
      </c>
    </row>
    <row r="327" spans="1:49" x14ac:dyDescent="0.2">
      <c r="A327">
        <v>325</v>
      </c>
      <c r="B327" t="s">
        <v>5689</v>
      </c>
      <c r="C327" t="s">
        <v>5688</v>
      </c>
      <c r="F327" t="s">
        <v>5687</v>
      </c>
      <c r="G327" t="s">
        <v>15</v>
      </c>
      <c r="H327" t="s">
        <v>14</v>
      </c>
      <c r="I327" t="s">
        <v>5686</v>
      </c>
      <c r="J327">
        <v>60101299</v>
      </c>
      <c r="K327" t="s">
        <v>5685</v>
      </c>
      <c r="L327" t="s">
        <v>481</v>
      </c>
      <c r="M327" t="s">
        <v>23</v>
      </c>
      <c r="N327">
        <v>3</v>
      </c>
      <c r="O327" t="s">
        <v>5684</v>
      </c>
      <c r="P327" t="s">
        <v>5683</v>
      </c>
      <c r="Q327" t="s">
        <v>5682</v>
      </c>
      <c r="R327" s="7">
        <v>32509</v>
      </c>
      <c r="S327" s="8">
        <f t="shared" si="40"/>
        <v>1989</v>
      </c>
      <c r="T327" s="8">
        <v>1989</v>
      </c>
      <c r="U327" s="8">
        <f t="shared" si="41"/>
        <v>33</v>
      </c>
      <c r="V327" s="7">
        <v>32721</v>
      </c>
      <c r="W327" t="s">
        <v>5681</v>
      </c>
      <c r="X327" s="2">
        <v>2.0070000000000001</v>
      </c>
      <c r="Y327" s="6">
        <f t="shared" si="46"/>
        <v>5.3575718747497406E-2</v>
      </c>
      <c r="AA327">
        <v>948276</v>
      </c>
      <c r="AB327">
        <v>27962</v>
      </c>
      <c r="AC327">
        <v>19448007</v>
      </c>
      <c r="AD327" t="s">
        <v>5</v>
      </c>
      <c r="AE327">
        <v>16</v>
      </c>
      <c r="AF327">
        <v>8</v>
      </c>
      <c r="AH327" t="s">
        <v>5680</v>
      </c>
      <c r="AI327" t="s">
        <v>5679</v>
      </c>
      <c r="AK327" t="s">
        <v>5678</v>
      </c>
      <c r="AL327">
        <v>11</v>
      </c>
      <c r="AM327" s="5">
        <f t="shared" si="42"/>
        <v>0.33333333333333331</v>
      </c>
      <c r="AN327" s="4">
        <f t="shared" si="47"/>
        <v>5.048592704783541E-4</v>
      </c>
      <c r="AO327" s="3"/>
      <c r="AP327">
        <v>0</v>
      </c>
      <c r="AR327" t="s">
        <v>0</v>
      </c>
      <c r="AT327" s="2">
        <v>4.72</v>
      </c>
      <c r="AU327" s="1">
        <f t="shared" si="43"/>
        <v>3.7654460904391689</v>
      </c>
      <c r="AV327" s="1">
        <f t="shared" si="44"/>
        <v>2.7040289008987877</v>
      </c>
      <c r="AW327" s="1">
        <f t="shared" si="45"/>
        <v>1.6426117113584067</v>
      </c>
    </row>
    <row r="328" spans="1:49" x14ac:dyDescent="0.2">
      <c r="A328">
        <v>326</v>
      </c>
      <c r="B328" t="s">
        <v>5677</v>
      </c>
      <c r="C328" t="s">
        <v>5676</v>
      </c>
      <c r="F328" t="s">
        <v>5675</v>
      </c>
      <c r="G328" t="s">
        <v>15</v>
      </c>
      <c r="H328" t="s">
        <v>14</v>
      </c>
      <c r="I328" t="s">
        <v>5674</v>
      </c>
      <c r="J328">
        <v>60005681</v>
      </c>
      <c r="K328" t="s">
        <v>1942</v>
      </c>
      <c r="L328" t="s">
        <v>1941</v>
      </c>
      <c r="M328" t="s">
        <v>1940</v>
      </c>
      <c r="N328">
        <v>1</v>
      </c>
      <c r="O328" t="s">
        <v>5673</v>
      </c>
      <c r="P328">
        <v>7004638528</v>
      </c>
      <c r="Q328">
        <v>60005681</v>
      </c>
      <c r="R328" s="7">
        <v>32509</v>
      </c>
      <c r="S328" s="8">
        <f t="shared" si="40"/>
        <v>1989</v>
      </c>
      <c r="T328" s="8">
        <v>1989</v>
      </c>
      <c r="U328" s="8">
        <f t="shared" si="41"/>
        <v>33</v>
      </c>
      <c r="V328" s="7">
        <v>32509</v>
      </c>
      <c r="W328" t="s">
        <v>5465</v>
      </c>
      <c r="X328" s="2">
        <v>0.22500000000000001</v>
      </c>
      <c r="Y328" s="6">
        <f t="shared" si="46"/>
        <v>6.0062464963562111E-3</v>
      </c>
      <c r="AA328">
        <v>2726343</v>
      </c>
      <c r="AB328">
        <v>16128</v>
      </c>
      <c r="AC328" t="s">
        <v>5464</v>
      </c>
      <c r="AD328" t="s">
        <v>5</v>
      </c>
      <c r="AE328">
        <v>9</v>
      </c>
      <c r="AF328">
        <v>3</v>
      </c>
      <c r="AH328" t="s">
        <v>5672</v>
      </c>
      <c r="AI328" t="s">
        <v>5671</v>
      </c>
      <c r="AK328" t="s">
        <v>5670</v>
      </c>
      <c r="AL328">
        <v>5</v>
      </c>
      <c r="AM328" s="5">
        <f t="shared" si="42"/>
        <v>0.15151515151515152</v>
      </c>
      <c r="AN328" s="4">
        <f t="shared" si="47"/>
        <v>2.2948148658107008E-4</v>
      </c>
      <c r="AO328" s="3"/>
      <c r="AP328">
        <v>0</v>
      </c>
      <c r="AR328" t="s">
        <v>0</v>
      </c>
      <c r="AT328" s="2">
        <v>1.099</v>
      </c>
      <c r="AU328" s="1">
        <f t="shared" si="43"/>
        <v>0.42732169934236686</v>
      </c>
      <c r="AV328" s="1">
        <f t="shared" si="44"/>
        <v>0.31178639914686407</v>
      </c>
      <c r="AW328" s="1">
        <f t="shared" si="45"/>
        <v>0.19625109895136122</v>
      </c>
    </row>
    <row r="329" spans="1:49" x14ac:dyDescent="0.2">
      <c r="A329">
        <v>327</v>
      </c>
      <c r="B329" t="s">
        <v>5669</v>
      </c>
      <c r="C329" t="s">
        <v>5668</v>
      </c>
      <c r="D329">
        <v>94576589900684</v>
      </c>
      <c r="F329" t="s">
        <v>5667</v>
      </c>
      <c r="G329" t="s">
        <v>15</v>
      </c>
      <c r="H329" t="s">
        <v>14</v>
      </c>
      <c r="I329" t="s">
        <v>5666</v>
      </c>
      <c r="J329">
        <v>60016296</v>
      </c>
      <c r="K329" t="s">
        <v>744</v>
      </c>
      <c r="L329" t="s">
        <v>24</v>
      </c>
      <c r="M329" t="s">
        <v>23</v>
      </c>
      <c r="N329">
        <v>2</v>
      </c>
      <c r="O329" t="s">
        <v>5665</v>
      </c>
      <c r="P329" t="s">
        <v>5664</v>
      </c>
      <c r="Q329" t="s">
        <v>5663</v>
      </c>
      <c r="R329" s="7">
        <v>32509</v>
      </c>
      <c r="S329" s="8">
        <f t="shared" si="40"/>
        <v>1989</v>
      </c>
      <c r="T329" s="8">
        <v>1989</v>
      </c>
      <c r="U329" s="8">
        <f t="shared" si="41"/>
        <v>33</v>
      </c>
      <c r="V329" s="7">
        <v>1989</v>
      </c>
      <c r="W329" t="s">
        <v>464</v>
      </c>
      <c r="X329" s="2">
        <v>1.1339999999999999</v>
      </c>
      <c r="Y329" s="6">
        <f t="shared" si="46"/>
        <v>3.0271482341635299E-2</v>
      </c>
      <c r="AA329">
        <v>945765</v>
      </c>
      <c r="AB329">
        <v>12372</v>
      </c>
      <c r="AD329" t="s">
        <v>5</v>
      </c>
      <c r="AE329">
        <v>20</v>
      </c>
      <c r="AF329" t="s">
        <v>5662</v>
      </c>
      <c r="AH329" t="s">
        <v>5661</v>
      </c>
      <c r="AI329" t="s">
        <v>5660</v>
      </c>
      <c r="AK329" t="s">
        <v>5659</v>
      </c>
      <c r="AL329">
        <v>1</v>
      </c>
      <c r="AM329" s="5">
        <f t="shared" si="42"/>
        <v>3.0303030303030304E-2</v>
      </c>
      <c r="AN329" s="4">
        <f t="shared" si="47"/>
        <v>4.5896297316214016E-5</v>
      </c>
      <c r="AO329" s="3"/>
      <c r="AP329">
        <v>0</v>
      </c>
      <c r="AR329" t="s">
        <v>0</v>
      </c>
      <c r="AT329" s="2">
        <v>2.4129999999999998</v>
      </c>
      <c r="AU329" s="1">
        <f t="shared" si="43"/>
        <v>2.120380652833957</v>
      </c>
      <c r="AV329" s="1">
        <f t="shared" si="44"/>
        <v>1.5158689319475755</v>
      </c>
      <c r="AW329" s="1">
        <f t="shared" si="45"/>
        <v>0.91135721106119383</v>
      </c>
    </row>
    <row r="330" spans="1:49" x14ac:dyDescent="0.2">
      <c r="A330">
        <v>328</v>
      </c>
      <c r="B330" t="s">
        <v>5658</v>
      </c>
      <c r="C330" t="s">
        <v>5657</v>
      </c>
      <c r="F330" t="s">
        <v>5656</v>
      </c>
      <c r="G330" t="s">
        <v>15</v>
      </c>
      <c r="H330" t="s">
        <v>14</v>
      </c>
      <c r="I330" t="s">
        <v>5655</v>
      </c>
      <c r="J330">
        <v>60000305</v>
      </c>
      <c r="K330" t="s">
        <v>3267</v>
      </c>
      <c r="L330" t="s">
        <v>3266</v>
      </c>
      <c r="M330" t="s">
        <v>23</v>
      </c>
      <c r="N330">
        <v>2</v>
      </c>
      <c r="O330" t="s">
        <v>5654</v>
      </c>
      <c r="P330" t="s">
        <v>5653</v>
      </c>
      <c r="Q330" t="s">
        <v>3263</v>
      </c>
      <c r="R330" s="7">
        <v>32509</v>
      </c>
      <c r="S330" s="8">
        <f t="shared" si="40"/>
        <v>1989</v>
      </c>
      <c r="T330" s="8">
        <v>1989</v>
      </c>
      <c r="U330" s="8">
        <f t="shared" si="41"/>
        <v>33</v>
      </c>
      <c r="V330" s="7">
        <v>32509</v>
      </c>
      <c r="W330" t="s">
        <v>5465</v>
      </c>
      <c r="X330" s="2">
        <v>0.22500000000000001</v>
      </c>
      <c r="Y330" s="6">
        <f t="shared" si="46"/>
        <v>6.0062464963562111E-3</v>
      </c>
      <c r="AA330">
        <v>2726343</v>
      </c>
      <c r="AB330">
        <v>16128</v>
      </c>
      <c r="AC330" t="s">
        <v>5464</v>
      </c>
      <c r="AD330" t="s">
        <v>5</v>
      </c>
      <c r="AE330">
        <v>9</v>
      </c>
      <c r="AF330">
        <v>3</v>
      </c>
      <c r="AH330" t="s">
        <v>5652</v>
      </c>
      <c r="AI330" t="s">
        <v>5651</v>
      </c>
      <c r="AK330" t="s">
        <v>5650</v>
      </c>
      <c r="AL330">
        <v>0</v>
      </c>
      <c r="AM330" s="5">
        <f t="shared" si="42"/>
        <v>0</v>
      </c>
      <c r="AN330" s="4">
        <f t="shared" si="47"/>
        <v>0</v>
      </c>
      <c r="AO330" s="3"/>
      <c r="AP330">
        <v>0</v>
      </c>
      <c r="AR330" t="s">
        <v>0</v>
      </c>
      <c r="AT330" s="2">
        <v>1.099</v>
      </c>
      <c r="AU330" s="1">
        <f t="shared" si="43"/>
        <v>0.42043725474493476</v>
      </c>
      <c r="AV330" s="1">
        <f t="shared" si="44"/>
        <v>0.30031232481781056</v>
      </c>
      <c r="AW330" s="1">
        <f t="shared" si="45"/>
        <v>0.18018739489068633</v>
      </c>
    </row>
    <row r="331" spans="1:49" x14ac:dyDescent="0.2">
      <c r="A331">
        <v>329</v>
      </c>
      <c r="B331" t="s">
        <v>5649</v>
      </c>
      <c r="C331" t="s">
        <v>5648</v>
      </c>
      <c r="F331" t="s">
        <v>5647</v>
      </c>
      <c r="G331" t="s">
        <v>15</v>
      </c>
      <c r="H331" t="s">
        <v>14</v>
      </c>
      <c r="I331" t="s">
        <v>5646</v>
      </c>
      <c r="J331">
        <v>60000221</v>
      </c>
      <c r="K331" t="s">
        <v>1840</v>
      </c>
      <c r="L331" t="s">
        <v>1839</v>
      </c>
      <c r="M331" t="s">
        <v>23</v>
      </c>
      <c r="N331">
        <v>2</v>
      </c>
      <c r="O331" t="s">
        <v>5645</v>
      </c>
      <c r="P331" t="s">
        <v>5644</v>
      </c>
      <c r="Q331" t="s">
        <v>1836</v>
      </c>
      <c r="R331" s="7">
        <v>32509</v>
      </c>
      <c r="S331" s="8">
        <f t="shared" si="40"/>
        <v>1989</v>
      </c>
      <c r="T331" s="8">
        <v>1989</v>
      </c>
      <c r="U331" s="8">
        <f t="shared" si="41"/>
        <v>33</v>
      </c>
      <c r="V331" s="7">
        <v>32509</v>
      </c>
      <c r="W331" t="s">
        <v>5465</v>
      </c>
      <c r="X331" s="2">
        <v>0.22500000000000001</v>
      </c>
      <c r="Y331" s="6">
        <f t="shared" si="46"/>
        <v>6.0062464963562111E-3</v>
      </c>
      <c r="AA331">
        <v>2726343</v>
      </c>
      <c r="AB331">
        <v>16128</v>
      </c>
      <c r="AC331" t="s">
        <v>5464</v>
      </c>
      <c r="AD331" t="s">
        <v>5</v>
      </c>
      <c r="AE331">
        <v>9</v>
      </c>
      <c r="AF331">
        <v>3</v>
      </c>
      <c r="AH331" t="s">
        <v>5643</v>
      </c>
      <c r="AI331" t="s">
        <v>5642</v>
      </c>
      <c r="AK331" t="s">
        <v>5641</v>
      </c>
      <c r="AL331">
        <v>0</v>
      </c>
      <c r="AM331" s="5">
        <f t="shared" si="42"/>
        <v>0</v>
      </c>
      <c r="AN331" s="4">
        <f t="shared" si="47"/>
        <v>0</v>
      </c>
      <c r="AO331" s="3"/>
      <c r="AP331">
        <v>0</v>
      </c>
      <c r="AR331" t="s">
        <v>0</v>
      </c>
      <c r="AT331" s="2">
        <v>1.099</v>
      </c>
      <c r="AU331" s="1">
        <f t="shared" si="43"/>
        <v>0.42043725474493476</v>
      </c>
      <c r="AV331" s="1">
        <f t="shared" si="44"/>
        <v>0.30031232481781056</v>
      </c>
      <c r="AW331" s="1">
        <f t="shared" si="45"/>
        <v>0.18018739489068633</v>
      </c>
    </row>
    <row r="332" spans="1:49" x14ac:dyDescent="0.2">
      <c r="A332">
        <v>330</v>
      </c>
      <c r="B332" t="s">
        <v>5640</v>
      </c>
      <c r="C332" t="s">
        <v>5639</v>
      </c>
      <c r="E332">
        <v>2620065</v>
      </c>
      <c r="F332" t="s">
        <v>5638</v>
      </c>
      <c r="G332" t="s">
        <v>15</v>
      </c>
      <c r="H332" t="s">
        <v>14</v>
      </c>
      <c r="I332" t="s">
        <v>5637</v>
      </c>
      <c r="J332">
        <v>60003892</v>
      </c>
      <c r="K332" t="s">
        <v>5636</v>
      </c>
      <c r="L332" t="s">
        <v>5635</v>
      </c>
      <c r="M332" t="s">
        <v>23</v>
      </c>
      <c r="N332">
        <v>2</v>
      </c>
      <c r="O332" t="s">
        <v>5634</v>
      </c>
      <c r="P332" t="s">
        <v>5633</v>
      </c>
      <c r="Q332" t="s">
        <v>5632</v>
      </c>
      <c r="R332" s="7">
        <v>32509</v>
      </c>
      <c r="S332" s="8">
        <f t="shared" si="40"/>
        <v>1989</v>
      </c>
      <c r="T332" s="8">
        <v>1989</v>
      </c>
      <c r="U332" s="8">
        <f t="shared" si="41"/>
        <v>33</v>
      </c>
      <c r="V332" s="7">
        <v>1989</v>
      </c>
      <c r="W332" t="s">
        <v>5631</v>
      </c>
      <c r="X332" s="2">
        <v>1.43</v>
      </c>
      <c r="Y332" s="6">
        <f t="shared" si="46"/>
        <v>3.8173033287952803E-2</v>
      </c>
      <c r="AA332">
        <v>62960</v>
      </c>
      <c r="AB332">
        <v>16867</v>
      </c>
      <c r="AC332">
        <v>15204995</v>
      </c>
      <c r="AD332" t="s">
        <v>5</v>
      </c>
      <c r="AE332">
        <v>28</v>
      </c>
      <c r="AF332">
        <v>26</v>
      </c>
      <c r="AH332" t="s">
        <v>5630</v>
      </c>
      <c r="AI332" t="s">
        <v>5629</v>
      </c>
      <c r="AK332" t="s">
        <v>5628</v>
      </c>
      <c r="AL332">
        <v>91</v>
      </c>
      <c r="AM332" s="5">
        <f t="shared" si="42"/>
        <v>2.7575757575757578</v>
      </c>
      <c r="AN332" s="4">
        <f t="shared" si="47"/>
        <v>4.1765630557754757E-3</v>
      </c>
      <c r="AO332" s="3"/>
      <c r="AP332">
        <v>0</v>
      </c>
      <c r="AR332" t="s">
        <v>0</v>
      </c>
      <c r="AT332" s="2">
        <v>3.1619999999999999</v>
      </c>
      <c r="AU332" s="1">
        <f t="shared" si="43"/>
        <v>2.7974092218299602</v>
      </c>
      <c r="AV332" s="1">
        <f t="shared" si="44"/>
        <v>2.117479817186414</v>
      </c>
      <c r="AW332" s="1">
        <f t="shared" si="45"/>
        <v>1.4375504125428673</v>
      </c>
    </row>
    <row r="333" spans="1:49" x14ac:dyDescent="0.2">
      <c r="A333">
        <v>331</v>
      </c>
      <c r="B333" t="s">
        <v>5627</v>
      </c>
      <c r="C333" t="s">
        <v>5626</v>
      </c>
      <c r="D333" t="s">
        <v>5625</v>
      </c>
      <c r="F333" t="s">
        <v>5624</v>
      </c>
      <c r="G333" t="s">
        <v>15</v>
      </c>
      <c r="H333" t="s">
        <v>14</v>
      </c>
      <c r="I333" t="s">
        <v>5623</v>
      </c>
      <c r="J333">
        <v>60117872</v>
      </c>
      <c r="K333" t="s">
        <v>5622</v>
      </c>
      <c r="L333" t="s">
        <v>1746</v>
      </c>
      <c r="M333" t="s">
        <v>23</v>
      </c>
      <c r="N333">
        <v>4</v>
      </c>
      <c r="O333" t="s">
        <v>5621</v>
      </c>
      <c r="P333" t="s">
        <v>5620</v>
      </c>
      <c r="Q333" t="s">
        <v>5619</v>
      </c>
      <c r="R333" s="7">
        <v>32509</v>
      </c>
      <c r="S333" s="8">
        <f t="shared" si="40"/>
        <v>1989</v>
      </c>
      <c r="T333" s="8">
        <v>1989</v>
      </c>
      <c r="U333" s="8">
        <f t="shared" si="41"/>
        <v>33</v>
      </c>
      <c r="V333" s="7">
        <v>1989</v>
      </c>
      <c r="W333" t="s">
        <v>3870</v>
      </c>
      <c r="X333" s="2">
        <v>1.7130000000000001</v>
      </c>
      <c r="Y333" s="6">
        <f t="shared" si="46"/>
        <v>4.5727556658925285E-2</v>
      </c>
      <c r="AA333">
        <v>63495</v>
      </c>
      <c r="AB333">
        <v>14859</v>
      </c>
      <c r="AD333" t="s">
        <v>5</v>
      </c>
      <c r="AE333">
        <v>56</v>
      </c>
      <c r="AF333">
        <v>6</v>
      </c>
      <c r="AH333" t="s">
        <v>5618</v>
      </c>
      <c r="AI333" t="s">
        <v>5617</v>
      </c>
      <c r="AK333" t="s">
        <v>5616</v>
      </c>
      <c r="AL333">
        <v>40</v>
      </c>
      <c r="AM333" s="5">
        <f t="shared" si="42"/>
        <v>1.2121212121212122</v>
      </c>
      <c r="AN333" s="4">
        <f t="shared" si="47"/>
        <v>1.8358518926485606E-3</v>
      </c>
      <c r="AO333" s="3"/>
      <c r="AP333">
        <v>1</v>
      </c>
      <c r="AQ333" t="s">
        <v>618</v>
      </c>
      <c r="AR333" t="s">
        <v>5615</v>
      </c>
      <c r="AS333" t="s">
        <v>616</v>
      </c>
      <c r="AT333" s="2">
        <v>4.0330000000000004</v>
      </c>
      <c r="AU333" s="1">
        <f t="shared" si="43"/>
        <v>3.2560045229042265</v>
      </c>
      <c r="AV333" s="1">
        <f t="shared" si="44"/>
        <v>2.3781704275786923</v>
      </c>
      <c r="AW333" s="1">
        <f t="shared" si="45"/>
        <v>1.5003363322531578</v>
      </c>
    </row>
    <row r="334" spans="1:49" x14ac:dyDescent="0.2">
      <c r="A334">
        <v>332</v>
      </c>
      <c r="B334" t="s">
        <v>5614</v>
      </c>
      <c r="C334" t="s">
        <v>5613</v>
      </c>
      <c r="F334" t="s">
        <v>5612</v>
      </c>
      <c r="G334" t="s">
        <v>15</v>
      </c>
      <c r="H334" t="s">
        <v>14</v>
      </c>
      <c r="I334" t="s">
        <v>5611</v>
      </c>
      <c r="J334">
        <v>101356412</v>
      </c>
      <c r="K334" t="s">
        <v>5610</v>
      </c>
      <c r="L334" t="s">
        <v>5609</v>
      </c>
      <c r="M334" t="s">
        <v>5608</v>
      </c>
      <c r="N334">
        <v>1</v>
      </c>
      <c r="O334" t="s">
        <v>5607</v>
      </c>
      <c r="P334">
        <v>7004398101</v>
      </c>
      <c r="Q334">
        <v>101356412</v>
      </c>
      <c r="R334" s="7">
        <v>32509</v>
      </c>
      <c r="S334" s="8">
        <f t="shared" si="40"/>
        <v>1989</v>
      </c>
      <c r="T334" s="8">
        <v>1989</v>
      </c>
      <c r="U334" s="8">
        <f t="shared" si="41"/>
        <v>33</v>
      </c>
      <c r="V334" s="7">
        <v>1989</v>
      </c>
      <c r="W334" t="s">
        <v>5606</v>
      </c>
      <c r="X334" s="2">
        <v>0.94399999999999995</v>
      </c>
      <c r="Y334" s="6">
        <f t="shared" si="46"/>
        <v>2.5199540855823391E-2</v>
      </c>
      <c r="AA334">
        <v>2603055</v>
      </c>
      <c r="AB334">
        <v>110607</v>
      </c>
      <c r="AD334" t="s">
        <v>5</v>
      </c>
      <c r="AE334">
        <v>13</v>
      </c>
      <c r="AH334" t="s">
        <v>5605</v>
      </c>
      <c r="AI334" t="s">
        <v>5604</v>
      </c>
      <c r="AK334" t="s">
        <v>5603</v>
      </c>
      <c r="AL334">
        <v>8</v>
      </c>
      <c r="AM334" s="5">
        <f t="shared" si="42"/>
        <v>0.24242424242424243</v>
      </c>
      <c r="AN334" s="4">
        <f t="shared" si="47"/>
        <v>3.6717037852971213E-4</v>
      </c>
      <c r="AO334" s="3"/>
      <c r="AP334">
        <v>1</v>
      </c>
      <c r="AR334" t="s">
        <v>0</v>
      </c>
      <c r="AT334" s="2">
        <v>2.431</v>
      </c>
      <c r="AU334" s="1">
        <f t="shared" si="43"/>
        <v>1.7749829712635286</v>
      </c>
      <c r="AV334" s="1">
        <f t="shared" si="44"/>
        <v>1.2783355617176551</v>
      </c>
      <c r="AW334" s="1">
        <f t="shared" si="45"/>
        <v>0.78168815217178145</v>
      </c>
    </row>
    <row r="335" spans="1:49" x14ac:dyDescent="0.2">
      <c r="A335">
        <v>333</v>
      </c>
      <c r="B335" t="s">
        <v>5602</v>
      </c>
      <c r="C335" t="s">
        <v>5601</v>
      </c>
      <c r="F335" t="s">
        <v>5600</v>
      </c>
      <c r="G335" t="s">
        <v>15</v>
      </c>
      <c r="H335" t="s">
        <v>14</v>
      </c>
      <c r="I335" t="s">
        <v>5599</v>
      </c>
      <c r="J335">
        <v>60180342</v>
      </c>
      <c r="K335" t="s">
        <v>5598</v>
      </c>
      <c r="L335" t="s">
        <v>1496</v>
      </c>
      <c r="M335" t="s">
        <v>115</v>
      </c>
      <c r="N335">
        <v>2</v>
      </c>
      <c r="O335" t="s">
        <v>5597</v>
      </c>
      <c r="P335" t="s">
        <v>5596</v>
      </c>
      <c r="Q335" t="s">
        <v>5595</v>
      </c>
      <c r="R335" s="7">
        <v>32509</v>
      </c>
      <c r="S335" s="8">
        <f t="shared" si="40"/>
        <v>1989</v>
      </c>
      <c r="T335" s="8">
        <v>1989</v>
      </c>
      <c r="U335" s="8">
        <f t="shared" si="41"/>
        <v>33</v>
      </c>
      <c r="V335" s="7">
        <v>1989</v>
      </c>
      <c r="W335" t="s">
        <v>1241</v>
      </c>
      <c r="X335" s="2">
        <v>1.67</v>
      </c>
      <c r="Y335" s="6">
        <f t="shared" si="46"/>
        <v>4.4579696217399427E-2</v>
      </c>
      <c r="AA335">
        <v>1480227</v>
      </c>
      <c r="AB335">
        <v>28428</v>
      </c>
      <c r="AD335" t="s">
        <v>5</v>
      </c>
      <c r="AE335">
        <v>94</v>
      </c>
      <c r="AF335" t="s">
        <v>5594</v>
      </c>
      <c r="AI335" t="s">
        <v>5593</v>
      </c>
      <c r="AK335" t="s">
        <v>5592</v>
      </c>
      <c r="AL335">
        <v>28</v>
      </c>
      <c r="AM335" s="5">
        <f t="shared" si="42"/>
        <v>0.84848484848484851</v>
      </c>
      <c r="AN335" s="4">
        <f t="shared" si="47"/>
        <v>1.2850963248539923E-3</v>
      </c>
      <c r="AO335" s="3"/>
      <c r="AP335">
        <v>0</v>
      </c>
      <c r="AR335" t="s">
        <v>0</v>
      </c>
      <c r="AT335" s="2" t="s">
        <v>19</v>
      </c>
      <c r="AU335" s="1">
        <f t="shared" si="43"/>
        <v>3.159131624963579</v>
      </c>
      <c r="AV335" s="1">
        <f t="shared" si="44"/>
        <v>2.2932396271126709</v>
      </c>
      <c r="AW335" s="1">
        <f t="shared" si="45"/>
        <v>1.4273476292617624</v>
      </c>
    </row>
    <row r="336" spans="1:49" x14ac:dyDescent="0.2">
      <c r="A336">
        <v>334</v>
      </c>
      <c r="B336" t="s">
        <v>5591</v>
      </c>
      <c r="C336" t="s">
        <v>5590</v>
      </c>
      <c r="F336" t="s">
        <v>5589</v>
      </c>
      <c r="G336" t="s">
        <v>15</v>
      </c>
      <c r="H336" t="s">
        <v>14</v>
      </c>
      <c r="I336" t="s">
        <v>339</v>
      </c>
      <c r="J336">
        <v>60011001</v>
      </c>
      <c r="K336" t="s">
        <v>2963</v>
      </c>
      <c r="L336" t="s">
        <v>844</v>
      </c>
      <c r="M336" t="s">
        <v>115</v>
      </c>
      <c r="N336">
        <v>4</v>
      </c>
      <c r="O336" t="s">
        <v>5588</v>
      </c>
      <c r="P336" t="s">
        <v>5587</v>
      </c>
      <c r="Q336" t="s">
        <v>5586</v>
      </c>
      <c r="R336" s="7">
        <v>32509</v>
      </c>
      <c r="S336" s="8">
        <f t="shared" si="40"/>
        <v>1989</v>
      </c>
      <c r="T336" s="8">
        <v>1989</v>
      </c>
      <c r="U336" s="8">
        <f t="shared" si="41"/>
        <v>33</v>
      </c>
      <c r="V336" s="7">
        <v>1989</v>
      </c>
      <c r="W336" t="s">
        <v>5585</v>
      </c>
      <c r="X336" s="2" t="s">
        <v>19</v>
      </c>
      <c r="Y336" s="6" t="e">
        <f t="shared" si="46"/>
        <v>#VALUE!</v>
      </c>
      <c r="AB336">
        <v>34890</v>
      </c>
      <c r="AD336" t="s">
        <v>5</v>
      </c>
      <c r="AE336">
        <v>41</v>
      </c>
      <c r="AF336">
        <v>9</v>
      </c>
      <c r="AH336" t="s">
        <v>5584</v>
      </c>
      <c r="AI336" t="s">
        <v>5583</v>
      </c>
      <c r="AK336" t="s">
        <v>5582</v>
      </c>
      <c r="AL336">
        <v>4</v>
      </c>
      <c r="AM336" s="5">
        <f t="shared" si="42"/>
        <v>0.12121212121212122</v>
      </c>
      <c r="AN336" s="4">
        <f t="shared" si="47"/>
        <v>1.8358518926485606E-4</v>
      </c>
      <c r="AO336" s="3"/>
      <c r="AP336">
        <v>1</v>
      </c>
      <c r="AR336" t="s">
        <v>0</v>
      </c>
      <c r="AT336" s="2" t="s">
        <v>19</v>
      </c>
      <c r="AU336" s="1" t="e">
        <f t="shared" si="43"/>
        <v>#VALUE!</v>
      </c>
      <c r="AV336" s="1" t="e">
        <f t="shared" si="44"/>
        <v>#VALUE!</v>
      </c>
      <c r="AW336" s="1" t="e">
        <f t="shared" si="45"/>
        <v>#VALUE!</v>
      </c>
    </row>
    <row r="337" spans="1:49" x14ac:dyDescent="0.2">
      <c r="A337">
        <v>335</v>
      </c>
      <c r="B337" t="s">
        <v>5581</v>
      </c>
      <c r="C337" t="s">
        <v>5580</v>
      </c>
      <c r="E337">
        <v>2482736</v>
      </c>
      <c r="F337" t="s">
        <v>5579</v>
      </c>
      <c r="G337" t="s">
        <v>15</v>
      </c>
      <c r="H337" t="s">
        <v>14</v>
      </c>
      <c r="I337" t="s">
        <v>5578</v>
      </c>
      <c r="J337">
        <v>60022756</v>
      </c>
      <c r="K337" t="s">
        <v>5577</v>
      </c>
      <c r="L337" t="s">
        <v>5576</v>
      </c>
      <c r="M337" t="s">
        <v>23</v>
      </c>
      <c r="N337">
        <v>7</v>
      </c>
      <c r="O337" t="s">
        <v>5575</v>
      </c>
      <c r="P337" t="s">
        <v>5574</v>
      </c>
      <c r="Q337" t="s">
        <v>5573</v>
      </c>
      <c r="R337" s="7">
        <v>32509</v>
      </c>
      <c r="S337" s="8">
        <f t="shared" si="40"/>
        <v>1989</v>
      </c>
      <c r="T337" s="8">
        <v>1989</v>
      </c>
      <c r="U337" s="8">
        <f t="shared" si="41"/>
        <v>33</v>
      </c>
      <c r="V337" s="7">
        <v>1989</v>
      </c>
      <c r="W337" t="s">
        <v>1124</v>
      </c>
      <c r="X337" s="2">
        <v>1.706</v>
      </c>
      <c r="Y337" s="6">
        <f t="shared" si="46"/>
        <v>4.554069565681642E-2</v>
      </c>
      <c r="AA337">
        <v>2646021</v>
      </c>
      <c r="AB337">
        <v>16850</v>
      </c>
      <c r="AD337" t="s">
        <v>5</v>
      </c>
      <c r="AE337">
        <v>264</v>
      </c>
      <c r="AF337">
        <v>3</v>
      </c>
      <c r="AH337" t="s">
        <v>5572</v>
      </c>
      <c r="AI337" t="s">
        <v>5571</v>
      </c>
      <c r="AK337" t="s">
        <v>5570</v>
      </c>
      <c r="AL337">
        <v>11</v>
      </c>
      <c r="AM337" s="5">
        <f t="shared" si="42"/>
        <v>0.33333333333333331</v>
      </c>
      <c r="AN337" s="4">
        <f t="shared" si="47"/>
        <v>5.048592704783541E-4</v>
      </c>
      <c r="AO337" s="3"/>
      <c r="AP337">
        <v>0</v>
      </c>
      <c r="AQ337" t="s">
        <v>5569</v>
      </c>
      <c r="AR337" t="s">
        <v>5568</v>
      </c>
      <c r="AS337" t="s">
        <v>5567</v>
      </c>
      <c r="AT337" s="2">
        <v>3.8570000000000002</v>
      </c>
      <c r="AU337" s="1">
        <f t="shared" si="43"/>
        <v>3.2029944740914993</v>
      </c>
      <c r="AV337" s="1">
        <f t="shared" si="44"/>
        <v>2.3022777463647386</v>
      </c>
      <c r="AW337" s="1">
        <f t="shared" si="45"/>
        <v>1.4015610186379774</v>
      </c>
    </row>
    <row r="338" spans="1:49" x14ac:dyDescent="0.2">
      <c r="A338">
        <v>336</v>
      </c>
      <c r="B338" t="s">
        <v>5566</v>
      </c>
      <c r="C338" t="s">
        <v>5565</v>
      </c>
      <c r="F338" t="s">
        <v>5564</v>
      </c>
      <c r="G338" t="s">
        <v>15</v>
      </c>
      <c r="H338" t="s">
        <v>14</v>
      </c>
      <c r="I338" t="s">
        <v>5563</v>
      </c>
      <c r="J338">
        <v>60017521</v>
      </c>
      <c r="K338" t="s">
        <v>5562</v>
      </c>
      <c r="L338" t="s">
        <v>5561</v>
      </c>
      <c r="M338" t="s">
        <v>23</v>
      </c>
      <c r="N338">
        <v>4</v>
      </c>
      <c r="O338" t="s">
        <v>5560</v>
      </c>
      <c r="P338" t="s">
        <v>5559</v>
      </c>
      <c r="Q338" t="s">
        <v>5558</v>
      </c>
      <c r="R338" s="7">
        <v>32509</v>
      </c>
      <c r="S338" s="8">
        <f t="shared" si="40"/>
        <v>1989</v>
      </c>
      <c r="T338" s="8">
        <v>1989</v>
      </c>
      <c r="U338" s="8">
        <f t="shared" si="41"/>
        <v>33</v>
      </c>
      <c r="V338" s="7">
        <v>1989</v>
      </c>
      <c r="W338" t="s">
        <v>1241</v>
      </c>
      <c r="X338" s="2">
        <v>1.67</v>
      </c>
      <c r="Y338" s="6">
        <f t="shared" si="46"/>
        <v>4.4579696217399427E-2</v>
      </c>
      <c r="AA338">
        <v>1480227</v>
      </c>
      <c r="AB338">
        <v>28428</v>
      </c>
      <c r="AD338" t="s">
        <v>5</v>
      </c>
      <c r="AE338">
        <v>94</v>
      </c>
      <c r="AF338" t="s">
        <v>5557</v>
      </c>
      <c r="AI338" t="s">
        <v>5556</v>
      </c>
      <c r="AK338" t="s">
        <v>5555</v>
      </c>
      <c r="AL338">
        <v>61</v>
      </c>
      <c r="AM338" s="5">
        <f t="shared" si="42"/>
        <v>1.8484848484848484</v>
      </c>
      <c r="AN338" s="4">
        <f t="shared" si="47"/>
        <v>2.799674136289055E-3</v>
      </c>
      <c r="AO338" s="3"/>
      <c r="AP338">
        <v>0</v>
      </c>
      <c r="AR338" t="s">
        <v>0</v>
      </c>
      <c r="AT338" s="2" t="s">
        <v>19</v>
      </c>
      <c r="AU338" s="1">
        <f t="shared" si="43"/>
        <v>3.2045689593066315</v>
      </c>
      <c r="AV338" s="1">
        <f t="shared" si="44"/>
        <v>2.3689685176844244</v>
      </c>
      <c r="AW338" s="1">
        <f t="shared" si="45"/>
        <v>1.5333680760622166</v>
      </c>
    </row>
    <row r="339" spans="1:49" x14ac:dyDescent="0.2">
      <c r="A339">
        <v>337</v>
      </c>
      <c r="B339" t="s">
        <v>5554</v>
      </c>
      <c r="F339" t="s">
        <v>5553</v>
      </c>
      <c r="G339" t="s">
        <v>15</v>
      </c>
      <c r="H339" t="s">
        <v>14</v>
      </c>
      <c r="I339" t="s">
        <v>5552</v>
      </c>
      <c r="J339">
        <v>60002286</v>
      </c>
      <c r="K339" t="s">
        <v>5551</v>
      </c>
      <c r="L339" t="s">
        <v>197</v>
      </c>
      <c r="M339" t="s">
        <v>196</v>
      </c>
      <c r="N339">
        <v>1</v>
      </c>
      <c r="O339" t="s">
        <v>5550</v>
      </c>
      <c r="P339">
        <v>35618939200</v>
      </c>
      <c r="Q339">
        <v>60002286</v>
      </c>
      <c r="R339" s="7">
        <v>32509</v>
      </c>
      <c r="S339" s="8">
        <f t="shared" si="40"/>
        <v>1989</v>
      </c>
      <c r="T339" s="8">
        <v>1989</v>
      </c>
      <c r="U339" s="8">
        <f t="shared" si="41"/>
        <v>33</v>
      </c>
      <c r="V339" s="7">
        <v>1989</v>
      </c>
      <c r="W339" t="s">
        <v>5549</v>
      </c>
      <c r="X339" s="2" t="s">
        <v>19</v>
      </c>
      <c r="Y339" s="6" t="e">
        <f t="shared" si="46"/>
        <v>#VALUE!</v>
      </c>
      <c r="AB339">
        <v>30113</v>
      </c>
      <c r="AD339" t="s">
        <v>5</v>
      </c>
      <c r="AE339">
        <v>9</v>
      </c>
      <c r="AF339">
        <v>3</v>
      </c>
      <c r="AH339" t="s">
        <v>5548</v>
      </c>
      <c r="AI339" t="s">
        <v>5547</v>
      </c>
      <c r="AK339" t="s">
        <v>5546</v>
      </c>
      <c r="AL339">
        <v>4</v>
      </c>
      <c r="AM339" s="5">
        <f t="shared" si="42"/>
        <v>0.12121212121212122</v>
      </c>
      <c r="AN339" s="4">
        <f t="shared" si="47"/>
        <v>1.8358518926485606E-4</v>
      </c>
      <c r="AO339" s="3"/>
      <c r="AP339">
        <v>0</v>
      </c>
      <c r="AR339" t="s">
        <v>0</v>
      </c>
      <c r="AT339" s="2" t="s">
        <v>19</v>
      </c>
      <c r="AU339" s="1" t="e">
        <f t="shared" si="43"/>
        <v>#VALUE!</v>
      </c>
      <c r="AV339" s="1" t="e">
        <f t="shared" si="44"/>
        <v>#VALUE!</v>
      </c>
      <c r="AW339" s="1" t="e">
        <f t="shared" si="45"/>
        <v>#VALUE!</v>
      </c>
    </row>
    <row r="340" spans="1:49" x14ac:dyDescent="0.2">
      <c r="A340">
        <v>338</v>
      </c>
      <c r="B340" t="s">
        <v>5545</v>
      </c>
      <c r="F340" t="s">
        <v>5544</v>
      </c>
      <c r="G340" t="s">
        <v>15</v>
      </c>
      <c r="H340" t="s">
        <v>14</v>
      </c>
      <c r="I340" t="s">
        <v>5543</v>
      </c>
      <c r="J340">
        <v>60002324</v>
      </c>
      <c r="K340" t="s">
        <v>5542</v>
      </c>
      <c r="L340" t="s">
        <v>5541</v>
      </c>
      <c r="M340" t="s">
        <v>101</v>
      </c>
      <c r="N340">
        <v>1</v>
      </c>
      <c r="O340" t="s">
        <v>5540</v>
      </c>
      <c r="P340">
        <v>6603246762</v>
      </c>
      <c r="Q340">
        <v>60002324</v>
      </c>
      <c r="R340" s="7">
        <v>32509</v>
      </c>
      <c r="S340" s="8">
        <f t="shared" si="40"/>
        <v>1989</v>
      </c>
      <c r="T340" s="8">
        <v>1989</v>
      </c>
      <c r="U340" s="8">
        <f t="shared" si="41"/>
        <v>33</v>
      </c>
      <c r="V340" s="7">
        <v>1989</v>
      </c>
      <c r="W340" t="s">
        <v>5539</v>
      </c>
      <c r="X340" s="2" t="s">
        <v>19</v>
      </c>
      <c r="Y340" s="6" t="e">
        <f t="shared" si="46"/>
        <v>#VALUE!</v>
      </c>
      <c r="AA340">
        <v>3792285</v>
      </c>
      <c r="AB340">
        <v>34899</v>
      </c>
      <c r="AD340" t="s">
        <v>5</v>
      </c>
      <c r="AE340">
        <v>13</v>
      </c>
      <c r="AF340">
        <v>2</v>
      </c>
      <c r="AH340" t="s">
        <v>5538</v>
      </c>
      <c r="AI340" t="s">
        <v>5537</v>
      </c>
      <c r="AK340" t="s">
        <v>5536</v>
      </c>
      <c r="AL340">
        <v>1</v>
      </c>
      <c r="AM340" s="5">
        <f t="shared" si="42"/>
        <v>3.0303030303030304E-2</v>
      </c>
      <c r="AN340" s="4">
        <f t="shared" si="47"/>
        <v>4.5896297316214016E-5</v>
      </c>
      <c r="AO340" s="3"/>
      <c r="AP340">
        <v>0</v>
      </c>
      <c r="AR340" t="s">
        <v>0</v>
      </c>
      <c r="AT340" s="2" t="s">
        <v>19</v>
      </c>
      <c r="AU340" s="1" t="e">
        <f t="shared" si="43"/>
        <v>#VALUE!</v>
      </c>
      <c r="AV340" s="1" t="e">
        <f t="shared" si="44"/>
        <v>#VALUE!</v>
      </c>
      <c r="AW340" s="1" t="e">
        <f t="shared" si="45"/>
        <v>#VALUE!</v>
      </c>
    </row>
    <row r="341" spans="1:49" x14ac:dyDescent="0.2">
      <c r="A341">
        <v>339</v>
      </c>
      <c r="B341" t="s">
        <v>5535</v>
      </c>
      <c r="C341" t="s">
        <v>5534</v>
      </c>
      <c r="D341">
        <v>40816689900748</v>
      </c>
      <c r="E341">
        <v>2482552</v>
      </c>
      <c r="F341" t="s">
        <v>5533</v>
      </c>
      <c r="G341" t="s">
        <v>15</v>
      </c>
      <c r="H341" t="s">
        <v>14</v>
      </c>
      <c r="I341" t="s">
        <v>5532</v>
      </c>
      <c r="N341">
        <v>1</v>
      </c>
      <c r="O341" t="s">
        <v>5531</v>
      </c>
      <c r="P341">
        <v>7102355964</v>
      </c>
      <c r="R341" s="7">
        <v>32509</v>
      </c>
      <c r="S341" s="8">
        <f t="shared" si="40"/>
        <v>1989</v>
      </c>
      <c r="T341" s="8">
        <v>1989</v>
      </c>
      <c r="U341" s="8">
        <f t="shared" si="41"/>
        <v>33</v>
      </c>
      <c r="V341" s="7">
        <v>1989</v>
      </c>
      <c r="W341" t="s">
        <v>5530</v>
      </c>
      <c r="X341" s="2">
        <v>0.58399999999999996</v>
      </c>
      <c r="Y341" s="6">
        <f t="shared" si="46"/>
        <v>1.5589546461653453E-2</v>
      </c>
      <c r="AA341">
        <v>408166</v>
      </c>
      <c r="AB341">
        <v>19057</v>
      </c>
      <c r="AD341" t="s">
        <v>5</v>
      </c>
      <c r="AE341">
        <v>21</v>
      </c>
      <c r="AF341">
        <v>5</v>
      </c>
      <c r="AH341" t="s">
        <v>5529</v>
      </c>
      <c r="AI341" t="s">
        <v>5528</v>
      </c>
      <c r="AJ341" t="s">
        <v>5527</v>
      </c>
      <c r="AK341" t="s">
        <v>5526</v>
      </c>
      <c r="AL341">
        <v>3</v>
      </c>
      <c r="AM341" s="5">
        <f t="shared" si="42"/>
        <v>9.0909090909090912E-2</v>
      </c>
      <c r="AN341" s="4">
        <f t="shared" si="47"/>
        <v>1.3768889194864205E-4</v>
      </c>
      <c r="AO341" s="3"/>
      <c r="AP341">
        <v>0</v>
      </c>
      <c r="AR341" t="s">
        <v>0</v>
      </c>
      <c r="AT341" s="2" t="s">
        <v>19</v>
      </c>
      <c r="AU341" s="1">
        <f t="shared" si="43"/>
        <v>1.0953989190742011</v>
      </c>
      <c r="AV341" s="1">
        <f t="shared" si="44"/>
        <v>0.78636176768010468</v>
      </c>
      <c r="AW341" s="1">
        <f t="shared" si="45"/>
        <v>0.47732461628600859</v>
      </c>
    </row>
    <row r="342" spans="1:49" x14ac:dyDescent="0.2">
      <c r="A342">
        <v>340</v>
      </c>
      <c r="B342" t="s">
        <v>5525</v>
      </c>
      <c r="C342" t="s">
        <v>5524</v>
      </c>
      <c r="F342" t="s">
        <v>5523</v>
      </c>
      <c r="G342" t="s">
        <v>15</v>
      </c>
      <c r="H342" t="s">
        <v>14</v>
      </c>
      <c r="I342" t="s">
        <v>5522</v>
      </c>
      <c r="J342">
        <v>60009037</v>
      </c>
      <c r="K342" t="s">
        <v>1694</v>
      </c>
      <c r="L342" t="s">
        <v>1693</v>
      </c>
      <c r="M342" t="s">
        <v>23</v>
      </c>
      <c r="N342">
        <v>3</v>
      </c>
      <c r="O342" t="s">
        <v>5521</v>
      </c>
      <c r="P342" t="s">
        <v>5520</v>
      </c>
      <c r="Q342" t="s">
        <v>5519</v>
      </c>
      <c r="R342" s="7">
        <v>32509</v>
      </c>
      <c r="S342" s="8">
        <f t="shared" si="40"/>
        <v>1989</v>
      </c>
      <c r="T342" s="8">
        <v>1989</v>
      </c>
      <c r="U342" s="8">
        <f t="shared" si="41"/>
        <v>33</v>
      </c>
      <c r="V342" s="7">
        <v>1989</v>
      </c>
      <c r="W342" t="s">
        <v>1241</v>
      </c>
      <c r="X342" s="2">
        <v>1.67</v>
      </c>
      <c r="Y342" s="6">
        <f t="shared" si="46"/>
        <v>4.4579696217399427E-2</v>
      </c>
      <c r="AA342">
        <v>1480227</v>
      </c>
      <c r="AB342">
        <v>28428</v>
      </c>
      <c r="AD342" t="s">
        <v>5</v>
      </c>
      <c r="AE342">
        <v>94</v>
      </c>
      <c r="AF342" t="s">
        <v>5518</v>
      </c>
      <c r="AH342" t="s">
        <v>5517</v>
      </c>
      <c r="AI342" t="s">
        <v>5516</v>
      </c>
      <c r="AK342" t="s">
        <v>5515</v>
      </c>
      <c r="AL342">
        <v>1027</v>
      </c>
      <c r="AM342" s="5">
        <f t="shared" si="42"/>
        <v>31.121212121212121</v>
      </c>
      <c r="AN342" s="4">
        <f t="shared" si="47"/>
        <v>4.7135497343751789E-2</v>
      </c>
      <c r="AO342" s="3"/>
      <c r="AP342">
        <v>0</v>
      </c>
      <c r="AR342" t="s">
        <v>0</v>
      </c>
      <c r="AT342" s="2" t="s">
        <v>19</v>
      </c>
      <c r="AU342" s="1">
        <f t="shared" si="43"/>
        <v>4.5346436555305134</v>
      </c>
      <c r="AV342" s="1">
        <f t="shared" si="44"/>
        <v>4.5857596780575607</v>
      </c>
      <c r="AW342" s="1">
        <f t="shared" si="45"/>
        <v>4.636875700584608</v>
      </c>
    </row>
    <row r="343" spans="1:49" x14ac:dyDescent="0.2">
      <c r="A343">
        <v>341</v>
      </c>
      <c r="B343" t="s">
        <v>5514</v>
      </c>
      <c r="F343" t="s">
        <v>5513</v>
      </c>
      <c r="G343" t="s">
        <v>15</v>
      </c>
      <c r="H343" t="s">
        <v>14</v>
      </c>
      <c r="I343" t="s">
        <v>5512</v>
      </c>
      <c r="J343">
        <v>60019722</v>
      </c>
      <c r="K343" t="s">
        <v>2239</v>
      </c>
      <c r="L343" t="s">
        <v>493</v>
      </c>
      <c r="M343" t="s">
        <v>259</v>
      </c>
      <c r="N343">
        <v>3</v>
      </c>
      <c r="O343" t="s">
        <v>5511</v>
      </c>
      <c r="P343" t="s">
        <v>5510</v>
      </c>
      <c r="Q343" t="s">
        <v>5509</v>
      </c>
      <c r="R343" s="7">
        <v>32509</v>
      </c>
      <c r="S343" s="8">
        <f t="shared" si="40"/>
        <v>1989</v>
      </c>
      <c r="T343" s="8">
        <v>1989</v>
      </c>
      <c r="U343" s="8">
        <f t="shared" si="41"/>
        <v>33</v>
      </c>
      <c r="V343" s="7">
        <v>1989</v>
      </c>
      <c r="W343" t="s">
        <v>5508</v>
      </c>
      <c r="X343" s="2" t="s">
        <v>19</v>
      </c>
      <c r="Y343" s="6" t="e">
        <f t="shared" si="46"/>
        <v>#VALUE!</v>
      </c>
      <c r="AB343">
        <v>101745</v>
      </c>
      <c r="AD343" t="s">
        <v>5</v>
      </c>
      <c r="AE343">
        <v>6</v>
      </c>
      <c r="AH343" s="9">
        <v>44470</v>
      </c>
      <c r="AI343" t="s">
        <v>5507</v>
      </c>
      <c r="AK343" t="s">
        <v>5506</v>
      </c>
      <c r="AL343">
        <v>0</v>
      </c>
      <c r="AM343" s="5">
        <f t="shared" si="42"/>
        <v>0</v>
      </c>
      <c r="AN343" s="4">
        <f t="shared" si="47"/>
        <v>0</v>
      </c>
      <c r="AO343" s="3"/>
      <c r="AP343">
        <v>0</v>
      </c>
      <c r="AR343" t="s">
        <v>0</v>
      </c>
      <c r="AT343" s="2" t="s">
        <v>19</v>
      </c>
      <c r="AU343" s="1" t="e">
        <f t="shared" si="43"/>
        <v>#VALUE!</v>
      </c>
      <c r="AV343" s="1" t="e">
        <f t="shared" si="44"/>
        <v>#VALUE!</v>
      </c>
      <c r="AW343" s="1" t="e">
        <f t="shared" si="45"/>
        <v>#VALUE!</v>
      </c>
    </row>
    <row r="344" spans="1:49" x14ac:dyDescent="0.2">
      <c r="A344">
        <v>342</v>
      </c>
      <c r="B344" t="s">
        <v>5505</v>
      </c>
      <c r="C344" t="s">
        <v>5504</v>
      </c>
      <c r="F344" t="s">
        <v>5503</v>
      </c>
      <c r="G344" t="s">
        <v>15</v>
      </c>
      <c r="H344" t="s">
        <v>14</v>
      </c>
      <c r="I344" t="s">
        <v>5502</v>
      </c>
      <c r="J344">
        <v>101037811</v>
      </c>
      <c r="K344" t="s">
        <v>5501</v>
      </c>
      <c r="L344" t="s">
        <v>5293</v>
      </c>
      <c r="M344" t="s">
        <v>23</v>
      </c>
      <c r="N344">
        <v>3</v>
      </c>
      <c r="O344" t="s">
        <v>5500</v>
      </c>
      <c r="P344" t="s">
        <v>5499</v>
      </c>
      <c r="Q344" t="s">
        <v>5498</v>
      </c>
      <c r="R344" s="7">
        <v>32509</v>
      </c>
      <c r="S344" s="8">
        <f t="shared" si="40"/>
        <v>1989</v>
      </c>
      <c r="T344" s="8">
        <v>1989</v>
      </c>
      <c r="U344" s="8">
        <f t="shared" si="41"/>
        <v>33</v>
      </c>
      <c r="V344" s="7">
        <v>1989</v>
      </c>
      <c r="W344" t="s">
        <v>5497</v>
      </c>
      <c r="X344" s="2">
        <v>0.26400000000000001</v>
      </c>
      <c r="Y344" s="6">
        <f t="shared" si="46"/>
        <v>7.0473292223912874E-3</v>
      </c>
      <c r="AB344">
        <v>82000</v>
      </c>
      <c r="AD344" t="s">
        <v>5</v>
      </c>
      <c r="AE344">
        <v>5</v>
      </c>
      <c r="AH344" t="s">
        <v>5496</v>
      </c>
      <c r="AI344" t="s">
        <v>5495</v>
      </c>
      <c r="AK344" t="s">
        <v>5494</v>
      </c>
      <c r="AL344">
        <v>0</v>
      </c>
      <c r="AM344" s="5">
        <f t="shared" si="42"/>
        <v>0</v>
      </c>
      <c r="AN344" s="4">
        <f t="shared" si="47"/>
        <v>0</v>
      </c>
      <c r="AO344" s="3"/>
      <c r="AP344">
        <v>0</v>
      </c>
      <c r="AR344" t="s">
        <v>0</v>
      </c>
      <c r="AT344" s="2" t="s">
        <v>19</v>
      </c>
      <c r="AU344" s="1">
        <f t="shared" si="43"/>
        <v>0.49331304556739003</v>
      </c>
      <c r="AV344" s="1">
        <f t="shared" si="44"/>
        <v>0.35236646111956438</v>
      </c>
      <c r="AW344" s="1">
        <f t="shared" si="45"/>
        <v>0.21141987667173862</v>
      </c>
    </row>
    <row r="345" spans="1:49" x14ac:dyDescent="0.2">
      <c r="A345">
        <v>343</v>
      </c>
      <c r="B345" t="s">
        <v>5493</v>
      </c>
      <c r="C345" t="s">
        <v>5492</v>
      </c>
      <c r="F345" t="s">
        <v>5491</v>
      </c>
      <c r="G345" t="s">
        <v>15</v>
      </c>
      <c r="H345" t="s">
        <v>14</v>
      </c>
      <c r="I345" t="s">
        <v>5490</v>
      </c>
      <c r="J345" t="s">
        <v>5489</v>
      </c>
      <c r="K345" t="s">
        <v>5488</v>
      </c>
      <c r="L345" t="s">
        <v>5487</v>
      </c>
      <c r="M345" t="s">
        <v>3567</v>
      </c>
      <c r="N345">
        <v>1</v>
      </c>
      <c r="O345" t="s">
        <v>5486</v>
      </c>
      <c r="P345">
        <v>7006761168</v>
      </c>
      <c r="Q345" t="s">
        <v>5485</v>
      </c>
      <c r="R345" s="7">
        <v>32509</v>
      </c>
      <c r="S345" s="8">
        <f t="shared" si="40"/>
        <v>1989</v>
      </c>
      <c r="T345" s="8">
        <v>1989</v>
      </c>
      <c r="U345" s="8">
        <f t="shared" si="41"/>
        <v>33</v>
      </c>
      <c r="V345" s="7">
        <v>1989</v>
      </c>
      <c r="W345" t="s">
        <v>5465</v>
      </c>
      <c r="X345" s="2">
        <v>0.22500000000000001</v>
      </c>
      <c r="Y345" s="6">
        <f t="shared" si="46"/>
        <v>6.0062464963562111E-3</v>
      </c>
      <c r="AA345">
        <v>2726343</v>
      </c>
      <c r="AB345">
        <v>16128</v>
      </c>
      <c r="AC345" t="s">
        <v>5464</v>
      </c>
      <c r="AD345" t="s">
        <v>5</v>
      </c>
      <c r="AE345">
        <v>9</v>
      </c>
      <c r="AF345">
        <v>2</v>
      </c>
      <c r="AH345" t="s">
        <v>5484</v>
      </c>
      <c r="AI345" t="s">
        <v>5483</v>
      </c>
      <c r="AK345" t="s">
        <v>5482</v>
      </c>
      <c r="AL345">
        <v>1</v>
      </c>
      <c r="AM345" s="5">
        <f t="shared" si="42"/>
        <v>3.0303030303030304E-2</v>
      </c>
      <c r="AN345" s="4">
        <f t="shared" si="47"/>
        <v>4.5896297316214016E-5</v>
      </c>
      <c r="AO345" s="3"/>
      <c r="AP345">
        <v>0</v>
      </c>
      <c r="AR345" t="s">
        <v>0</v>
      </c>
      <c r="AT345" s="2">
        <v>1.099</v>
      </c>
      <c r="AU345" s="1">
        <f t="shared" si="43"/>
        <v>0.42181414366442121</v>
      </c>
      <c r="AV345" s="1">
        <f t="shared" si="44"/>
        <v>0.3026071396836213</v>
      </c>
      <c r="AW345" s="1">
        <f t="shared" si="45"/>
        <v>0.18340013570282129</v>
      </c>
    </row>
    <row r="346" spans="1:49" x14ac:dyDescent="0.2">
      <c r="A346">
        <v>344</v>
      </c>
      <c r="B346" t="s">
        <v>5481</v>
      </c>
      <c r="C346" t="s">
        <v>5480</v>
      </c>
      <c r="F346" t="s">
        <v>5479</v>
      </c>
      <c r="G346" t="s">
        <v>15</v>
      </c>
      <c r="H346" t="s">
        <v>14</v>
      </c>
      <c r="I346" t="s">
        <v>5478</v>
      </c>
      <c r="J346">
        <v>60025778</v>
      </c>
      <c r="K346" t="s">
        <v>1726</v>
      </c>
      <c r="L346" t="s">
        <v>1142</v>
      </c>
      <c r="M346" t="s">
        <v>23</v>
      </c>
      <c r="N346">
        <v>2</v>
      </c>
      <c r="O346" t="s">
        <v>5477</v>
      </c>
      <c r="P346" t="s">
        <v>5476</v>
      </c>
      <c r="Q346" t="s">
        <v>3640</v>
      </c>
      <c r="R346" s="7">
        <v>32509</v>
      </c>
      <c r="S346" s="8">
        <f t="shared" si="40"/>
        <v>1989</v>
      </c>
      <c r="T346" s="8">
        <v>1989</v>
      </c>
      <c r="U346" s="8">
        <f t="shared" si="41"/>
        <v>33</v>
      </c>
      <c r="V346" s="7">
        <v>1989</v>
      </c>
      <c r="W346" t="s">
        <v>5465</v>
      </c>
      <c r="X346" s="2">
        <v>0.22500000000000001</v>
      </c>
      <c r="Y346" s="6">
        <f t="shared" si="46"/>
        <v>6.0062464963562111E-3</v>
      </c>
      <c r="AA346">
        <v>2726343</v>
      </c>
      <c r="AB346">
        <v>16128</v>
      </c>
      <c r="AC346" t="s">
        <v>5464</v>
      </c>
      <c r="AD346" t="s">
        <v>5</v>
      </c>
      <c r="AE346">
        <v>9</v>
      </c>
      <c r="AF346">
        <v>2</v>
      </c>
      <c r="AH346" t="s">
        <v>5475</v>
      </c>
      <c r="AI346" t="s">
        <v>5474</v>
      </c>
      <c r="AK346" t="s">
        <v>5473</v>
      </c>
      <c r="AL346">
        <v>2</v>
      </c>
      <c r="AM346" s="5">
        <f t="shared" si="42"/>
        <v>6.0606060606060608E-2</v>
      </c>
      <c r="AN346" s="4">
        <f t="shared" si="47"/>
        <v>9.1792594632428032E-5</v>
      </c>
      <c r="AO346" s="3"/>
      <c r="AP346">
        <v>0</v>
      </c>
      <c r="AR346" t="s">
        <v>0</v>
      </c>
      <c r="AT346" s="2">
        <v>1.099</v>
      </c>
      <c r="AU346" s="1">
        <f t="shared" si="43"/>
        <v>0.42319103258390767</v>
      </c>
      <c r="AV346" s="1">
        <f t="shared" si="44"/>
        <v>0.30490195454943192</v>
      </c>
      <c r="AW346" s="1">
        <f t="shared" si="45"/>
        <v>0.18661287651495628</v>
      </c>
    </row>
    <row r="347" spans="1:49" x14ac:dyDescent="0.2">
      <c r="A347">
        <v>345</v>
      </c>
      <c r="B347" t="s">
        <v>5472</v>
      </c>
      <c r="C347" t="s">
        <v>5471</v>
      </c>
      <c r="F347" t="s">
        <v>5470</v>
      </c>
      <c r="G347" t="s">
        <v>15</v>
      </c>
      <c r="H347" t="s">
        <v>14</v>
      </c>
      <c r="I347" t="s">
        <v>5469</v>
      </c>
      <c r="J347">
        <v>60011754</v>
      </c>
      <c r="K347" t="s">
        <v>4082</v>
      </c>
      <c r="L347" t="s">
        <v>4081</v>
      </c>
      <c r="M347" t="s">
        <v>23</v>
      </c>
      <c r="N347">
        <v>2</v>
      </c>
      <c r="O347" t="s">
        <v>5468</v>
      </c>
      <c r="P347" t="s">
        <v>5467</v>
      </c>
      <c r="Q347" t="s">
        <v>5466</v>
      </c>
      <c r="R347" s="7">
        <v>32509</v>
      </c>
      <c r="S347" s="8">
        <f t="shared" si="40"/>
        <v>1989</v>
      </c>
      <c r="T347" s="8">
        <v>1989</v>
      </c>
      <c r="U347" s="8">
        <f t="shared" si="41"/>
        <v>33</v>
      </c>
      <c r="V347" s="7">
        <v>1989</v>
      </c>
      <c r="W347" t="s">
        <v>5465</v>
      </c>
      <c r="X347" s="2">
        <v>0.22500000000000001</v>
      </c>
      <c r="Y347" s="6">
        <f t="shared" si="46"/>
        <v>6.0062464963562111E-3</v>
      </c>
      <c r="AA347">
        <v>2726343</v>
      </c>
      <c r="AB347">
        <v>16128</v>
      </c>
      <c r="AC347" t="s">
        <v>5464</v>
      </c>
      <c r="AD347" t="s">
        <v>5</v>
      </c>
      <c r="AE347">
        <v>9</v>
      </c>
      <c r="AF347">
        <v>2</v>
      </c>
      <c r="AH347" t="s">
        <v>5463</v>
      </c>
      <c r="AI347" t="s">
        <v>5462</v>
      </c>
      <c r="AK347" t="s">
        <v>5461</v>
      </c>
      <c r="AL347">
        <v>0</v>
      </c>
      <c r="AM347" s="5">
        <f t="shared" si="42"/>
        <v>0</v>
      </c>
      <c r="AN347" s="4">
        <f t="shared" si="47"/>
        <v>0</v>
      </c>
      <c r="AO347" s="3"/>
      <c r="AP347">
        <v>0</v>
      </c>
      <c r="AR347" t="s">
        <v>0</v>
      </c>
      <c r="AT347" s="2">
        <v>1.099</v>
      </c>
      <c r="AU347" s="1">
        <f t="shared" si="43"/>
        <v>0.42043725474493476</v>
      </c>
      <c r="AV347" s="1">
        <f t="shared" si="44"/>
        <v>0.30031232481781056</v>
      </c>
      <c r="AW347" s="1">
        <f t="shared" si="45"/>
        <v>0.18018739489068633</v>
      </c>
    </row>
    <row r="348" spans="1:49" x14ac:dyDescent="0.2">
      <c r="A348">
        <v>346</v>
      </c>
      <c r="B348" t="s">
        <v>5460</v>
      </c>
      <c r="C348" t="s">
        <v>5459</v>
      </c>
      <c r="F348" t="s">
        <v>5458</v>
      </c>
      <c r="G348" t="s">
        <v>15</v>
      </c>
      <c r="H348" t="s">
        <v>14</v>
      </c>
      <c r="I348" t="s">
        <v>5457</v>
      </c>
      <c r="J348" t="s">
        <v>5456</v>
      </c>
      <c r="K348" t="s">
        <v>5455</v>
      </c>
      <c r="L348" t="s">
        <v>5454</v>
      </c>
      <c r="M348" t="s">
        <v>86</v>
      </c>
      <c r="N348">
        <v>1</v>
      </c>
      <c r="O348" t="s">
        <v>5453</v>
      </c>
      <c r="P348">
        <v>7401755548</v>
      </c>
      <c r="Q348" t="s">
        <v>5452</v>
      </c>
      <c r="R348" s="7">
        <v>32509</v>
      </c>
      <c r="S348" s="8">
        <f t="shared" si="40"/>
        <v>1989</v>
      </c>
      <c r="T348" s="8">
        <v>1989</v>
      </c>
      <c r="U348" s="8">
        <f t="shared" si="41"/>
        <v>33</v>
      </c>
      <c r="V348" s="7" t="s">
        <v>5289</v>
      </c>
      <c r="W348" t="s">
        <v>1950</v>
      </c>
      <c r="X348" s="2">
        <v>1.573</v>
      </c>
      <c r="Y348" s="6">
        <f t="shared" si="46"/>
        <v>4.1990336616748086E-2</v>
      </c>
      <c r="AA348">
        <v>7315090</v>
      </c>
      <c r="AB348">
        <v>29586</v>
      </c>
      <c r="AD348" t="s">
        <v>5</v>
      </c>
      <c r="AE348">
        <v>12</v>
      </c>
      <c r="AF348">
        <v>6</v>
      </c>
      <c r="AH348" t="s">
        <v>5451</v>
      </c>
      <c r="AI348" t="s">
        <v>5450</v>
      </c>
      <c r="AK348" t="s">
        <v>5449</v>
      </c>
      <c r="AL348">
        <v>9</v>
      </c>
      <c r="AM348" s="5">
        <f t="shared" si="42"/>
        <v>0.27272727272727271</v>
      </c>
      <c r="AN348" s="4">
        <f t="shared" si="47"/>
        <v>4.1306667584592612E-4</v>
      </c>
      <c r="AO348" s="3"/>
      <c r="AP348">
        <v>0</v>
      </c>
      <c r="AR348" t="s">
        <v>0</v>
      </c>
      <c r="AT348" s="2" t="s">
        <v>19</v>
      </c>
      <c r="AU348" s="1">
        <f t="shared" si="43"/>
        <v>2.9517155634477441</v>
      </c>
      <c r="AV348" s="1">
        <f t="shared" si="44"/>
        <v>2.1201701646297004</v>
      </c>
      <c r="AW348" s="1">
        <f t="shared" si="45"/>
        <v>1.2886247658116574</v>
      </c>
    </row>
    <row r="349" spans="1:49" x14ac:dyDescent="0.2">
      <c r="A349">
        <v>347</v>
      </c>
      <c r="B349" t="s">
        <v>5448</v>
      </c>
      <c r="C349" t="s">
        <v>5447</v>
      </c>
      <c r="F349" t="s">
        <v>5446</v>
      </c>
      <c r="G349" t="s">
        <v>15</v>
      </c>
      <c r="H349" t="s">
        <v>14</v>
      </c>
      <c r="I349" t="s">
        <v>5445</v>
      </c>
      <c r="J349">
        <v>60023456</v>
      </c>
      <c r="K349" t="s">
        <v>1022</v>
      </c>
      <c r="L349" t="s">
        <v>1021</v>
      </c>
      <c r="M349" t="s">
        <v>23</v>
      </c>
      <c r="N349">
        <v>2</v>
      </c>
      <c r="O349" t="s">
        <v>5444</v>
      </c>
      <c r="P349" t="s">
        <v>5443</v>
      </c>
      <c r="Q349" t="s">
        <v>5442</v>
      </c>
      <c r="R349" s="7">
        <v>32509</v>
      </c>
      <c r="S349" s="8">
        <f t="shared" si="40"/>
        <v>1989</v>
      </c>
      <c r="T349" s="8">
        <v>1989</v>
      </c>
      <c r="U349" s="8">
        <f t="shared" si="41"/>
        <v>33</v>
      </c>
      <c r="V349" s="7">
        <v>32813</v>
      </c>
      <c r="W349" t="s">
        <v>1599</v>
      </c>
      <c r="X349" s="2">
        <v>1.365</v>
      </c>
      <c r="Y349" s="6">
        <f t="shared" si="46"/>
        <v>3.6437895411227675E-2</v>
      </c>
      <c r="AA349">
        <v>189545</v>
      </c>
      <c r="AB349">
        <v>17393</v>
      </c>
      <c r="AC349">
        <v>19399359</v>
      </c>
      <c r="AD349" t="s">
        <v>5</v>
      </c>
      <c r="AE349">
        <v>38</v>
      </c>
      <c r="AF349">
        <v>4</v>
      </c>
      <c r="AH349" t="s">
        <v>5441</v>
      </c>
      <c r="AI349" t="s">
        <v>5440</v>
      </c>
      <c r="AK349" t="s">
        <v>5439</v>
      </c>
      <c r="AL349">
        <v>14</v>
      </c>
      <c r="AM349" s="5">
        <f t="shared" si="42"/>
        <v>0.42424242424242425</v>
      </c>
      <c r="AN349" s="4">
        <f t="shared" si="47"/>
        <v>6.4254816242699617E-4</v>
      </c>
      <c r="AO349" s="3"/>
      <c r="AP349">
        <v>0</v>
      </c>
      <c r="AR349" t="s">
        <v>0</v>
      </c>
      <c r="AT349" s="2" t="s">
        <v>19</v>
      </c>
      <c r="AU349" s="1">
        <f t="shared" si="43"/>
        <v>2.5699291236587469</v>
      </c>
      <c r="AV349" s="1">
        <f t="shared" si="44"/>
        <v>1.8540221786827336</v>
      </c>
      <c r="AW349" s="1">
        <f t="shared" si="45"/>
        <v>1.13811523370672</v>
      </c>
    </row>
    <row r="350" spans="1:49" x14ac:dyDescent="0.2">
      <c r="A350">
        <v>348</v>
      </c>
      <c r="B350" t="s">
        <v>5438</v>
      </c>
      <c r="C350" t="s">
        <v>5437</v>
      </c>
      <c r="F350" t="s">
        <v>5436</v>
      </c>
      <c r="G350" t="s">
        <v>15</v>
      </c>
      <c r="H350" t="s">
        <v>14</v>
      </c>
      <c r="I350" t="s">
        <v>3463</v>
      </c>
      <c r="J350" t="s">
        <v>3462</v>
      </c>
      <c r="K350" t="s">
        <v>3461</v>
      </c>
      <c r="L350" t="s">
        <v>3460</v>
      </c>
      <c r="M350" t="s">
        <v>86</v>
      </c>
      <c r="N350">
        <v>4</v>
      </c>
      <c r="O350" t="s">
        <v>5435</v>
      </c>
      <c r="P350" t="s">
        <v>5434</v>
      </c>
      <c r="Q350" t="s">
        <v>5433</v>
      </c>
      <c r="R350" s="7">
        <v>32509</v>
      </c>
      <c r="S350" s="8">
        <f t="shared" si="40"/>
        <v>1989</v>
      </c>
      <c r="T350" s="8">
        <v>1989</v>
      </c>
      <c r="U350" s="8">
        <f t="shared" si="41"/>
        <v>33</v>
      </c>
      <c r="V350" s="7">
        <v>32813</v>
      </c>
      <c r="W350" t="s">
        <v>778</v>
      </c>
      <c r="X350" s="2">
        <v>1.6519999999999999</v>
      </c>
      <c r="Y350" s="6">
        <f t="shared" si="46"/>
        <v>4.409919649769093E-2</v>
      </c>
      <c r="AA350" t="s">
        <v>777</v>
      </c>
      <c r="AB350">
        <v>17337</v>
      </c>
      <c r="AC350">
        <v>15582221</v>
      </c>
      <c r="AD350" t="s">
        <v>5</v>
      </c>
      <c r="AE350">
        <v>37</v>
      </c>
      <c r="AF350">
        <v>11</v>
      </c>
      <c r="AH350" t="s">
        <v>5432</v>
      </c>
      <c r="AI350" t="s">
        <v>5431</v>
      </c>
      <c r="AK350" t="s">
        <v>5430</v>
      </c>
      <c r="AL350">
        <v>8</v>
      </c>
      <c r="AM350" s="5">
        <f t="shared" si="42"/>
        <v>0.24242424242424243</v>
      </c>
      <c r="AN350" s="4">
        <f t="shared" si="47"/>
        <v>3.6717037852971213E-4</v>
      </c>
      <c r="AO350" s="3"/>
      <c r="AP350">
        <v>0</v>
      </c>
      <c r="AR350" t="s">
        <v>0</v>
      </c>
      <c r="AT350" s="2" t="s">
        <v>19</v>
      </c>
      <c r="AU350" s="1">
        <f t="shared" si="43"/>
        <v>3.0979588661942565</v>
      </c>
      <c r="AV350" s="1">
        <f t="shared" si="44"/>
        <v>2.2233183438110324</v>
      </c>
      <c r="AW350" s="1">
        <f t="shared" si="45"/>
        <v>1.3486778214278077</v>
      </c>
    </row>
    <row r="351" spans="1:49" x14ac:dyDescent="0.2">
      <c r="A351">
        <v>349</v>
      </c>
      <c r="B351" t="s">
        <v>5429</v>
      </c>
      <c r="C351" t="s">
        <v>5428</v>
      </c>
      <c r="F351" t="s">
        <v>5427</v>
      </c>
      <c r="G351" t="s">
        <v>15</v>
      </c>
      <c r="H351" t="s">
        <v>14</v>
      </c>
      <c r="I351" t="s">
        <v>5426</v>
      </c>
      <c r="J351">
        <v>60009037</v>
      </c>
      <c r="K351" t="s">
        <v>1694</v>
      </c>
      <c r="L351" t="s">
        <v>1693</v>
      </c>
      <c r="M351" t="s">
        <v>23</v>
      </c>
      <c r="N351">
        <v>2</v>
      </c>
      <c r="O351" t="s">
        <v>5425</v>
      </c>
      <c r="P351" t="s">
        <v>5424</v>
      </c>
      <c r="Q351" t="s">
        <v>1690</v>
      </c>
      <c r="R351" s="7">
        <v>32509</v>
      </c>
      <c r="S351" s="8">
        <f t="shared" si="40"/>
        <v>1989</v>
      </c>
      <c r="T351" s="8">
        <v>1989</v>
      </c>
      <c r="U351" s="8">
        <f t="shared" si="41"/>
        <v>33</v>
      </c>
      <c r="V351" s="7">
        <v>32813</v>
      </c>
      <c r="W351" t="s">
        <v>853</v>
      </c>
      <c r="X351" s="2">
        <v>2.141</v>
      </c>
      <c r="Y351" s="6">
        <f t="shared" si="46"/>
        <v>5.7152772216438434E-2</v>
      </c>
      <c r="AA351">
        <v>1962892</v>
      </c>
      <c r="AB351">
        <v>17360</v>
      </c>
      <c r="AC351">
        <v>15580644</v>
      </c>
      <c r="AD351" t="s">
        <v>5</v>
      </c>
      <c r="AE351">
        <v>27</v>
      </c>
      <c r="AF351">
        <v>6</v>
      </c>
      <c r="AH351" t="s">
        <v>5423</v>
      </c>
      <c r="AI351" t="s">
        <v>5422</v>
      </c>
      <c r="AK351" t="s">
        <v>5421</v>
      </c>
      <c r="AL351">
        <v>38</v>
      </c>
      <c r="AM351" s="5">
        <f t="shared" si="42"/>
        <v>1.1515151515151516</v>
      </c>
      <c r="AN351" s="4">
        <f t="shared" si="47"/>
        <v>1.7440592980161327E-3</v>
      </c>
      <c r="AO351" s="3"/>
      <c r="AP351">
        <v>0</v>
      </c>
      <c r="AR351" t="s">
        <v>0</v>
      </c>
      <c r="AT351" s="2" t="s">
        <v>19</v>
      </c>
      <c r="AU351" s="1">
        <f t="shared" si="43"/>
        <v>4.0530158340911742</v>
      </c>
      <c r="AV351" s="1">
        <f t="shared" si="44"/>
        <v>2.9448415757227284</v>
      </c>
      <c r="AW351" s="1">
        <f t="shared" si="45"/>
        <v>1.8366673173542822</v>
      </c>
    </row>
    <row r="352" spans="1:49" x14ac:dyDescent="0.2">
      <c r="A352">
        <v>350</v>
      </c>
      <c r="B352" t="s">
        <v>5420</v>
      </c>
      <c r="C352" t="s">
        <v>5419</v>
      </c>
      <c r="F352" t="s">
        <v>5418</v>
      </c>
      <c r="G352" t="s">
        <v>15</v>
      </c>
      <c r="H352" t="s">
        <v>14</v>
      </c>
      <c r="I352" t="s">
        <v>5417</v>
      </c>
      <c r="J352" t="s">
        <v>5412</v>
      </c>
      <c r="K352" t="s">
        <v>5416</v>
      </c>
      <c r="L352" t="s">
        <v>5415</v>
      </c>
      <c r="M352" t="s">
        <v>86</v>
      </c>
      <c r="N352">
        <v>2</v>
      </c>
      <c r="O352" t="s">
        <v>5414</v>
      </c>
      <c r="P352" t="s">
        <v>5413</v>
      </c>
      <c r="Q352" t="s">
        <v>5412</v>
      </c>
      <c r="R352" s="7">
        <v>32509</v>
      </c>
      <c r="S352" s="8">
        <f t="shared" si="40"/>
        <v>1989</v>
      </c>
      <c r="T352" s="8">
        <v>1989</v>
      </c>
      <c r="U352" s="8">
        <f t="shared" si="41"/>
        <v>33</v>
      </c>
      <c r="V352" s="7">
        <v>32813</v>
      </c>
      <c r="W352" t="s">
        <v>778</v>
      </c>
      <c r="X352" s="2">
        <v>1.6519999999999999</v>
      </c>
      <c r="Y352" s="6">
        <f t="shared" si="46"/>
        <v>4.409919649769093E-2</v>
      </c>
      <c r="AA352" t="s">
        <v>777</v>
      </c>
      <c r="AB352">
        <v>17337</v>
      </c>
      <c r="AC352">
        <v>15582221</v>
      </c>
      <c r="AD352" t="s">
        <v>5</v>
      </c>
      <c r="AE352">
        <v>37</v>
      </c>
      <c r="AF352">
        <v>11</v>
      </c>
      <c r="AH352" t="s">
        <v>5411</v>
      </c>
      <c r="AI352" t="s">
        <v>5410</v>
      </c>
      <c r="AK352" t="s">
        <v>5409</v>
      </c>
      <c r="AL352">
        <v>3</v>
      </c>
      <c r="AM352" s="5">
        <f t="shared" si="42"/>
        <v>9.0909090909090912E-2</v>
      </c>
      <c r="AN352" s="4">
        <f t="shared" si="47"/>
        <v>1.3768889194864205E-4</v>
      </c>
      <c r="AO352" s="3"/>
      <c r="AP352">
        <v>0</v>
      </c>
      <c r="AR352" t="s">
        <v>0</v>
      </c>
      <c r="AT352" s="2" t="s">
        <v>19</v>
      </c>
      <c r="AU352" s="1">
        <f t="shared" si="43"/>
        <v>3.0910744215968244</v>
      </c>
      <c r="AV352" s="1">
        <f t="shared" si="44"/>
        <v>2.2118442694819787</v>
      </c>
      <c r="AW352" s="1">
        <f t="shared" si="45"/>
        <v>1.3326141173671326</v>
      </c>
    </row>
    <row r="353" spans="1:49" x14ac:dyDescent="0.2">
      <c r="A353">
        <v>351</v>
      </c>
      <c r="B353" t="s">
        <v>5408</v>
      </c>
      <c r="C353" t="s">
        <v>5407</v>
      </c>
      <c r="F353" t="s">
        <v>5406</v>
      </c>
      <c r="G353" t="s">
        <v>15</v>
      </c>
      <c r="H353" t="s">
        <v>14</v>
      </c>
      <c r="I353" t="s">
        <v>5405</v>
      </c>
      <c r="J353">
        <v>106741819</v>
      </c>
      <c r="K353" t="s">
        <v>5404</v>
      </c>
      <c r="L353" t="s">
        <v>5403</v>
      </c>
      <c r="M353" t="s">
        <v>23</v>
      </c>
      <c r="N353">
        <v>1</v>
      </c>
      <c r="O353" t="s">
        <v>5402</v>
      </c>
      <c r="P353">
        <v>7003568836</v>
      </c>
      <c r="Q353">
        <v>106741819</v>
      </c>
      <c r="R353" s="7">
        <v>32509</v>
      </c>
      <c r="S353" s="8">
        <f t="shared" si="40"/>
        <v>1989</v>
      </c>
      <c r="T353" s="8">
        <v>1989</v>
      </c>
      <c r="U353" s="8">
        <f t="shared" si="41"/>
        <v>33</v>
      </c>
      <c r="V353" s="7">
        <v>32813</v>
      </c>
      <c r="W353" t="s">
        <v>943</v>
      </c>
      <c r="X353" s="2">
        <v>0.30399999999999999</v>
      </c>
      <c r="Y353" s="6">
        <f t="shared" si="46"/>
        <v>8.115106377299057E-3</v>
      </c>
      <c r="AA353">
        <v>8952477</v>
      </c>
      <c r="AB353">
        <v>12250</v>
      </c>
      <c r="AC353">
        <v>10982760</v>
      </c>
      <c r="AD353" t="s">
        <v>5</v>
      </c>
      <c r="AE353">
        <v>2</v>
      </c>
      <c r="AF353">
        <v>11</v>
      </c>
      <c r="AH353" t="s">
        <v>5401</v>
      </c>
      <c r="AI353" t="s">
        <v>5400</v>
      </c>
      <c r="AJ353" t="s">
        <v>5399</v>
      </c>
      <c r="AK353" t="s">
        <v>5398</v>
      </c>
      <c r="AL353">
        <v>0</v>
      </c>
      <c r="AM353" s="5">
        <f t="shared" si="42"/>
        <v>0</v>
      </c>
      <c r="AN353" s="4">
        <f t="shared" si="47"/>
        <v>0</v>
      </c>
      <c r="AO353" s="3"/>
      <c r="AP353">
        <v>0</v>
      </c>
      <c r="AR353" t="s">
        <v>0</v>
      </c>
      <c r="AT353" s="2" t="s">
        <v>19</v>
      </c>
      <c r="AU353" s="1">
        <f t="shared" si="43"/>
        <v>0.56805744641093392</v>
      </c>
      <c r="AV353" s="1">
        <f t="shared" si="44"/>
        <v>0.40575531886495286</v>
      </c>
      <c r="AW353" s="1">
        <f t="shared" si="45"/>
        <v>0.24345319131897172</v>
      </c>
    </row>
    <row r="354" spans="1:49" x14ac:dyDescent="0.2">
      <c r="A354">
        <v>352</v>
      </c>
      <c r="B354" t="s">
        <v>5397</v>
      </c>
      <c r="C354" t="s">
        <v>5396</v>
      </c>
      <c r="F354" t="s">
        <v>5395</v>
      </c>
      <c r="G354" t="s">
        <v>15</v>
      </c>
      <c r="H354" t="s">
        <v>14</v>
      </c>
      <c r="I354" t="s">
        <v>5394</v>
      </c>
      <c r="J354">
        <v>60022403</v>
      </c>
      <c r="K354" t="s">
        <v>3061</v>
      </c>
      <c r="L354" t="s">
        <v>3060</v>
      </c>
      <c r="M354" t="s">
        <v>1940</v>
      </c>
      <c r="N354">
        <v>2</v>
      </c>
      <c r="O354" t="s">
        <v>5393</v>
      </c>
      <c r="P354" t="s">
        <v>5392</v>
      </c>
      <c r="Q354" t="s">
        <v>5391</v>
      </c>
      <c r="R354" s="7">
        <v>32509</v>
      </c>
      <c r="S354" s="8">
        <f t="shared" si="40"/>
        <v>1989</v>
      </c>
      <c r="T354" s="8">
        <v>1989</v>
      </c>
      <c r="U354" s="8">
        <f t="shared" si="41"/>
        <v>33</v>
      </c>
      <c r="V354" s="7">
        <v>32813</v>
      </c>
      <c r="W354" t="s">
        <v>1813</v>
      </c>
      <c r="X354" s="2">
        <v>0.91600000000000004</v>
      </c>
      <c r="Y354" s="6">
        <f t="shared" si="46"/>
        <v>2.4452096847387951E-2</v>
      </c>
      <c r="AA354">
        <v>189359</v>
      </c>
      <c r="AB354">
        <v>17344</v>
      </c>
      <c r="AC354">
        <v>15579638</v>
      </c>
      <c r="AD354" t="s">
        <v>5</v>
      </c>
      <c r="AE354">
        <v>32</v>
      </c>
      <c r="AF354">
        <v>4</v>
      </c>
      <c r="AH354" t="s">
        <v>5390</v>
      </c>
      <c r="AI354" t="s">
        <v>5389</v>
      </c>
      <c r="AK354" t="s">
        <v>5388</v>
      </c>
      <c r="AL354">
        <v>0</v>
      </c>
      <c r="AM354" s="5">
        <f t="shared" si="42"/>
        <v>0</v>
      </c>
      <c r="AN354" s="4">
        <f t="shared" si="47"/>
        <v>0</v>
      </c>
      <c r="AO354" s="3"/>
      <c r="AP354">
        <v>0</v>
      </c>
      <c r="AR354" t="s">
        <v>0</v>
      </c>
      <c r="AT354" s="2">
        <v>2.1160000000000001</v>
      </c>
      <c r="AU354" s="1">
        <f t="shared" si="43"/>
        <v>1.7116467793171564</v>
      </c>
      <c r="AV354" s="1">
        <f t="shared" si="44"/>
        <v>1.2226048423693976</v>
      </c>
      <c r="AW354" s="1">
        <f t="shared" si="45"/>
        <v>0.73356290542163849</v>
      </c>
    </row>
    <row r="355" spans="1:49" x14ac:dyDescent="0.2">
      <c r="A355">
        <v>353</v>
      </c>
      <c r="B355" t="s">
        <v>5387</v>
      </c>
      <c r="C355" t="s">
        <v>5386</v>
      </c>
      <c r="F355" t="s">
        <v>5385</v>
      </c>
      <c r="G355" t="s">
        <v>15</v>
      </c>
      <c r="H355" t="s">
        <v>14</v>
      </c>
      <c r="I355" t="s">
        <v>5384</v>
      </c>
      <c r="J355">
        <v>60027561</v>
      </c>
      <c r="K355" t="s">
        <v>5383</v>
      </c>
      <c r="L355" t="s">
        <v>1746</v>
      </c>
      <c r="M355" t="s">
        <v>23</v>
      </c>
      <c r="N355">
        <v>2</v>
      </c>
      <c r="O355" t="s">
        <v>5382</v>
      </c>
      <c r="P355" t="s">
        <v>5381</v>
      </c>
      <c r="Q355" t="s">
        <v>5380</v>
      </c>
      <c r="R355" s="7">
        <v>32509</v>
      </c>
      <c r="S355" s="8">
        <f t="shared" si="40"/>
        <v>1989</v>
      </c>
      <c r="T355" s="8">
        <v>1989</v>
      </c>
      <c r="U355" s="8">
        <f t="shared" si="41"/>
        <v>33</v>
      </c>
      <c r="V355" s="7" t="s">
        <v>5289</v>
      </c>
      <c r="W355" t="s">
        <v>1950</v>
      </c>
      <c r="X355" s="2">
        <v>1.573</v>
      </c>
      <c r="Y355" s="6">
        <f t="shared" si="46"/>
        <v>4.1990336616748086E-2</v>
      </c>
      <c r="AA355">
        <v>7315090</v>
      </c>
      <c r="AB355">
        <v>29586</v>
      </c>
      <c r="AD355" t="s">
        <v>5</v>
      </c>
      <c r="AE355">
        <v>12</v>
      </c>
      <c r="AF355">
        <v>6</v>
      </c>
      <c r="AH355" t="s">
        <v>5379</v>
      </c>
      <c r="AI355" t="s">
        <v>5378</v>
      </c>
      <c r="AK355" t="s">
        <v>5377</v>
      </c>
      <c r="AL355">
        <v>32</v>
      </c>
      <c r="AM355" s="5">
        <f t="shared" si="42"/>
        <v>0.96969696969696972</v>
      </c>
      <c r="AN355" s="4">
        <f t="shared" si="47"/>
        <v>1.4686815141188485E-3</v>
      </c>
      <c r="AO355" s="3"/>
      <c r="AP355">
        <v>0</v>
      </c>
      <c r="AR355" t="s">
        <v>0</v>
      </c>
      <c r="AT355" s="2" t="s">
        <v>19</v>
      </c>
      <c r="AU355" s="1">
        <f t="shared" si="43"/>
        <v>2.9833840085959311</v>
      </c>
      <c r="AV355" s="1">
        <f t="shared" si="44"/>
        <v>2.1729509065433468</v>
      </c>
      <c r="AW355" s="1">
        <f t="shared" si="45"/>
        <v>1.362517804490762</v>
      </c>
    </row>
    <row r="356" spans="1:49" x14ac:dyDescent="0.2">
      <c r="A356">
        <v>354</v>
      </c>
      <c r="B356" t="s">
        <v>5376</v>
      </c>
      <c r="C356" t="s">
        <v>5375</v>
      </c>
      <c r="F356" t="s">
        <v>5374</v>
      </c>
      <c r="G356" t="s">
        <v>15</v>
      </c>
      <c r="H356" t="s">
        <v>14</v>
      </c>
      <c r="I356" t="s">
        <v>5367</v>
      </c>
      <c r="J356" t="s">
        <v>5366</v>
      </c>
      <c r="K356" t="s">
        <v>5365</v>
      </c>
      <c r="L356" t="s">
        <v>5364</v>
      </c>
      <c r="M356" t="s">
        <v>86</v>
      </c>
      <c r="N356">
        <v>2</v>
      </c>
      <c r="O356" t="s">
        <v>5363</v>
      </c>
      <c r="P356" t="s">
        <v>5362</v>
      </c>
      <c r="Q356" t="s">
        <v>5361</v>
      </c>
      <c r="R356" s="7">
        <v>32509</v>
      </c>
      <c r="S356" s="8">
        <f t="shared" ref="S356:S419" si="48">YEAR(R356)</f>
        <v>1989</v>
      </c>
      <c r="T356" s="8">
        <v>1989</v>
      </c>
      <c r="U356" s="8">
        <f t="shared" ref="U356:U419" si="49">2022-T356</f>
        <v>33</v>
      </c>
      <c r="V356" s="7">
        <v>32813</v>
      </c>
      <c r="W356" t="s">
        <v>778</v>
      </c>
      <c r="X356" s="2">
        <v>1.6519999999999999</v>
      </c>
      <c r="Y356" s="6">
        <f t="shared" si="46"/>
        <v>4.409919649769093E-2</v>
      </c>
      <c r="AA356" t="s">
        <v>777</v>
      </c>
      <c r="AB356">
        <v>17337</v>
      </c>
      <c r="AC356">
        <v>15582221</v>
      </c>
      <c r="AD356" t="s">
        <v>5</v>
      </c>
      <c r="AE356">
        <v>37</v>
      </c>
      <c r="AF356">
        <v>11</v>
      </c>
      <c r="AH356" t="s">
        <v>5373</v>
      </c>
      <c r="AI356" t="s">
        <v>5372</v>
      </c>
      <c r="AK356" t="s">
        <v>5371</v>
      </c>
      <c r="AL356">
        <v>4</v>
      </c>
      <c r="AM356" s="5">
        <f t="shared" ref="AM356:AM419" si="50">AL356/U356</f>
        <v>0.12121212121212122</v>
      </c>
      <c r="AN356" s="4">
        <f t="shared" si="47"/>
        <v>1.8358518926485606E-4</v>
      </c>
      <c r="AO356" s="3"/>
      <c r="AP356">
        <v>0</v>
      </c>
      <c r="AR356" t="s">
        <v>0</v>
      </c>
      <c r="AT356" s="2" t="s">
        <v>19</v>
      </c>
      <c r="AU356" s="1">
        <f t="shared" ref="AU356:AU419" si="51">(Y356*0.7+AN356*0.3)*100</f>
        <v>3.0924513105163109</v>
      </c>
      <c r="AV356" s="1">
        <f t="shared" ref="AV356:AV419" si="52">(Y356*0.5+AN356*0.5)*100</f>
        <v>2.2141390843477891</v>
      </c>
      <c r="AW356" s="1">
        <f t="shared" ref="AW356:AW419" si="53">(Y356*0.3+AN356*0.7)*100</f>
        <v>1.3358268581792678</v>
      </c>
    </row>
    <row r="357" spans="1:49" x14ac:dyDescent="0.2">
      <c r="A357">
        <v>355</v>
      </c>
      <c r="B357" t="s">
        <v>5370</v>
      </c>
      <c r="C357" t="s">
        <v>5369</v>
      </c>
      <c r="F357" t="s">
        <v>5368</v>
      </c>
      <c r="G357" t="s">
        <v>15</v>
      </c>
      <c r="H357" t="s">
        <v>14</v>
      </c>
      <c r="I357" t="s">
        <v>5367</v>
      </c>
      <c r="J357" t="s">
        <v>5366</v>
      </c>
      <c r="K357" t="s">
        <v>5365</v>
      </c>
      <c r="L357" t="s">
        <v>5364</v>
      </c>
      <c r="M357" t="s">
        <v>86</v>
      </c>
      <c r="N357">
        <v>2</v>
      </c>
      <c r="O357" t="s">
        <v>5363</v>
      </c>
      <c r="P357" t="s">
        <v>5362</v>
      </c>
      <c r="Q357" t="s">
        <v>5361</v>
      </c>
      <c r="R357" s="7">
        <v>32509</v>
      </c>
      <c r="S357" s="8">
        <f t="shared" si="48"/>
        <v>1989</v>
      </c>
      <c r="T357" s="8">
        <v>1989</v>
      </c>
      <c r="U357" s="8">
        <f t="shared" si="49"/>
        <v>33</v>
      </c>
      <c r="V357" s="7">
        <v>32813</v>
      </c>
      <c r="W357" t="s">
        <v>778</v>
      </c>
      <c r="X357" s="2">
        <v>1.6519999999999999</v>
      </c>
      <c r="Y357" s="6">
        <f t="shared" si="46"/>
        <v>4.409919649769093E-2</v>
      </c>
      <c r="AA357" t="s">
        <v>777</v>
      </c>
      <c r="AB357">
        <v>17337</v>
      </c>
      <c r="AC357">
        <v>15582221</v>
      </c>
      <c r="AD357" t="s">
        <v>5</v>
      </c>
      <c r="AE357">
        <v>37</v>
      </c>
      <c r="AF357">
        <v>11</v>
      </c>
      <c r="AH357" t="s">
        <v>5360</v>
      </c>
      <c r="AI357" t="s">
        <v>5359</v>
      </c>
      <c r="AK357" t="s">
        <v>5358</v>
      </c>
      <c r="AL357">
        <v>7</v>
      </c>
      <c r="AM357" s="5">
        <f t="shared" si="50"/>
        <v>0.21212121212121213</v>
      </c>
      <c r="AN357" s="4">
        <f t="shared" si="47"/>
        <v>3.2127408121349809E-4</v>
      </c>
      <c r="AO357" s="3"/>
      <c r="AP357">
        <v>0</v>
      </c>
      <c r="AR357" t="s">
        <v>0</v>
      </c>
      <c r="AT357" s="2" t="s">
        <v>19</v>
      </c>
      <c r="AU357" s="1">
        <f t="shared" si="51"/>
        <v>3.09658197727477</v>
      </c>
      <c r="AV357" s="1">
        <f t="shared" si="52"/>
        <v>2.2210235289452216</v>
      </c>
      <c r="AW357" s="1">
        <f t="shared" si="53"/>
        <v>1.3454650806156727</v>
      </c>
    </row>
    <row r="358" spans="1:49" x14ac:dyDescent="0.2">
      <c r="A358">
        <v>356</v>
      </c>
      <c r="B358" t="s">
        <v>5357</v>
      </c>
      <c r="C358" t="s">
        <v>5356</v>
      </c>
      <c r="F358" t="s">
        <v>5355</v>
      </c>
      <c r="G358" t="s">
        <v>15</v>
      </c>
      <c r="H358" t="s">
        <v>14</v>
      </c>
      <c r="I358" t="s">
        <v>4798</v>
      </c>
      <c r="N358">
        <v>1</v>
      </c>
      <c r="O358" t="s">
        <v>4797</v>
      </c>
      <c r="P358">
        <v>6603095802</v>
      </c>
      <c r="R358" s="7">
        <v>32509</v>
      </c>
      <c r="S358" s="8">
        <f t="shared" si="48"/>
        <v>1989</v>
      </c>
      <c r="T358" s="8">
        <v>1989</v>
      </c>
      <c r="U358" s="8">
        <f t="shared" si="49"/>
        <v>33</v>
      </c>
      <c r="V358" s="7">
        <v>1989</v>
      </c>
      <c r="W358" t="s">
        <v>4796</v>
      </c>
      <c r="X358" s="2" t="s">
        <v>19</v>
      </c>
      <c r="Y358" s="6" t="e">
        <f t="shared" si="46"/>
        <v>#VALUE!</v>
      </c>
      <c r="AA358">
        <v>3875024</v>
      </c>
      <c r="AB358">
        <v>110132</v>
      </c>
      <c r="AD358" t="s">
        <v>5</v>
      </c>
      <c r="AE358">
        <v>55</v>
      </c>
      <c r="AF358">
        <v>519</v>
      </c>
      <c r="AH358" t="s">
        <v>5354</v>
      </c>
      <c r="AI358" t="s">
        <v>5353</v>
      </c>
      <c r="AJ358" t="s">
        <v>5352</v>
      </c>
      <c r="AK358" t="s">
        <v>5351</v>
      </c>
      <c r="AL358">
        <v>0</v>
      </c>
      <c r="AM358" s="5">
        <f t="shared" si="50"/>
        <v>0</v>
      </c>
      <c r="AN358" s="4">
        <f t="shared" si="47"/>
        <v>0</v>
      </c>
      <c r="AO358" s="3"/>
      <c r="AP358">
        <v>1</v>
      </c>
      <c r="AR358" t="s">
        <v>0</v>
      </c>
      <c r="AT358" s="2" t="s">
        <v>19</v>
      </c>
      <c r="AU358" s="1" t="e">
        <f t="shared" si="51"/>
        <v>#VALUE!</v>
      </c>
      <c r="AV358" s="1" t="e">
        <f t="shared" si="52"/>
        <v>#VALUE!</v>
      </c>
      <c r="AW358" s="1" t="e">
        <f t="shared" si="53"/>
        <v>#VALUE!</v>
      </c>
    </row>
    <row r="359" spans="1:49" x14ac:dyDescent="0.2">
      <c r="A359">
        <v>357</v>
      </c>
      <c r="B359" t="s">
        <v>5350</v>
      </c>
      <c r="C359" t="s">
        <v>5349</v>
      </c>
      <c r="F359" t="s">
        <v>5348</v>
      </c>
      <c r="G359" t="s">
        <v>15</v>
      </c>
      <c r="H359" t="s">
        <v>14</v>
      </c>
      <c r="I359" t="s">
        <v>5347</v>
      </c>
      <c r="N359">
        <v>2</v>
      </c>
      <c r="O359" t="s">
        <v>5346</v>
      </c>
      <c r="P359" t="s">
        <v>5345</v>
      </c>
      <c r="Q359" t="s">
        <v>1071</v>
      </c>
      <c r="R359" s="7">
        <v>32509</v>
      </c>
      <c r="S359" s="8">
        <f t="shared" si="48"/>
        <v>1989</v>
      </c>
      <c r="T359" s="8">
        <v>1989</v>
      </c>
      <c r="U359" s="8">
        <f t="shared" si="49"/>
        <v>33</v>
      </c>
      <c r="V359" s="7" t="s">
        <v>5289</v>
      </c>
      <c r="W359" t="s">
        <v>334</v>
      </c>
      <c r="X359" s="2">
        <v>0.371</v>
      </c>
      <c r="Y359" s="6">
        <f t="shared" si="46"/>
        <v>9.9036331117695747E-3</v>
      </c>
      <c r="AA359">
        <v>486604</v>
      </c>
      <c r="AB359">
        <v>28580</v>
      </c>
      <c r="AC359" t="s">
        <v>333</v>
      </c>
      <c r="AD359" t="s">
        <v>5</v>
      </c>
      <c r="AE359">
        <v>24</v>
      </c>
      <c r="AF359">
        <v>6</v>
      </c>
      <c r="AH359" t="s">
        <v>5344</v>
      </c>
      <c r="AI359" t="s">
        <v>5343</v>
      </c>
      <c r="AK359" t="s">
        <v>5342</v>
      </c>
      <c r="AL359">
        <v>5</v>
      </c>
      <c r="AM359" s="5">
        <f t="shared" si="50"/>
        <v>0.15151515151515152</v>
      </c>
      <c r="AN359" s="4">
        <f t="shared" si="47"/>
        <v>2.2948148658107008E-4</v>
      </c>
      <c r="AO359" s="3"/>
      <c r="AP359">
        <v>0</v>
      </c>
      <c r="AR359" t="s">
        <v>0</v>
      </c>
      <c r="AT359" s="2">
        <v>1.431</v>
      </c>
      <c r="AU359" s="1">
        <f t="shared" si="51"/>
        <v>0.70013876242130224</v>
      </c>
      <c r="AV359" s="1">
        <f t="shared" si="52"/>
        <v>0.50665572991753227</v>
      </c>
      <c r="AW359" s="1">
        <f t="shared" si="53"/>
        <v>0.31317269741376219</v>
      </c>
    </row>
    <row r="360" spans="1:49" x14ac:dyDescent="0.2">
      <c r="A360">
        <v>358</v>
      </c>
      <c r="B360" t="s">
        <v>5341</v>
      </c>
      <c r="C360" t="s">
        <v>5340</v>
      </c>
      <c r="D360" t="s">
        <v>5339</v>
      </c>
      <c r="F360" t="s">
        <v>5338</v>
      </c>
      <c r="G360" t="s">
        <v>15</v>
      </c>
      <c r="H360" t="s">
        <v>14</v>
      </c>
      <c r="I360" t="s">
        <v>5337</v>
      </c>
      <c r="J360" t="s">
        <v>5336</v>
      </c>
      <c r="K360" t="s">
        <v>5335</v>
      </c>
      <c r="L360" t="s">
        <v>5334</v>
      </c>
      <c r="M360" t="s">
        <v>86</v>
      </c>
      <c r="N360">
        <v>4</v>
      </c>
      <c r="O360" t="s">
        <v>5333</v>
      </c>
      <c r="P360" t="s">
        <v>5332</v>
      </c>
      <c r="Q360" t="s">
        <v>5331</v>
      </c>
      <c r="R360" s="7">
        <v>32509</v>
      </c>
      <c r="S360" s="8">
        <f t="shared" si="48"/>
        <v>1989</v>
      </c>
      <c r="T360" s="8">
        <v>1989</v>
      </c>
      <c r="U360" s="8">
        <f t="shared" si="49"/>
        <v>33</v>
      </c>
      <c r="V360" s="7">
        <v>32813</v>
      </c>
      <c r="W360" t="s">
        <v>5330</v>
      </c>
      <c r="X360" s="2">
        <v>0.81</v>
      </c>
      <c r="Y360" s="6">
        <f t="shared" si="46"/>
        <v>2.1622487386882359E-2</v>
      </c>
      <c r="AA360" t="s">
        <v>5329</v>
      </c>
      <c r="AB360">
        <v>13516</v>
      </c>
      <c r="AD360" t="s">
        <v>5</v>
      </c>
      <c r="AE360">
        <v>27</v>
      </c>
      <c r="AF360">
        <v>6</v>
      </c>
      <c r="AH360" t="s">
        <v>5328</v>
      </c>
      <c r="AI360" t="s">
        <v>5327</v>
      </c>
      <c r="AJ360" t="s">
        <v>5326</v>
      </c>
      <c r="AK360" t="s">
        <v>5325</v>
      </c>
      <c r="AL360">
        <v>50</v>
      </c>
      <c r="AM360" s="5">
        <f t="shared" si="50"/>
        <v>1.5151515151515151</v>
      </c>
      <c r="AN360" s="4">
        <f t="shared" si="47"/>
        <v>2.2948148658107005E-3</v>
      </c>
      <c r="AO360" s="3"/>
      <c r="AP360">
        <v>0</v>
      </c>
      <c r="AR360" t="s">
        <v>0</v>
      </c>
      <c r="AT360" s="2">
        <v>2.89</v>
      </c>
      <c r="AU360" s="1">
        <f t="shared" si="51"/>
        <v>1.5824185630560859</v>
      </c>
      <c r="AV360" s="1">
        <f t="shared" si="52"/>
        <v>1.1958651126346529</v>
      </c>
      <c r="AW360" s="1">
        <f t="shared" si="53"/>
        <v>0.80931166221321971</v>
      </c>
    </row>
    <row r="361" spans="1:49" x14ac:dyDescent="0.2">
      <c r="A361">
        <v>359</v>
      </c>
      <c r="B361" t="s">
        <v>5324</v>
      </c>
      <c r="C361" t="s">
        <v>5323</v>
      </c>
      <c r="F361" t="s">
        <v>5322</v>
      </c>
      <c r="G361" t="s">
        <v>15</v>
      </c>
      <c r="H361" t="s">
        <v>14</v>
      </c>
      <c r="I361" t="s">
        <v>5321</v>
      </c>
      <c r="J361" t="s">
        <v>5316</v>
      </c>
      <c r="K361" t="s">
        <v>5320</v>
      </c>
      <c r="L361" t="s">
        <v>5319</v>
      </c>
      <c r="M361" t="s">
        <v>86</v>
      </c>
      <c r="N361">
        <v>2</v>
      </c>
      <c r="O361" t="s">
        <v>5318</v>
      </c>
      <c r="P361" t="s">
        <v>5317</v>
      </c>
      <c r="Q361" t="s">
        <v>5316</v>
      </c>
      <c r="R361" s="7">
        <v>32509</v>
      </c>
      <c r="S361" s="8">
        <f t="shared" si="48"/>
        <v>1989</v>
      </c>
      <c r="T361" s="8">
        <v>1989</v>
      </c>
      <c r="U361" s="8">
        <f t="shared" si="49"/>
        <v>33</v>
      </c>
      <c r="V361" s="7">
        <v>32813</v>
      </c>
      <c r="W361" t="s">
        <v>778</v>
      </c>
      <c r="X361" s="2">
        <v>1.6519999999999999</v>
      </c>
      <c r="Y361" s="6">
        <f t="shared" si="46"/>
        <v>4.409919649769093E-2</v>
      </c>
      <c r="AA361" t="s">
        <v>777</v>
      </c>
      <c r="AB361">
        <v>17337</v>
      </c>
      <c r="AC361">
        <v>15582221</v>
      </c>
      <c r="AD361" t="s">
        <v>5</v>
      </c>
      <c r="AE361">
        <v>37</v>
      </c>
      <c r="AF361">
        <v>11</v>
      </c>
      <c r="AH361" t="s">
        <v>5315</v>
      </c>
      <c r="AI361" t="s">
        <v>5314</v>
      </c>
      <c r="AK361" t="s">
        <v>5313</v>
      </c>
      <c r="AL361">
        <v>18</v>
      </c>
      <c r="AM361" s="5">
        <f t="shared" si="50"/>
        <v>0.54545454545454541</v>
      </c>
      <c r="AN361" s="4">
        <f t="shared" si="47"/>
        <v>8.2613335169185224E-4</v>
      </c>
      <c r="AO361" s="3"/>
      <c r="AP361">
        <v>0</v>
      </c>
      <c r="AR361" t="s">
        <v>0</v>
      </c>
      <c r="AT361" s="2" t="s">
        <v>19</v>
      </c>
      <c r="AU361" s="1">
        <f t="shared" si="51"/>
        <v>3.1117277553891207</v>
      </c>
      <c r="AV361" s="1">
        <f t="shared" si="52"/>
        <v>2.2462664924691391</v>
      </c>
      <c r="AW361" s="1">
        <f t="shared" si="53"/>
        <v>1.3808052295491575</v>
      </c>
    </row>
    <row r="362" spans="1:49" x14ac:dyDescent="0.2">
      <c r="A362">
        <v>360</v>
      </c>
      <c r="B362" t="s">
        <v>5312</v>
      </c>
      <c r="C362" t="s">
        <v>5311</v>
      </c>
      <c r="F362" t="s">
        <v>5310</v>
      </c>
      <c r="G362" t="s">
        <v>15</v>
      </c>
      <c r="H362" t="s">
        <v>14</v>
      </c>
      <c r="I362" t="s">
        <v>5309</v>
      </c>
      <c r="J362" t="s">
        <v>5308</v>
      </c>
      <c r="K362" t="s">
        <v>5307</v>
      </c>
      <c r="L362" t="s">
        <v>5306</v>
      </c>
      <c r="M362" t="s">
        <v>86</v>
      </c>
      <c r="N362">
        <v>7</v>
      </c>
      <c r="O362" t="s">
        <v>5305</v>
      </c>
      <c r="P362" t="s">
        <v>5304</v>
      </c>
      <c r="Q362" t="s">
        <v>5303</v>
      </c>
      <c r="R362" s="7">
        <v>32509</v>
      </c>
      <c r="S362" s="8">
        <f t="shared" si="48"/>
        <v>1989</v>
      </c>
      <c r="T362" s="8">
        <v>1989</v>
      </c>
      <c r="U362" s="8">
        <f t="shared" si="49"/>
        <v>33</v>
      </c>
      <c r="V362" s="7">
        <v>32813</v>
      </c>
      <c r="W362" t="s">
        <v>943</v>
      </c>
      <c r="X362" s="2">
        <v>0.30399999999999999</v>
      </c>
      <c r="Y362" s="6">
        <f t="shared" si="46"/>
        <v>8.115106377299057E-3</v>
      </c>
      <c r="AA362">
        <v>8952477</v>
      </c>
      <c r="AB362">
        <v>12250</v>
      </c>
      <c r="AC362">
        <v>10982760</v>
      </c>
      <c r="AD362" t="s">
        <v>5</v>
      </c>
      <c r="AE362">
        <v>2</v>
      </c>
      <c r="AF362">
        <v>11</v>
      </c>
      <c r="AH362" t="s">
        <v>5302</v>
      </c>
      <c r="AI362" t="s">
        <v>5301</v>
      </c>
      <c r="AJ362" t="s">
        <v>5300</v>
      </c>
      <c r="AK362" t="s">
        <v>5299</v>
      </c>
      <c r="AL362">
        <v>2</v>
      </c>
      <c r="AM362" s="5">
        <f t="shared" si="50"/>
        <v>6.0606060606060608E-2</v>
      </c>
      <c r="AN362" s="4">
        <f t="shared" si="47"/>
        <v>9.1792594632428032E-5</v>
      </c>
      <c r="AO362" s="3"/>
      <c r="AP362">
        <v>0</v>
      </c>
      <c r="AR362" t="s">
        <v>0</v>
      </c>
      <c r="AT362" s="2" t="s">
        <v>19</v>
      </c>
      <c r="AU362" s="1">
        <f t="shared" si="51"/>
        <v>0.57081122424990682</v>
      </c>
      <c r="AV362" s="1">
        <f t="shared" si="52"/>
        <v>0.41034494859657428</v>
      </c>
      <c r="AW362" s="1">
        <f t="shared" si="53"/>
        <v>0.24987867294324168</v>
      </c>
    </row>
    <row r="363" spans="1:49" x14ac:dyDescent="0.2">
      <c r="A363">
        <v>361</v>
      </c>
      <c r="B363" t="s">
        <v>5298</v>
      </c>
      <c r="C363" t="s">
        <v>5297</v>
      </c>
      <c r="F363" t="s">
        <v>5296</v>
      </c>
      <c r="G363" t="s">
        <v>15</v>
      </c>
      <c r="H363" t="s">
        <v>14</v>
      </c>
      <c r="I363" t="s">
        <v>5295</v>
      </c>
      <c r="J363">
        <v>60021784</v>
      </c>
      <c r="K363" t="s">
        <v>5294</v>
      </c>
      <c r="L363" t="s">
        <v>5293</v>
      </c>
      <c r="M363" t="s">
        <v>23</v>
      </c>
      <c r="N363">
        <v>4</v>
      </c>
      <c r="O363" t="s">
        <v>5292</v>
      </c>
      <c r="P363" t="s">
        <v>5291</v>
      </c>
      <c r="Q363" t="s">
        <v>5290</v>
      </c>
      <c r="R363" s="7">
        <v>32509</v>
      </c>
      <c r="S363" s="8">
        <f t="shared" si="48"/>
        <v>1989</v>
      </c>
      <c r="T363" s="8">
        <v>1989</v>
      </c>
      <c r="U363" s="8">
        <f t="shared" si="49"/>
        <v>33</v>
      </c>
      <c r="V363" s="7" t="s">
        <v>5289</v>
      </c>
      <c r="W363" t="s">
        <v>5288</v>
      </c>
      <c r="X363" s="2">
        <v>0.91300000000000003</v>
      </c>
      <c r="Y363" s="6">
        <f t="shared" si="46"/>
        <v>2.4372013560769869E-2</v>
      </c>
      <c r="AA363">
        <v>7484658</v>
      </c>
      <c r="AB363">
        <v>29587</v>
      </c>
      <c r="AD363" t="s">
        <v>5</v>
      </c>
      <c r="AE363">
        <v>5</v>
      </c>
      <c r="AF363">
        <v>6</v>
      </c>
      <c r="AH363" t="s">
        <v>5287</v>
      </c>
      <c r="AI363" t="s">
        <v>5286</v>
      </c>
      <c r="AK363" t="s">
        <v>5285</v>
      </c>
      <c r="AL363">
        <v>5</v>
      </c>
      <c r="AM363" s="5">
        <f t="shared" si="50"/>
        <v>0.15151515151515152</v>
      </c>
      <c r="AN363" s="4">
        <f t="shared" si="47"/>
        <v>2.2948148658107008E-4</v>
      </c>
      <c r="AO363" s="3"/>
      <c r="AP363">
        <v>0</v>
      </c>
      <c r="AR363" t="s">
        <v>5284</v>
      </c>
      <c r="AT363" s="2">
        <v>1.5</v>
      </c>
      <c r="AU363" s="1">
        <f t="shared" si="51"/>
        <v>1.7129253938513229</v>
      </c>
      <c r="AV363" s="1">
        <f t="shared" si="52"/>
        <v>1.230074752367547</v>
      </c>
      <c r="AW363" s="1">
        <f t="shared" si="53"/>
        <v>0.74722411088377094</v>
      </c>
    </row>
    <row r="364" spans="1:49" x14ac:dyDescent="0.2">
      <c r="A364">
        <v>362</v>
      </c>
      <c r="B364" t="s">
        <v>5283</v>
      </c>
      <c r="C364" t="s">
        <v>5282</v>
      </c>
      <c r="F364" t="s">
        <v>5281</v>
      </c>
      <c r="G364" t="s">
        <v>15</v>
      </c>
      <c r="H364" t="s">
        <v>14</v>
      </c>
      <c r="I364" t="s">
        <v>5280</v>
      </c>
      <c r="J364" t="s">
        <v>5279</v>
      </c>
      <c r="K364" t="s">
        <v>5278</v>
      </c>
      <c r="L364" t="s">
        <v>5277</v>
      </c>
      <c r="M364" t="s">
        <v>644</v>
      </c>
      <c r="N364">
        <v>6</v>
      </c>
      <c r="O364" t="s">
        <v>5276</v>
      </c>
      <c r="P364" t="s">
        <v>5275</v>
      </c>
      <c r="Q364" t="s">
        <v>5274</v>
      </c>
      <c r="R364" s="7">
        <v>32509</v>
      </c>
      <c r="S364" s="8">
        <f t="shared" si="48"/>
        <v>1989</v>
      </c>
      <c r="T364" s="8">
        <v>1989</v>
      </c>
      <c r="U364" s="8">
        <f t="shared" si="49"/>
        <v>33</v>
      </c>
      <c r="V364" s="7">
        <v>32813</v>
      </c>
      <c r="W364" t="s">
        <v>3984</v>
      </c>
      <c r="X364" s="2">
        <v>0.81</v>
      </c>
      <c r="Y364" s="6">
        <f t="shared" si="46"/>
        <v>2.1622487386882359E-2</v>
      </c>
      <c r="AA364">
        <v>10411135</v>
      </c>
      <c r="AB364">
        <v>12116</v>
      </c>
      <c r="AC364">
        <v>19410174</v>
      </c>
      <c r="AD364" t="s">
        <v>5</v>
      </c>
      <c r="AE364">
        <v>1</v>
      </c>
      <c r="AF364">
        <v>11</v>
      </c>
      <c r="AH364" t="s">
        <v>5273</v>
      </c>
      <c r="AI364" t="s">
        <v>5272</v>
      </c>
      <c r="AK364" t="s">
        <v>5271</v>
      </c>
      <c r="AL364">
        <v>1</v>
      </c>
      <c r="AM364" s="5">
        <f t="shared" si="50"/>
        <v>3.0303030303030304E-2</v>
      </c>
      <c r="AN364" s="4">
        <f t="shared" si="47"/>
        <v>4.5896297316214016E-5</v>
      </c>
      <c r="AO364" s="3"/>
      <c r="AP364">
        <v>0</v>
      </c>
      <c r="AR364" t="s">
        <v>0</v>
      </c>
      <c r="AT364" s="2">
        <v>2.468</v>
      </c>
      <c r="AU364" s="1">
        <f t="shared" si="51"/>
        <v>1.5149510060012514</v>
      </c>
      <c r="AV364" s="1">
        <f t="shared" si="52"/>
        <v>1.0834191842099286</v>
      </c>
      <c r="AW364" s="1">
        <f t="shared" si="53"/>
        <v>0.65188736241860579</v>
      </c>
    </row>
    <row r="365" spans="1:49" x14ac:dyDescent="0.2">
      <c r="A365">
        <v>363</v>
      </c>
      <c r="B365" t="s">
        <v>5270</v>
      </c>
      <c r="C365" t="s">
        <v>5269</v>
      </c>
      <c r="F365" t="s">
        <v>5268</v>
      </c>
      <c r="G365" t="s">
        <v>15</v>
      </c>
      <c r="H365" t="s">
        <v>14</v>
      </c>
      <c r="I365" t="s">
        <v>1482</v>
      </c>
      <c r="J365">
        <v>60022148</v>
      </c>
      <c r="K365" t="s">
        <v>1481</v>
      </c>
      <c r="L365" t="s">
        <v>1480</v>
      </c>
      <c r="M365" t="s">
        <v>792</v>
      </c>
      <c r="N365">
        <v>1</v>
      </c>
      <c r="O365" t="s">
        <v>5267</v>
      </c>
      <c r="P365">
        <v>35087329300</v>
      </c>
      <c r="Q365">
        <v>60022148</v>
      </c>
      <c r="R365" s="7">
        <v>32509</v>
      </c>
      <c r="S365" s="8">
        <f t="shared" si="48"/>
        <v>1989</v>
      </c>
      <c r="T365" s="8">
        <v>1989</v>
      </c>
      <c r="U365" s="8">
        <f t="shared" si="49"/>
        <v>33</v>
      </c>
      <c r="V365" s="7">
        <v>32813</v>
      </c>
      <c r="W365" t="s">
        <v>778</v>
      </c>
      <c r="X365" s="2">
        <v>1.6519999999999999</v>
      </c>
      <c r="Y365" s="6">
        <f t="shared" si="46"/>
        <v>4.409919649769093E-2</v>
      </c>
      <c r="AA365" t="s">
        <v>777</v>
      </c>
      <c r="AB365">
        <v>17337</v>
      </c>
      <c r="AC365">
        <v>15582221</v>
      </c>
      <c r="AD365" t="s">
        <v>5</v>
      </c>
      <c r="AE365">
        <v>37</v>
      </c>
      <c r="AF365">
        <v>11</v>
      </c>
      <c r="AH365" t="s">
        <v>5266</v>
      </c>
      <c r="AI365" t="s">
        <v>5265</v>
      </c>
      <c r="AK365" t="s">
        <v>5264</v>
      </c>
      <c r="AL365">
        <v>22</v>
      </c>
      <c r="AM365" s="5">
        <f t="shared" si="50"/>
        <v>0.66666666666666663</v>
      </c>
      <c r="AN365" s="4">
        <f t="shared" si="47"/>
        <v>1.0097185409567082E-3</v>
      </c>
      <c r="AO365" s="3"/>
      <c r="AP365">
        <v>0</v>
      </c>
      <c r="AR365" t="s">
        <v>0</v>
      </c>
      <c r="AT365" s="2" t="s">
        <v>19</v>
      </c>
      <c r="AU365" s="1">
        <f t="shared" si="51"/>
        <v>3.1172353110670663</v>
      </c>
      <c r="AV365" s="1">
        <f t="shared" si="52"/>
        <v>2.2554457519323821</v>
      </c>
      <c r="AW365" s="1">
        <f t="shared" si="53"/>
        <v>1.3936561927976974</v>
      </c>
    </row>
    <row r="366" spans="1:49" x14ac:dyDescent="0.2">
      <c r="A366">
        <v>364</v>
      </c>
      <c r="B366" t="s">
        <v>5263</v>
      </c>
      <c r="C366" t="s">
        <v>5262</v>
      </c>
      <c r="F366" t="s">
        <v>5261</v>
      </c>
      <c r="G366" t="s">
        <v>15</v>
      </c>
      <c r="H366" t="s">
        <v>14</v>
      </c>
      <c r="I366" t="s">
        <v>5260</v>
      </c>
      <c r="J366">
        <v>60015099</v>
      </c>
      <c r="K366" t="s">
        <v>5259</v>
      </c>
      <c r="L366" t="s">
        <v>2551</v>
      </c>
      <c r="M366" t="s">
        <v>23</v>
      </c>
      <c r="N366">
        <v>2</v>
      </c>
      <c r="O366" t="s">
        <v>5258</v>
      </c>
      <c r="P366" t="s">
        <v>5257</v>
      </c>
      <c r="Q366" t="s">
        <v>5256</v>
      </c>
      <c r="R366" s="7">
        <v>32509</v>
      </c>
      <c r="S366" s="8">
        <f t="shared" si="48"/>
        <v>1989</v>
      </c>
      <c r="T366" s="8">
        <v>1989</v>
      </c>
      <c r="U366" s="8">
        <f t="shared" si="49"/>
        <v>33</v>
      </c>
      <c r="V366" s="7">
        <v>32813</v>
      </c>
      <c r="W366" t="s">
        <v>778</v>
      </c>
      <c r="X366" s="2">
        <v>1.6519999999999999</v>
      </c>
      <c r="Y366" s="6">
        <f t="shared" si="46"/>
        <v>4.409919649769093E-2</v>
      </c>
      <c r="AA366" t="s">
        <v>777</v>
      </c>
      <c r="AB366">
        <v>17337</v>
      </c>
      <c r="AC366">
        <v>15582221</v>
      </c>
      <c r="AD366" t="s">
        <v>5</v>
      </c>
      <c r="AE366">
        <v>37</v>
      </c>
      <c r="AF366">
        <v>11</v>
      </c>
      <c r="AH366" t="s">
        <v>5255</v>
      </c>
      <c r="AI366" t="s">
        <v>5254</v>
      </c>
      <c r="AK366" t="s">
        <v>5253</v>
      </c>
      <c r="AL366">
        <v>3</v>
      </c>
      <c r="AM366" s="5">
        <f t="shared" si="50"/>
        <v>9.0909090909090912E-2</v>
      </c>
      <c r="AN366" s="4">
        <f t="shared" si="47"/>
        <v>1.3768889194864205E-4</v>
      </c>
      <c r="AO366" s="3"/>
      <c r="AP366">
        <v>0</v>
      </c>
      <c r="AR366" t="s">
        <v>0</v>
      </c>
      <c r="AT366" s="2" t="s">
        <v>19</v>
      </c>
      <c r="AU366" s="1">
        <f t="shared" si="51"/>
        <v>3.0910744215968244</v>
      </c>
      <c r="AV366" s="1">
        <f t="shared" si="52"/>
        <v>2.2118442694819787</v>
      </c>
      <c r="AW366" s="1">
        <f t="shared" si="53"/>
        <v>1.3326141173671326</v>
      </c>
    </row>
    <row r="367" spans="1:49" x14ac:dyDescent="0.2">
      <c r="A367">
        <v>365</v>
      </c>
      <c r="B367" t="s">
        <v>5252</v>
      </c>
      <c r="C367" t="s">
        <v>5251</v>
      </c>
      <c r="F367" t="s">
        <v>5250</v>
      </c>
      <c r="G367" t="s">
        <v>15</v>
      </c>
      <c r="H367" t="s">
        <v>14</v>
      </c>
      <c r="I367" t="s">
        <v>5249</v>
      </c>
      <c r="J367">
        <v>60020825</v>
      </c>
      <c r="K367" t="s">
        <v>3928</v>
      </c>
      <c r="L367" t="s">
        <v>3927</v>
      </c>
      <c r="M367" t="s">
        <v>885</v>
      </c>
      <c r="N367">
        <v>5</v>
      </c>
      <c r="O367" t="s">
        <v>5248</v>
      </c>
      <c r="P367" t="s">
        <v>5247</v>
      </c>
      <c r="Q367" t="s">
        <v>5246</v>
      </c>
      <c r="R367" s="7">
        <v>32509</v>
      </c>
      <c r="S367" s="8">
        <f t="shared" si="48"/>
        <v>1989</v>
      </c>
      <c r="T367" s="8">
        <v>1989</v>
      </c>
      <c r="U367" s="8">
        <f t="shared" si="49"/>
        <v>33</v>
      </c>
      <c r="V367" s="7">
        <v>32813</v>
      </c>
      <c r="W367" t="s">
        <v>943</v>
      </c>
      <c r="X367" s="2">
        <v>0.30399999999999999</v>
      </c>
      <c r="Y367" s="6">
        <f t="shared" si="46"/>
        <v>8.115106377299057E-3</v>
      </c>
      <c r="AA367">
        <v>8952477</v>
      </c>
      <c r="AB367">
        <v>12250</v>
      </c>
      <c r="AC367">
        <v>10982760</v>
      </c>
      <c r="AD367" t="s">
        <v>5</v>
      </c>
      <c r="AE367">
        <v>2</v>
      </c>
      <c r="AF367">
        <v>11</v>
      </c>
      <c r="AH367" t="s">
        <v>5245</v>
      </c>
      <c r="AI367" t="s">
        <v>5244</v>
      </c>
      <c r="AJ367" t="s">
        <v>5243</v>
      </c>
      <c r="AK367" t="s">
        <v>5242</v>
      </c>
      <c r="AL367">
        <v>0</v>
      </c>
      <c r="AM367" s="5">
        <f t="shared" si="50"/>
        <v>0</v>
      </c>
      <c r="AN367" s="4">
        <f t="shared" si="47"/>
        <v>0</v>
      </c>
      <c r="AO367" s="3"/>
      <c r="AP367">
        <v>0</v>
      </c>
      <c r="AR367" t="s">
        <v>0</v>
      </c>
      <c r="AT367" s="2" t="s">
        <v>19</v>
      </c>
      <c r="AU367" s="1">
        <f t="shared" si="51"/>
        <v>0.56805744641093392</v>
      </c>
      <c r="AV367" s="1">
        <f t="shared" si="52"/>
        <v>0.40575531886495286</v>
      </c>
      <c r="AW367" s="1">
        <f t="shared" si="53"/>
        <v>0.24345319131897172</v>
      </c>
    </row>
    <row r="368" spans="1:49" x14ac:dyDescent="0.2">
      <c r="A368">
        <v>366</v>
      </c>
      <c r="B368" t="s">
        <v>5241</v>
      </c>
      <c r="C368" t="s">
        <v>5240</v>
      </c>
      <c r="F368" t="s">
        <v>5239</v>
      </c>
      <c r="G368" t="s">
        <v>15</v>
      </c>
      <c r="H368" t="s">
        <v>14</v>
      </c>
      <c r="I368" t="s">
        <v>5238</v>
      </c>
      <c r="J368">
        <v>60001439</v>
      </c>
      <c r="K368" t="s">
        <v>3194</v>
      </c>
      <c r="L368" t="s">
        <v>3193</v>
      </c>
      <c r="M368" t="s">
        <v>23</v>
      </c>
      <c r="N368">
        <v>2</v>
      </c>
      <c r="O368" t="s">
        <v>5237</v>
      </c>
      <c r="P368" t="s">
        <v>5236</v>
      </c>
      <c r="Q368" t="s">
        <v>5235</v>
      </c>
      <c r="R368" s="7">
        <v>32509</v>
      </c>
      <c r="S368" s="8">
        <f t="shared" si="48"/>
        <v>1989</v>
      </c>
      <c r="T368" s="8">
        <v>1989</v>
      </c>
      <c r="U368" s="8">
        <f t="shared" si="49"/>
        <v>33</v>
      </c>
      <c r="V368" s="7">
        <v>32813</v>
      </c>
      <c r="W368" t="s">
        <v>778</v>
      </c>
      <c r="X368" s="2">
        <v>1.6519999999999999</v>
      </c>
      <c r="Y368" s="6">
        <f t="shared" si="46"/>
        <v>4.409919649769093E-2</v>
      </c>
      <c r="AA368" t="s">
        <v>777</v>
      </c>
      <c r="AB368">
        <v>17337</v>
      </c>
      <c r="AC368">
        <v>15582221</v>
      </c>
      <c r="AD368" t="s">
        <v>5</v>
      </c>
      <c r="AE368">
        <v>37</v>
      </c>
      <c r="AF368">
        <v>11</v>
      </c>
      <c r="AH368" t="s">
        <v>5234</v>
      </c>
      <c r="AI368" t="s">
        <v>5233</v>
      </c>
      <c r="AK368" t="s">
        <v>5232</v>
      </c>
      <c r="AL368">
        <v>16</v>
      </c>
      <c r="AM368" s="5">
        <f t="shared" si="50"/>
        <v>0.48484848484848486</v>
      </c>
      <c r="AN368" s="4">
        <f t="shared" si="47"/>
        <v>7.3434075705942426E-4</v>
      </c>
      <c r="AO368" s="3"/>
      <c r="AP368">
        <v>0</v>
      </c>
      <c r="AR368" t="s">
        <v>0</v>
      </c>
      <c r="AT368" s="2" t="s">
        <v>19</v>
      </c>
      <c r="AU368" s="1">
        <f t="shared" si="51"/>
        <v>3.1089739775501477</v>
      </c>
      <c r="AV368" s="1">
        <f t="shared" si="52"/>
        <v>2.2416768627375174</v>
      </c>
      <c r="AW368" s="1">
        <f t="shared" si="53"/>
        <v>1.3743797479248876</v>
      </c>
    </row>
    <row r="369" spans="1:49" x14ac:dyDescent="0.2">
      <c r="A369">
        <v>367</v>
      </c>
      <c r="B369" t="s">
        <v>5231</v>
      </c>
      <c r="C369" t="s">
        <v>5230</v>
      </c>
      <c r="F369" t="s">
        <v>5229</v>
      </c>
      <c r="G369" t="s">
        <v>15</v>
      </c>
      <c r="H369" t="s">
        <v>14</v>
      </c>
      <c r="I369" t="s">
        <v>5228</v>
      </c>
      <c r="J369">
        <v>115667997</v>
      </c>
      <c r="K369" t="s">
        <v>5227</v>
      </c>
      <c r="M369" t="s">
        <v>831</v>
      </c>
      <c r="N369">
        <v>2</v>
      </c>
      <c r="O369" t="s">
        <v>5226</v>
      </c>
      <c r="P369" t="s">
        <v>5225</v>
      </c>
      <c r="Q369" t="s">
        <v>5224</v>
      </c>
      <c r="R369" s="7">
        <v>32509</v>
      </c>
      <c r="S369" s="8">
        <f t="shared" si="48"/>
        <v>1989</v>
      </c>
      <c r="T369" s="8">
        <v>1989</v>
      </c>
      <c r="U369" s="8">
        <f t="shared" si="49"/>
        <v>33</v>
      </c>
      <c r="V369" s="7">
        <v>32813</v>
      </c>
      <c r="W369" t="s">
        <v>778</v>
      </c>
      <c r="X369" s="2">
        <v>1.6519999999999999</v>
      </c>
      <c r="Y369" s="6">
        <f t="shared" si="46"/>
        <v>4.409919649769093E-2</v>
      </c>
      <c r="AA369" t="s">
        <v>777</v>
      </c>
      <c r="AB369">
        <v>17337</v>
      </c>
      <c r="AC369">
        <v>15582221</v>
      </c>
      <c r="AD369" t="s">
        <v>5</v>
      </c>
      <c r="AE369">
        <v>37</v>
      </c>
      <c r="AF369">
        <v>11</v>
      </c>
      <c r="AH369" t="s">
        <v>5223</v>
      </c>
      <c r="AI369" t="s">
        <v>5222</v>
      </c>
      <c r="AK369" t="s">
        <v>5221</v>
      </c>
      <c r="AL369">
        <v>292</v>
      </c>
      <c r="AM369" s="5">
        <f t="shared" si="50"/>
        <v>8.8484848484848477</v>
      </c>
      <c r="AN369" s="4">
        <f t="shared" si="47"/>
        <v>1.3401718816334491E-2</v>
      </c>
      <c r="AO369" s="3"/>
      <c r="AP369">
        <v>0</v>
      </c>
      <c r="AR369" t="s">
        <v>0</v>
      </c>
      <c r="AT369" s="2" t="s">
        <v>19</v>
      </c>
      <c r="AU369" s="1">
        <f t="shared" si="51"/>
        <v>3.4889953193284002</v>
      </c>
      <c r="AV369" s="1">
        <f t="shared" si="52"/>
        <v>2.8750457657012713</v>
      </c>
      <c r="AW369" s="1">
        <f t="shared" si="53"/>
        <v>2.261096212074142</v>
      </c>
    </row>
    <row r="370" spans="1:49" x14ac:dyDescent="0.2">
      <c r="A370">
        <v>368</v>
      </c>
      <c r="B370" t="s">
        <v>5220</v>
      </c>
      <c r="C370" t="s">
        <v>5219</v>
      </c>
      <c r="F370" t="s">
        <v>5218</v>
      </c>
      <c r="G370" t="s">
        <v>15</v>
      </c>
      <c r="H370" t="s">
        <v>14</v>
      </c>
      <c r="I370" t="s">
        <v>5217</v>
      </c>
      <c r="J370">
        <v>60025371</v>
      </c>
      <c r="K370" t="s">
        <v>5216</v>
      </c>
      <c r="L370" t="s">
        <v>5215</v>
      </c>
      <c r="M370" t="s">
        <v>23</v>
      </c>
      <c r="N370">
        <v>1</v>
      </c>
      <c r="O370" t="s">
        <v>5214</v>
      </c>
      <c r="P370">
        <v>6603766888</v>
      </c>
      <c r="Q370">
        <v>60025371</v>
      </c>
      <c r="R370" s="7">
        <v>32509</v>
      </c>
      <c r="S370" s="8">
        <f t="shared" si="48"/>
        <v>1989</v>
      </c>
      <c r="T370" s="8">
        <v>1989</v>
      </c>
      <c r="U370" s="8">
        <f t="shared" si="49"/>
        <v>33</v>
      </c>
      <c r="V370" s="7">
        <v>32813</v>
      </c>
      <c r="W370" t="s">
        <v>778</v>
      </c>
      <c r="X370" s="2">
        <v>1.6519999999999999</v>
      </c>
      <c r="Y370" s="6">
        <f t="shared" si="46"/>
        <v>4.409919649769093E-2</v>
      </c>
      <c r="AA370" t="s">
        <v>777</v>
      </c>
      <c r="AB370">
        <v>17337</v>
      </c>
      <c r="AC370">
        <v>15582221</v>
      </c>
      <c r="AD370" t="s">
        <v>5</v>
      </c>
      <c r="AE370">
        <v>37</v>
      </c>
      <c r="AF370">
        <v>11</v>
      </c>
      <c r="AH370" t="s">
        <v>5213</v>
      </c>
      <c r="AI370" t="s">
        <v>5212</v>
      </c>
      <c r="AK370" t="s">
        <v>5211</v>
      </c>
      <c r="AL370">
        <v>12</v>
      </c>
      <c r="AM370" s="5">
        <f t="shared" si="50"/>
        <v>0.36363636363636365</v>
      </c>
      <c r="AN370" s="4">
        <f t="shared" si="47"/>
        <v>5.5075556779456819E-4</v>
      </c>
      <c r="AO370" s="3"/>
      <c r="AP370">
        <v>0</v>
      </c>
      <c r="AR370" t="s">
        <v>0</v>
      </c>
      <c r="AT370" s="2" t="s">
        <v>19</v>
      </c>
      <c r="AU370" s="1">
        <f t="shared" si="51"/>
        <v>3.1034664218722021</v>
      </c>
      <c r="AV370" s="1">
        <f t="shared" si="52"/>
        <v>2.2324976032742749</v>
      </c>
      <c r="AW370" s="1">
        <f t="shared" si="53"/>
        <v>1.3615287846763475</v>
      </c>
    </row>
    <row r="371" spans="1:49" x14ac:dyDescent="0.2">
      <c r="A371">
        <v>369</v>
      </c>
      <c r="B371" t="s">
        <v>5210</v>
      </c>
      <c r="C371" t="s">
        <v>5209</v>
      </c>
      <c r="F371" t="s">
        <v>5208</v>
      </c>
      <c r="G371" t="s">
        <v>15</v>
      </c>
      <c r="H371" t="s">
        <v>14</v>
      </c>
      <c r="I371" t="s">
        <v>5207</v>
      </c>
      <c r="J371">
        <v>60008447</v>
      </c>
      <c r="K371" t="s">
        <v>5206</v>
      </c>
      <c r="L371" t="s">
        <v>5205</v>
      </c>
      <c r="M371" t="s">
        <v>72</v>
      </c>
      <c r="N371">
        <v>2</v>
      </c>
      <c r="O371" t="s">
        <v>5204</v>
      </c>
      <c r="P371" t="s">
        <v>5203</v>
      </c>
      <c r="Q371" t="s">
        <v>5202</v>
      </c>
      <c r="R371" s="7">
        <v>32509</v>
      </c>
      <c r="S371" s="8">
        <f t="shared" si="48"/>
        <v>1989</v>
      </c>
      <c r="T371" s="8">
        <v>1989</v>
      </c>
      <c r="U371" s="8">
        <f t="shared" si="49"/>
        <v>33</v>
      </c>
      <c r="V371" s="7">
        <v>32813</v>
      </c>
      <c r="W371" t="s">
        <v>778</v>
      </c>
      <c r="X371" s="2">
        <v>1.6519999999999999</v>
      </c>
      <c r="Y371" s="6">
        <f t="shared" si="46"/>
        <v>4.409919649769093E-2</v>
      </c>
      <c r="AA371" t="s">
        <v>777</v>
      </c>
      <c r="AB371">
        <v>17337</v>
      </c>
      <c r="AC371">
        <v>15582221</v>
      </c>
      <c r="AD371" t="s">
        <v>5</v>
      </c>
      <c r="AE371">
        <v>37</v>
      </c>
      <c r="AF371">
        <v>11</v>
      </c>
      <c r="AH371" t="s">
        <v>5201</v>
      </c>
      <c r="AI371" t="s">
        <v>5200</v>
      </c>
      <c r="AK371" t="s">
        <v>5199</v>
      </c>
      <c r="AL371">
        <v>117</v>
      </c>
      <c r="AM371" s="5">
        <f t="shared" si="50"/>
        <v>3.5454545454545454</v>
      </c>
      <c r="AN371" s="4">
        <f t="shared" si="47"/>
        <v>5.3698667859970392E-3</v>
      </c>
      <c r="AO371" s="3"/>
      <c r="AP371">
        <v>0</v>
      </c>
      <c r="AR371" t="s">
        <v>0</v>
      </c>
      <c r="AT371" s="2" t="s">
        <v>19</v>
      </c>
      <c r="AU371" s="1">
        <f t="shared" si="51"/>
        <v>3.2480397584182765</v>
      </c>
      <c r="AV371" s="1">
        <f t="shared" si="52"/>
        <v>2.4734531641843986</v>
      </c>
      <c r="AW371" s="1">
        <f t="shared" si="53"/>
        <v>1.6988665699505203</v>
      </c>
    </row>
    <row r="372" spans="1:49" x14ac:dyDescent="0.2">
      <c r="A372">
        <v>370</v>
      </c>
      <c r="B372" t="s">
        <v>5198</v>
      </c>
      <c r="C372" t="s">
        <v>5197</v>
      </c>
      <c r="F372" t="s">
        <v>5196</v>
      </c>
      <c r="G372" t="s">
        <v>15</v>
      </c>
      <c r="H372" t="s">
        <v>14</v>
      </c>
      <c r="I372" t="s">
        <v>5195</v>
      </c>
      <c r="J372">
        <v>115668187</v>
      </c>
      <c r="K372" t="s">
        <v>5194</v>
      </c>
      <c r="N372">
        <v>1</v>
      </c>
      <c r="O372" t="s">
        <v>5193</v>
      </c>
      <c r="P372">
        <v>57197213196</v>
      </c>
      <c r="Q372">
        <v>115668187</v>
      </c>
      <c r="R372" s="7">
        <v>32509</v>
      </c>
      <c r="S372" s="8">
        <f t="shared" si="48"/>
        <v>1989</v>
      </c>
      <c r="T372" s="8">
        <v>1989</v>
      </c>
      <c r="U372" s="8">
        <f t="shared" si="49"/>
        <v>33</v>
      </c>
      <c r="V372" s="7">
        <v>32813</v>
      </c>
      <c r="W372" t="s">
        <v>2866</v>
      </c>
      <c r="X372" s="2">
        <v>1.137</v>
      </c>
      <c r="Y372" s="6">
        <f t="shared" si="46"/>
        <v>3.0351565628253384E-2</v>
      </c>
      <c r="AA372">
        <v>189251</v>
      </c>
      <c r="AB372">
        <v>17336</v>
      </c>
      <c r="AD372" t="s">
        <v>5</v>
      </c>
      <c r="AE372">
        <v>25</v>
      </c>
      <c r="AF372">
        <v>6</v>
      </c>
      <c r="AH372" t="s">
        <v>5192</v>
      </c>
      <c r="AI372" t="s">
        <v>5191</v>
      </c>
      <c r="AK372" t="s">
        <v>5190</v>
      </c>
      <c r="AL372">
        <v>17</v>
      </c>
      <c r="AM372" s="5">
        <f t="shared" si="50"/>
        <v>0.51515151515151514</v>
      </c>
      <c r="AN372" s="4">
        <f t="shared" si="47"/>
        <v>7.8023705437563825E-4</v>
      </c>
      <c r="AO372" s="3"/>
      <c r="AP372">
        <v>0</v>
      </c>
      <c r="AR372" t="s">
        <v>0</v>
      </c>
      <c r="AT372" s="2" t="s">
        <v>19</v>
      </c>
      <c r="AU372" s="1">
        <f t="shared" si="51"/>
        <v>2.1480167056090056</v>
      </c>
      <c r="AV372" s="1">
        <f t="shared" si="52"/>
        <v>1.5565901341314512</v>
      </c>
      <c r="AW372" s="1">
        <f t="shared" si="53"/>
        <v>0.96516356265389613</v>
      </c>
    </row>
    <row r="373" spans="1:49" x14ac:dyDescent="0.2">
      <c r="A373">
        <v>371</v>
      </c>
      <c r="B373" t="s">
        <v>5189</v>
      </c>
      <c r="C373" t="s">
        <v>5188</v>
      </c>
      <c r="F373" t="s">
        <v>5187</v>
      </c>
      <c r="G373" t="s">
        <v>15</v>
      </c>
      <c r="H373" t="s">
        <v>14</v>
      </c>
      <c r="I373" t="s">
        <v>5186</v>
      </c>
      <c r="J373">
        <v>101180035</v>
      </c>
      <c r="K373" t="s">
        <v>5185</v>
      </c>
      <c r="L373" t="s">
        <v>5184</v>
      </c>
      <c r="M373" t="s">
        <v>259</v>
      </c>
      <c r="N373">
        <v>1</v>
      </c>
      <c r="O373" t="s">
        <v>5183</v>
      </c>
      <c r="P373">
        <v>6602341800</v>
      </c>
      <c r="Q373">
        <v>101180035</v>
      </c>
      <c r="R373" s="7">
        <v>32509</v>
      </c>
      <c r="S373" s="8">
        <f t="shared" si="48"/>
        <v>1989</v>
      </c>
      <c r="T373" s="8">
        <v>1989</v>
      </c>
      <c r="U373" s="8">
        <f t="shared" si="49"/>
        <v>33</v>
      </c>
      <c r="V373" s="7">
        <v>32813</v>
      </c>
      <c r="W373" t="s">
        <v>943</v>
      </c>
      <c r="X373" s="2">
        <v>0.30399999999999999</v>
      </c>
      <c r="Y373" s="6">
        <f t="shared" si="46"/>
        <v>8.115106377299057E-3</v>
      </c>
      <c r="AA373">
        <v>8952477</v>
      </c>
      <c r="AB373">
        <v>12250</v>
      </c>
      <c r="AC373">
        <v>10982760</v>
      </c>
      <c r="AD373" t="s">
        <v>5</v>
      </c>
      <c r="AE373">
        <v>2</v>
      </c>
      <c r="AF373">
        <v>11</v>
      </c>
      <c r="AH373" t="s">
        <v>5182</v>
      </c>
      <c r="AI373" t="s">
        <v>5181</v>
      </c>
      <c r="AJ373" t="s">
        <v>5180</v>
      </c>
      <c r="AK373" t="s">
        <v>5179</v>
      </c>
      <c r="AL373">
        <v>4</v>
      </c>
      <c r="AM373" s="5">
        <f t="shared" si="50"/>
        <v>0.12121212121212122</v>
      </c>
      <c r="AN373" s="4">
        <f t="shared" si="47"/>
        <v>1.8358518926485606E-4</v>
      </c>
      <c r="AO373" s="3"/>
      <c r="AP373">
        <v>0</v>
      </c>
      <c r="AR373" t="s">
        <v>0</v>
      </c>
      <c r="AT373" s="2" t="s">
        <v>19</v>
      </c>
      <c r="AU373" s="1">
        <f t="shared" si="51"/>
        <v>0.57356500208887962</v>
      </c>
      <c r="AV373" s="1">
        <f t="shared" si="52"/>
        <v>0.41493457832819564</v>
      </c>
      <c r="AW373" s="1">
        <f t="shared" si="53"/>
        <v>0.25630415456751166</v>
      </c>
    </row>
    <row r="374" spans="1:49" x14ac:dyDescent="0.2">
      <c r="A374">
        <v>372</v>
      </c>
      <c r="B374" t="s">
        <v>5178</v>
      </c>
      <c r="C374" t="s">
        <v>5177</v>
      </c>
      <c r="F374" t="s">
        <v>5176</v>
      </c>
      <c r="G374" t="s">
        <v>15</v>
      </c>
      <c r="H374" t="s">
        <v>14</v>
      </c>
      <c r="I374" t="s">
        <v>5175</v>
      </c>
      <c r="J374">
        <v>60009037</v>
      </c>
      <c r="K374" t="s">
        <v>1694</v>
      </c>
      <c r="L374" t="s">
        <v>1693</v>
      </c>
      <c r="M374" t="s">
        <v>23</v>
      </c>
      <c r="N374">
        <v>1</v>
      </c>
      <c r="O374" t="s">
        <v>5174</v>
      </c>
      <c r="P374">
        <v>7103053272</v>
      </c>
      <c r="Q374">
        <v>60009037</v>
      </c>
      <c r="R374" s="7">
        <v>32509</v>
      </c>
      <c r="S374" s="8">
        <f t="shared" si="48"/>
        <v>1989</v>
      </c>
      <c r="T374" s="8">
        <v>1989</v>
      </c>
      <c r="U374" s="8">
        <f t="shared" si="49"/>
        <v>33</v>
      </c>
      <c r="V374" s="7">
        <v>32813</v>
      </c>
      <c r="W374" t="s">
        <v>943</v>
      </c>
      <c r="X374" s="2">
        <v>0.30399999999999999</v>
      </c>
      <c r="Y374" s="6">
        <f t="shared" si="46"/>
        <v>8.115106377299057E-3</v>
      </c>
      <c r="AA374">
        <v>8952477</v>
      </c>
      <c r="AB374">
        <v>12250</v>
      </c>
      <c r="AC374">
        <v>10982760</v>
      </c>
      <c r="AD374" t="s">
        <v>5</v>
      </c>
      <c r="AE374">
        <v>2</v>
      </c>
      <c r="AF374">
        <v>11</v>
      </c>
      <c r="AH374" t="s">
        <v>5173</v>
      </c>
      <c r="AI374" t="s">
        <v>5172</v>
      </c>
      <c r="AJ374" t="s">
        <v>5171</v>
      </c>
      <c r="AK374" t="s">
        <v>5170</v>
      </c>
      <c r="AL374">
        <v>1</v>
      </c>
      <c r="AM374" s="5">
        <f t="shared" si="50"/>
        <v>3.0303030303030304E-2</v>
      </c>
      <c r="AN374" s="4">
        <f t="shared" si="47"/>
        <v>4.5896297316214016E-5</v>
      </c>
      <c r="AO374" s="3"/>
      <c r="AP374">
        <v>0</v>
      </c>
      <c r="AR374" t="s">
        <v>0</v>
      </c>
      <c r="AT374" s="2" t="s">
        <v>19</v>
      </c>
      <c r="AU374" s="1">
        <f t="shared" si="51"/>
        <v>0.56943433533042043</v>
      </c>
      <c r="AV374" s="1">
        <f t="shared" si="52"/>
        <v>0.40805013373076354</v>
      </c>
      <c r="AW374" s="1">
        <f t="shared" si="53"/>
        <v>0.24666593213110671</v>
      </c>
    </row>
    <row r="375" spans="1:49" x14ac:dyDescent="0.2">
      <c r="A375">
        <v>373</v>
      </c>
      <c r="B375" t="s">
        <v>5169</v>
      </c>
      <c r="C375" t="s">
        <v>5168</v>
      </c>
      <c r="F375" t="s">
        <v>5167</v>
      </c>
      <c r="G375" t="s">
        <v>15</v>
      </c>
      <c r="H375" t="s">
        <v>14</v>
      </c>
      <c r="I375" t="s">
        <v>5166</v>
      </c>
      <c r="J375" t="s">
        <v>4410</v>
      </c>
      <c r="K375" t="s">
        <v>4409</v>
      </c>
      <c r="L375" t="s">
        <v>4408</v>
      </c>
      <c r="M375" t="s">
        <v>86</v>
      </c>
      <c r="N375">
        <v>4</v>
      </c>
      <c r="O375" t="s">
        <v>5165</v>
      </c>
      <c r="P375" t="s">
        <v>5164</v>
      </c>
      <c r="Q375" t="s">
        <v>5163</v>
      </c>
      <c r="R375" s="7">
        <v>32509</v>
      </c>
      <c r="S375" s="8">
        <f t="shared" si="48"/>
        <v>1989</v>
      </c>
      <c r="T375" s="8">
        <v>1989</v>
      </c>
      <c r="U375" s="8">
        <f t="shared" si="49"/>
        <v>33</v>
      </c>
      <c r="V375" s="7">
        <v>32813</v>
      </c>
      <c r="W375" t="s">
        <v>360</v>
      </c>
      <c r="X375" s="2">
        <v>1.3720000000000001</v>
      </c>
      <c r="Y375" s="6">
        <f t="shared" si="46"/>
        <v>3.662475641333654E-2</v>
      </c>
      <c r="AA375">
        <v>189480</v>
      </c>
      <c r="AB375">
        <v>17366</v>
      </c>
      <c r="AC375">
        <v>15579670</v>
      </c>
      <c r="AD375" t="s">
        <v>5</v>
      </c>
      <c r="AE375">
        <v>37</v>
      </c>
      <c r="AF375">
        <v>11</v>
      </c>
      <c r="AH375" t="s">
        <v>5162</v>
      </c>
      <c r="AI375" t="s">
        <v>5161</v>
      </c>
      <c r="AK375" t="s">
        <v>5160</v>
      </c>
      <c r="AL375">
        <v>43</v>
      </c>
      <c r="AM375" s="5">
        <f t="shared" si="50"/>
        <v>1.303030303030303</v>
      </c>
      <c r="AN375" s="4">
        <f t="shared" si="47"/>
        <v>1.9735407845972025E-3</v>
      </c>
      <c r="AO375" s="3"/>
      <c r="AP375">
        <v>0</v>
      </c>
      <c r="AQ375" t="s">
        <v>618</v>
      </c>
      <c r="AR375" t="s">
        <v>5159</v>
      </c>
      <c r="AS375" t="s">
        <v>616</v>
      </c>
      <c r="AT375" s="2" t="s">
        <v>19</v>
      </c>
      <c r="AU375" s="1">
        <f t="shared" si="51"/>
        <v>2.6229391724714737</v>
      </c>
      <c r="AV375" s="1">
        <f t="shared" si="52"/>
        <v>1.9299148598966871</v>
      </c>
      <c r="AW375" s="1">
        <f t="shared" si="53"/>
        <v>1.2368905473219003</v>
      </c>
    </row>
    <row r="376" spans="1:49" x14ac:dyDescent="0.2">
      <c r="A376">
        <v>374</v>
      </c>
      <c r="B376" t="s">
        <v>5158</v>
      </c>
      <c r="C376" t="s">
        <v>5157</v>
      </c>
      <c r="F376" t="s">
        <v>5156</v>
      </c>
      <c r="G376" t="s">
        <v>15</v>
      </c>
      <c r="H376" t="s">
        <v>14</v>
      </c>
      <c r="I376" t="s">
        <v>5155</v>
      </c>
      <c r="J376" t="s">
        <v>5154</v>
      </c>
      <c r="K376" t="s">
        <v>5153</v>
      </c>
      <c r="L376" t="s">
        <v>5152</v>
      </c>
      <c r="M376" t="s">
        <v>86</v>
      </c>
      <c r="N376">
        <v>3</v>
      </c>
      <c r="O376" t="s">
        <v>5151</v>
      </c>
      <c r="P376" t="s">
        <v>5150</v>
      </c>
      <c r="Q376" t="s">
        <v>5149</v>
      </c>
      <c r="R376" s="7">
        <v>32509</v>
      </c>
      <c r="S376" s="8">
        <f t="shared" si="48"/>
        <v>1989</v>
      </c>
      <c r="T376" s="8">
        <v>1989</v>
      </c>
      <c r="U376" s="8">
        <f t="shared" si="49"/>
        <v>33</v>
      </c>
      <c r="V376" s="7">
        <v>32813</v>
      </c>
      <c r="W376" t="s">
        <v>853</v>
      </c>
      <c r="X376" s="2">
        <v>2.141</v>
      </c>
      <c r="Y376" s="6">
        <f t="shared" si="46"/>
        <v>5.7152772216438434E-2</v>
      </c>
      <c r="AA376">
        <v>1962892</v>
      </c>
      <c r="AB376">
        <v>17360</v>
      </c>
      <c r="AC376">
        <v>15580644</v>
      </c>
      <c r="AD376" t="s">
        <v>5</v>
      </c>
      <c r="AE376">
        <v>27</v>
      </c>
      <c r="AF376">
        <v>6</v>
      </c>
      <c r="AH376" t="s">
        <v>5148</v>
      </c>
      <c r="AI376" t="s">
        <v>5147</v>
      </c>
      <c r="AK376" t="s">
        <v>5146</v>
      </c>
      <c r="AL376">
        <v>36</v>
      </c>
      <c r="AM376" s="5">
        <f t="shared" si="50"/>
        <v>1.0909090909090908</v>
      </c>
      <c r="AN376" s="4">
        <f t="shared" si="47"/>
        <v>1.6522667033837045E-3</v>
      </c>
      <c r="AO376" s="3"/>
      <c r="AP376">
        <v>0</v>
      </c>
      <c r="AQ376" t="s">
        <v>746</v>
      </c>
      <c r="AR376" t="s">
        <v>5145</v>
      </c>
      <c r="AS376" t="s">
        <v>744</v>
      </c>
      <c r="AT376" s="2" t="s">
        <v>19</v>
      </c>
      <c r="AU376" s="1">
        <f t="shared" si="51"/>
        <v>4.0502620562522011</v>
      </c>
      <c r="AV376" s="1">
        <f t="shared" si="52"/>
        <v>2.9402519459911067</v>
      </c>
      <c r="AW376" s="1">
        <f t="shared" si="53"/>
        <v>1.8302418357300125</v>
      </c>
    </row>
    <row r="377" spans="1:49" x14ac:dyDescent="0.2">
      <c r="A377">
        <v>375</v>
      </c>
      <c r="B377" t="s">
        <v>5144</v>
      </c>
      <c r="C377" t="s">
        <v>5143</v>
      </c>
      <c r="F377" t="s">
        <v>5142</v>
      </c>
      <c r="G377" t="s">
        <v>15</v>
      </c>
      <c r="H377" t="s">
        <v>14</v>
      </c>
      <c r="I377" t="s">
        <v>5141</v>
      </c>
      <c r="J377">
        <v>60032144</v>
      </c>
      <c r="K377" t="s">
        <v>5140</v>
      </c>
      <c r="L377" t="s">
        <v>5139</v>
      </c>
      <c r="M377" t="s">
        <v>4483</v>
      </c>
      <c r="N377">
        <v>2</v>
      </c>
      <c r="O377" t="s">
        <v>5138</v>
      </c>
      <c r="P377" t="s">
        <v>5137</v>
      </c>
      <c r="Q377" t="s">
        <v>5136</v>
      </c>
      <c r="R377" s="7">
        <v>32509</v>
      </c>
      <c r="S377" s="8">
        <f t="shared" si="48"/>
        <v>1989</v>
      </c>
      <c r="T377" s="8">
        <v>1989</v>
      </c>
      <c r="U377" s="8">
        <f t="shared" si="49"/>
        <v>33</v>
      </c>
      <c r="V377" s="7">
        <v>32813</v>
      </c>
      <c r="W377" t="s">
        <v>764</v>
      </c>
      <c r="X377" s="2">
        <v>1.159</v>
      </c>
      <c r="Y377" s="6">
        <f t="shared" si="46"/>
        <v>3.093884306345266E-2</v>
      </c>
      <c r="AA377">
        <v>8853010</v>
      </c>
      <c r="AB377">
        <v>12998</v>
      </c>
      <c r="AD377" t="s">
        <v>5</v>
      </c>
      <c r="AE377">
        <v>36</v>
      </c>
      <c r="AF377">
        <v>6</v>
      </c>
      <c r="AH377" t="s">
        <v>5135</v>
      </c>
      <c r="AI377" t="s">
        <v>5134</v>
      </c>
      <c r="AK377" t="s">
        <v>5133</v>
      </c>
      <c r="AL377">
        <v>1</v>
      </c>
      <c r="AM377" s="5">
        <f t="shared" si="50"/>
        <v>3.0303030303030304E-2</v>
      </c>
      <c r="AN377" s="4">
        <f t="shared" si="47"/>
        <v>4.5896297316214016E-5</v>
      </c>
      <c r="AO377" s="3"/>
      <c r="AP377">
        <v>0</v>
      </c>
      <c r="AR377" t="s">
        <v>0</v>
      </c>
      <c r="AT377" s="2" t="s">
        <v>19</v>
      </c>
      <c r="AU377" s="1">
        <f t="shared" si="51"/>
        <v>2.1670959033611723</v>
      </c>
      <c r="AV377" s="1">
        <f t="shared" si="52"/>
        <v>1.5492369680384437</v>
      </c>
      <c r="AW377" s="1">
        <f t="shared" si="53"/>
        <v>0.93137803271571473</v>
      </c>
    </row>
    <row r="378" spans="1:49" x14ac:dyDescent="0.2">
      <c r="A378">
        <v>376</v>
      </c>
      <c r="B378" t="s">
        <v>5132</v>
      </c>
      <c r="C378" t="s">
        <v>5131</v>
      </c>
      <c r="E378">
        <v>2510932</v>
      </c>
      <c r="F378" t="s">
        <v>5130</v>
      </c>
      <c r="G378" t="s">
        <v>15</v>
      </c>
      <c r="H378" t="s">
        <v>14</v>
      </c>
      <c r="I378" t="s">
        <v>5129</v>
      </c>
      <c r="J378" t="s">
        <v>5128</v>
      </c>
      <c r="K378" t="s">
        <v>5127</v>
      </c>
      <c r="L378" t="s">
        <v>5126</v>
      </c>
      <c r="M378" t="s">
        <v>5125</v>
      </c>
      <c r="N378">
        <v>3</v>
      </c>
      <c r="O378" t="s">
        <v>5124</v>
      </c>
      <c r="P378" t="s">
        <v>5123</v>
      </c>
      <c r="Q378" t="s">
        <v>5122</v>
      </c>
      <c r="R378" s="7">
        <v>32509</v>
      </c>
      <c r="S378" s="8">
        <f t="shared" si="48"/>
        <v>1989</v>
      </c>
      <c r="T378" s="8">
        <v>1989</v>
      </c>
      <c r="U378" s="8">
        <f t="shared" si="49"/>
        <v>33</v>
      </c>
      <c r="V378" s="7">
        <v>32813</v>
      </c>
      <c r="W378" t="s">
        <v>5121</v>
      </c>
      <c r="X378" s="2">
        <v>1.64</v>
      </c>
      <c r="Y378" s="6">
        <f t="shared" si="46"/>
        <v>4.3778863351218597E-2</v>
      </c>
      <c r="AA378" t="s">
        <v>5120</v>
      </c>
      <c r="AB378">
        <v>18446</v>
      </c>
      <c r="AC378">
        <v>14320878</v>
      </c>
      <c r="AD378" t="s">
        <v>5</v>
      </c>
      <c r="AE378">
        <v>258</v>
      </c>
      <c r="AF378">
        <v>2</v>
      </c>
      <c r="AH378" t="s">
        <v>5119</v>
      </c>
      <c r="AI378" t="s">
        <v>5118</v>
      </c>
      <c r="AJ378" t="s">
        <v>5117</v>
      </c>
      <c r="AK378" t="s">
        <v>5116</v>
      </c>
      <c r="AL378">
        <v>55</v>
      </c>
      <c r="AM378" s="5">
        <f t="shared" si="50"/>
        <v>1.6666666666666667</v>
      </c>
      <c r="AN378" s="4">
        <f t="shared" si="47"/>
        <v>2.5242963523917708E-3</v>
      </c>
      <c r="AO378" s="3"/>
      <c r="AP378">
        <v>0</v>
      </c>
      <c r="AR378" t="s">
        <v>0</v>
      </c>
      <c r="AT378" s="2">
        <v>5.2489999999999997</v>
      </c>
      <c r="AU378" s="1">
        <f t="shared" si="51"/>
        <v>3.1402493251570545</v>
      </c>
      <c r="AV378" s="1">
        <f t="shared" si="52"/>
        <v>2.3151579851805182</v>
      </c>
      <c r="AW378" s="1">
        <f t="shared" si="53"/>
        <v>1.4900666452039819</v>
      </c>
    </row>
    <row r="379" spans="1:49" x14ac:dyDescent="0.2">
      <c r="A379">
        <v>377</v>
      </c>
      <c r="B379" t="s">
        <v>5115</v>
      </c>
      <c r="C379" t="s">
        <v>5114</v>
      </c>
      <c r="E379">
        <v>2519611</v>
      </c>
      <c r="F379" t="s">
        <v>5113</v>
      </c>
      <c r="G379" t="s">
        <v>15</v>
      </c>
      <c r="H379" t="s">
        <v>14</v>
      </c>
      <c r="I379" t="s">
        <v>5112</v>
      </c>
      <c r="J379">
        <v>60016782</v>
      </c>
      <c r="K379" t="s">
        <v>5111</v>
      </c>
      <c r="L379" t="s">
        <v>2459</v>
      </c>
      <c r="M379" t="s">
        <v>23</v>
      </c>
      <c r="N379">
        <v>4</v>
      </c>
      <c r="O379" t="s">
        <v>5110</v>
      </c>
      <c r="P379" t="s">
        <v>5109</v>
      </c>
      <c r="Q379" t="s">
        <v>5108</v>
      </c>
      <c r="R379" s="7">
        <v>32509</v>
      </c>
      <c r="S379" s="8">
        <f t="shared" si="48"/>
        <v>1989</v>
      </c>
      <c r="T379" s="8">
        <v>1989</v>
      </c>
      <c r="U379" s="8">
        <f t="shared" si="49"/>
        <v>33</v>
      </c>
      <c r="V379" s="7">
        <v>32813</v>
      </c>
      <c r="W379" t="s">
        <v>5107</v>
      </c>
      <c r="X379" s="2" t="s">
        <v>19</v>
      </c>
      <c r="Y379" s="6" t="e">
        <f t="shared" si="46"/>
        <v>#VALUE!</v>
      </c>
      <c r="AA379">
        <v>10442030</v>
      </c>
      <c r="AB379">
        <v>100209</v>
      </c>
      <c r="AD379" t="s">
        <v>5</v>
      </c>
      <c r="AE379">
        <v>1</v>
      </c>
      <c r="AF379">
        <v>1</v>
      </c>
      <c r="AH379" t="s">
        <v>5106</v>
      </c>
      <c r="AI379" t="s">
        <v>5105</v>
      </c>
      <c r="AK379" t="s">
        <v>5104</v>
      </c>
      <c r="AL379">
        <v>23</v>
      </c>
      <c r="AM379" s="5">
        <f t="shared" si="50"/>
        <v>0.69696969696969702</v>
      </c>
      <c r="AN379" s="4">
        <f t="shared" si="47"/>
        <v>1.0556148382729225E-3</v>
      </c>
      <c r="AO379" s="3"/>
      <c r="AP379">
        <v>0</v>
      </c>
      <c r="AQ379" t="s">
        <v>3018</v>
      </c>
      <c r="AR379" t="s">
        <v>5103</v>
      </c>
      <c r="AS379" t="s">
        <v>3016</v>
      </c>
      <c r="AT379" s="2" t="s">
        <v>19</v>
      </c>
      <c r="AU379" s="1" t="e">
        <f t="shared" si="51"/>
        <v>#VALUE!</v>
      </c>
      <c r="AV379" s="1" t="e">
        <f t="shared" si="52"/>
        <v>#VALUE!</v>
      </c>
      <c r="AW379" s="1" t="e">
        <f t="shared" si="53"/>
        <v>#VALUE!</v>
      </c>
    </row>
    <row r="380" spans="1:49" x14ac:dyDescent="0.2">
      <c r="A380">
        <v>378</v>
      </c>
      <c r="B380" t="s">
        <v>5102</v>
      </c>
      <c r="C380" t="s">
        <v>5101</v>
      </c>
      <c r="E380">
        <v>2793198</v>
      </c>
      <c r="F380" t="s">
        <v>5100</v>
      </c>
      <c r="G380" t="s">
        <v>15</v>
      </c>
      <c r="H380" t="s">
        <v>14</v>
      </c>
      <c r="I380" t="s">
        <v>5099</v>
      </c>
      <c r="J380">
        <v>60025488</v>
      </c>
      <c r="K380" t="s">
        <v>808</v>
      </c>
      <c r="L380" t="s">
        <v>807</v>
      </c>
      <c r="M380" t="s">
        <v>23</v>
      </c>
      <c r="N380">
        <v>2</v>
      </c>
      <c r="O380" t="s">
        <v>5098</v>
      </c>
      <c r="P380" t="s">
        <v>5097</v>
      </c>
      <c r="Q380" t="s">
        <v>804</v>
      </c>
      <c r="R380" s="7">
        <v>32509</v>
      </c>
      <c r="S380" s="8">
        <f t="shared" si="48"/>
        <v>1989</v>
      </c>
      <c r="T380" s="8">
        <v>1989</v>
      </c>
      <c r="U380" s="8">
        <f t="shared" si="49"/>
        <v>33</v>
      </c>
      <c r="V380" s="7">
        <v>32782</v>
      </c>
      <c r="W380" t="s">
        <v>1873</v>
      </c>
      <c r="X380" s="2">
        <v>1.1479999999999999</v>
      </c>
      <c r="Y380" s="6">
        <f t="shared" si="46"/>
        <v>3.0645204345853019E-2</v>
      </c>
      <c r="AA380">
        <v>189294</v>
      </c>
      <c r="AB380">
        <v>16318</v>
      </c>
      <c r="AC380">
        <v>15582531</v>
      </c>
      <c r="AD380" t="s">
        <v>5</v>
      </c>
      <c r="AE380">
        <v>36</v>
      </c>
      <c r="AF380">
        <v>10</v>
      </c>
      <c r="AH380" t="s">
        <v>5096</v>
      </c>
      <c r="AI380" t="s">
        <v>5095</v>
      </c>
      <c r="AK380" t="s">
        <v>5094</v>
      </c>
      <c r="AL380">
        <v>22</v>
      </c>
      <c r="AM380" s="5">
        <f t="shared" si="50"/>
        <v>0.66666666666666663</v>
      </c>
      <c r="AN380" s="4">
        <f t="shared" si="47"/>
        <v>1.0097185409567082E-3</v>
      </c>
      <c r="AO380" s="3"/>
      <c r="AP380">
        <v>0</v>
      </c>
      <c r="AR380" t="s">
        <v>0</v>
      </c>
      <c r="AT380" s="2" t="s">
        <v>19</v>
      </c>
      <c r="AU380" s="1">
        <f t="shared" si="51"/>
        <v>2.1754558604384124</v>
      </c>
      <c r="AV380" s="1">
        <f t="shared" si="52"/>
        <v>1.5827461443404862</v>
      </c>
      <c r="AW380" s="1">
        <f t="shared" si="53"/>
        <v>0.99003642824256</v>
      </c>
    </row>
    <row r="381" spans="1:49" x14ac:dyDescent="0.2">
      <c r="A381">
        <v>379</v>
      </c>
      <c r="B381" t="s">
        <v>5093</v>
      </c>
      <c r="C381" t="s">
        <v>5092</v>
      </c>
      <c r="F381" t="s">
        <v>5091</v>
      </c>
      <c r="G381" t="s">
        <v>15</v>
      </c>
      <c r="H381" t="s">
        <v>14</v>
      </c>
      <c r="I381" t="s">
        <v>5090</v>
      </c>
      <c r="J381">
        <v>60014256</v>
      </c>
      <c r="K381" t="s">
        <v>5089</v>
      </c>
      <c r="L381" t="s">
        <v>2747</v>
      </c>
      <c r="M381" t="s">
        <v>115</v>
      </c>
      <c r="N381">
        <v>3</v>
      </c>
      <c r="O381" t="s">
        <v>5088</v>
      </c>
      <c r="P381" t="s">
        <v>5087</v>
      </c>
      <c r="Q381" t="s">
        <v>5086</v>
      </c>
      <c r="R381" s="7">
        <v>32509</v>
      </c>
      <c r="S381" s="8">
        <f t="shared" si="48"/>
        <v>1989</v>
      </c>
      <c r="T381" s="8">
        <v>1989</v>
      </c>
      <c r="U381" s="8">
        <f t="shared" si="49"/>
        <v>33</v>
      </c>
      <c r="V381" s="7">
        <v>32782</v>
      </c>
      <c r="W381" t="s">
        <v>2247</v>
      </c>
      <c r="X381" s="2">
        <v>0.111</v>
      </c>
      <c r="Y381" s="6">
        <f t="shared" si="46"/>
        <v>2.9630816048690639E-3</v>
      </c>
      <c r="AA381">
        <v>87566621</v>
      </c>
      <c r="AB381">
        <v>24890</v>
      </c>
      <c r="AC381">
        <v>15206424</v>
      </c>
      <c r="AD381" t="s">
        <v>5</v>
      </c>
      <c r="AE381">
        <v>72</v>
      </c>
      <c r="AF381">
        <v>10</v>
      </c>
      <c r="AH381" t="s">
        <v>5085</v>
      </c>
      <c r="AI381" t="s">
        <v>5084</v>
      </c>
      <c r="AK381" t="s">
        <v>5083</v>
      </c>
      <c r="AL381">
        <v>0</v>
      </c>
      <c r="AM381" s="5">
        <f t="shared" si="50"/>
        <v>0</v>
      </c>
      <c r="AN381" s="4">
        <f t="shared" si="47"/>
        <v>0</v>
      </c>
      <c r="AO381" s="3"/>
      <c r="AP381">
        <v>0</v>
      </c>
      <c r="AR381" t="s">
        <v>0</v>
      </c>
      <c r="AT381" s="2" t="s">
        <v>19</v>
      </c>
      <c r="AU381" s="1">
        <f t="shared" si="51"/>
        <v>0.20741571234083445</v>
      </c>
      <c r="AV381" s="1">
        <f t="shared" si="52"/>
        <v>0.1481540802434532</v>
      </c>
      <c r="AW381" s="1">
        <f t="shared" si="53"/>
        <v>8.8892448146071903E-2</v>
      </c>
    </row>
    <row r="382" spans="1:49" x14ac:dyDescent="0.2">
      <c r="A382">
        <v>380</v>
      </c>
      <c r="B382" t="s">
        <v>5082</v>
      </c>
      <c r="C382" t="s">
        <v>5081</v>
      </c>
      <c r="F382" t="s">
        <v>5080</v>
      </c>
      <c r="G382" t="s">
        <v>15</v>
      </c>
      <c r="H382" t="s">
        <v>14</v>
      </c>
      <c r="I382" t="s">
        <v>5079</v>
      </c>
      <c r="J382">
        <v>100351813</v>
      </c>
      <c r="K382" t="s">
        <v>5078</v>
      </c>
      <c r="L382" t="s">
        <v>493</v>
      </c>
      <c r="M382" t="s">
        <v>259</v>
      </c>
      <c r="N382">
        <v>1</v>
      </c>
      <c r="O382" t="s">
        <v>5077</v>
      </c>
      <c r="P382">
        <v>7404565423</v>
      </c>
      <c r="Q382">
        <v>100351813</v>
      </c>
      <c r="R382" s="7">
        <v>32509</v>
      </c>
      <c r="S382" s="8">
        <f t="shared" si="48"/>
        <v>1989</v>
      </c>
      <c r="T382" s="8">
        <v>1989</v>
      </c>
      <c r="U382" s="8">
        <f t="shared" si="49"/>
        <v>33</v>
      </c>
      <c r="V382" s="7">
        <v>1989</v>
      </c>
      <c r="W382" t="s">
        <v>5076</v>
      </c>
      <c r="X382" s="2">
        <v>0.2</v>
      </c>
      <c r="Y382" s="6">
        <f t="shared" si="46"/>
        <v>5.3388857745388539E-3</v>
      </c>
      <c r="AA382">
        <v>161136</v>
      </c>
      <c r="AB382">
        <v>16718</v>
      </c>
      <c r="AC382">
        <v>21916349</v>
      </c>
      <c r="AD382" t="s">
        <v>5</v>
      </c>
      <c r="AE382">
        <v>43</v>
      </c>
      <c r="AF382">
        <v>10</v>
      </c>
      <c r="AH382" t="s">
        <v>5075</v>
      </c>
      <c r="AI382" t="s">
        <v>5074</v>
      </c>
      <c r="AK382" t="s">
        <v>5073</v>
      </c>
      <c r="AL382">
        <v>6</v>
      </c>
      <c r="AM382" s="5">
        <f t="shared" si="50"/>
        <v>0.18181818181818182</v>
      </c>
      <c r="AN382" s="4">
        <f t="shared" si="47"/>
        <v>2.753777838972841E-4</v>
      </c>
      <c r="AO382" s="3"/>
      <c r="AP382">
        <v>0</v>
      </c>
      <c r="AR382" t="s">
        <v>0</v>
      </c>
      <c r="AT382" s="2">
        <v>0.72599999999999998</v>
      </c>
      <c r="AU382" s="1">
        <f t="shared" si="51"/>
        <v>0.38198333773463827</v>
      </c>
      <c r="AV382" s="1">
        <f t="shared" si="52"/>
        <v>0.28071317792180689</v>
      </c>
      <c r="AW382" s="1">
        <f t="shared" si="53"/>
        <v>0.1794430181089755</v>
      </c>
    </row>
    <row r="383" spans="1:49" x14ac:dyDescent="0.2">
      <c r="A383">
        <v>381</v>
      </c>
      <c r="B383" t="s">
        <v>5072</v>
      </c>
      <c r="C383" t="s">
        <v>5071</v>
      </c>
      <c r="F383" t="s">
        <v>5070</v>
      </c>
      <c r="G383" t="s">
        <v>15</v>
      </c>
      <c r="H383" t="s">
        <v>14</v>
      </c>
      <c r="I383" t="s">
        <v>5069</v>
      </c>
      <c r="J383" t="s">
        <v>5068</v>
      </c>
      <c r="K383" t="s">
        <v>5067</v>
      </c>
      <c r="L383" t="s">
        <v>5066</v>
      </c>
      <c r="M383" t="s">
        <v>5065</v>
      </c>
      <c r="N383">
        <v>1</v>
      </c>
      <c r="O383" t="s">
        <v>5064</v>
      </c>
      <c r="P383">
        <v>7004370641</v>
      </c>
      <c r="Q383" t="s">
        <v>5063</v>
      </c>
      <c r="R383" s="7">
        <v>32509</v>
      </c>
      <c r="S383" s="8">
        <f t="shared" si="48"/>
        <v>1989</v>
      </c>
      <c r="T383" s="8">
        <v>1989</v>
      </c>
      <c r="U383" s="8">
        <f t="shared" si="49"/>
        <v>33</v>
      </c>
      <c r="V383" s="7">
        <v>32782</v>
      </c>
      <c r="W383" t="s">
        <v>778</v>
      </c>
      <c r="X383" s="2">
        <v>1.6519999999999999</v>
      </c>
      <c r="Y383" s="6">
        <f t="shared" si="46"/>
        <v>4.409919649769093E-2</v>
      </c>
      <c r="AA383" t="s">
        <v>777</v>
      </c>
      <c r="AB383">
        <v>17337</v>
      </c>
      <c r="AC383">
        <v>15582221</v>
      </c>
      <c r="AD383" t="s">
        <v>5</v>
      </c>
      <c r="AE383">
        <v>37</v>
      </c>
      <c r="AF383">
        <v>10</v>
      </c>
      <c r="AH383" t="s">
        <v>5062</v>
      </c>
      <c r="AI383" t="s">
        <v>5061</v>
      </c>
      <c r="AK383" t="s">
        <v>5060</v>
      </c>
      <c r="AL383">
        <v>46</v>
      </c>
      <c r="AM383" s="5">
        <f t="shared" si="50"/>
        <v>1.393939393939394</v>
      </c>
      <c r="AN383" s="4">
        <f t="shared" si="47"/>
        <v>2.111229676545845E-3</v>
      </c>
      <c r="AO383" s="3"/>
      <c r="AP383">
        <v>0</v>
      </c>
      <c r="AR383" t="s">
        <v>0</v>
      </c>
      <c r="AT383" s="2" t="s">
        <v>19</v>
      </c>
      <c r="AU383" s="1">
        <f t="shared" si="51"/>
        <v>3.1502806451347407</v>
      </c>
      <c r="AV383" s="1">
        <f t="shared" si="52"/>
        <v>2.3105213087118388</v>
      </c>
      <c r="AW383" s="1">
        <f t="shared" si="53"/>
        <v>1.4707619722889369</v>
      </c>
    </row>
    <row r="384" spans="1:49" x14ac:dyDescent="0.2">
      <c r="A384">
        <v>382</v>
      </c>
      <c r="B384" t="s">
        <v>5059</v>
      </c>
      <c r="C384" t="s">
        <v>5058</v>
      </c>
      <c r="F384" t="s">
        <v>5057</v>
      </c>
      <c r="G384" t="s">
        <v>15</v>
      </c>
      <c r="H384" t="s">
        <v>14</v>
      </c>
      <c r="I384" t="s">
        <v>5056</v>
      </c>
      <c r="J384">
        <v>60003500</v>
      </c>
      <c r="K384" t="s">
        <v>2708</v>
      </c>
      <c r="L384" t="s">
        <v>2707</v>
      </c>
      <c r="M384" t="s">
        <v>23</v>
      </c>
      <c r="N384">
        <v>2</v>
      </c>
      <c r="O384" t="s">
        <v>5055</v>
      </c>
      <c r="P384" t="s">
        <v>5054</v>
      </c>
      <c r="Q384" t="s">
        <v>4442</v>
      </c>
      <c r="R384" s="7">
        <v>32509</v>
      </c>
      <c r="S384" s="8">
        <f t="shared" si="48"/>
        <v>1989</v>
      </c>
      <c r="T384" s="8">
        <v>1989</v>
      </c>
      <c r="U384" s="8">
        <f t="shared" si="49"/>
        <v>33</v>
      </c>
      <c r="V384" s="7">
        <v>32782</v>
      </c>
      <c r="W384" t="s">
        <v>778</v>
      </c>
      <c r="X384" s="2">
        <v>1.6519999999999999</v>
      </c>
      <c r="Y384" s="6">
        <f t="shared" si="46"/>
        <v>4.409919649769093E-2</v>
      </c>
      <c r="AA384" t="s">
        <v>777</v>
      </c>
      <c r="AB384">
        <v>17337</v>
      </c>
      <c r="AC384">
        <v>15582221</v>
      </c>
      <c r="AD384" t="s">
        <v>5</v>
      </c>
      <c r="AE384">
        <v>37</v>
      </c>
      <c r="AF384">
        <v>10</v>
      </c>
      <c r="AH384" t="s">
        <v>5053</v>
      </c>
      <c r="AI384" t="s">
        <v>5052</v>
      </c>
      <c r="AK384" t="s">
        <v>5051</v>
      </c>
      <c r="AL384">
        <v>1</v>
      </c>
      <c r="AM384" s="5">
        <f t="shared" si="50"/>
        <v>3.0303030303030304E-2</v>
      </c>
      <c r="AN384" s="4">
        <f t="shared" si="47"/>
        <v>4.5896297316214016E-5</v>
      </c>
      <c r="AO384" s="3"/>
      <c r="AP384">
        <v>0</v>
      </c>
      <c r="AR384" t="s">
        <v>0</v>
      </c>
      <c r="AT384" s="2" t="s">
        <v>19</v>
      </c>
      <c r="AU384" s="1">
        <f t="shared" si="51"/>
        <v>3.0883206437578514</v>
      </c>
      <c r="AV384" s="1">
        <f t="shared" si="52"/>
        <v>2.2072546397503574</v>
      </c>
      <c r="AW384" s="1">
        <f t="shared" si="53"/>
        <v>1.3261886357428627</v>
      </c>
    </row>
    <row r="385" spans="1:49" x14ac:dyDescent="0.2">
      <c r="A385">
        <v>383</v>
      </c>
      <c r="B385" t="s">
        <v>5050</v>
      </c>
      <c r="C385" t="s">
        <v>5049</v>
      </c>
      <c r="F385" t="s">
        <v>5048</v>
      </c>
      <c r="G385" t="s">
        <v>15</v>
      </c>
      <c r="H385" t="s">
        <v>14</v>
      </c>
      <c r="I385" t="s">
        <v>5047</v>
      </c>
      <c r="J385">
        <v>60031581</v>
      </c>
      <c r="K385" t="s">
        <v>5046</v>
      </c>
      <c r="L385" t="s">
        <v>1693</v>
      </c>
      <c r="M385" t="s">
        <v>23</v>
      </c>
      <c r="N385">
        <v>3</v>
      </c>
      <c r="O385" t="s">
        <v>5045</v>
      </c>
      <c r="P385" t="s">
        <v>5044</v>
      </c>
      <c r="Q385" t="s">
        <v>5043</v>
      </c>
      <c r="R385" s="7">
        <v>32509</v>
      </c>
      <c r="S385" s="8">
        <f t="shared" si="48"/>
        <v>1989</v>
      </c>
      <c r="T385" s="8">
        <v>1989</v>
      </c>
      <c r="U385" s="8">
        <f t="shared" si="49"/>
        <v>33</v>
      </c>
      <c r="V385" s="7" t="s">
        <v>4552</v>
      </c>
      <c r="W385" s="11" t="s">
        <v>2429</v>
      </c>
      <c r="X385" s="2">
        <v>2.383</v>
      </c>
      <c r="Y385" s="6">
        <f t="shared" si="46"/>
        <v>6.3612824003630442E-2</v>
      </c>
      <c r="AA385">
        <v>1437070</v>
      </c>
      <c r="AB385">
        <v>39742</v>
      </c>
      <c r="AD385" t="s">
        <v>5</v>
      </c>
      <c r="AE385">
        <v>136</v>
      </c>
      <c r="AF385">
        <v>5</v>
      </c>
      <c r="AH385" t="s">
        <v>5042</v>
      </c>
      <c r="AL385">
        <v>6</v>
      </c>
      <c r="AM385" s="5">
        <f t="shared" si="50"/>
        <v>0.18181818181818182</v>
      </c>
      <c r="AN385" s="4">
        <f t="shared" si="47"/>
        <v>2.753777838972841E-4</v>
      </c>
      <c r="AO385" s="3"/>
      <c r="AP385">
        <v>0</v>
      </c>
      <c r="AR385" t="s">
        <v>0</v>
      </c>
      <c r="AT385" s="2" t="s">
        <v>19</v>
      </c>
      <c r="AU385" s="1">
        <f t="shared" si="51"/>
        <v>4.4611590137710495</v>
      </c>
      <c r="AV385" s="1">
        <f t="shared" si="52"/>
        <v>3.1944100893763863</v>
      </c>
      <c r="AW385" s="1">
        <f t="shared" si="53"/>
        <v>1.927661164981723</v>
      </c>
    </row>
    <row r="386" spans="1:49" x14ac:dyDescent="0.2">
      <c r="A386">
        <v>384</v>
      </c>
      <c r="B386" t="s">
        <v>5041</v>
      </c>
      <c r="C386" t="s">
        <v>5040</v>
      </c>
      <c r="F386" t="s">
        <v>5039</v>
      </c>
      <c r="G386" t="s">
        <v>15</v>
      </c>
      <c r="H386" t="s">
        <v>14</v>
      </c>
      <c r="I386" t="s">
        <v>5038</v>
      </c>
      <c r="J386">
        <v>60020661</v>
      </c>
      <c r="K386" t="s">
        <v>5037</v>
      </c>
      <c r="L386" t="s">
        <v>5036</v>
      </c>
      <c r="M386" t="s">
        <v>792</v>
      </c>
      <c r="N386">
        <v>1</v>
      </c>
      <c r="O386" t="s">
        <v>5035</v>
      </c>
      <c r="P386">
        <v>7101618795</v>
      </c>
      <c r="Q386">
        <v>60020661</v>
      </c>
      <c r="R386" s="7">
        <v>32509</v>
      </c>
      <c r="S386" s="8">
        <f t="shared" si="48"/>
        <v>1989</v>
      </c>
      <c r="T386" s="8">
        <v>1989</v>
      </c>
      <c r="U386" s="8">
        <f t="shared" si="49"/>
        <v>33</v>
      </c>
      <c r="V386" s="7" t="s">
        <v>4552</v>
      </c>
      <c r="W386" t="s">
        <v>5034</v>
      </c>
      <c r="X386" s="2">
        <v>0.28599999999999998</v>
      </c>
      <c r="Y386" s="6">
        <f t="shared" ref="Y386:Y449" si="54">(X386-$Z$4)/($Z$3-$Z$4)</f>
        <v>7.6346066575905605E-3</v>
      </c>
      <c r="AA386">
        <v>207209</v>
      </c>
      <c r="AB386">
        <v>17966</v>
      </c>
      <c r="AD386" t="s">
        <v>5</v>
      </c>
      <c r="AE386">
        <v>26</v>
      </c>
      <c r="AF386">
        <v>4</v>
      </c>
      <c r="AH386" t="s">
        <v>5033</v>
      </c>
      <c r="AI386" t="s">
        <v>5032</v>
      </c>
      <c r="AK386" t="s">
        <v>5031</v>
      </c>
      <c r="AL386">
        <v>1</v>
      </c>
      <c r="AM386" s="5">
        <f t="shared" si="50"/>
        <v>3.0303030303030304E-2</v>
      </c>
      <c r="AN386" s="4">
        <f t="shared" ref="AN386:AN449" si="55">(AM386-$AO$4)/($AO$3-$AO$4)</f>
        <v>4.5896297316214016E-5</v>
      </c>
      <c r="AO386" s="3"/>
      <c r="AP386">
        <v>0</v>
      </c>
      <c r="AR386" t="s">
        <v>0</v>
      </c>
      <c r="AT386" s="2" t="s">
        <v>19</v>
      </c>
      <c r="AU386" s="1">
        <f t="shared" si="51"/>
        <v>0.53579935495082565</v>
      </c>
      <c r="AV386" s="1">
        <f t="shared" si="52"/>
        <v>0.38402514774533875</v>
      </c>
      <c r="AW386" s="1">
        <f t="shared" si="53"/>
        <v>0.23225094053985182</v>
      </c>
    </row>
    <row r="387" spans="1:49" x14ac:dyDescent="0.2">
      <c r="A387">
        <v>385</v>
      </c>
      <c r="B387" t="s">
        <v>5030</v>
      </c>
      <c r="C387" t="s">
        <v>5029</v>
      </c>
      <c r="F387" t="s">
        <v>5028</v>
      </c>
      <c r="G387" t="s">
        <v>15</v>
      </c>
      <c r="H387" t="s">
        <v>14</v>
      </c>
      <c r="I387" t="s">
        <v>5027</v>
      </c>
      <c r="J387" t="s">
        <v>5026</v>
      </c>
      <c r="K387" t="s">
        <v>5025</v>
      </c>
      <c r="L387" t="s">
        <v>5024</v>
      </c>
      <c r="M387" t="s">
        <v>5023</v>
      </c>
      <c r="N387">
        <v>2</v>
      </c>
      <c r="O387" t="s">
        <v>5022</v>
      </c>
      <c r="P387" t="s">
        <v>5021</v>
      </c>
      <c r="Q387" t="s">
        <v>5020</v>
      </c>
      <c r="R387" s="7">
        <v>32509</v>
      </c>
      <c r="S387" s="8">
        <f t="shared" si="48"/>
        <v>1989</v>
      </c>
      <c r="T387" s="8">
        <v>1989</v>
      </c>
      <c r="U387" s="8">
        <f t="shared" si="49"/>
        <v>33</v>
      </c>
      <c r="V387" s="7">
        <v>32782</v>
      </c>
      <c r="W387" t="s">
        <v>2247</v>
      </c>
      <c r="X387" s="2">
        <v>0.111</v>
      </c>
      <c r="Y387" s="6">
        <f t="shared" si="54"/>
        <v>2.9630816048690639E-3</v>
      </c>
      <c r="AA387">
        <v>87566621</v>
      </c>
      <c r="AB387">
        <v>24890</v>
      </c>
      <c r="AC387">
        <v>15206424</v>
      </c>
      <c r="AD387" t="s">
        <v>5</v>
      </c>
      <c r="AE387">
        <v>72</v>
      </c>
      <c r="AF387">
        <v>10</v>
      </c>
      <c r="AH387" t="s">
        <v>5019</v>
      </c>
      <c r="AI387" t="s">
        <v>5018</v>
      </c>
      <c r="AK387" t="s">
        <v>5017</v>
      </c>
      <c r="AL387">
        <v>0</v>
      </c>
      <c r="AM387" s="5">
        <f t="shared" si="50"/>
        <v>0</v>
      </c>
      <c r="AN387" s="4">
        <f t="shared" si="55"/>
        <v>0</v>
      </c>
      <c r="AO387" s="3"/>
      <c r="AP387">
        <v>0</v>
      </c>
      <c r="AR387" t="s">
        <v>0</v>
      </c>
      <c r="AT387" s="2" t="s">
        <v>19</v>
      </c>
      <c r="AU387" s="1">
        <f t="shared" si="51"/>
        <v>0.20741571234083445</v>
      </c>
      <c r="AV387" s="1">
        <f t="shared" si="52"/>
        <v>0.1481540802434532</v>
      </c>
      <c r="AW387" s="1">
        <f t="shared" si="53"/>
        <v>8.8892448146071903E-2</v>
      </c>
    </row>
    <row r="388" spans="1:49" x14ac:dyDescent="0.2">
      <c r="A388">
        <v>386</v>
      </c>
      <c r="B388" t="s">
        <v>5016</v>
      </c>
      <c r="C388" t="s">
        <v>5015</v>
      </c>
      <c r="F388" t="s">
        <v>5014</v>
      </c>
      <c r="G388" t="s">
        <v>15</v>
      </c>
      <c r="H388" t="s">
        <v>14</v>
      </c>
      <c r="I388" t="s">
        <v>5013</v>
      </c>
      <c r="J388">
        <v>60027012</v>
      </c>
      <c r="K388" t="s">
        <v>5012</v>
      </c>
      <c r="L388" t="s">
        <v>5011</v>
      </c>
      <c r="M388" t="s">
        <v>5010</v>
      </c>
      <c r="N388">
        <v>1</v>
      </c>
      <c r="O388" t="s">
        <v>5009</v>
      </c>
      <c r="P388">
        <v>6602145503</v>
      </c>
      <c r="Q388">
        <v>60027012</v>
      </c>
      <c r="R388" s="7">
        <v>32509</v>
      </c>
      <c r="S388" s="8">
        <f t="shared" si="48"/>
        <v>1989</v>
      </c>
      <c r="T388" s="8">
        <v>1989</v>
      </c>
      <c r="U388" s="8">
        <f t="shared" si="49"/>
        <v>33</v>
      </c>
      <c r="V388" s="7">
        <v>32782</v>
      </c>
      <c r="W388" t="s">
        <v>360</v>
      </c>
      <c r="X388" s="2">
        <v>1.3720000000000001</v>
      </c>
      <c r="Y388" s="6">
        <f t="shared" si="54"/>
        <v>3.662475641333654E-2</v>
      </c>
      <c r="AA388">
        <v>189480</v>
      </c>
      <c r="AB388">
        <v>17366</v>
      </c>
      <c r="AC388">
        <v>15579670</v>
      </c>
      <c r="AD388" t="s">
        <v>5</v>
      </c>
      <c r="AE388">
        <v>37</v>
      </c>
      <c r="AF388">
        <v>10</v>
      </c>
      <c r="AH388" t="s">
        <v>5008</v>
      </c>
      <c r="AI388" t="s">
        <v>5007</v>
      </c>
      <c r="AK388" t="s">
        <v>5006</v>
      </c>
      <c r="AL388">
        <v>22</v>
      </c>
      <c r="AM388" s="5">
        <f t="shared" si="50"/>
        <v>0.66666666666666663</v>
      </c>
      <c r="AN388" s="4">
        <f t="shared" si="55"/>
        <v>1.0097185409567082E-3</v>
      </c>
      <c r="AO388" s="3"/>
      <c r="AP388">
        <v>0</v>
      </c>
      <c r="AR388" t="s">
        <v>0</v>
      </c>
      <c r="AT388" s="2" t="s">
        <v>19</v>
      </c>
      <c r="AU388" s="1">
        <f t="shared" si="51"/>
        <v>2.5940245051622588</v>
      </c>
      <c r="AV388" s="1">
        <f t="shared" si="52"/>
        <v>1.8817237477146624</v>
      </c>
      <c r="AW388" s="1">
        <f t="shared" si="53"/>
        <v>1.1694229902670656</v>
      </c>
    </row>
    <row r="389" spans="1:49" x14ac:dyDescent="0.2">
      <c r="A389">
        <v>387</v>
      </c>
      <c r="B389" t="s">
        <v>5005</v>
      </c>
      <c r="C389" t="s">
        <v>5004</v>
      </c>
      <c r="F389" t="s">
        <v>5003</v>
      </c>
      <c r="G389" t="s">
        <v>15</v>
      </c>
      <c r="H389" t="s">
        <v>14</v>
      </c>
      <c r="I389" t="s">
        <v>4758</v>
      </c>
      <c r="J389">
        <v>60009658</v>
      </c>
      <c r="K389" t="s">
        <v>3997</v>
      </c>
      <c r="L389" t="s">
        <v>3996</v>
      </c>
      <c r="M389" t="s">
        <v>792</v>
      </c>
      <c r="N389">
        <v>1</v>
      </c>
      <c r="O389" t="s">
        <v>5002</v>
      </c>
      <c r="P389">
        <v>57213425197</v>
      </c>
      <c r="Q389">
        <v>60009658</v>
      </c>
      <c r="R389" s="7">
        <v>32509</v>
      </c>
      <c r="S389" s="8">
        <f t="shared" si="48"/>
        <v>1989</v>
      </c>
      <c r="T389" s="8">
        <v>1989</v>
      </c>
      <c r="U389" s="8">
        <f t="shared" si="49"/>
        <v>33</v>
      </c>
      <c r="V389" s="7" t="s">
        <v>4552</v>
      </c>
      <c r="W389" s="11" t="s">
        <v>1449</v>
      </c>
      <c r="X389" s="2">
        <v>2.383</v>
      </c>
      <c r="Y389" s="6">
        <f t="shared" si="54"/>
        <v>6.3612824003630442E-2</v>
      </c>
      <c r="AA389" t="s">
        <v>1448</v>
      </c>
      <c r="AB389">
        <v>101151</v>
      </c>
      <c r="AD389" t="s">
        <v>5</v>
      </c>
      <c r="AE389">
        <v>136</v>
      </c>
      <c r="AF389">
        <v>5</v>
      </c>
      <c r="AH389" t="s">
        <v>5001</v>
      </c>
      <c r="AI389" t="s">
        <v>5000</v>
      </c>
      <c r="AK389" t="s">
        <v>4999</v>
      </c>
      <c r="AL389">
        <v>112</v>
      </c>
      <c r="AM389" s="5">
        <f t="shared" si="50"/>
        <v>3.393939393939394</v>
      </c>
      <c r="AN389" s="4">
        <f t="shared" si="55"/>
        <v>5.1403852994159694E-3</v>
      </c>
      <c r="AO389" s="3"/>
      <c r="AP389">
        <v>0</v>
      </c>
      <c r="AR389" t="s">
        <v>0</v>
      </c>
      <c r="AT389" s="2" t="s">
        <v>19</v>
      </c>
      <c r="AU389" s="1">
        <f t="shared" si="51"/>
        <v>4.6071092392366095</v>
      </c>
      <c r="AV389" s="1">
        <f t="shared" si="52"/>
        <v>3.4376604651523208</v>
      </c>
      <c r="AW389" s="1">
        <f t="shared" si="53"/>
        <v>2.2682116910680312</v>
      </c>
    </row>
    <row r="390" spans="1:49" x14ac:dyDescent="0.2">
      <c r="A390">
        <v>388</v>
      </c>
      <c r="B390" t="s">
        <v>4998</v>
      </c>
      <c r="C390" t="s">
        <v>4997</v>
      </c>
      <c r="F390" t="s">
        <v>4996</v>
      </c>
      <c r="G390" t="s">
        <v>15</v>
      </c>
      <c r="H390" t="s">
        <v>14</v>
      </c>
      <c r="I390" t="s">
        <v>4995</v>
      </c>
      <c r="J390">
        <v>60019663</v>
      </c>
      <c r="K390" t="s">
        <v>4994</v>
      </c>
      <c r="L390" t="s">
        <v>4993</v>
      </c>
      <c r="M390" t="s">
        <v>4992</v>
      </c>
      <c r="N390">
        <v>2</v>
      </c>
      <c r="O390" t="s">
        <v>4991</v>
      </c>
      <c r="P390" t="s">
        <v>4990</v>
      </c>
      <c r="Q390" t="s">
        <v>4989</v>
      </c>
      <c r="R390" s="7">
        <v>32509</v>
      </c>
      <c r="S390" s="8">
        <f t="shared" si="48"/>
        <v>1989</v>
      </c>
      <c r="T390" s="8">
        <v>1989</v>
      </c>
      <c r="U390" s="8">
        <f t="shared" si="49"/>
        <v>33</v>
      </c>
      <c r="V390" s="7">
        <v>32782</v>
      </c>
      <c r="W390" t="s">
        <v>778</v>
      </c>
      <c r="X390" s="2">
        <v>1.6519999999999999</v>
      </c>
      <c r="Y390" s="6">
        <f t="shared" si="54"/>
        <v>4.409919649769093E-2</v>
      </c>
      <c r="AA390" t="s">
        <v>777</v>
      </c>
      <c r="AB390">
        <v>17337</v>
      </c>
      <c r="AC390">
        <v>15582221</v>
      </c>
      <c r="AD390" t="s">
        <v>5</v>
      </c>
      <c r="AE390">
        <v>37</v>
      </c>
      <c r="AF390">
        <v>10</v>
      </c>
      <c r="AH390" t="s">
        <v>4988</v>
      </c>
      <c r="AI390" t="s">
        <v>4987</v>
      </c>
      <c r="AK390" t="s">
        <v>4986</v>
      </c>
      <c r="AL390">
        <v>1</v>
      </c>
      <c r="AM390" s="5">
        <f t="shared" si="50"/>
        <v>3.0303030303030304E-2</v>
      </c>
      <c r="AN390" s="4">
        <f t="shared" si="55"/>
        <v>4.5896297316214016E-5</v>
      </c>
      <c r="AO390" s="3"/>
      <c r="AP390">
        <v>0</v>
      </c>
      <c r="AR390" t="s">
        <v>0</v>
      </c>
      <c r="AT390" s="2" t="s">
        <v>19</v>
      </c>
      <c r="AU390" s="1">
        <f t="shared" si="51"/>
        <v>3.0883206437578514</v>
      </c>
      <c r="AV390" s="1">
        <f t="shared" si="52"/>
        <v>2.2072546397503574</v>
      </c>
      <c r="AW390" s="1">
        <f t="shared" si="53"/>
        <v>1.3261886357428627</v>
      </c>
    </row>
    <row r="391" spans="1:49" x14ac:dyDescent="0.2">
      <c r="A391">
        <v>389</v>
      </c>
      <c r="B391" t="s">
        <v>4985</v>
      </c>
      <c r="C391" t="s">
        <v>4984</v>
      </c>
      <c r="F391" t="s">
        <v>4983</v>
      </c>
      <c r="G391" t="s">
        <v>15</v>
      </c>
      <c r="H391" t="s">
        <v>14</v>
      </c>
      <c r="I391" t="s">
        <v>2199</v>
      </c>
      <c r="J391">
        <v>60018735</v>
      </c>
      <c r="K391" t="s">
        <v>4982</v>
      </c>
      <c r="L391" t="s">
        <v>1496</v>
      </c>
      <c r="M391" t="s">
        <v>115</v>
      </c>
      <c r="N391">
        <v>2</v>
      </c>
      <c r="O391" t="s">
        <v>4981</v>
      </c>
      <c r="P391" t="s">
        <v>4980</v>
      </c>
      <c r="Q391" t="s">
        <v>4979</v>
      </c>
      <c r="R391" s="7">
        <v>32509</v>
      </c>
      <c r="S391" s="8">
        <f t="shared" si="48"/>
        <v>1989</v>
      </c>
      <c r="T391" s="8">
        <v>1989</v>
      </c>
      <c r="U391" s="8">
        <f t="shared" si="49"/>
        <v>33</v>
      </c>
      <c r="V391" s="7">
        <v>32782</v>
      </c>
      <c r="W391" t="s">
        <v>2247</v>
      </c>
      <c r="X391" s="2">
        <v>0.111</v>
      </c>
      <c r="Y391" s="6">
        <f t="shared" si="54"/>
        <v>2.9630816048690639E-3</v>
      </c>
      <c r="AA391">
        <v>87566621</v>
      </c>
      <c r="AB391">
        <v>24890</v>
      </c>
      <c r="AC391">
        <v>15206424</v>
      </c>
      <c r="AD391" t="s">
        <v>5</v>
      </c>
      <c r="AE391">
        <v>72</v>
      </c>
      <c r="AF391">
        <v>10</v>
      </c>
      <c r="AH391" t="s">
        <v>1003</v>
      </c>
      <c r="AI391" t="s">
        <v>4978</v>
      </c>
      <c r="AK391" t="s">
        <v>4977</v>
      </c>
      <c r="AL391">
        <v>0</v>
      </c>
      <c r="AM391" s="5">
        <f t="shared" si="50"/>
        <v>0</v>
      </c>
      <c r="AN391" s="4">
        <f t="shared" si="55"/>
        <v>0</v>
      </c>
      <c r="AO391" s="3"/>
      <c r="AP391">
        <v>0</v>
      </c>
      <c r="AR391" t="s">
        <v>0</v>
      </c>
      <c r="AT391" s="2" t="s">
        <v>19</v>
      </c>
      <c r="AU391" s="1">
        <f t="shared" si="51"/>
        <v>0.20741571234083445</v>
      </c>
      <c r="AV391" s="1">
        <f t="shared" si="52"/>
        <v>0.1481540802434532</v>
      </c>
      <c r="AW391" s="1">
        <f t="shared" si="53"/>
        <v>8.8892448146071903E-2</v>
      </c>
    </row>
    <row r="392" spans="1:49" x14ac:dyDescent="0.2">
      <c r="A392">
        <v>390</v>
      </c>
      <c r="B392" t="s">
        <v>4976</v>
      </c>
      <c r="C392" t="s">
        <v>4975</v>
      </c>
      <c r="F392" t="s">
        <v>4974</v>
      </c>
      <c r="G392" t="s">
        <v>15</v>
      </c>
      <c r="H392" t="s">
        <v>14</v>
      </c>
      <c r="I392" t="s">
        <v>1756</v>
      </c>
      <c r="J392">
        <v>60009982</v>
      </c>
      <c r="K392" t="s">
        <v>325</v>
      </c>
      <c r="L392" t="s">
        <v>324</v>
      </c>
      <c r="M392" t="s">
        <v>23</v>
      </c>
      <c r="N392">
        <v>1</v>
      </c>
      <c r="O392" t="s">
        <v>1755</v>
      </c>
      <c r="P392">
        <v>35586046100</v>
      </c>
      <c r="Q392">
        <v>60009982</v>
      </c>
      <c r="R392" s="7">
        <v>32509</v>
      </c>
      <c r="S392" s="8">
        <f t="shared" si="48"/>
        <v>1989</v>
      </c>
      <c r="T392" s="8">
        <v>1989</v>
      </c>
      <c r="U392" s="8">
        <f t="shared" si="49"/>
        <v>33</v>
      </c>
      <c r="V392" s="7">
        <v>32782</v>
      </c>
      <c r="W392" t="s">
        <v>778</v>
      </c>
      <c r="X392" s="2">
        <v>1.6519999999999999</v>
      </c>
      <c r="Y392" s="6">
        <f t="shared" si="54"/>
        <v>4.409919649769093E-2</v>
      </c>
      <c r="AA392" t="s">
        <v>777</v>
      </c>
      <c r="AB392">
        <v>17337</v>
      </c>
      <c r="AC392">
        <v>15582221</v>
      </c>
      <c r="AD392" t="s">
        <v>5</v>
      </c>
      <c r="AE392">
        <v>37</v>
      </c>
      <c r="AF392">
        <v>10</v>
      </c>
      <c r="AH392" t="s">
        <v>4973</v>
      </c>
      <c r="AI392" t="s">
        <v>4972</v>
      </c>
      <c r="AK392" t="s">
        <v>4971</v>
      </c>
      <c r="AL392">
        <v>23</v>
      </c>
      <c r="AM392" s="5">
        <f t="shared" si="50"/>
        <v>0.69696969696969702</v>
      </c>
      <c r="AN392" s="4">
        <f t="shared" si="55"/>
        <v>1.0556148382729225E-3</v>
      </c>
      <c r="AO392" s="3"/>
      <c r="AP392">
        <v>0</v>
      </c>
      <c r="AR392" t="s">
        <v>0</v>
      </c>
      <c r="AT392" s="2" t="s">
        <v>19</v>
      </c>
      <c r="AU392" s="1">
        <f t="shared" si="51"/>
        <v>3.1186121999865528</v>
      </c>
      <c r="AV392" s="1">
        <f t="shared" si="52"/>
        <v>2.2577405667981925</v>
      </c>
      <c r="AW392" s="1">
        <f t="shared" si="53"/>
        <v>1.3968689336098323</v>
      </c>
    </row>
    <row r="393" spans="1:49" x14ac:dyDescent="0.2">
      <c r="A393">
        <v>391</v>
      </c>
      <c r="B393" t="s">
        <v>4970</v>
      </c>
      <c r="C393" t="s">
        <v>4969</v>
      </c>
      <c r="F393" t="s">
        <v>4968</v>
      </c>
      <c r="G393" t="s">
        <v>15</v>
      </c>
      <c r="H393" t="s">
        <v>14</v>
      </c>
      <c r="I393" t="s">
        <v>902</v>
      </c>
      <c r="J393">
        <v>60005429</v>
      </c>
      <c r="K393" t="s">
        <v>901</v>
      </c>
      <c r="L393" t="s">
        <v>900</v>
      </c>
      <c r="M393" t="s">
        <v>899</v>
      </c>
      <c r="N393">
        <v>2</v>
      </c>
      <c r="O393" t="s">
        <v>4967</v>
      </c>
      <c r="P393" t="s">
        <v>4966</v>
      </c>
      <c r="Q393" t="s">
        <v>3730</v>
      </c>
      <c r="R393" s="7">
        <v>32509</v>
      </c>
      <c r="S393" s="8">
        <f t="shared" si="48"/>
        <v>1989</v>
      </c>
      <c r="T393" s="8">
        <v>1989</v>
      </c>
      <c r="U393" s="8">
        <f t="shared" si="49"/>
        <v>33</v>
      </c>
      <c r="V393" s="7">
        <v>32782</v>
      </c>
      <c r="W393" t="s">
        <v>778</v>
      </c>
      <c r="X393" s="2">
        <v>1.6519999999999999</v>
      </c>
      <c r="Y393" s="6">
        <f t="shared" si="54"/>
        <v>4.409919649769093E-2</v>
      </c>
      <c r="AA393" t="s">
        <v>777</v>
      </c>
      <c r="AB393">
        <v>17337</v>
      </c>
      <c r="AC393">
        <v>15582221</v>
      </c>
      <c r="AD393" t="s">
        <v>5</v>
      </c>
      <c r="AE393">
        <v>37</v>
      </c>
      <c r="AF393">
        <v>10</v>
      </c>
      <c r="AH393" t="s">
        <v>4965</v>
      </c>
      <c r="AI393" t="s">
        <v>4964</v>
      </c>
      <c r="AK393" t="s">
        <v>4963</v>
      </c>
      <c r="AL393">
        <v>36</v>
      </c>
      <c r="AM393" s="5">
        <f t="shared" si="50"/>
        <v>1.0909090909090908</v>
      </c>
      <c r="AN393" s="4">
        <f t="shared" si="55"/>
        <v>1.6522667033837045E-3</v>
      </c>
      <c r="AO393" s="3"/>
      <c r="AP393">
        <v>0</v>
      </c>
      <c r="AR393" t="s">
        <v>0</v>
      </c>
      <c r="AT393" s="2" t="s">
        <v>19</v>
      </c>
      <c r="AU393" s="1">
        <f t="shared" si="51"/>
        <v>3.1365117559398761</v>
      </c>
      <c r="AV393" s="1">
        <f t="shared" si="52"/>
        <v>2.2875731600537317</v>
      </c>
      <c r="AW393" s="1">
        <f t="shared" si="53"/>
        <v>1.4386345641675871</v>
      </c>
    </row>
    <row r="394" spans="1:49" x14ac:dyDescent="0.2">
      <c r="A394">
        <v>392</v>
      </c>
      <c r="B394" t="s">
        <v>4962</v>
      </c>
      <c r="C394" t="s">
        <v>4961</v>
      </c>
      <c r="F394" t="s">
        <v>4960</v>
      </c>
      <c r="G394" t="s">
        <v>15</v>
      </c>
      <c r="H394" t="s">
        <v>14</v>
      </c>
      <c r="I394" t="s">
        <v>4959</v>
      </c>
      <c r="J394">
        <v>60071723</v>
      </c>
      <c r="K394" t="s">
        <v>4958</v>
      </c>
      <c r="L394" t="s">
        <v>4957</v>
      </c>
      <c r="M394" t="s">
        <v>4956</v>
      </c>
      <c r="N394">
        <v>2</v>
      </c>
      <c r="O394" t="s">
        <v>4955</v>
      </c>
      <c r="P394" t="s">
        <v>4954</v>
      </c>
      <c r="Q394" t="s">
        <v>4953</v>
      </c>
      <c r="R394" s="7">
        <v>32509</v>
      </c>
      <c r="S394" s="8">
        <f t="shared" si="48"/>
        <v>1989</v>
      </c>
      <c r="T394" s="8">
        <v>1989</v>
      </c>
      <c r="U394" s="8">
        <f t="shared" si="49"/>
        <v>33</v>
      </c>
      <c r="V394" s="7">
        <v>32782</v>
      </c>
      <c r="W394" t="s">
        <v>778</v>
      </c>
      <c r="X394" s="2">
        <v>1.6519999999999999</v>
      </c>
      <c r="Y394" s="6">
        <f t="shared" si="54"/>
        <v>4.409919649769093E-2</v>
      </c>
      <c r="AA394" t="s">
        <v>777</v>
      </c>
      <c r="AB394">
        <v>17337</v>
      </c>
      <c r="AC394">
        <v>15582221</v>
      </c>
      <c r="AD394" t="s">
        <v>5</v>
      </c>
      <c r="AE394">
        <v>37</v>
      </c>
      <c r="AF394">
        <v>10</v>
      </c>
      <c r="AH394" t="s">
        <v>4952</v>
      </c>
      <c r="AI394" t="s">
        <v>4951</v>
      </c>
      <c r="AK394" t="s">
        <v>4950</v>
      </c>
      <c r="AL394">
        <v>1</v>
      </c>
      <c r="AM394" s="5">
        <f t="shared" si="50"/>
        <v>3.0303030303030304E-2</v>
      </c>
      <c r="AN394" s="4">
        <f t="shared" si="55"/>
        <v>4.5896297316214016E-5</v>
      </c>
      <c r="AO394" s="3"/>
      <c r="AP394">
        <v>0</v>
      </c>
      <c r="AR394" t="s">
        <v>0</v>
      </c>
      <c r="AT394" s="2" t="s">
        <v>19</v>
      </c>
      <c r="AU394" s="1">
        <f t="shared" si="51"/>
        <v>3.0883206437578514</v>
      </c>
      <c r="AV394" s="1">
        <f t="shared" si="52"/>
        <v>2.2072546397503574</v>
      </c>
      <c r="AW394" s="1">
        <f t="shared" si="53"/>
        <v>1.3261886357428627</v>
      </c>
    </row>
    <row r="395" spans="1:49" x14ac:dyDescent="0.2">
      <c r="A395">
        <v>393</v>
      </c>
      <c r="B395" t="s">
        <v>4949</v>
      </c>
      <c r="C395" t="s">
        <v>4948</v>
      </c>
      <c r="F395" t="s">
        <v>4947</v>
      </c>
      <c r="G395" t="s">
        <v>15</v>
      </c>
      <c r="H395" t="s">
        <v>14</v>
      </c>
      <c r="I395" t="s">
        <v>4946</v>
      </c>
      <c r="J395" t="s">
        <v>4945</v>
      </c>
      <c r="K395" t="s">
        <v>4944</v>
      </c>
      <c r="L395" t="s">
        <v>4943</v>
      </c>
      <c r="M395" t="s">
        <v>4942</v>
      </c>
      <c r="N395">
        <v>2</v>
      </c>
      <c r="O395" t="s">
        <v>4941</v>
      </c>
      <c r="P395" t="s">
        <v>4940</v>
      </c>
      <c r="Q395" t="s">
        <v>4939</v>
      </c>
      <c r="R395" s="7">
        <v>32509</v>
      </c>
      <c r="S395" s="8">
        <f t="shared" si="48"/>
        <v>1989</v>
      </c>
      <c r="T395" s="8">
        <v>1989</v>
      </c>
      <c r="U395" s="8">
        <f t="shared" si="49"/>
        <v>33</v>
      </c>
      <c r="V395" s="7">
        <v>32782</v>
      </c>
      <c r="W395" t="s">
        <v>778</v>
      </c>
      <c r="X395" s="2">
        <v>1.6519999999999999</v>
      </c>
      <c r="Y395" s="6">
        <f t="shared" si="54"/>
        <v>4.409919649769093E-2</v>
      </c>
      <c r="AA395" t="s">
        <v>777</v>
      </c>
      <c r="AB395">
        <v>17337</v>
      </c>
      <c r="AC395">
        <v>15582221</v>
      </c>
      <c r="AD395" t="s">
        <v>5</v>
      </c>
      <c r="AE395">
        <v>37</v>
      </c>
      <c r="AF395">
        <v>10</v>
      </c>
      <c r="AH395" t="s">
        <v>4938</v>
      </c>
      <c r="AI395" t="s">
        <v>4937</v>
      </c>
      <c r="AK395" t="s">
        <v>4936</v>
      </c>
      <c r="AL395">
        <v>10</v>
      </c>
      <c r="AM395" s="5">
        <f t="shared" si="50"/>
        <v>0.30303030303030304</v>
      </c>
      <c r="AN395" s="4">
        <f t="shared" si="55"/>
        <v>4.5896297316214016E-4</v>
      </c>
      <c r="AO395" s="3"/>
      <c r="AP395">
        <v>0</v>
      </c>
      <c r="AR395" t="s">
        <v>0</v>
      </c>
      <c r="AT395" s="2" t="s">
        <v>19</v>
      </c>
      <c r="AU395" s="1">
        <f t="shared" si="51"/>
        <v>3.1007126440332291</v>
      </c>
      <c r="AV395" s="1">
        <f t="shared" si="52"/>
        <v>2.2279079735426537</v>
      </c>
      <c r="AW395" s="1">
        <f t="shared" si="53"/>
        <v>1.3551033030520776</v>
      </c>
    </row>
    <row r="396" spans="1:49" x14ac:dyDescent="0.2">
      <c r="A396">
        <v>394</v>
      </c>
      <c r="B396" t="s">
        <v>4935</v>
      </c>
      <c r="C396" t="s">
        <v>4934</v>
      </c>
      <c r="F396" t="s">
        <v>4933</v>
      </c>
      <c r="G396" t="s">
        <v>15</v>
      </c>
      <c r="H396" t="s">
        <v>14</v>
      </c>
      <c r="I396" t="s">
        <v>4932</v>
      </c>
      <c r="J396">
        <v>60028897</v>
      </c>
      <c r="K396" t="s">
        <v>4931</v>
      </c>
      <c r="L396" t="s">
        <v>925</v>
      </c>
      <c r="M396" t="s">
        <v>283</v>
      </c>
      <c r="N396">
        <v>3</v>
      </c>
      <c r="O396" t="s">
        <v>4930</v>
      </c>
      <c r="P396" t="s">
        <v>4929</v>
      </c>
      <c r="Q396" t="s">
        <v>4928</v>
      </c>
      <c r="R396" s="7">
        <v>32509</v>
      </c>
      <c r="S396" s="8">
        <f t="shared" si="48"/>
        <v>1989</v>
      </c>
      <c r="T396" s="8">
        <v>1989</v>
      </c>
      <c r="U396" s="8">
        <f t="shared" si="49"/>
        <v>33</v>
      </c>
      <c r="V396" s="7">
        <v>32782</v>
      </c>
      <c r="W396" t="s">
        <v>2592</v>
      </c>
      <c r="X396" s="2">
        <v>0.82</v>
      </c>
      <c r="Y396" s="6">
        <f t="shared" si="54"/>
        <v>2.1889431675609299E-2</v>
      </c>
      <c r="AA396">
        <v>189456</v>
      </c>
      <c r="AB396">
        <v>15361</v>
      </c>
      <c r="AC396">
        <v>15579662</v>
      </c>
      <c r="AD396" t="s">
        <v>5</v>
      </c>
      <c r="AE396">
        <v>38</v>
      </c>
      <c r="AF396">
        <v>5</v>
      </c>
      <c r="AH396" t="s">
        <v>4927</v>
      </c>
      <c r="AI396" t="s">
        <v>4926</v>
      </c>
      <c r="AK396" t="s">
        <v>4925</v>
      </c>
      <c r="AL396">
        <v>0</v>
      </c>
      <c r="AM396" s="5">
        <f t="shared" si="50"/>
        <v>0</v>
      </c>
      <c r="AN396" s="4">
        <f t="shared" si="55"/>
        <v>0</v>
      </c>
      <c r="AO396" s="3"/>
      <c r="AP396">
        <v>0</v>
      </c>
      <c r="AQ396" t="s">
        <v>4062</v>
      </c>
      <c r="AR396" t="s">
        <v>0</v>
      </c>
      <c r="AS396" t="s">
        <v>4060</v>
      </c>
      <c r="AT396" s="2" t="s">
        <v>19</v>
      </c>
      <c r="AU396" s="1">
        <f t="shared" si="51"/>
        <v>1.5322602172926507</v>
      </c>
      <c r="AV396" s="1">
        <f t="shared" si="52"/>
        <v>1.0944715837804648</v>
      </c>
      <c r="AW396" s="1">
        <f t="shared" si="53"/>
        <v>0.65668295026827894</v>
      </c>
    </row>
    <row r="397" spans="1:49" x14ac:dyDescent="0.2">
      <c r="A397">
        <v>395</v>
      </c>
      <c r="B397" t="s">
        <v>4924</v>
      </c>
      <c r="C397" t="s">
        <v>4923</v>
      </c>
      <c r="F397" t="s">
        <v>4922</v>
      </c>
      <c r="G397" t="s">
        <v>15</v>
      </c>
      <c r="H397" t="s">
        <v>14</v>
      </c>
      <c r="I397" t="s">
        <v>4921</v>
      </c>
      <c r="J397" t="s">
        <v>4920</v>
      </c>
      <c r="K397" t="s">
        <v>4919</v>
      </c>
      <c r="L397" t="s">
        <v>4918</v>
      </c>
      <c r="M397" t="s">
        <v>435</v>
      </c>
      <c r="N397">
        <v>2</v>
      </c>
      <c r="O397" t="s">
        <v>4917</v>
      </c>
      <c r="P397" t="s">
        <v>4916</v>
      </c>
      <c r="Q397" t="s">
        <v>4915</v>
      </c>
      <c r="R397" s="7">
        <v>32509</v>
      </c>
      <c r="S397" s="8">
        <f t="shared" si="48"/>
        <v>1989</v>
      </c>
      <c r="T397" s="8">
        <v>1989</v>
      </c>
      <c r="U397" s="8">
        <f t="shared" si="49"/>
        <v>33</v>
      </c>
      <c r="V397" s="7">
        <v>32782</v>
      </c>
      <c r="W397" t="s">
        <v>4914</v>
      </c>
      <c r="X397" s="2">
        <v>0.371</v>
      </c>
      <c r="Y397" s="6">
        <f t="shared" si="54"/>
        <v>9.9036331117695747E-3</v>
      </c>
      <c r="AA397">
        <v>214922</v>
      </c>
      <c r="AB397">
        <v>130262</v>
      </c>
      <c r="AC397">
        <v>13474065</v>
      </c>
      <c r="AD397" t="s">
        <v>5</v>
      </c>
      <c r="AE397">
        <v>28</v>
      </c>
      <c r="AF397" t="s">
        <v>4913</v>
      </c>
      <c r="AH397" t="s">
        <v>4912</v>
      </c>
      <c r="AI397" t="s">
        <v>4911</v>
      </c>
      <c r="AJ397" t="s">
        <v>4910</v>
      </c>
      <c r="AK397" t="s">
        <v>4909</v>
      </c>
      <c r="AL397">
        <v>1</v>
      </c>
      <c r="AM397" s="5">
        <f t="shared" si="50"/>
        <v>3.0303030303030304E-2</v>
      </c>
      <c r="AN397" s="4">
        <f t="shared" si="55"/>
        <v>4.5896297316214016E-5</v>
      </c>
      <c r="AO397" s="3"/>
      <c r="AP397">
        <v>0</v>
      </c>
      <c r="AR397" t="s">
        <v>0</v>
      </c>
      <c r="AT397" s="2">
        <v>1.48</v>
      </c>
      <c r="AU397" s="1">
        <f t="shared" si="51"/>
        <v>0.69463120674335666</v>
      </c>
      <c r="AV397" s="1">
        <f t="shared" si="52"/>
        <v>0.49747647045428939</v>
      </c>
      <c r="AW397" s="1">
        <f t="shared" si="53"/>
        <v>0.30032173416522223</v>
      </c>
    </row>
    <row r="398" spans="1:49" x14ac:dyDescent="0.2">
      <c r="A398">
        <v>396</v>
      </c>
      <c r="B398" t="s">
        <v>4908</v>
      </c>
      <c r="C398" t="s">
        <v>4907</v>
      </c>
      <c r="F398" t="s">
        <v>4906</v>
      </c>
      <c r="G398" t="s">
        <v>15</v>
      </c>
      <c r="H398" t="s">
        <v>14</v>
      </c>
      <c r="I398" t="s">
        <v>4905</v>
      </c>
      <c r="J398">
        <v>60016849</v>
      </c>
      <c r="K398" t="s">
        <v>4904</v>
      </c>
      <c r="L398" t="s">
        <v>4903</v>
      </c>
      <c r="M398" t="s">
        <v>283</v>
      </c>
      <c r="N398">
        <v>1</v>
      </c>
      <c r="O398" t="s">
        <v>4902</v>
      </c>
      <c r="P398">
        <v>7003676955</v>
      </c>
      <c r="Q398">
        <v>60016849</v>
      </c>
      <c r="R398" s="7">
        <v>32509</v>
      </c>
      <c r="S398" s="8">
        <f t="shared" si="48"/>
        <v>1989</v>
      </c>
      <c r="T398" s="8">
        <v>1989</v>
      </c>
      <c r="U398" s="8">
        <f t="shared" si="49"/>
        <v>33</v>
      </c>
      <c r="V398" s="7">
        <v>32782</v>
      </c>
      <c r="W398" t="s">
        <v>778</v>
      </c>
      <c r="X398" s="2">
        <v>1.6519999999999999</v>
      </c>
      <c r="Y398" s="6">
        <f t="shared" si="54"/>
        <v>4.409919649769093E-2</v>
      </c>
      <c r="AA398" t="s">
        <v>777</v>
      </c>
      <c r="AB398">
        <v>17337</v>
      </c>
      <c r="AC398">
        <v>15582221</v>
      </c>
      <c r="AD398" t="s">
        <v>5</v>
      </c>
      <c r="AE398">
        <v>37</v>
      </c>
      <c r="AF398">
        <v>10</v>
      </c>
      <c r="AH398" t="s">
        <v>4901</v>
      </c>
      <c r="AI398" t="s">
        <v>4900</v>
      </c>
      <c r="AK398" t="s">
        <v>4899</v>
      </c>
      <c r="AL398">
        <v>14</v>
      </c>
      <c r="AM398" s="5">
        <f t="shared" si="50"/>
        <v>0.42424242424242425</v>
      </c>
      <c r="AN398" s="4">
        <f t="shared" si="55"/>
        <v>6.4254816242699617E-4</v>
      </c>
      <c r="AO398" s="3"/>
      <c r="AP398">
        <v>0</v>
      </c>
      <c r="AR398" t="s">
        <v>0</v>
      </c>
      <c r="AT398" s="2" t="s">
        <v>19</v>
      </c>
      <c r="AU398" s="1">
        <f t="shared" si="51"/>
        <v>3.1062201997111747</v>
      </c>
      <c r="AV398" s="1">
        <f t="shared" si="52"/>
        <v>2.2370872330058962</v>
      </c>
      <c r="AW398" s="1">
        <f t="shared" si="53"/>
        <v>1.3679542663006174</v>
      </c>
    </row>
    <row r="399" spans="1:49" x14ac:dyDescent="0.2">
      <c r="A399">
        <v>397</v>
      </c>
      <c r="B399" t="s">
        <v>4898</v>
      </c>
      <c r="C399" t="s">
        <v>4897</v>
      </c>
      <c r="F399" t="s">
        <v>4896</v>
      </c>
      <c r="G399" t="s">
        <v>15</v>
      </c>
      <c r="H399" t="s">
        <v>14</v>
      </c>
      <c r="I399" t="s">
        <v>4895</v>
      </c>
      <c r="J399" t="s">
        <v>4890</v>
      </c>
      <c r="K399" t="s">
        <v>4894</v>
      </c>
      <c r="L399" t="s">
        <v>4893</v>
      </c>
      <c r="M399" t="s">
        <v>86</v>
      </c>
      <c r="N399">
        <v>2</v>
      </c>
      <c r="O399" t="s">
        <v>4892</v>
      </c>
      <c r="P399" t="s">
        <v>4891</v>
      </c>
      <c r="Q399" t="s">
        <v>4890</v>
      </c>
      <c r="R399" s="7">
        <v>32509</v>
      </c>
      <c r="S399" s="8">
        <f t="shared" si="48"/>
        <v>1989</v>
      </c>
      <c r="T399" s="8">
        <v>1989</v>
      </c>
      <c r="U399" s="8">
        <f t="shared" si="49"/>
        <v>33</v>
      </c>
      <c r="V399" s="7">
        <v>32782</v>
      </c>
      <c r="W399" t="s">
        <v>360</v>
      </c>
      <c r="X399" s="2">
        <v>1.3720000000000001</v>
      </c>
      <c r="Y399" s="6">
        <f t="shared" si="54"/>
        <v>3.662475641333654E-2</v>
      </c>
      <c r="AA399">
        <v>189480</v>
      </c>
      <c r="AB399">
        <v>17366</v>
      </c>
      <c r="AC399">
        <v>15579670</v>
      </c>
      <c r="AD399" t="s">
        <v>5</v>
      </c>
      <c r="AE399">
        <v>37</v>
      </c>
      <c r="AF399">
        <v>10</v>
      </c>
      <c r="AH399" t="s">
        <v>4889</v>
      </c>
      <c r="AI399" t="s">
        <v>4888</v>
      </c>
      <c r="AK399" t="s">
        <v>4887</v>
      </c>
      <c r="AL399">
        <v>41</v>
      </c>
      <c r="AM399" s="5">
        <f t="shared" si="50"/>
        <v>1.2424242424242424</v>
      </c>
      <c r="AN399" s="4">
        <f t="shared" si="55"/>
        <v>1.8817481899647745E-3</v>
      </c>
      <c r="AO399" s="3"/>
      <c r="AP399">
        <v>0</v>
      </c>
      <c r="AQ399" t="s">
        <v>618</v>
      </c>
      <c r="AR399" t="s">
        <v>4886</v>
      </c>
      <c r="AS399" t="s">
        <v>616</v>
      </c>
      <c r="AT399" s="2" t="s">
        <v>19</v>
      </c>
      <c r="AU399" s="1">
        <f t="shared" si="51"/>
        <v>2.6201853946325007</v>
      </c>
      <c r="AV399" s="1">
        <f t="shared" si="52"/>
        <v>1.9253252301650658</v>
      </c>
      <c r="AW399" s="1">
        <f t="shared" si="53"/>
        <v>1.2304650656976304</v>
      </c>
    </row>
    <row r="400" spans="1:49" x14ac:dyDescent="0.2">
      <c r="A400">
        <v>398</v>
      </c>
      <c r="B400" t="s">
        <v>4885</v>
      </c>
      <c r="C400" t="s">
        <v>4884</v>
      </c>
      <c r="F400" t="s">
        <v>4883</v>
      </c>
      <c r="G400" t="s">
        <v>15</v>
      </c>
      <c r="H400" t="s">
        <v>14</v>
      </c>
      <c r="I400" t="s">
        <v>4882</v>
      </c>
      <c r="J400">
        <v>60030933</v>
      </c>
      <c r="K400" t="s">
        <v>4881</v>
      </c>
      <c r="L400" t="s">
        <v>4880</v>
      </c>
      <c r="M400" t="s">
        <v>115</v>
      </c>
      <c r="N400">
        <v>1</v>
      </c>
      <c r="O400" t="s">
        <v>4879</v>
      </c>
      <c r="P400">
        <v>55230725000</v>
      </c>
      <c r="Q400">
        <v>60030933</v>
      </c>
      <c r="R400" s="7">
        <v>32509</v>
      </c>
      <c r="S400" s="8">
        <f t="shared" si="48"/>
        <v>1989</v>
      </c>
      <c r="T400" s="8">
        <v>1989</v>
      </c>
      <c r="U400" s="8">
        <f t="shared" si="49"/>
        <v>33</v>
      </c>
      <c r="V400" s="7">
        <v>32782</v>
      </c>
      <c r="W400" t="s">
        <v>2592</v>
      </c>
      <c r="X400" s="2">
        <v>0.82</v>
      </c>
      <c r="Y400" s="6">
        <f t="shared" si="54"/>
        <v>2.1889431675609299E-2</v>
      </c>
      <c r="AA400">
        <v>189456</v>
      </c>
      <c r="AB400">
        <v>15361</v>
      </c>
      <c r="AC400">
        <v>15579662</v>
      </c>
      <c r="AD400" t="s">
        <v>5</v>
      </c>
      <c r="AE400">
        <v>38</v>
      </c>
      <c r="AF400">
        <v>5</v>
      </c>
      <c r="AH400" t="s">
        <v>4878</v>
      </c>
      <c r="AI400" t="s">
        <v>4877</v>
      </c>
      <c r="AK400" t="s">
        <v>4876</v>
      </c>
      <c r="AL400">
        <v>0</v>
      </c>
      <c r="AM400" s="5">
        <f t="shared" si="50"/>
        <v>0</v>
      </c>
      <c r="AN400" s="4">
        <f t="shared" si="55"/>
        <v>0</v>
      </c>
      <c r="AO400" s="3"/>
      <c r="AP400">
        <v>0</v>
      </c>
      <c r="AR400" t="s">
        <v>0</v>
      </c>
      <c r="AT400" s="2" t="s">
        <v>19</v>
      </c>
      <c r="AU400" s="1">
        <f t="shared" si="51"/>
        <v>1.5322602172926507</v>
      </c>
      <c r="AV400" s="1">
        <f t="shared" si="52"/>
        <v>1.0944715837804648</v>
      </c>
      <c r="AW400" s="1">
        <f t="shared" si="53"/>
        <v>0.65668295026827894</v>
      </c>
    </row>
    <row r="401" spans="1:49" x14ac:dyDescent="0.2">
      <c r="A401">
        <v>399</v>
      </c>
      <c r="B401" t="s">
        <v>4875</v>
      </c>
      <c r="C401" t="s">
        <v>4874</v>
      </c>
      <c r="F401" t="s">
        <v>4873</v>
      </c>
      <c r="G401" t="s">
        <v>15</v>
      </c>
      <c r="H401" t="s">
        <v>14</v>
      </c>
      <c r="I401" t="s">
        <v>4872</v>
      </c>
      <c r="J401">
        <v>60018319</v>
      </c>
      <c r="K401" t="s">
        <v>4871</v>
      </c>
      <c r="L401" t="s">
        <v>4870</v>
      </c>
      <c r="M401" t="s">
        <v>23</v>
      </c>
      <c r="N401">
        <v>2</v>
      </c>
      <c r="O401" t="s">
        <v>4869</v>
      </c>
      <c r="P401" t="s">
        <v>4868</v>
      </c>
      <c r="Q401" t="s">
        <v>4867</v>
      </c>
      <c r="R401" s="7">
        <v>32509</v>
      </c>
      <c r="S401" s="8">
        <f t="shared" si="48"/>
        <v>1989</v>
      </c>
      <c r="T401" s="8">
        <v>1989</v>
      </c>
      <c r="U401" s="8">
        <f t="shared" si="49"/>
        <v>33</v>
      </c>
      <c r="V401" s="7">
        <v>32782</v>
      </c>
      <c r="W401" t="s">
        <v>943</v>
      </c>
      <c r="X401" s="2">
        <v>0.30399999999999999</v>
      </c>
      <c r="Y401" s="6">
        <f t="shared" si="54"/>
        <v>8.115106377299057E-3</v>
      </c>
      <c r="AA401">
        <v>8952477</v>
      </c>
      <c r="AB401">
        <v>12250</v>
      </c>
      <c r="AC401">
        <v>10982760</v>
      </c>
      <c r="AD401" t="s">
        <v>5</v>
      </c>
      <c r="AE401">
        <v>2</v>
      </c>
      <c r="AF401">
        <v>10</v>
      </c>
      <c r="AH401" t="s">
        <v>4866</v>
      </c>
      <c r="AI401" t="s">
        <v>4865</v>
      </c>
      <c r="AJ401" t="s">
        <v>4864</v>
      </c>
      <c r="AK401" t="s">
        <v>4863</v>
      </c>
      <c r="AL401">
        <v>0</v>
      </c>
      <c r="AM401" s="5">
        <f t="shared" si="50"/>
        <v>0</v>
      </c>
      <c r="AN401" s="4">
        <f t="shared" si="55"/>
        <v>0</v>
      </c>
      <c r="AO401" s="3"/>
      <c r="AP401">
        <v>0</v>
      </c>
      <c r="AR401" t="s">
        <v>0</v>
      </c>
      <c r="AT401" s="2" t="s">
        <v>19</v>
      </c>
      <c r="AU401" s="1">
        <f t="shared" si="51"/>
        <v>0.56805744641093392</v>
      </c>
      <c r="AV401" s="1">
        <f t="shared" si="52"/>
        <v>0.40575531886495286</v>
      </c>
      <c r="AW401" s="1">
        <f t="shared" si="53"/>
        <v>0.24345319131897172</v>
      </c>
    </row>
    <row r="402" spans="1:49" x14ac:dyDescent="0.2">
      <c r="A402">
        <v>400</v>
      </c>
      <c r="B402" t="s">
        <v>4862</v>
      </c>
      <c r="C402" t="s">
        <v>4861</v>
      </c>
      <c r="F402" t="s">
        <v>4860</v>
      </c>
      <c r="G402" t="s">
        <v>15</v>
      </c>
      <c r="H402" t="s">
        <v>14</v>
      </c>
      <c r="I402" t="s">
        <v>4859</v>
      </c>
      <c r="J402">
        <v>60031126</v>
      </c>
      <c r="K402" t="s">
        <v>1497</v>
      </c>
      <c r="L402" t="s">
        <v>1496</v>
      </c>
      <c r="M402" t="s">
        <v>115</v>
      </c>
      <c r="N402">
        <v>2</v>
      </c>
      <c r="O402" t="s">
        <v>4858</v>
      </c>
      <c r="P402" t="s">
        <v>4857</v>
      </c>
      <c r="Q402" t="s">
        <v>4856</v>
      </c>
      <c r="R402" s="7">
        <v>32509</v>
      </c>
      <c r="S402" s="8">
        <f t="shared" si="48"/>
        <v>1989</v>
      </c>
      <c r="T402" s="8">
        <v>1989</v>
      </c>
      <c r="U402" s="8">
        <f t="shared" si="49"/>
        <v>33</v>
      </c>
      <c r="V402" s="7">
        <v>32782</v>
      </c>
      <c r="W402" t="s">
        <v>2247</v>
      </c>
      <c r="X402" s="2">
        <v>0.111</v>
      </c>
      <c r="Y402" s="6">
        <f t="shared" si="54"/>
        <v>2.9630816048690639E-3</v>
      </c>
      <c r="AA402">
        <v>87566621</v>
      </c>
      <c r="AB402">
        <v>24890</v>
      </c>
      <c r="AC402">
        <v>15206424</v>
      </c>
      <c r="AD402" t="s">
        <v>5</v>
      </c>
      <c r="AE402">
        <v>72</v>
      </c>
      <c r="AF402">
        <v>10</v>
      </c>
      <c r="AH402" t="s">
        <v>4855</v>
      </c>
      <c r="AI402" t="s">
        <v>4854</v>
      </c>
      <c r="AK402" t="s">
        <v>4853</v>
      </c>
      <c r="AL402">
        <v>0</v>
      </c>
      <c r="AM402" s="5">
        <f t="shared" si="50"/>
        <v>0</v>
      </c>
      <c r="AN402" s="4">
        <f t="shared" si="55"/>
        <v>0</v>
      </c>
      <c r="AO402" s="3"/>
      <c r="AP402">
        <v>0</v>
      </c>
      <c r="AR402" t="s">
        <v>0</v>
      </c>
      <c r="AT402" s="2" t="s">
        <v>19</v>
      </c>
      <c r="AU402" s="1">
        <f t="shared" si="51"/>
        <v>0.20741571234083445</v>
      </c>
      <c r="AV402" s="1">
        <f t="shared" si="52"/>
        <v>0.1481540802434532</v>
      </c>
      <c r="AW402" s="1">
        <f t="shared" si="53"/>
        <v>8.8892448146071903E-2</v>
      </c>
    </row>
    <row r="403" spans="1:49" x14ac:dyDescent="0.2">
      <c r="A403">
        <v>401</v>
      </c>
      <c r="B403" t="s">
        <v>4852</v>
      </c>
      <c r="C403" t="s">
        <v>4851</v>
      </c>
      <c r="F403" t="s">
        <v>4850</v>
      </c>
      <c r="G403" t="s">
        <v>15</v>
      </c>
      <c r="H403" t="s">
        <v>14</v>
      </c>
      <c r="I403" t="s">
        <v>4849</v>
      </c>
      <c r="J403">
        <v>60031293</v>
      </c>
      <c r="K403" t="s">
        <v>4848</v>
      </c>
      <c r="L403" t="s">
        <v>1496</v>
      </c>
      <c r="M403" t="s">
        <v>115</v>
      </c>
      <c r="N403">
        <v>1</v>
      </c>
      <c r="O403" t="s">
        <v>4847</v>
      </c>
      <c r="P403">
        <v>7102733819</v>
      </c>
      <c r="Q403">
        <v>60031293</v>
      </c>
      <c r="R403" s="7">
        <v>32509</v>
      </c>
      <c r="S403" s="8">
        <f t="shared" si="48"/>
        <v>1989</v>
      </c>
      <c r="T403" s="8">
        <v>1989</v>
      </c>
      <c r="U403" s="8">
        <f t="shared" si="49"/>
        <v>33</v>
      </c>
      <c r="V403" s="7">
        <v>32782</v>
      </c>
      <c r="W403" t="s">
        <v>2247</v>
      </c>
      <c r="X403" s="2">
        <v>0.111</v>
      </c>
      <c r="Y403" s="6">
        <f t="shared" si="54"/>
        <v>2.9630816048690639E-3</v>
      </c>
      <c r="AA403">
        <v>87566621</v>
      </c>
      <c r="AB403">
        <v>24890</v>
      </c>
      <c r="AC403">
        <v>15206424</v>
      </c>
      <c r="AD403" t="s">
        <v>5</v>
      </c>
      <c r="AE403">
        <v>72</v>
      </c>
      <c r="AF403">
        <v>10</v>
      </c>
      <c r="AH403" t="s">
        <v>4846</v>
      </c>
      <c r="AI403" t="s">
        <v>4845</v>
      </c>
      <c r="AK403" t="s">
        <v>4844</v>
      </c>
      <c r="AL403">
        <v>0</v>
      </c>
      <c r="AM403" s="5">
        <f t="shared" si="50"/>
        <v>0</v>
      </c>
      <c r="AN403" s="4">
        <f t="shared" si="55"/>
        <v>0</v>
      </c>
      <c r="AO403" s="3"/>
      <c r="AP403">
        <v>0</v>
      </c>
      <c r="AR403" t="s">
        <v>0</v>
      </c>
      <c r="AT403" s="2" t="s">
        <v>19</v>
      </c>
      <c r="AU403" s="1">
        <f t="shared" si="51"/>
        <v>0.20741571234083445</v>
      </c>
      <c r="AV403" s="1">
        <f t="shared" si="52"/>
        <v>0.1481540802434532</v>
      </c>
      <c r="AW403" s="1">
        <f t="shared" si="53"/>
        <v>8.8892448146071903E-2</v>
      </c>
    </row>
    <row r="404" spans="1:49" x14ac:dyDescent="0.2">
      <c r="A404">
        <v>402</v>
      </c>
      <c r="B404" t="s">
        <v>4843</v>
      </c>
      <c r="C404" t="s">
        <v>4842</v>
      </c>
      <c r="F404" t="s">
        <v>4841</v>
      </c>
      <c r="G404" t="s">
        <v>15</v>
      </c>
      <c r="H404" t="s">
        <v>14</v>
      </c>
      <c r="I404" t="s">
        <v>4840</v>
      </c>
      <c r="J404">
        <v>60014652</v>
      </c>
      <c r="K404" t="s">
        <v>1473</v>
      </c>
      <c r="L404" t="s">
        <v>1472</v>
      </c>
      <c r="M404" t="s">
        <v>115</v>
      </c>
      <c r="N404">
        <v>4</v>
      </c>
      <c r="O404" t="s">
        <v>4839</v>
      </c>
      <c r="P404" t="s">
        <v>4838</v>
      </c>
      <c r="Q404" t="s">
        <v>4837</v>
      </c>
      <c r="R404" s="7">
        <v>32509</v>
      </c>
      <c r="S404" s="8">
        <f t="shared" si="48"/>
        <v>1989</v>
      </c>
      <c r="T404" s="8">
        <v>1989</v>
      </c>
      <c r="U404" s="8">
        <f t="shared" si="49"/>
        <v>33</v>
      </c>
      <c r="V404" s="7">
        <v>32782</v>
      </c>
      <c r="W404" t="s">
        <v>2247</v>
      </c>
      <c r="X404" s="2">
        <v>0.111</v>
      </c>
      <c r="Y404" s="6">
        <f t="shared" si="54"/>
        <v>2.9630816048690639E-3</v>
      </c>
      <c r="AA404">
        <v>87566621</v>
      </c>
      <c r="AB404">
        <v>24890</v>
      </c>
      <c r="AC404">
        <v>15206424</v>
      </c>
      <c r="AD404" t="s">
        <v>5</v>
      </c>
      <c r="AE404">
        <v>72</v>
      </c>
      <c r="AF404">
        <v>10</v>
      </c>
      <c r="AH404" t="s">
        <v>4836</v>
      </c>
      <c r="AI404" t="s">
        <v>4835</v>
      </c>
      <c r="AK404" t="s">
        <v>4834</v>
      </c>
      <c r="AL404">
        <v>1</v>
      </c>
      <c r="AM404" s="5">
        <f t="shared" si="50"/>
        <v>3.0303030303030304E-2</v>
      </c>
      <c r="AN404" s="4">
        <f t="shared" si="55"/>
        <v>4.5896297316214016E-5</v>
      </c>
      <c r="AO404" s="3"/>
      <c r="AP404">
        <v>0</v>
      </c>
      <c r="AR404" t="s">
        <v>0</v>
      </c>
      <c r="AT404" s="2" t="s">
        <v>19</v>
      </c>
      <c r="AU404" s="1">
        <f t="shared" si="51"/>
        <v>0.20879260126032087</v>
      </c>
      <c r="AV404" s="1">
        <f t="shared" si="52"/>
        <v>0.1504488951092639</v>
      </c>
      <c r="AW404" s="1">
        <f t="shared" si="53"/>
        <v>9.2105188958206893E-2</v>
      </c>
    </row>
    <row r="405" spans="1:49" x14ac:dyDescent="0.2">
      <c r="A405">
        <v>403</v>
      </c>
      <c r="B405" t="s">
        <v>4833</v>
      </c>
      <c r="C405" t="s">
        <v>4832</v>
      </c>
      <c r="F405" t="s">
        <v>4831</v>
      </c>
      <c r="G405" t="s">
        <v>15</v>
      </c>
      <c r="H405" t="s">
        <v>14</v>
      </c>
      <c r="I405" t="s">
        <v>4830</v>
      </c>
      <c r="J405">
        <v>60078994</v>
      </c>
      <c r="K405" t="s">
        <v>4703</v>
      </c>
      <c r="L405" t="s">
        <v>4702</v>
      </c>
      <c r="M405" t="s">
        <v>283</v>
      </c>
      <c r="N405">
        <v>3</v>
      </c>
      <c r="O405" t="s">
        <v>4829</v>
      </c>
      <c r="P405" t="s">
        <v>4828</v>
      </c>
      <c r="Q405" t="s">
        <v>4699</v>
      </c>
      <c r="R405" s="7">
        <v>32509</v>
      </c>
      <c r="S405" s="8">
        <f t="shared" si="48"/>
        <v>1989</v>
      </c>
      <c r="T405" s="8">
        <v>1989</v>
      </c>
      <c r="U405" s="8">
        <f t="shared" si="49"/>
        <v>33</v>
      </c>
      <c r="V405" s="7" t="s">
        <v>4552</v>
      </c>
      <c r="W405" t="s">
        <v>4698</v>
      </c>
      <c r="X405" s="2" t="s">
        <v>19</v>
      </c>
      <c r="Y405" s="6" t="e">
        <f t="shared" si="54"/>
        <v>#VALUE!</v>
      </c>
      <c r="AA405">
        <v>3151468</v>
      </c>
      <c r="AB405">
        <v>14976</v>
      </c>
      <c r="AD405" t="s">
        <v>5</v>
      </c>
      <c r="AE405">
        <v>16</v>
      </c>
      <c r="AF405">
        <v>5</v>
      </c>
      <c r="AH405" t="s">
        <v>4827</v>
      </c>
      <c r="AI405" t="s">
        <v>4826</v>
      </c>
      <c r="AK405" t="s">
        <v>4825</v>
      </c>
      <c r="AL405">
        <v>10</v>
      </c>
      <c r="AM405" s="5">
        <f t="shared" si="50"/>
        <v>0.30303030303030304</v>
      </c>
      <c r="AN405" s="4">
        <f t="shared" si="55"/>
        <v>4.5896297316214016E-4</v>
      </c>
      <c r="AO405" s="3"/>
      <c r="AP405">
        <v>0</v>
      </c>
      <c r="AR405" t="s">
        <v>0</v>
      </c>
      <c r="AT405" s="2">
        <v>1.38</v>
      </c>
      <c r="AU405" s="1" t="e">
        <f t="shared" si="51"/>
        <v>#VALUE!</v>
      </c>
      <c r="AV405" s="1" t="e">
        <f t="shared" si="52"/>
        <v>#VALUE!</v>
      </c>
      <c r="AW405" s="1" t="e">
        <f t="shared" si="53"/>
        <v>#VALUE!</v>
      </c>
    </row>
    <row r="406" spans="1:49" x14ac:dyDescent="0.2">
      <c r="A406">
        <v>404</v>
      </c>
      <c r="B406" t="s">
        <v>4824</v>
      </c>
      <c r="C406" t="s">
        <v>4823</v>
      </c>
      <c r="F406" t="s">
        <v>4822</v>
      </c>
      <c r="G406" t="s">
        <v>15</v>
      </c>
      <c r="H406" t="s">
        <v>14</v>
      </c>
      <c r="I406" t="s">
        <v>4821</v>
      </c>
      <c r="J406">
        <v>60021097</v>
      </c>
      <c r="K406" t="s">
        <v>4820</v>
      </c>
      <c r="L406" t="s">
        <v>4819</v>
      </c>
      <c r="M406" t="s">
        <v>792</v>
      </c>
      <c r="N406">
        <v>1</v>
      </c>
      <c r="O406" t="s">
        <v>4818</v>
      </c>
      <c r="P406">
        <v>6506024993</v>
      </c>
      <c r="Q406">
        <v>60021097</v>
      </c>
      <c r="R406" s="7">
        <v>32509</v>
      </c>
      <c r="S406" s="8">
        <f t="shared" si="48"/>
        <v>1989</v>
      </c>
      <c r="T406" s="8">
        <v>1989</v>
      </c>
      <c r="U406" s="8">
        <f t="shared" si="49"/>
        <v>33</v>
      </c>
      <c r="V406" s="7" t="s">
        <v>4552</v>
      </c>
      <c r="W406" s="11" t="s">
        <v>1449</v>
      </c>
      <c r="X406" s="2">
        <v>2.383</v>
      </c>
      <c r="Y406" s="6">
        <f t="shared" si="54"/>
        <v>6.3612824003630442E-2</v>
      </c>
      <c r="AA406" t="s">
        <v>1448</v>
      </c>
      <c r="AB406">
        <v>101151</v>
      </c>
      <c r="AD406" t="s">
        <v>5</v>
      </c>
      <c r="AE406">
        <v>136</v>
      </c>
      <c r="AF406">
        <v>5</v>
      </c>
      <c r="AH406" t="s">
        <v>4817</v>
      </c>
      <c r="AI406" t="s">
        <v>4816</v>
      </c>
      <c r="AK406" t="s">
        <v>4815</v>
      </c>
      <c r="AL406">
        <v>0</v>
      </c>
      <c r="AM406" s="5">
        <f t="shared" si="50"/>
        <v>0</v>
      </c>
      <c r="AN406" s="4">
        <f t="shared" si="55"/>
        <v>0</v>
      </c>
      <c r="AO406" s="3"/>
      <c r="AP406">
        <v>0</v>
      </c>
      <c r="AR406" t="s">
        <v>0</v>
      </c>
      <c r="AT406" s="2" t="s">
        <v>19</v>
      </c>
      <c r="AU406" s="1">
        <f t="shared" si="51"/>
        <v>4.4528976802541305</v>
      </c>
      <c r="AV406" s="1">
        <f t="shared" si="52"/>
        <v>3.1806412001815221</v>
      </c>
      <c r="AW406" s="1">
        <f t="shared" si="53"/>
        <v>1.9083847201089132</v>
      </c>
    </row>
    <row r="407" spans="1:49" x14ac:dyDescent="0.2">
      <c r="A407">
        <v>405</v>
      </c>
      <c r="B407" t="s">
        <v>4814</v>
      </c>
      <c r="C407" t="s">
        <v>4813</v>
      </c>
      <c r="F407" t="s">
        <v>4812</v>
      </c>
      <c r="G407" t="s">
        <v>15</v>
      </c>
      <c r="H407" t="s">
        <v>14</v>
      </c>
      <c r="I407" t="s">
        <v>4811</v>
      </c>
      <c r="J407" t="s">
        <v>4810</v>
      </c>
      <c r="K407" t="s">
        <v>4809</v>
      </c>
      <c r="L407" t="s">
        <v>4808</v>
      </c>
      <c r="M407" t="s">
        <v>554</v>
      </c>
      <c r="N407">
        <v>4</v>
      </c>
      <c r="O407" t="s">
        <v>4807</v>
      </c>
      <c r="P407" t="s">
        <v>4806</v>
      </c>
      <c r="Q407" t="s">
        <v>4805</v>
      </c>
      <c r="R407" s="7">
        <v>32509</v>
      </c>
      <c r="S407" s="8">
        <f t="shared" si="48"/>
        <v>1989</v>
      </c>
      <c r="T407" s="8">
        <v>1989</v>
      </c>
      <c r="U407" s="8">
        <f t="shared" si="49"/>
        <v>33</v>
      </c>
      <c r="V407" s="7">
        <v>32782</v>
      </c>
      <c r="W407" t="s">
        <v>2247</v>
      </c>
      <c r="X407" s="2">
        <v>0.111</v>
      </c>
      <c r="Y407" s="6">
        <f t="shared" si="54"/>
        <v>2.9630816048690639E-3</v>
      </c>
      <c r="AA407">
        <v>87566621</v>
      </c>
      <c r="AB407">
        <v>24890</v>
      </c>
      <c r="AC407">
        <v>15206424</v>
      </c>
      <c r="AD407" t="s">
        <v>5</v>
      </c>
      <c r="AE407">
        <v>72</v>
      </c>
      <c r="AF407">
        <v>10</v>
      </c>
      <c r="AH407" t="s">
        <v>4804</v>
      </c>
      <c r="AI407" t="s">
        <v>4803</v>
      </c>
      <c r="AK407" t="s">
        <v>4802</v>
      </c>
      <c r="AL407">
        <v>0</v>
      </c>
      <c r="AM407" s="5">
        <f t="shared" si="50"/>
        <v>0</v>
      </c>
      <c r="AN407" s="4">
        <f t="shared" si="55"/>
        <v>0</v>
      </c>
      <c r="AO407" s="3"/>
      <c r="AP407">
        <v>0</v>
      </c>
      <c r="AR407" t="s">
        <v>0</v>
      </c>
      <c r="AT407" s="2" t="s">
        <v>19</v>
      </c>
      <c r="AU407" s="1">
        <f t="shared" si="51"/>
        <v>0.20741571234083445</v>
      </c>
      <c r="AV407" s="1">
        <f t="shared" si="52"/>
        <v>0.1481540802434532</v>
      </c>
      <c r="AW407" s="1">
        <f t="shared" si="53"/>
        <v>8.8892448146071903E-2</v>
      </c>
    </row>
    <row r="408" spans="1:49" x14ac:dyDescent="0.2">
      <c r="A408">
        <v>406</v>
      </c>
      <c r="B408" t="s">
        <v>4801</v>
      </c>
      <c r="C408" t="s">
        <v>4800</v>
      </c>
      <c r="F408" t="s">
        <v>4799</v>
      </c>
      <c r="G408" t="s">
        <v>15</v>
      </c>
      <c r="H408" t="s">
        <v>14</v>
      </c>
      <c r="I408" t="s">
        <v>4798</v>
      </c>
      <c r="N408">
        <v>1</v>
      </c>
      <c r="O408" t="s">
        <v>4797</v>
      </c>
      <c r="P408">
        <v>6603095802</v>
      </c>
      <c r="R408" s="7">
        <v>32509</v>
      </c>
      <c r="S408" s="8">
        <f t="shared" si="48"/>
        <v>1989</v>
      </c>
      <c r="T408" s="8">
        <v>1989</v>
      </c>
      <c r="U408" s="8">
        <f t="shared" si="49"/>
        <v>33</v>
      </c>
      <c r="V408" s="7">
        <v>1989</v>
      </c>
      <c r="W408" t="s">
        <v>4796</v>
      </c>
      <c r="X408" s="2" t="s">
        <v>19</v>
      </c>
      <c r="Y408" s="6" t="e">
        <f t="shared" si="54"/>
        <v>#VALUE!</v>
      </c>
      <c r="AA408">
        <v>3875024</v>
      </c>
      <c r="AB408">
        <v>110132</v>
      </c>
      <c r="AD408" t="s">
        <v>5</v>
      </c>
      <c r="AE408">
        <v>55</v>
      </c>
      <c r="AF408">
        <v>518</v>
      </c>
      <c r="AH408" t="s">
        <v>4795</v>
      </c>
      <c r="AI408" t="s">
        <v>4794</v>
      </c>
      <c r="AJ408" t="s">
        <v>4793</v>
      </c>
      <c r="AK408" t="s">
        <v>4792</v>
      </c>
      <c r="AL408">
        <v>0</v>
      </c>
      <c r="AM408" s="5">
        <f t="shared" si="50"/>
        <v>0</v>
      </c>
      <c r="AN408" s="4">
        <f t="shared" si="55"/>
        <v>0</v>
      </c>
      <c r="AO408" s="3"/>
      <c r="AP408">
        <v>1</v>
      </c>
      <c r="AR408" t="s">
        <v>0</v>
      </c>
      <c r="AT408" s="2" t="s">
        <v>19</v>
      </c>
      <c r="AU408" s="1" t="e">
        <f t="shared" si="51"/>
        <v>#VALUE!</v>
      </c>
      <c r="AV408" s="1" t="e">
        <f t="shared" si="52"/>
        <v>#VALUE!</v>
      </c>
      <c r="AW408" s="1" t="e">
        <f t="shared" si="53"/>
        <v>#VALUE!</v>
      </c>
    </row>
    <row r="409" spans="1:49" x14ac:dyDescent="0.2">
      <c r="A409">
        <v>407</v>
      </c>
      <c r="B409" t="s">
        <v>4791</v>
      </c>
      <c r="C409" t="s">
        <v>4790</v>
      </c>
      <c r="F409" t="s">
        <v>4789</v>
      </c>
      <c r="G409" t="s">
        <v>15</v>
      </c>
      <c r="H409" t="s">
        <v>14</v>
      </c>
      <c r="I409" t="s">
        <v>4788</v>
      </c>
      <c r="J409" t="s">
        <v>4787</v>
      </c>
      <c r="K409" t="s">
        <v>4786</v>
      </c>
      <c r="L409" t="s">
        <v>4785</v>
      </c>
      <c r="M409" t="s">
        <v>4784</v>
      </c>
      <c r="N409">
        <v>4</v>
      </c>
      <c r="O409" t="s">
        <v>4783</v>
      </c>
      <c r="P409" t="s">
        <v>4782</v>
      </c>
      <c r="Q409" t="s">
        <v>4781</v>
      </c>
      <c r="R409" s="7">
        <v>32509</v>
      </c>
      <c r="S409" s="8">
        <f t="shared" si="48"/>
        <v>1989</v>
      </c>
      <c r="T409" s="8">
        <v>1989</v>
      </c>
      <c r="U409" s="8">
        <f t="shared" si="49"/>
        <v>33</v>
      </c>
      <c r="V409" s="7">
        <v>32782</v>
      </c>
      <c r="W409" t="s">
        <v>2639</v>
      </c>
      <c r="X409" s="2">
        <v>0.752</v>
      </c>
      <c r="Y409" s="6">
        <f t="shared" si="54"/>
        <v>2.0074210512266089E-2</v>
      </c>
      <c r="AA409">
        <v>3649059</v>
      </c>
      <c r="AB409">
        <v>17277</v>
      </c>
      <c r="AC409">
        <v>15581691</v>
      </c>
      <c r="AD409" t="s">
        <v>5</v>
      </c>
      <c r="AE409">
        <v>14</v>
      </c>
      <c r="AF409">
        <v>4</v>
      </c>
      <c r="AH409" t="s">
        <v>4780</v>
      </c>
      <c r="AI409" t="s">
        <v>4779</v>
      </c>
      <c r="AK409" t="s">
        <v>4778</v>
      </c>
      <c r="AL409">
        <v>10</v>
      </c>
      <c r="AM409" s="5">
        <f t="shared" si="50"/>
        <v>0.30303030303030304</v>
      </c>
      <c r="AN409" s="4">
        <f t="shared" si="55"/>
        <v>4.5896297316214016E-4</v>
      </c>
      <c r="AO409" s="3"/>
      <c r="AP409">
        <v>0</v>
      </c>
      <c r="AQ409" t="s">
        <v>4777</v>
      </c>
      <c r="AR409" t="s">
        <v>4776</v>
      </c>
      <c r="AS409" t="s">
        <v>4775</v>
      </c>
      <c r="AT409" s="2">
        <v>3.5539999999999998</v>
      </c>
      <c r="AU409" s="1">
        <f t="shared" si="51"/>
        <v>1.4189636250534905</v>
      </c>
      <c r="AV409" s="1">
        <f t="shared" si="52"/>
        <v>1.0266586742714114</v>
      </c>
      <c r="AW409" s="1">
        <f t="shared" si="53"/>
        <v>0.6343537234893325</v>
      </c>
    </row>
    <row r="410" spans="1:49" x14ac:dyDescent="0.2">
      <c r="A410">
        <v>408</v>
      </c>
      <c r="B410" t="s">
        <v>4774</v>
      </c>
      <c r="C410" t="s">
        <v>4773</v>
      </c>
      <c r="F410" t="s">
        <v>4772</v>
      </c>
      <c r="G410" t="s">
        <v>15</v>
      </c>
      <c r="H410" t="s">
        <v>14</v>
      </c>
      <c r="I410" t="s">
        <v>902</v>
      </c>
      <c r="J410" t="s">
        <v>4771</v>
      </c>
      <c r="K410" t="s">
        <v>4770</v>
      </c>
      <c r="L410" t="s">
        <v>4769</v>
      </c>
      <c r="M410" t="s">
        <v>4768</v>
      </c>
      <c r="N410">
        <v>2</v>
      </c>
      <c r="O410" t="s">
        <v>4767</v>
      </c>
      <c r="P410" t="s">
        <v>4766</v>
      </c>
      <c r="Q410" t="s">
        <v>4765</v>
      </c>
      <c r="R410" s="7">
        <v>32509</v>
      </c>
      <c r="S410" s="8">
        <f t="shared" si="48"/>
        <v>1989</v>
      </c>
      <c r="T410" s="8">
        <v>1989</v>
      </c>
      <c r="U410" s="8">
        <f t="shared" si="49"/>
        <v>33</v>
      </c>
      <c r="V410" s="7">
        <v>32782</v>
      </c>
      <c r="W410" t="s">
        <v>778</v>
      </c>
      <c r="X410" s="2">
        <v>1.6519999999999999</v>
      </c>
      <c r="Y410" s="6">
        <f t="shared" si="54"/>
        <v>4.409919649769093E-2</v>
      </c>
      <c r="AA410" t="s">
        <v>777</v>
      </c>
      <c r="AB410">
        <v>17337</v>
      </c>
      <c r="AC410">
        <v>15582221</v>
      </c>
      <c r="AD410" t="s">
        <v>5</v>
      </c>
      <c r="AE410">
        <v>37</v>
      </c>
      <c r="AF410">
        <v>10</v>
      </c>
      <c r="AH410" t="s">
        <v>4764</v>
      </c>
      <c r="AI410" t="s">
        <v>4763</v>
      </c>
      <c r="AK410" t="s">
        <v>4762</v>
      </c>
      <c r="AL410">
        <v>122</v>
      </c>
      <c r="AM410" s="5">
        <f t="shared" si="50"/>
        <v>3.6969696969696968</v>
      </c>
      <c r="AN410" s="4">
        <f t="shared" si="55"/>
        <v>5.5993482725781099E-3</v>
      </c>
      <c r="AO410" s="3"/>
      <c r="AP410">
        <v>0</v>
      </c>
      <c r="AR410" t="s">
        <v>0</v>
      </c>
      <c r="AT410" s="2" t="s">
        <v>19</v>
      </c>
      <c r="AU410" s="1">
        <f t="shared" si="51"/>
        <v>3.2549242030157086</v>
      </c>
      <c r="AV410" s="1">
        <f t="shared" si="52"/>
        <v>2.484927238513452</v>
      </c>
      <c r="AW410" s="1">
        <f t="shared" si="53"/>
        <v>1.7149302740111956</v>
      </c>
    </row>
    <row r="411" spans="1:49" x14ac:dyDescent="0.2">
      <c r="A411">
        <v>409</v>
      </c>
      <c r="B411" t="s">
        <v>4761</v>
      </c>
      <c r="C411" t="s">
        <v>4760</v>
      </c>
      <c r="F411" t="s">
        <v>4759</v>
      </c>
      <c r="G411" t="s">
        <v>15</v>
      </c>
      <c r="H411" t="s">
        <v>14</v>
      </c>
      <c r="I411" t="s">
        <v>4758</v>
      </c>
      <c r="J411">
        <v>60009658</v>
      </c>
      <c r="K411" t="s">
        <v>3997</v>
      </c>
      <c r="L411" t="s">
        <v>3996</v>
      </c>
      <c r="M411" t="s">
        <v>792</v>
      </c>
      <c r="N411">
        <v>3</v>
      </c>
      <c r="O411" t="s">
        <v>4757</v>
      </c>
      <c r="P411" t="s">
        <v>4756</v>
      </c>
      <c r="Q411" t="s">
        <v>4755</v>
      </c>
      <c r="R411" s="7">
        <v>32509</v>
      </c>
      <c r="S411" s="8">
        <f t="shared" si="48"/>
        <v>1989</v>
      </c>
      <c r="T411" s="8">
        <v>1989</v>
      </c>
      <c r="U411" s="8">
        <f t="shared" si="49"/>
        <v>33</v>
      </c>
      <c r="V411" s="7" t="s">
        <v>4552</v>
      </c>
      <c r="W411" s="11" t="s">
        <v>1449</v>
      </c>
      <c r="X411" s="2">
        <v>2.383</v>
      </c>
      <c r="Y411" s="6">
        <f t="shared" si="54"/>
        <v>6.3612824003630442E-2</v>
      </c>
      <c r="AA411" t="s">
        <v>1448</v>
      </c>
      <c r="AB411">
        <v>101151</v>
      </c>
      <c r="AD411" t="s">
        <v>5</v>
      </c>
      <c r="AE411">
        <v>136</v>
      </c>
      <c r="AF411">
        <v>5</v>
      </c>
      <c r="AH411" t="s">
        <v>4754</v>
      </c>
      <c r="AI411" t="s">
        <v>4753</v>
      </c>
      <c r="AK411" t="s">
        <v>4752</v>
      </c>
      <c r="AL411">
        <v>172</v>
      </c>
      <c r="AM411" s="5">
        <f t="shared" si="50"/>
        <v>5.2121212121212119</v>
      </c>
      <c r="AN411" s="4">
        <f t="shared" si="55"/>
        <v>7.89416313838881E-3</v>
      </c>
      <c r="AO411" s="3"/>
      <c r="AP411">
        <v>0</v>
      </c>
      <c r="AR411" t="s">
        <v>0</v>
      </c>
      <c r="AT411" s="2" t="s">
        <v>19</v>
      </c>
      <c r="AU411" s="1">
        <f t="shared" si="51"/>
        <v>4.6897225744057955</v>
      </c>
      <c r="AV411" s="1">
        <f t="shared" si="52"/>
        <v>3.5753493571009627</v>
      </c>
      <c r="AW411" s="1">
        <f t="shared" si="53"/>
        <v>2.4609761397961298</v>
      </c>
    </row>
    <row r="412" spans="1:49" x14ac:dyDescent="0.2">
      <c r="A412">
        <v>410</v>
      </c>
      <c r="B412" t="s">
        <v>4751</v>
      </c>
      <c r="C412" t="s">
        <v>4750</v>
      </c>
      <c r="F412" t="s">
        <v>4749</v>
      </c>
      <c r="G412" t="s">
        <v>15</v>
      </c>
      <c r="H412" t="s">
        <v>14</v>
      </c>
      <c r="I412" t="s">
        <v>4748</v>
      </c>
      <c r="J412">
        <v>60012288</v>
      </c>
      <c r="K412" t="s">
        <v>117</v>
      </c>
      <c r="L412" t="s">
        <v>116</v>
      </c>
      <c r="M412" t="s">
        <v>115</v>
      </c>
      <c r="N412">
        <v>15</v>
      </c>
      <c r="O412" t="s">
        <v>4747</v>
      </c>
      <c r="P412" t="s">
        <v>4746</v>
      </c>
      <c r="Q412" t="s">
        <v>4745</v>
      </c>
      <c r="R412" s="7">
        <v>32509</v>
      </c>
      <c r="S412" s="8">
        <f t="shared" si="48"/>
        <v>1989</v>
      </c>
      <c r="T412" s="8">
        <v>1989</v>
      </c>
      <c r="U412" s="8">
        <f t="shared" si="49"/>
        <v>33</v>
      </c>
      <c r="V412" s="7">
        <v>32782</v>
      </c>
      <c r="W412" t="s">
        <v>538</v>
      </c>
      <c r="X412" s="2">
        <v>1.774</v>
      </c>
      <c r="Y412" s="6">
        <f t="shared" si="54"/>
        <v>4.7355916820159633E-2</v>
      </c>
      <c r="AA412">
        <v>295515</v>
      </c>
      <c r="AB412">
        <v>29066</v>
      </c>
      <c r="AC412">
        <v>17414326</v>
      </c>
      <c r="AD412" t="s">
        <v>5</v>
      </c>
      <c r="AE412">
        <v>29</v>
      </c>
      <c r="AF412">
        <v>10</v>
      </c>
      <c r="AH412" t="s">
        <v>4744</v>
      </c>
      <c r="AI412" t="s">
        <v>4743</v>
      </c>
      <c r="AK412" t="s">
        <v>4742</v>
      </c>
      <c r="AL412">
        <v>25</v>
      </c>
      <c r="AM412" s="5">
        <f t="shared" si="50"/>
        <v>0.75757575757575757</v>
      </c>
      <c r="AN412" s="4">
        <f t="shared" si="55"/>
        <v>1.1474074329053503E-3</v>
      </c>
      <c r="AO412" s="3"/>
      <c r="AP412">
        <v>0</v>
      </c>
      <c r="AR412" t="s">
        <v>0</v>
      </c>
      <c r="AT412" s="2">
        <v>3.1789999999999998</v>
      </c>
      <c r="AU412" s="1">
        <f t="shared" si="51"/>
        <v>3.3493364003983346</v>
      </c>
      <c r="AV412" s="1">
        <f t="shared" si="52"/>
        <v>2.4251662126532492</v>
      </c>
      <c r="AW412" s="1">
        <f t="shared" si="53"/>
        <v>1.5009960249081635</v>
      </c>
    </row>
    <row r="413" spans="1:49" x14ac:dyDescent="0.2">
      <c r="A413">
        <v>411</v>
      </c>
      <c r="B413" t="s">
        <v>4741</v>
      </c>
      <c r="C413" t="s">
        <v>4740</v>
      </c>
      <c r="F413" t="s">
        <v>4739</v>
      </c>
      <c r="G413" t="s">
        <v>15</v>
      </c>
      <c r="H413" t="s">
        <v>14</v>
      </c>
      <c r="I413" t="s">
        <v>4738</v>
      </c>
      <c r="J413">
        <v>60101699</v>
      </c>
      <c r="K413" t="s">
        <v>4737</v>
      </c>
      <c r="L413" t="s">
        <v>1496</v>
      </c>
      <c r="M413" t="s">
        <v>115</v>
      </c>
      <c r="N413">
        <v>5</v>
      </c>
      <c r="O413" t="s">
        <v>4736</v>
      </c>
      <c r="P413" t="s">
        <v>4735</v>
      </c>
      <c r="Q413" t="s">
        <v>4734</v>
      </c>
      <c r="R413" s="7">
        <v>32509</v>
      </c>
      <c r="S413" s="8">
        <f t="shared" si="48"/>
        <v>1989</v>
      </c>
      <c r="T413" s="8">
        <v>1989</v>
      </c>
      <c r="U413" s="8">
        <f t="shared" si="49"/>
        <v>33</v>
      </c>
      <c r="V413" s="7">
        <v>32782</v>
      </c>
      <c r="W413" t="s">
        <v>2247</v>
      </c>
      <c r="X413" s="2">
        <v>0.111</v>
      </c>
      <c r="Y413" s="6">
        <f t="shared" si="54"/>
        <v>2.9630816048690639E-3</v>
      </c>
      <c r="AA413">
        <v>87566621</v>
      </c>
      <c r="AB413">
        <v>24890</v>
      </c>
      <c r="AC413">
        <v>15206424</v>
      </c>
      <c r="AD413" t="s">
        <v>5</v>
      </c>
      <c r="AE413">
        <v>72</v>
      </c>
      <c r="AF413">
        <v>10</v>
      </c>
      <c r="AH413" t="s">
        <v>4733</v>
      </c>
      <c r="AI413" t="s">
        <v>4732</v>
      </c>
      <c r="AK413" t="s">
        <v>4731</v>
      </c>
      <c r="AL413">
        <v>1</v>
      </c>
      <c r="AM413" s="5">
        <f t="shared" si="50"/>
        <v>3.0303030303030304E-2</v>
      </c>
      <c r="AN413" s="4">
        <f t="shared" si="55"/>
        <v>4.5896297316214016E-5</v>
      </c>
      <c r="AO413" s="3"/>
      <c r="AP413">
        <v>0</v>
      </c>
      <c r="AR413" t="s">
        <v>0</v>
      </c>
      <c r="AT413" s="2" t="s">
        <v>19</v>
      </c>
      <c r="AU413" s="1">
        <f t="shared" si="51"/>
        <v>0.20879260126032087</v>
      </c>
      <c r="AV413" s="1">
        <f t="shared" si="52"/>
        <v>0.1504488951092639</v>
      </c>
      <c r="AW413" s="1">
        <f t="shared" si="53"/>
        <v>9.2105188958206893E-2</v>
      </c>
    </row>
    <row r="414" spans="1:49" x14ac:dyDescent="0.2">
      <c r="A414">
        <v>412</v>
      </c>
      <c r="B414" t="s">
        <v>4730</v>
      </c>
      <c r="C414" t="s">
        <v>4729</v>
      </c>
      <c r="F414" t="s">
        <v>4728</v>
      </c>
      <c r="G414" t="s">
        <v>15</v>
      </c>
      <c r="H414" t="s">
        <v>14</v>
      </c>
      <c r="I414" t="s">
        <v>4727</v>
      </c>
      <c r="J414">
        <v>60025555</v>
      </c>
      <c r="K414" t="s">
        <v>2757</v>
      </c>
      <c r="L414" t="s">
        <v>1496</v>
      </c>
      <c r="M414" t="s">
        <v>115</v>
      </c>
      <c r="N414">
        <v>2</v>
      </c>
      <c r="O414" t="s">
        <v>4726</v>
      </c>
      <c r="P414" t="s">
        <v>4725</v>
      </c>
      <c r="Q414" t="s">
        <v>4724</v>
      </c>
      <c r="R414" s="7">
        <v>32509</v>
      </c>
      <c r="S414" s="8">
        <f t="shared" si="48"/>
        <v>1989</v>
      </c>
      <c r="T414" s="8">
        <v>1989</v>
      </c>
      <c r="U414" s="8">
        <f t="shared" si="49"/>
        <v>33</v>
      </c>
      <c r="V414" s="7">
        <v>32782</v>
      </c>
      <c r="W414" t="s">
        <v>2247</v>
      </c>
      <c r="X414" s="2">
        <v>0.111</v>
      </c>
      <c r="Y414" s="6">
        <f t="shared" si="54"/>
        <v>2.9630816048690639E-3</v>
      </c>
      <c r="AA414">
        <v>87566621</v>
      </c>
      <c r="AB414">
        <v>24890</v>
      </c>
      <c r="AC414">
        <v>15206424</v>
      </c>
      <c r="AD414" t="s">
        <v>5</v>
      </c>
      <c r="AE414">
        <v>72</v>
      </c>
      <c r="AF414">
        <v>10</v>
      </c>
      <c r="AH414" t="s">
        <v>4723</v>
      </c>
      <c r="AI414" t="s">
        <v>4722</v>
      </c>
      <c r="AK414" t="s">
        <v>4721</v>
      </c>
      <c r="AL414">
        <v>0</v>
      </c>
      <c r="AM414" s="5">
        <f t="shared" si="50"/>
        <v>0</v>
      </c>
      <c r="AN414" s="4">
        <f t="shared" si="55"/>
        <v>0</v>
      </c>
      <c r="AO414" s="3"/>
      <c r="AP414">
        <v>0</v>
      </c>
      <c r="AR414" t="s">
        <v>0</v>
      </c>
      <c r="AT414" s="2" t="s">
        <v>19</v>
      </c>
      <c r="AU414" s="1">
        <f t="shared" si="51"/>
        <v>0.20741571234083445</v>
      </c>
      <c r="AV414" s="1">
        <f t="shared" si="52"/>
        <v>0.1481540802434532</v>
      </c>
      <c r="AW414" s="1">
        <f t="shared" si="53"/>
        <v>8.8892448146071903E-2</v>
      </c>
    </row>
    <row r="415" spans="1:49" x14ac:dyDescent="0.2">
      <c r="A415">
        <v>413</v>
      </c>
      <c r="B415" t="s">
        <v>4720</v>
      </c>
      <c r="C415" t="s">
        <v>4719</v>
      </c>
      <c r="F415" t="s">
        <v>4718</v>
      </c>
      <c r="G415" t="s">
        <v>15</v>
      </c>
      <c r="H415" t="s">
        <v>14</v>
      </c>
      <c r="I415" t="s">
        <v>4717</v>
      </c>
      <c r="J415" t="s">
        <v>4716</v>
      </c>
      <c r="K415" t="s">
        <v>4715</v>
      </c>
      <c r="L415" t="s">
        <v>4714</v>
      </c>
      <c r="M415" t="s">
        <v>554</v>
      </c>
      <c r="N415">
        <v>4</v>
      </c>
      <c r="O415" t="s">
        <v>4713</v>
      </c>
      <c r="P415" t="s">
        <v>4712</v>
      </c>
      <c r="Q415" t="s">
        <v>4711</v>
      </c>
      <c r="R415" s="7">
        <v>32509</v>
      </c>
      <c r="S415" s="8">
        <f t="shared" si="48"/>
        <v>1989</v>
      </c>
      <c r="T415" s="8">
        <v>1989</v>
      </c>
      <c r="U415" s="8">
        <f t="shared" si="49"/>
        <v>33</v>
      </c>
      <c r="V415" s="7">
        <v>32782</v>
      </c>
      <c r="W415" t="s">
        <v>2247</v>
      </c>
      <c r="X415" s="2">
        <v>0.111</v>
      </c>
      <c r="Y415" s="6">
        <f t="shared" si="54"/>
        <v>2.9630816048690639E-3</v>
      </c>
      <c r="AA415">
        <v>87566621</v>
      </c>
      <c r="AB415">
        <v>24890</v>
      </c>
      <c r="AC415">
        <v>15206424</v>
      </c>
      <c r="AD415" t="s">
        <v>5</v>
      </c>
      <c r="AE415">
        <v>72</v>
      </c>
      <c r="AF415">
        <v>10</v>
      </c>
      <c r="AH415" t="s">
        <v>4710</v>
      </c>
      <c r="AI415" t="s">
        <v>4709</v>
      </c>
      <c r="AK415" t="s">
        <v>4708</v>
      </c>
      <c r="AL415">
        <v>15</v>
      </c>
      <c r="AM415" s="5">
        <f t="shared" si="50"/>
        <v>0.45454545454545453</v>
      </c>
      <c r="AN415" s="4">
        <f t="shared" si="55"/>
        <v>6.8844445974321016E-4</v>
      </c>
      <c r="AO415" s="3"/>
      <c r="AP415">
        <v>0</v>
      </c>
      <c r="AR415" t="s">
        <v>0</v>
      </c>
      <c r="AT415" s="2" t="s">
        <v>19</v>
      </c>
      <c r="AU415" s="1">
        <f t="shared" si="51"/>
        <v>0.22806904613313075</v>
      </c>
      <c r="AV415" s="1">
        <f t="shared" si="52"/>
        <v>0.18257630323061372</v>
      </c>
      <c r="AW415" s="1">
        <f t="shared" si="53"/>
        <v>0.13708356032809663</v>
      </c>
    </row>
    <row r="416" spans="1:49" x14ac:dyDescent="0.2">
      <c r="A416">
        <v>414</v>
      </c>
      <c r="B416" t="s">
        <v>4707</v>
      </c>
      <c r="C416" t="s">
        <v>4706</v>
      </c>
      <c r="F416" t="s">
        <v>4705</v>
      </c>
      <c r="G416" t="s">
        <v>15</v>
      </c>
      <c r="H416" t="s">
        <v>14</v>
      </c>
      <c r="I416" t="s">
        <v>4704</v>
      </c>
      <c r="J416">
        <v>60078994</v>
      </c>
      <c r="K416" t="s">
        <v>4703</v>
      </c>
      <c r="L416" t="s">
        <v>4702</v>
      </c>
      <c r="M416" t="s">
        <v>283</v>
      </c>
      <c r="N416">
        <v>3</v>
      </c>
      <c r="O416" t="s">
        <v>4701</v>
      </c>
      <c r="P416" t="s">
        <v>4700</v>
      </c>
      <c r="Q416" t="s">
        <v>4699</v>
      </c>
      <c r="R416" s="7">
        <v>32509</v>
      </c>
      <c r="S416" s="8">
        <f t="shared" si="48"/>
        <v>1989</v>
      </c>
      <c r="T416" s="8">
        <v>1989</v>
      </c>
      <c r="U416" s="8">
        <f t="shared" si="49"/>
        <v>33</v>
      </c>
      <c r="V416" s="7" t="s">
        <v>4552</v>
      </c>
      <c r="W416" t="s">
        <v>4698</v>
      </c>
      <c r="X416" s="2" t="s">
        <v>19</v>
      </c>
      <c r="Y416" s="6" t="e">
        <f t="shared" si="54"/>
        <v>#VALUE!</v>
      </c>
      <c r="AA416">
        <v>3151468</v>
      </c>
      <c r="AB416">
        <v>14976</v>
      </c>
      <c r="AD416" t="s">
        <v>5</v>
      </c>
      <c r="AE416">
        <v>16</v>
      </c>
      <c r="AF416">
        <v>5</v>
      </c>
      <c r="AH416" t="s">
        <v>4697</v>
      </c>
      <c r="AI416" t="s">
        <v>4696</v>
      </c>
      <c r="AK416" t="s">
        <v>4695</v>
      </c>
      <c r="AL416">
        <v>3</v>
      </c>
      <c r="AM416" s="5">
        <f t="shared" si="50"/>
        <v>9.0909090909090912E-2</v>
      </c>
      <c r="AN416" s="4">
        <f t="shared" si="55"/>
        <v>1.3768889194864205E-4</v>
      </c>
      <c r="AO416" s="3"/>
      <c r="AP416">
        <v>0</v>
      </c>
      <c r="AR416" t="s">
        <v>0</v>
      </c>
      <c r="AT416" s="2">
        <v>1.38</v>
      </c>
      <c r="AU416" s="1" t="e">
        <f t="shared" si="51"/>
        <v>#VALUE!</v>
      </c>
      <c r="AV416" s="1" t="e">
        <f t="shared" si="52"/>
        <v>#VALUE!</v>
      </c>
      <c r="AW416" s="1" t="e">
        <f t="shared" si="53"/>
        <v>#VALUE!</v>
      </c>
    </row>
    <row r="417" spans="1:49" x14ac:dyDescent="0.2">
      <c r="A417">
        <v>415</v>
      </c>
      <c r="B417" t="s">
        <v>4694</v>
      </c>
      <c r="C417" t="s">
        <v>4693</v>
      </c>
      <c r="F417" t="s">
        <v>4692</v>
      </c>
      <c r="G417" t="s">
        <v>15</v>
      </c>
      <c r="H417" t="s">
        <v>14</v>
      </c>
      <c r="I417" t="s">
        <v>4691</v>
      </c>
      <c r="J417">
        <v>60026415</v>
      </c>
      <c r="K417" t="s">
        <v>1154</v>
      </c>
      <c r="L417" t="s">
        <v>1153</v>
      </c>
      <c r="M417" t="s">
        <v>23</v>
      </c>
      <c r="N417">
        <v>1</v>
      </c>
      <c r="O417" t="s">
        <v>4690</v>
      </c>
      <c r="P417">
        <v>7006740026</v>
      </c>
      <c r="Q417">
        <v>60026415</v>
      </c>
      <c r="R417" s="7">
        <v>32509</v>
      </c>
      <c r="S417" s="8">
        <f t="shared" si="48"/>
        <v>1989</v>
      </c>
      <c r="T417" s="8">
        <v>1989</v>
      </c>
      <c r="U417" s="8">
        <f t="shared" si="49"/>
        <v>33</v>
      </c>
      <c r="V417" s="7">
        <v>32782</v>
      </c>
      <c r="W417" t="s">
        <v>360</v>
      </c>
      <c r="X417" s="2">
        <v>1.3720000000000001</v>
      </c>
      <c r="Y417" s="6">
        <f t="shared" si="54"/>
        <v>3.662475641333654E-2</v>
      </c>
      <c r="AA417">
        <v>189480</v>
      </c>
      <c r="AB417">
        <v>17366</v>
      </c>
      <c r="AC417">
        <v>15579670</v>
      </c>
      <c r="AD417" t="s">
        <v>5</v>
      </c>
      <c r="AE417">
        <v>37</v>
      </c>
      <c r="AF417">
        <v>10</v>
      </c>
      <c r="AH417" t="s">
        <v>4689</v>
      </c>
      <c r="AI417" t="s">
        <v>4688</v>
      </c>
      <c r="AK417" t="s">
        <v>4687</v>
      </c>
      <c r="AL417">
        <v>5</v>
      </c>
      <c r="AM417" s="5">
        <f t="shared" si="50"/>
        <v>0.15151515151515152</v>
      </c>
      <c r="AN417" s="4">
        <f t="shared" si="55"/>
        <v>2.2948148658107008E-4</v>
      </c>
      <c r="AO417" s="3"/>
      <c r="AP417">
        <v>0</v>
      </c>
      <c r="AQ417" t="s">
        <v>618</v>
      </c>
      <c r="AR417" t="s">
        <v>4686</v>
      </c>
      <c r="AS417" t="s">
        <v>616</v>
      </c>
      <c r="AT417" s="2" t="s">
        <v>19</v>
      </c>
      <c r="AU417" s="1">
        <f t="shared" si="51"/>
        <v>2.5706173935309899</v>
      </c>
      <c r="AV417" s="1">
        <f t="shared" si="52"/>
        <v>1.8427118949958805</v>
      </c>
      <c r="AW417" s="1">
        <f t="shared" si="53"/>
        <v>1.1148063964607711</v>
      </c>
    </row>
    <row r="418" spans="1:49" x14ac:dyDescent="0.2">
      <c r="A418">
        <v>416</v>
      </c>
      <c r="B418" t="s">
        <v>4685</v>
      </c>
      <c r="C418" t="s">
        <v>4684</v>
      </c>
      <c r="F418" t="s">
        <v>4683</v>
      </c>
      <c r="G418" t="s">
        <v>15</v>
      </c>
      <c r="H418" t="s">
        <v>14</v>
      </c>
      <c r="I418" t="s">
        <v>4682</v>
      </c>
      <c r="J418">
        <v>60000854</v>
      </c>
      <c r="K418" t="s">
        <v>1713</v>
      </c>
      <c r="L418" t="s">
        <v>1712</v>
      </c>
      <c r="M418" t="s">
        <v>23</v>
      </c>
      <c r="N418">
        <v>2</v>
      </c>
      <c r="O418" t="s">
        <v>4681</v>
      </c>
      <c r="P418" t="s">
        <v>4680</v>
      </c>
      <c r="Q418" t="s">
        <v>4679</v>
      </c>
      <c r="R418" s="7">
        <v>32509</v>
      </c>
      <c r="S418" s="8">
        <f t="shared" si="48"/>
        <v>1989</v>
      </c>
      <c r="T418" s="8">
        <v>1989</v>
      </c>
      <c r="U418" s="8">
        <f t="shared" si="49"/>
        <v>33</v>
      </c>
      <c r="V418" s="7" t="s">
        <v>4552</v>
      </c>
      <c r="W418" s="11" t="s">
        <v>1449</v>
      </c>
      <c r="X418" s="2">
        <v>2.383</v>
      </c>
      <c r="Y418" s="6">
        <f t="shared" si="54"/>
        <v>6.3612824003630442E-2</v>
      </c>
      <c r="AA418" t="s">
        <v>1448</v>
      </c>
      <c r="AB418">
        <v>101151</v>
      </c>
      <c r="AD418" t="s">
        <v>5</v>
      </c>
      <c r="AE418">
        <v>136</v>
      </c>
      <c r="AF418">
        <v>5</v>
      </c>
      <c r="AH418" t="s">
        <v>4678</v>
      </c>
      <c r="AI418" t="s">
        <v>4677</v>
      </c>
      <c r="AK418" t="s">
        <v>4676</v>
      </c>
      <c r="AL418">
        <v>2</v>
      </c>
      <c r="AM418" s="5">
        <f t="shared" si="50"/>
        <v>6.0606060606060608E-2</v>
      </c>
      <c r="AN418" s="4">
        <f t="shared" si="55"/>
        <v>9.1792594632428032E-5</v>
      </c>
      <c r="AO418" s="3"/>
      <c r="AP418">
        <v>0</v>
      </c>
      <c r="AR418" t="s">
        <v>0</v>
      </c>
      <c r="AT418" s="2" t="s">
        <v>19</v>
      </c>
      <c r="AU418" s="1">
        <f t="shared" si="51"/>
        <v>4.4556514580931035</v>
      </c>
      <c r="AV418" s="1">
        <f t="shared" si="52"/>
        <v>3.1852308299131438</v>
      </c>
      <c r="AW418" s="1">
        <f t="shared" si="53"/>
        <v>1.9148102017331832</v>
      </c>
    </row>
    <row r="419" spans="1:49" x14ac:dyDescent="0.2">
      <c r="A419">
        <v>417</v>
      </c>
      <c r="B419" t="s">
        <v>4675</v>
      </c>
      <c r="C419" t="s">
        <v>4674</v>
      </c>
      <c r="F419" t="s">
        <v>4673</v>
      </c>
      <c r="G419" t="s">
        <v>15</v>
      </c>
      <c r="H419" t="s">
        <v>14</v>
      </c>
      <c r="I419" t="s">
        <v>4672</v>
      </c>
      <c r="J419">
        <v>60000745</v>
      </c>
      <c r="K419" t="s">
        <v>769</v>
      </c>
      <c r="L419" t="s">
        <v>768</v>
      </c>
      <c r="M419" t="s">
        <v>23</v>
      </c>
      <c r="N419">
        <v>3</v>
      </c>
      <c r="O419" t="s">
        <v>4671</v>
      </c>
      <c r="P419" t="s">
        <v>4670</v>
      </c>
      <c r="Q419" t="s">
        <v>4669</v>
      </c>
      <c r="R419" s="7">
        <v>32509</v>
      </c>
      <c r="S419" s="8">
        <f t="shared" si="48"/>
        <v>1989</v>
      </c>
      <c r="T419" s="8">
        <v>1989</v>
      </c>
      <c r="U419" s="8">
        <f t="shared" si="49"/>
        <v>33</v>
      </c>
      <c r="V419" s="7">
        <v>32782</v>
      </c>
      <c r="W419" t="s">
        <v>943</v>
      </c>
      <c r="X419" s="2">
        <v>0.30399999999999999</v>
      </c>
      <c r="Y419" s="6">
        <f t="shared" si="54"/>
        <v>8.115106377299057E-3</v>
      </c>
      <c r="AA419">
        <v>8952477</v>
      </c>
      <c r="AB419">
        <v>12250</v>
      </c>
      <c r="AC419">
        <v>10982760</v>
      </c>
      <c r="AD419" t="s">
        <v>5</v>
      </c>
      <c r="AE419">
        <v>2</v>
      </c>
      <c r="AF419">
        <v>10</v>
      </c>
      <c r="AH419" t="s">
        <v>4668</v>
      </c>
      <c r="AI419" t="s">
        <v>4667</v>
      </c>
      <c r="AJ419" t="s">
        <v>4666</v>
      </c>
      <c r="AK419" t="s">
        <v>4665</v>
      </c>
      <c r="AL419">
        <v>2</v>
      </c>
      <c r="AM419" s="5">
        <f t="shared" si="50"/>
        <v>6.0606060606060608E-2</v>
      </c>
      <c r="AN419" s="4">
        <f t="shared" si="55"/>
        <v>9.1792594632428032E-5</v>
      </c>
      <c r="AO419" s="3"/>
      <c r="AP419">
        <v>0</v>
      </c>
      <c r="AR419" t="s">
        <v>0</v>
      </c>
      <c r="AT419" s="2" t="s">
        <v>19</v>
      </c>
      <c r="AU419" s="1">
        <f t="shared" si="51"/>
        <v>0.57081122424990682</v>
      </c>
      <c r="AV419" s="1">
        <f t="shared" si="52"/>
        <v>0.41034494859657428</v>
      </c>
      <c r="AW419" s="1">
        <f t="shared" si="53"/>
        <v>0.24987867294324168</v>
      </c>
    </row>
    <row r="420" spans="1:49" x14ac:dyDescent="0.2">
      <c r="A420">
        <v>418</v>
      </c>
      <c r="B420" t="s">
        <v>4664</v>
      </c>
      <c r="C420" t="s">
        <v>4663</v>
      </c>
      <c r="F420" t="s">
        <v>4662</v>
      </c>
      <c r="G420" t="s">
        <v>15</v>
      </c>
      <c r="H420" t="s">
        <v>14</v>
      </c>
      <c r="I420" t="s">
        <v>4661</v>
      </c>
      <c r="J420">
        <v>60008107</v>
      </c>
      <c r="K420" t="s">
        <v>4660</v>
      </c>
      <c r="L420" t="s">
        <v>4659</v>
      </c>
      <c r="M420" t="s">
        <v>115</v>
      </c>
      <c r="N420">
        <v>4</v>
      </c>
      <c r="O420" t="s">
        <v>4658</v>
      </c>
      <c r="P420" t="s">
        <v>4657</v>
      </c>
      <c r="Q420" t="s">
        <v>4656</v>
      </c>
      <c r="R420" s="7">
        <v>32509</v>
      </c>
      <c r="S420" s="8">
        <f t="shared" ref="S420:S483" si="56">YEAR(R420)</f>
        <v>1989</v>
      </c>
      <c r="T420" s="8">
        <v>1989</v>
      </c>
      <c r="U420" s="8">
        <f t="shared" ref="U420:U483" si="57">2022-T420</f>
        <v>33</v>
      </c>
      <c r="V420" s="7">
        <v>32782</v>
      </c>
      <c r="W420" t="s">
        <v>2247</v>
      </c>
      <c r="X420" s="2">
        <v>0.111</v>
      </c>
      <c r="Y420" s="6">
        <f t="shared" si="54"/>
        <v>2.9630816048690639E-3</v>
      </c>
      <c r="AA420">
        <v>87566621</v>
      </c>
      <c r="AB420">
        <v>24890</v>
      </c>
      <c r="AC420">
        <v>15206424</v>
      </c>
      <c r="AD420" t="s">
        <v>5</v>
      </c>
      <c r="AE420">
        <v>72</v>
      </c>
      <c r="AF420">
        <v>10</v>
      </c>
      <c r="AH420" t="s">
        <v>4655</v>
      </c>
      <c r="AI420" t="s">
        <v>4654</v>
      </c>
      <c r="AK420" t="s">
        <v>4653</v>
      </c>
      <c r="AL420">
        <v>0</v>
      </c>
      <c r="AM420" s="5">
        <f t="shared" ref="AM420:AM483" si="58">AL420/U420</f>
        <v>0</v>
      </c>
      <c r="AN420" s="4">
        <f t="shared" si="55"/>
        <v>0</v>
      </c>
      <c r="AO420" s="3"/>
      <c r="AP420">
        <v>0</v>
      </c>
      <c r="AR420" t="s">
        <v>0</v>
      </c>
      <c r="AT420" s="2" t="s">
        <v>19</v>
      </c>
      <c r="AU420" s="1">
        <f t="shared" ref="AU420:AU483" si="59">(Y420*0.7+AN420*0.3)*100</f>
        <v>0.20741571234083445</v>
      </c>
      <c r="AV420" s="1">
        <f t="shared" ref="AV420:AV483" si="60">(Y420*0.5+AN420*0.5)*100</f>
        <v>0.1481540802434532</v>
      </c>
      <c r="AW420" s="1">
        <f t="shared" ref="AW420:AW483" si="61">(Y420*0.3+AN420*0.7)*100</f>
        <v>8.8892448146071903E-2</v>
      </c>
    </row>
    <row r="421" spans="1:49" x14ac:dyDescent="0.2">
      <c r="A421">
        <v>419</v>
      </c>
      <c r="B421" t="s">
        <v>4652</v>
      </c>
      <c r="C421" t="s">
        <v>4651</v>
      </c>
      <c r="D421">
        <v>10465589901379</v>
      </c>
      <c r="F421" t="s">
        <v>4650</v>
      </c>
      <c r="G421" t="s">
        <v>15</v>
      </c>
      <c r="H421" t="s">
        <v>14</v>
      </c>
      <c r="I421" t="s">
        <v>4649</v>
      </c>
      <c r="J421">
        <v>60021902</v>
      </c>
      <c r="K421" t="s">
        <v>1817</v>
      </c>
      <c r="L421" t="s">
        <v>1816</v>
      </c>
      <c r="M421" t="s">
        <v>1815</v>
      </c>
      <c r="N421">
        <v>2</v>
      </c>
      <c r="O421" t="s">
        <v>4648</v>
      </c>
      <c r="P421" t="s">
        <v>4647</v>
      </c>
      <c r="Q421" t="s">
        <v>4646</v>
      </c>
      <c r="R421" s="7">
        <v>32509</v>
      </c>
      <c r="S421" s="8">
        <f t="shared" si="56"/>
        <v>1989</v>
      </c>
      <c r="T421" s="8">
        <v>1989</v>
      </c>
      <c r="U421" s="8">
        <f t="shared" si="57"/>
        <v>33</v>
      </c>
      <c r="V421" s="7">
        <v>32782</v>
      </c>
      <c r="W421" t="s">
        <v>4645</v>
      </c>
      <c r="X421" s="2">
        <v>1.319</v>
      </c>
      <c r="Y421" s="6">
        <f t="shared" si="54"/>
        <v>3.5209951683083739E-2</v>
      </c>
      <c r="AA421">
        <v>104655</v>
      </c>
      <c r="AB421">
        <v>13184</v>
      </c>
      <c r="AD421" t="s">
        <v>5</v>
      </c>
      <c r="AE421">
        <v>55</v>
      </c>
      <c r="AF421">
        <v>3</v>
      </c>
      <c r="AH421" t="s">
        <v>4644</v>
      </c>
      <c r="AI421" t="s">
        <v>4643</v>
      </c>
      <c r="AK421" t="s">
        <v>4642</v>
      </c>
      <c r="AL421">
        <v>0</v>
      </c>
      <c r="AM421" s="5">
        <f t="shared" si="58"/>
        <v>0</v>
      </c>
      <c r="AN421" s="4">
        <f t="shared" si="55"/>
        <v>0</v>
      </c>
      <c r="AO421" s="3"/>
      <c r="AP421">
        <v>0</v>
      </c>
      <c r="AR421" t="s">
        <v>0</v>
      </c>
      <c r="AT421" s="2">
        <v>4.3899999999999997</v>
      </c>
      <c r="AU421" s="1">
        <f t="shared" si="59"/>
        <v>2.4646966178158616</v>
      </c>
      <c r="AV421" s="1">
        <f t="shared" si="60"/>
        <v>1.760497584154187</v>
      </c>
      <c r="AW421" s="1">
        <f t="shared" si="61"/>
        <v>1.0562985504925122</v>
      </c>
    </row>
    <row r="422" spans="1:49" x14ac:dyDescent="0.2">
      <c r="A422">
        <v>420</v>
      </c>
      <c r="B422" t="s">
        <v>4641</v>
      </c>
      <c r="C422" t="s">
        <v>4640</v>
      </c>
      <c r="D422">
        <v>379678789900537</v>
      </c>
      <c r="F422" t="s">
        <v>4639</v>
      </c>
      <c r="G422" t="s">
        <v>15</v>
      </c>
      <c r="H422" t="s">
        <v>14</v>
      </c>
      <c r="I422" t="s">
        <v>4638</v>
      </c>
      <c r="J422">
        <v>60025534</v>
      </c>
      <c r="K422" t="s">
        <v>4637</v>
      </c>
      <c r="L422" t="s">
        <v>4636</v>
      </c>
      <c r="M422" t="s">
        <v>23</v>
      </c>
      <c r="N422">
        <v>3</v>
      </c>
      <c r="O422" t="s">
        <v>4635</v>
      </c>
      <c r="P422" t="s">
        <v>4634</v>
      </c>
      <c r="Q422" t="s">
        <v>4633</v>
      </c>
      <c r="R422" s="7">
        <v>32509</v>
      </c>
      <c r="S422" s="8">
        <f t="shared" si="56"/>
        <v>1989</v>
      </c>
      <c r="T422" s="8">
        <v>1989</v>
      </c>
      <c r="U422" s="8">
        <f t="shared" si="57"/>
        <v>33</v>
      </c>
      <c r="V422" s="7" t="s">
        <v>4632</v>
      </c>
      <c r="W422" t="s">
        <v>4631</v>
      </c>
      <c r="X422" s="2" t="s">
        <v>19</v>
      </c>
      <c r="Y422" s="6" t="e">
        <f t="shared" si="54"/>
        <v>#VALUE!</v>
      </c>
      <c r="AA422">
        <v>3796787</v>
      </c>
      <c r="AB422">
        <v>53110</v>
      </c>
      <c r="AD422" t="s">
        <v>5</v>
      </c>
      <c r="AE422">
        <v>27</v>
      </c>
      <c r="AF422" s="9">
        <v>44287</v>
      </c>
      <c r="AH422" t="s">
        <v>4630</v>
      </c>
      <c r="AI422" t="s">
        <v>4629</v>
      </c>
      <c r="AK422" t="s">
        <v>4628</v>
      </c>
      <c r="AL422">
        <v>8</v>
      </c>
      <c r="AM422" s="5">
        <f t="shared" si="58"/>
        <v>0.24242424242424243</v>
      </c>
      <c r="AN422" s="4">
        <f t="shared" si="55"/>
        <v>3.6717037852971213E-4</v>
      </c>
      <c r="AO422" s="3"/>
      <c r="AP422">
        <v>0</v>
      </c>
      <c r="AQ422" t="s">
        <v>4627</v>
      </c>
      <c r="AR422" t="s">
        <v>4626</v>
      </c>
      <c r="AS422" t="s">
        <v>4625</v>
      </c>
      <c r="AT422" s="2" t="s">
        <v>19</v>
      </c>
      <c r="AU422" s="1" t="e">
        <f t="shared" si="59"/>
        <v>#VALUE!</v>
      </c>
      <c r="AV422" s="1" t="e">
        <f t="shared" si="60"/>
        <v>#VALUE!</v>
      </c>
      <c r="AW422" s="1" t="e">
        <f t="shared" si="61"/>
        <v>#VALUE!</v>
      </c>
    </row>
    <row r="423" spans="1:49" x14ac:dyDescent="0.2">
      <c r="A423">
        <v>421</v>
      </c>
      <c r="B423" t="s">
        <v>4624</v>
      </c>
      <c r="C423" t="s">
        <v>4623</v>
      </c>
      <c r="F423" t="s">
        <v>4622</v>
      </c>
      <c r="G423" t="s">
        <v>15</v>
      </c>
      <c r="H423" t="s">
        <v>14</v>
      </c>
      <c r="I423" t="s">
        <v>4621</v>
      </c>
      <c r="J423">
        <v>60032882</v>
      </c>
      <c r="K423" t="s">
        <v>4620</v>
      </c>
      <c r="L423" t="s">
        <v>4619</v>
      </c>
      <c r="M423" t="s">
        <v>196</v>
      </c>
      <c r="N423">
        <v>4</v>
      </c>
      <c r="O423" t="s">
        <v>4618</v>
      </c>
      <c r="P423" t="s">
        <v>4617</v>
      </c>
      <c r="Q423" t="s">
        <v>4616</v>
      </c>
      <c r="R423" s="7">
        <v>32509</v>
      </c>
      <c r="S423" s="8">
        <f t="shared" si="56"/>
        <v>1989</v>
      </c>
      <c r="T423" s="8">
        <v>1989</v>
      </c>
      <c r="U423" s="8">
        <f t="shared" si="57"/>
        <v>33</v>
      </c>
      <c r="V423" s="7">
        <v>32782</v>
      </c>
      <c r="W423" t="s">
        <v>943</v>
      </c>
      <c r="X423" s="2">
        <v>0.30399999999999999</v>
      </c>
      <c r="Y423" s="6">
        <f t="shared" si="54"/>
        <v>8.115106377299057E-3</v>
      </c>
      <c r="AA423">
        <v>8952477</v>
      </c>
      <c r="AB423">
        <v>12250</v>
      </c>
      <c r="AC423">
        <v>10982760</v>
      </c>
      <c r="AD423" t="s">
        <v>5</v>
      </c>
      <c r="AE423">
        <v>2</v>
      </c>
      <c r="AF423">
        <v>10</v>
      </c>
      <c r="AH423" t="s">
        <v>4615</v>
      </c>
      <c r="AI423" t="s">
        <v>4614</v>
      </c>
      <c r="AJ423" t="s">
        <v>4613</v>
      </c>
      <c r="AK423" t="s">
        <v>4612</v>
      </c>
      <c r="AL423">
        <v>1</v>
      </c>
      <c r="AM423" s="5">
        <f t="shared" si="58"/>
        <v>3.0303030303030304E-2</v>
      </c>
      <c r="AN423" s="4">
        <f t="shared" si="55"/>
        <v>4.5896297316214016E-5</v>
      </c>
      <c r="AO423" s="3"/>
      <c r="AP423">
        <v>0</v>
      </c>
      <c r="AR423" t="s">
        <v>0</v>
      </c>
      <c r="AT423" s="2" t="s">
        <v>19</v>
      </c>
      <c r="AU423" s="1">
        <f t="shared" si="59"/>
        <v>0.56943433533042043</v>
      </c>
      <c r="AV423" s="1">
        <f t="shared" si="60"/>
        <v>0.40805013373076354</v>
      </c>
      <c r="AW423" s="1">
        <f t="shared" si="61"/>
        <v>0.24666593213110671</v>
      </c>
    </row>
    <row r="424" spans="1:49" x14ac:dyDescent="0.2">
      <c r="A424">
        <v>422</v>
      </c>
      <c r="B424" t="s">
        <v>4611</v>
      </c>
      <c r="C424" t="s">
        <v>4610</v>
      </c>
      <c r="F424" t="s">
        <v>4609</v>
      </c>
      <c r="G424" t="s">
        <v>15</v>
      </c>
      <c r="H424" t="s">
        <v>14</v>
      </c>
      <c r="I424" t="s">
        <v>4608</v>
      </c>
      <c r="J424">
        <v>60001247</v>
      </c>
      <c r="K424" t="s">
        <v>4607</v>
      </c>
      <c r="M424" t="s">
        <v>23</v>
      </c>
      <c r="N424">
        <v>1</v>
      </c>
      <c r="O424" t="s">
        <v>4606</v>
      </c>
      <c r="P424">
        <v>7005725380</v>
      </c>
      <c r="Q424">
        <v>60001247</v>
      </c>
      <c r="R424" s="7">
        <v>32509</v>
      </c>
      <c r="S424" s="8">
        <f t="shared" si="56"/>
        <v>1989</v>
      </c>
      <c r="T424" s="8">
        <v>1989</v>
      </c>
      <c r="U424" s="8">
        <f t="shared" si="57"/>
        <v>33</v>
      </c>
      <c r="V424" s="7">
        <v>32782</v>
      </c>
      <c r="W424" t="s">
        <v>778</v>
      </c>
      <c r="X424" s="2">
        <v>1.6519999999999999</v>
      </c>
      <c r="Y424" s="6">
        <f t="shared" si="54"/>
        <v>4.409919649769093E-2</v>
      </c>
      <c r="AA424" t="s">
        <v>777</v>
      </c>
      <c r="AB424">
        <v>17337</v>
      </c>
      <c r="AC424">
        <v>15582221</v>
      </c>
      <c r="AD424" t="s">
        <v>5</v>
      </c>
      <c r="AE424">
        <v>37</v>
      </c>
      <c r="AF424">
        <v>10</v>
      </c>
      <c r="AH424" t="s">
        <v>4605</v>
      </c>
      <c r="AI424" t="s">
        <v>4604</v>
      </c>
      <c r="AK424" t="s">
        <v>4603</v>
      </c>
      <c r="AL424">
        <v>4</v>
      </c>
      <c r="AM424" s="5">
        <f t="shared" si="58"/>
        <v>0.12121212121212122</v>
      </c>
      <c r="AN424" s="4">
        <f t="shared" si="55"/>
        <v>1.8358518926485606E-4</v>
      </c>
      <c r="AO424" s="3"/>
      <c r="AP424">
        <v>0</v>
      </c>
      <c r="AR424" t="s">
        <v>0</v>
      </c>
      <c r="AT424" s="2" t="s">
        <v>19</v>
      </c>
      <c r="AU424" s="1">
        <f t="shared" si="59"/>
        <v>3.0924513105163109</v>
      </c>
      <c r="AV424" s="1">
        <f t="shared" si="60"/>
        <v>2.2141390843477891</v>
      </c>
      <c r="AW424" s="1">
        <f t="shared" si="61"/>
        <v>1.3358268581792678</v>
      </c>
    </row>
    <row r="425" spans="1:49" x14ac:dyDescent="0.2">
      <c r="A425">
        <v>423</v>
      </c>
      <c r="B425" t="s">
        <v>4602</v>
      </c>
      <c r="C425" t="s">
        <v>4601</v>
      </c>
      <c r="F425" t="s">
        <v>4600</v>
      </c>
      <c r="G425" t="s">
        <v>15</v>
      </c>
      <c r="H425" t="s">
        <v>14</v>
      </c>
      <c r="I425" t="s">
        <v>4599</v>
      </c>
      <c r="J425">
        <v>60003500</v>
      </c>
      <c r="K425" t="s">
        <v>2708</v>
      </c>
      <c r="L425" t="s">
        <v>2707</v>
      </c>
      <c r="M425" t="s">
        <v>23</v>
      </c>
      <c r="N425">
        <v>1</v>
      </c>
      <c r="O425" t="s">
        <v>4598</v>
      </c>
      <c r="P425">
        <v>7202816808</v>
      </c>
      <c r="Q425">
        <v>60003500</v>
      </c>
      <c r="R425" s="7">
        <v>32509</v>
      </c>
      <c r="S425" s="8">
        <f t="shared" si="56"/>
        <v>1989</v>
      </c>
      <c r="T425" s="8">
        <v>1989</v>
      </c>
      <c r="U425" s="8">
        <f t="shared" si="57"/>
        <v>33</v>
      </c>
      <c r="V425" s="7">
        <v>32782</v>
      </c>
      <c r="W425" t="s">
        <v>778</v>
      </c>
      <c r="X425" s="2">
        <v>1.6519999999999999</v>
      </c>
      <c r="Y425" s="6">
        <f t="shared" si="54"/>
        <v>4.409919649769093E-2</v>
      </c>
      <c r="AA425" t="s">
        <v>777</v>
      </c>
      <c r="AB425">
        <v>17337</v>
      </c>
      <c r="AC425">
        <v>15582221</v>
      </c>
      <c r="AD425" t="s">
        <v>5</v>
      </c>
      <c r="AE425">
        <v>37</v>
      </c>
      <c r="AF425">
        <v>10</v>
      </c>
      <c r="AH425" t="s">
        <v>4597</v>
      </c>
      <c r="AI425" t="s">
        <v>4596</v>
      </c>
      <c r="AK425" t="s">
        <v>4595</v>
      </c>
      <c r="AL425">
        <v>51</v>
      </c>
      <c r="AM425" s="5">
        <f t="shared" si="58"/>
        <v>1.5454545454545454</v>
      </c>
      <c r="AN425" s="4">
        <f t="shared" si="55"/>
        <v>2.3407111631269148E-3</v>
      </c>
      <c r="AO425" s="3"/>
      <c r="AP425">
        <v>0</v>
      </c>
      <c r="AR425" t="s">
        <v>0</v>
      </c>
      <c r="AT425" s="2" t="s">
        <v>19</v>
      </c>
      <c r="AU425" s="1">
        <f t="shared" si="59"/>
        <v>3.1571650897321724</v>
      </c>
      <c r="AV425" s="1">
        <f t="shared" si="60"/>
        <v>2.3219953830408926</v>
      </c>
      <c r="AW425" s="1">
        <f t="shared" si="61"/>
        <v>1.4868256763496119</v>
      </c>
    </row>
    <row r="426" spans="1:49" x14ac:dyDescent="0.2">
      <c r="A426">
        <v>424</v>
      </c>
      <c r="B426" t="s">
        <v>4594</v>
      </c>
      <c r="C426" t="s">
        <v>4593</v>
      </c>
      <c r="F426" t="s">
        <v>4592</v>
      </c>
      <c r="G426" t="s">
        <v>15</v>
      </c>
      <c r="H426" t="s">
        <v>14</v>
      </c>
      <c r="I426" t="s">
        <v>4591</v>
      </c>
      <c r="J426">
        <v>60028586</v>
      </c>
      <c r="K426" t="s">
        <v>4590</v>
      </c>
      <c r="L426" t="s">
        <v>4589</v>
      </c>
      <c r="M426" t="s">
        <v>115</v>
      </c>
      <c r="N426">
        <v>10</v>
      </c>
      <c r="O426" t="s">
        <v>4588</v>
      </c>
      <c r="P426" t="s">
        <v>4587</v>
      </c>
      <c r="Q426" t="s">
        <v>4586</v>
      </c>
      <c r="R426" s="7">
        <v>32509</v>
      </c>
      <c r="S426" s="8">
        <f t="shared" si="56"/>
        <v>1989</v>
      </c>
      <c r="T426" s="8">
        <v>1989</v>
      </c>
      <c r="U426" s="8">
        <f t="shared" si="57"/>
        <v>33</v>
      </c>
      <c r="V426" s="7">
        <v>43739</v>
      </c>
      <c r="W426" t="s">
        <v>4585</v>
      </c>
      <c r="X426" s="2">
        <v>1.641</v>
      </c>
      <c r="Y426" s="6">
        <f t="shared" si="54"/>
        <v>4.3805557780091299E-2</v>
      </c>
      <c r="AA426">
        <v>223654</v>
      </c>
      <c r="AB426">
        <v>30422</v>
      </c>
      <c r="AD426" t="s">
        <v>5</v>
      </c>
      <c r="AE426">
        <v>93</v>
      </c>
      <c r="AF426">
        <v>21</v>
      </c>
      <c r="AH426" t="s">
        <v>4584</v>
      </c>
      <c r="AI426" t="s">
        <v>4583</v>
      </c>
      <c r="AK426" t="s">
        <v>4582</v>
      </c>
      <c r="AL426">
        <v>89</v>
      </c>
      <c r="AM426" s="5">
        <f t="shared" si="58"/>
        <v>2.6969696969696968</v>
      </c>
      <c r="AN426" s="4">
        <f t="shared" si="55"/>
        <v>4.0847704611430471E-3</v>
      </c>
      <c r="AO426" s="3"/>
      <c r="AP426">
        <v>0</v>
      </c>
      <c r="AR426" t="s">
        <v>0</v>
      </c>
      <c r="AT426" s="2" t="s">
        <v>19</v>
      </c>
      <c r="AU426" s="1">
        <f t="shared" si="59"/>
        <v>3.1889321584406818</v>
      </c>
      <c r="AV426" s="1">
        <f t="shared" si="60"/>
        <v>2.3945164120617175</v>
      </c>
      <c r="AW426" s="1">
        <f t="shared" si="61"/>
        <v>1.6001006656827521</v>
      </c>
    </row>
    <row r="427" spans="1:49" x14ac:dyDescent="0.2">
      <c r="A427">
        <v>425</v>
      </c>
      <c r="B427" t="s">
        <v>4581</v>
      </c>
      <c r="C427" t="s">
        <v>4580</v>
      </c>
      <c r="F427" t="s">
        <v>4579</v>
      </c>
      <c r="G427" t="s">
        <v>15</v>
      </c>
      <c r="H427" t="s">
        <v>14</v>
      </c>
      <c r="I427" t="s">
        <v>4578</v>
      </c>
      <c r="J427">
        <v>60025225</v>
      </c>
      <c r="K427" t="s">
        <v>4577</v>
      </c>
      <c r="L427" t="s">
        <v>4576</v>
      </c>
      <c r="M427" t="s">
        <v>792</v>
      </c>
      <c r="N427">
        <v>2</v>
      </c>
      <c r="O427" t="s">
        <v>4575</v>
      </c>
      <c r="P427" t="s">
        <v>4574</v>
      </c>
      <c r="Q427" t="s">
        <v>4573</v>
      </c>
      <c r="R427" s="7">
        <v>32509</v>
      </c>
      <c r="S427" s="8">
        <f t="shared" si="56"/>
        <v>1989</v>
      </c>
      <c r="T427" s="8">
        <v>1989</v>
      </c>
      <c r="U427" s="8">
        <f t="shared" si="57"/>
        <v>33</v>
      </c>
      <c r="V427" s="7" t="s">
        <v>4552</v>
      </c>
      <c r="W427" s="11" t="s">
        <v>1449</v>
      </c>
      <c r="X427" s="2">
        <v>2.383</v>
      </c>
      <c r="Y427" s="6">
        <f t="shared" si="54"/>
        <v>6.3612824003630442E-2</v>
      </c>
      <c r="AA427" t="s">
        <v>1448</v>
      </c>
      <c r="AB427">
        <v>101151</v>
      </c>
      <c r="AD427" t="s">
        <v>5</v>
      </c>
      <c r="AE427">
        <v>136</v>
      </c>
      <c r="AF427">
        <v>5</v>
      </c>
      <c r="AH427" t="s">
        <v>4572</v>
      </c>
      <c r="AI427" t="s">
        <v>4571</v>
      </c>
      <c r="AK427" t="s">
        <v>4570</v>
      </c>
      <c r="AL427">
        <v>5</v>
      </c>
      <c r="AM427" s="5">
        <f t="shared" si="58"/>
        <v>0.15151515151515152</v>
      </c>
      <c r="AN427" s="4">
        <f t="shared" si="55"/>
        <v>2.2948148658107008E-4</v>
      </c>
      <c r="AO427" s="3"/>
      <c r="AP427">
        <v>0</v>
      </c>
      <c r="AR427" t="s">
        <v>0</v>
      </c>
      <c r="AT427" s="2" t="s">
        <v>19</v>
      </c>
      <c r="AU427" s="1">
        <f t="shared" si="59"/>
        <v>4.4597821248515626</v>
      </c>
      <c r="AV427" s="1">
        <f t="shared" si="60"/>
        <v>3.1921152745105754</v>
      </c>
      <c r="AW427" s="1">
        <f t="shared" si="61"/>
        <v>1.9244484241695881</v>
      </c>
    </row>
    <row r="428" spans="1:49" x14ac:dyDescent="0.2">
      <c r="A428">
        <v>426</v>
      </c>
      <c r="B428" t="s">
        <v>4569</v>
      </c>
      <c r="C428" t="s">
        <v>4568</v>
      </c>
      <c r="F428" t="s">
        <v>4567</v>
      </c>
      <c r="G428" t="s">
        <v>15</v>
      </c>
      <c r="H428" t="s">
        <v>14</v>
      </c>
      <c r="I428" t="s">
        <v>4566</v>
      </c>
      <c r="J428">
        <v>60000745</v>
      </c>
      <c r="K428" t="s">
        <v>769</v>
      </c>
      <c r="L428" t="s">
        <v>768</v>
      </c>
      <c r="M428" t="s">
        <v>23</v>
      </c>
      <c r="N428">
        <v>4</v>
      </c>
      <c r="O428" t="s">
        <v>4565</v>
      </c>
      <c r="P428" t="s">
        <v>4564</v>
      </c>
      <c r="Q428" t="s">
        <v>4563</v>
      </c>
      <c r="R428" s="7">
        <v>32509</v>
      </c>
      <c r="S428" s="8">
        <f t="shared" si="56"/>
        <v>1989</v>
      </c>
      <c r="T428" s="8">
        <v>1989</v>
      </c>
      <c r="U428" s="8">
        <f t="shared" si="57"/>
        <v>33</v>
      </c>
      <c r="V428" s="7">
        <v>32782</v>
      </c>
      <c r="W428" t="s">
        <v>943</v>
      </c>
      <c r="X428" s="2">
        <v>0.30399999999999999</v>
      </c>
      <c r="Y428" s="6">
        <f t="shared" si="54"/>
        <v>8.115106377299057E-3</v>
      </c>
      <c r="AA428">
        <v>8952477</v>
      </c>
      <c r="AB428">
        <v>12250</v>
      </c>
      <c r="AC428">
        <v>10982760</v>
      </c>
      <c r="AD428" t="s">
        <v>5</v>
      </c>
      <c r="AE428">
        <v>2</v>
      </c>
      <c r="AF428">
        <v>10</v>
      </c>
      <c r="AH428" t="s">
        <v>4562</v>
      </c>
      <c r="AI428" t="s">
        <v>4561</v>
      </c>
      <c r="AJ428" t="s">
        <v>4560</v>
      </c>
      <c r="AK428" t="s">
        <v>4559</v>
      </c>
      <c r="AL428">
        <v>5</v>
      </c>
      <c r="AM428" s="5">
        <f t="shared" si="58"/>
        <v>0.15151515151515152</v>
      </c>
      <c r="AN428" s="4">
        <f t="shared" si="55"/>
        <v>2.2948148658107008E-4</v>
      </c>
      <c r="AO428" s="3"/>
      <c r="AP428">
        <v>0</v>
      </c>
      <c r="AR428" t="s">
        <v>0</v>
      </c>
      <c r="AT428" s="2" t="s">
        <v>19</v>
      </c>
      <c r="AU428" s="1">
        <f t="shared" si="59"/>
        <v>0.57494189100836601</v>
      </c>
      <c r="AV428" s="1">
        <f t="shared" si="60"/>
        <v>0.41722939319400637</v>
      </c>
      <c r="AW428" s="1">
        <f t="shared" si="61"/>
        <v>0.25951689537964662</v>
      </c>
    </row>
    <row r="429" spans="1:49" x14ac:dyDescent="0.2">
      <c r="A429">
        <v>427</v>
      </c>
      <c r="B429" t="s">
        <v>4558</v>
      </c>
      <c r="C429" t="s">
        <v>4557</v>
      </c>
      <c r="F429" t="s">
        <v>4556</v>
      </c>
      <c r="G429" t="s">
        <v>15</v>
      </c>
      <c r="H429" t="s">
        <v>14</v>
      </c>
      <c r="I429" t="s">
        <v>4555</v>
      </c>
      <c r="J429">
        <v>60027090</v>
      </c>
      <c r="K429" t="s">
        <v>312</v>
      </c>
      <c r="L429" t="s">
        <v>311</v>
      </c>
      <c r="M429" t="s">
        <v>23</v>
      </c>
      <c r="N429">
        <v>2</v>
      </c>
      <c r="O429" t="s">
        <v>4554</v>
      </c>
      <c r="P429" t="s">
        <v>4553</v>
      </c>
      <c r="Q429" t="s">
        <v>308</v>
      </c>
      <c r="R429" s="7">
        <v>32509</v>
      </c>
      <c r="S429" s="8">
        <f t="shared" si="56"/>
        <v>1989</v>
      </c>
      <c r="T429" s="8">
        <v>1989</v>
      </c>
      <c r="U429" s="8">
        <f t="shared" si="57"/>
        <v>33</v>
      </c>
      <c r="V429" s="7" t="s">
        <v>4552</v>
      </c>
      <c r="W429" t="s">
        <v>4551</v>
      </c>
      <c r="X429" s="2" t="s">
        <v>19</v>
      </c>
      <c r="Y429" s="6" t="e">
        <f t="shared" si="54"/>
        <v>#VALUE!</v>
      </c>
      <c r="AA429">
        <v>11452</v>
      </c>
      <c r="AB429">
        <v>29964</v>
      </c>
      <c r="AD429" t="s">
        <v>5</v>
      </c>
      <c r="AE429">
        <v>27</v>
      </c>
      <c r="AF429">
        <v>10</v>
      </c>
      <c r="AH429" t="s">
        <v>4550</v>
      </c>
      <c r="AI429" t="s">
        <v>4549</v>
      </c>
      <c r="AK429" t="s">
        <v>4548</v>
      </c>
      <c r="AL429">
        <v>22</v>
      </c>
      <c r="AM429" s="5">
        <f t="shared" si="58"/>
        <v>0.66666666666666663</v>
      </c>
      <c r="AN429" s="4">
        <f t="shared" si="55"/>
        <v>1.0097185409567082E-3</v>
      </c>
      <c r="AO429" s="3"/>
      <c r="AP429">
        <v>0</v>
      </c>
      <c r="AR429" t="s">
        <v>0</v>
      </c>
      <c r="AT429" s="2">
        <v>2.1269999999999998</v>
      </c>
      <c r="AU429" s="1" t="e">
        <f t="shared" si="59"/>
        <v>#VALUE!</v>
      </c>
      <c r="AV429" s="1" t="e">
        <f t="shared" si="60"/>
        <v>#VALUE!</v>
      </c>
      <c r="AW429" s="1" t="e">
        <f t="shared" si="61"/>
        <v>#VALUE!</v>
      </c>
    </row>
    <row r="430" spans="1:49" x14ac:dyDescent="0.2">
      <c r="A430">
        <v>428</v>
      </c>
      <c r="B430" t="s">
        <v>4547</v>
      </c>
      <c r="C430" t="s">
        <v>4546</v>
      </c>
      <c r="F430" t="s">
        <v>4545</v>
      </c>
      <c r="G430" t="s">
        <v>15</v>
      </c>
      <c r="H430" t="s">
        <v>14</v>
      </c>
      <c r="I430" t="s">
        <v>4544</v>
      </c>
      <c r="J430" t="s">
        <v>4543</v>
      </c>
      <c r="K430" t="s">
        <v>4542</v>
      </c>
      <c r="L430" t="s">
        <v>4541</v>
      </c>
      <c r="M430" t="s">
        <v>3567</v>
      </c>
      <c r="N430">
        <v>2</v>
      </c>
      <c r="O430" t="s">
        <v>4540</v>
      </c>
      <c r="P430" t="s">
        <v>4539</v>
      </c>
      <c r="Q430" t="s">
        <v>4538</v>
      </c>
      <c r="R430" s="7">
        <v>32509</v>
      </c>
      <c r="S430" s="8">
        <f t="shared" si="56"/>
        <v>1989</v>
      </c>
      <c r="T430" s="8">
        <v>1989</v>
      </c>
      <c r="U430" s="8">
        <f t="shared" si="57"/>
        <v>33</v>
      </c>
      <c r="V430" s="7">
        <v>32782</v>
      </c>
      <c r="W430" t="s">
        <v>1436</v>
      </c>
      <c r="X430" s="2">
        <v>0.251</v>
      </c>
      <c r="Y430" s="6">
        <f t="shared" si="54"/>
        <v>6.7003016470462617E-3</v>
      </c>
      <c r="AA430">
        <v>207217</v>
      </c>
      <c r="AB430">
        <v>26145</v>
      </c>
      <c r="AC430">
        <v>13623060</v>
      </c>
      <c r="AD430" t="s">
        <v>5</v>
      </c>
      <c r="AE430">
        <v>67</v>
      </c>
      <c r="AF430">
        <v>4</v>
      </c>
      <c r="AH430" t="s">
        <v>4537</v>
      </c>
      <c r="AI430" t="s">
        <v>4536</v>
      </c>
      <c r="AK430" t="s">
        <v>4535</v>
      </c>
      <c r="AL430">
        <v>2</v>
      </c>
      <c r="AM430" s="5">
        <f t="shared" si="58"/>
        <v>6.0606060606060608E-2</v>
      </c>
      <c r="AN430" s="4">
        <f t="shared" si="55"/>
        <v>9.1792594632428032E-5</v>
      </c>
      <c r="AO430" s="3"/>
      <c r="AP430">
        <v>0</v>
      </c>
      <c r="AQ430" t="s">
        <v>4062</v>
      </c>
      <c r="AR430" t="s">
        <v>0</v>
      </c>
      <c r="AS430" t="s">
        <v>4060</v>
      </c>
      <c r="AT430" s="2">
        <v>1.3360000000000001</v>
      </c>
      <c r="AU430" s="1">
        <f t="shared" si="59"/>
        <v>0.47177489313221116</v>
      </c>
      <c r="AV430" s="1">
        <f t="shared" si="60"/>
        <v>0.3396047120839345</v>
      </c>
      <c r="AW430" s="1">
        <f t="shared" si="61"/>
        <v>0.20743453103565776</v>
      </c>
    </row>
    <row r="431" spans="1:49" x14ac:dyDescent="0.2">
      <c r="A431">
        <v>429</v>
      </c>
      <c r="B431" t="s">
        <v>4534</v>
      </c>
      <c r="C431" t="s">
        <v>4533</v>
      </c>
      <c r="F431" t="s">
        <v>4532</v>
      </c>
      <c r="G431" t="s">
        <v>15</v>
      </c>
      <c r="H431" t="s">
        <v>14</v>
      </c>
      <c r="I431" t="s">
        <v>4531</v>
      </c>
      <c r="J431" t="s">
        <v>4530</v>
      </c>
      <c r="K431" t="s">
        <v>4529</v>
      </c>
      <c r="L431" t="s">
        <v>4528</v>
      </c>
      <c r="M431" t="s">
        <v>4527</v>
      </c>
      <c r="N431">
        <v>5</v>
      </c>
      <c r="O431" t="s">
        <v>4526</v>
      </c>
      <c r="P431" t="s">
        <v>4525</v>
      </c>
      <c r="Q431" t="s">
        <v>4524</v>
      </c>
      <c r="R431" s="7">
        <v>32509</v>
      </c>
      <c r="S431" s="8">
        <f t="shared" si="56"/>
        <v>1989</v>
      </c>
      <c r="T431" s="8">
        <v>1989</v>
      </c>
      <c r="U431" s="8">
        <f t="shared" si="57"/>
        <v>33</v>
      </c>
      <c r="V431" s="7">
        <v>32782</v>
      </c>
      <c r="W431" t="s">
        <v>1436</v>
      </c>
      <c r="X431" s="2">
        <v>0.251</v>
      </c>
      <c r="Y431" s="6">
        <f t="shared" si="54"/>
        <v>6.7003016470462617E-3</v>
      </c>
      <c r="AA431">
        <v>207217</v>
      </c>
      <c r="AB431">
        <v>26145</v>
      </c>
      <c r="AC431">
        <v>13623060</v>
      </c>
      <c r="AD431" t="s">
        <v>5</v>
      </c>
      <c r="AE431">
        <v>67</v>
      </c>
      <c r="AF431">
        <v>4</v>
      </c>
      <c r="AH431" t="s">
        <v>4523</v>
      </c>
      <c r="AI431" t="s">
        <v>4522</v>
      </c>
      <c r="AK431" t="s">
        <v>4521</v>
      </c>
      <c r="AL431">
        <v>2</v>
      </c>
      <c r="AM431" s="5">
        <f t="shared" si="58"/>
        <v>6.0606060606060608E-2</v>
      </c>
      <c r="AN431" s="4">
        <f t="shared" si="55"/>
        <v>9.1792594632428032E-5</v>
      </c>
      <c r="AO431" s="3"/>
      <c r="AP431">
        <v>0</v>
      </c>
      <c r="AR431" t="s">
        <v>0</v>
      </c>
      <c r="AT431" s="2">
        <v>1.3360000000000001</v>
      </c>
      <c r="AU431" s="1">
        <f t="shared" si="59"/>
        <v>0.47177489313221116</v>
      </c>
      <c r="AV431" s="1">
        <f t="shared" si="60"/>
        <v>0.3396047120839345</v>
      </c>
      <c r="AW431" s="1">
        <f t="shared" si="61"/>
        <v>0.20743453103565776</v>
      </c>
    </row>
    <row r="432" spans="1:49" x14ac:dyDescent="0.2">
      <c r="A432">
        <v>430</v>
      </c>
      <c r="B432" t="s">
        <v>4520</v>
      </c>
      <c r="C432" t="s">
        <v>4519</v>
      </c>
      <c r="F432" t="s">
        <v>4518</v>
      </c>
      <c r="G432" t="s">
        <v>15</v>
      </c>
      <c r="H432" t="s">
        <v>14</v>
      </c>
      <c r="I432" t="s">
        <v>4517</v>
      </c>
      <c r="J432">
        <v>60023311</v>
      </c>
      <c r="K432" t="s">
        <v>4516</v>
      </c>
      <c r="L432" t="s">
        <v>4515</v>
      </c>
      <c r="M432" t="s">
        <v>885</v>
      </c>
      <c r="N432">
        <v>2</v>
      </c>
      <c r="O432" t="s">
        <v>4514</v>
      </c>
      <c r="P432" t="s">
        <v>4513</v>
      </c>
      <c r="Q432" t="s">
        <v>4512</v>
      </c>
      <c r="R432" s="7">
        <v>32509</v>
      </c>
      <c r="S432" s="8">
        <f t="shared" si="56"/>
        <v>1989</v>
      </c>
      <c r="T432" s="8">
        <v>1989</v>
      </c>
      <c r="U432" s="8">
        <f t="shared" si="57"/>
        <v>33</v>
      </c>
      <c r="V432" s="7" t="s">
        <v>4350</v>
      </c>
      <c r="W432" t="s">
        <v>880</v>
      </c>
      <c r="X432" s="2">
        <v>0.218</v>
      </c>
      <c r="Y432" s="6">
        <f t="shared" si="54"/>
        <v>5.8193854942473512E-3</v>
      </c>
      <c r="AA432">
        <v>3772063</v>
      </c>
      <c r="AB432">
        <v>130012</v>
      </c>
      <c r="AD432" t="s">
        <v>5</v>
      </c>
      <c r="AE432">
        <v>35</v>
      </c>
      <c r="AF432">
        <v>5</v>
      </c>
      <c r="AH432" t="s">
        <v>4511</v>
      </c>
      <c r="AI432" t="s">
        <v>4510</v>
      </c>
      <c r="AK432" t="s">
        <v>4509</v>
      </c>
      <c r="AL432">
        <v>0</v>
      </c>
      <c r="AM432" s="5">
        <f t="shared" si="58"/>
        <v>0</v>
      </c>
      <c r="AN432" s="4">
        <f t="shared" si="55"/>
        <v>0</v>
      </c>
      <c r="AO432" s="3"/>
      <c r="AP432">
        <v>0</v>
      </c>
      <c r="AR432" t="s">
        <v>0</v>
      </c>
      <c r="AT432" s="2">
        <v>2.3330000000000002</v>
      </c>
      <c r="AU432" s="1">
        <f t="shared" si="59"/>
        <v>0.40735698459731456</v>
      </c>
      <c r="AV432" s="1">
        <f t="shared" si="60"/>
        <v>0.29096927471236755</v>
      </c>
      <c r="AW432" s="1">
        <f t="shared" si="61"/>
        <v>0.17458156482742054</v>
      </c>
    </row>
    <row r="433" spans="1:49" x14ac:dyDescent="0.2">
      <c r="A433">
        <v>431</v>
      </c>
      <c r="B433" t="s">
        <v>4508</v>
      </c>
      <c r="C433" t="s">
        <v>4507</v>
      </c>
      <c r="F433" t="s">
        <v>4506</v>
      </c>
      <c r="G433" t="s">
        <v>15</v>
      </c>
      <c r="H433" t="s">
        <v>14</v>
      </c>
      <c r="I433" t="s">
        <v>3012</v>
      </c>
      <c r="J433">
        <v>60023345</v>
      </c>
      <c r="K433" t="s">
        <v>3011</v>
      </c>
      <c r="L433" t="s">
        <v>3010</v>
      </c>
      <c r="M433" t="s">
        <v>885</v>
      </c>
      <c r="N433">
        <v>2</v>
      </c>
      <c r="O433" t="s">
        <v>3009</v>
      </c>
      <c r="P433" t="s">
        <v>3008</v>
      </c>
      <c r="Q433" t="s">
        <v>3007</v>
      </c>
      <c r="R433" s="7">
        <v>32509</v>
      </c>
      <c r="S433" s="8">
        <f t="shared" si="56"/>
        <v>1989</v>
      </c>
      <c r="T433" s="8">
        <v>1989</v>
      </c>
      <c r="U433" s="8">
        <f t="shared" si="57"/>
        <v>33</v>
      </c>
      <c r="V433" s="7" t="s">
        <v>4350</v>
      </c>
      <c r="W433" t="s">
        <v>880</v>
      </c>
      <c r="X433" s="2">
        <v>0.218</v>
      </c>
      <c r="Y433" s="6">
        <f t="shared" si="54"/>
        <v>5.8193854942473512E-3</v>
      </c>
      <c r="AA433">
        <v>3772063</v>
      </c>
      <c r="AB433">
        <v>130012</v>
      </c>
      <c r="AD433" t="s">
        <v>5</v>
      </c>
      <c r="AE433">
        <v>35</v>
      </c>
      <c r="AF433">
        <v>5</v>
      </c>
      <c r="AH433" t="s">
        <v>4505</v>
      </c>
      <c r="AI433" t="s">
        <v>4504</v>
      </c>
      <c r="AK433" t="s">
        <v>4503</v>
      </c>
      <c r="AL433">
        <v>0</v>
      </c>
      <c r="AM433" s="5">
        <f t="shared" si="58"/>
        <v>0</v>
      </c>
      <c r="AN433" s="4">
        <f t="shared" si="55"/>
        <v>0</v>
      </c>
      <c r="AO433" s="3"/>
      <c r="AP433">
        <v>0</v>
      </c>
      <c r="AR433" t="s">
        <v>0</v>
      </c>
      <c r="AT433" s="2">
        <v>2.3330000000000002</v>
      </c>
      <c r="AU433" s="1">
        <f t="shared" si="59"/>
        <v>0.40735698459731456</v>
      </c>
      <c r="AV433" s="1">
        <f t="shared" si="60"/>
        <v>0.29096927471236755</v>
      </c>
      <c r="AW433" s="1">
        <f t="shared" si="61"/>
        <v>0.17458156482742054</v>
      </c>
    </row>
    <row r="434" spans="1:49" x14ac:dyDescent="0.2">
      <c r="A434">
        <v>432</v>
      </c>
      <c r="B434" t="s">
        <v>4502</v>
      </c>
      <c r="C434" t="s">
        <v>4501</v>
      </c>
      <c r="F434" t="s">
        <v>4500</v>
      </c>
      <c r="G434" t="s">
        <v>15</v>
      </c>
      <c r="H434" t="s">
        <v>14</v>
      </c>
      <c r="I434" t="s">
        <v>4499</v>
      </c>
      <c r="J434" t="s">
        <v>4498</v>
      </c>
      <c r="K434" t="s">
        <v>4497</v>
      </c>
      <c r="L434" t="s">
        <v>4496</v>
      </c>
      <c r="M434" t="s">
        <v>4495</v>
      </c>
      <c r="N434">
        <v>1</v>
      </c>
      <c r="O434" t="s">
        <v>4494</v>
      </c>
      <c r="P434">
        <v>57202007643</v>
      </c>
      <c r="Q434" t="s">
        <v>4493</v>
      </c>
      <c r="R434" s="7">
        <v>32509</v>
      </c>
      <c r="S434" s="8">
        <f t="shared" si="56"/>
        <v>1989</v>
      </c>
      <c r="T434" s="8">
        <v>1989</v>
      </c>
      <c r="U434" s="8">
        <f t="shared" si="57"/>
        <v>33</v>
      </c>
      <c r="V434" s="7">
        <v>32752</v>
      </c>
      <c r="W434" t="s">
        <v>778</v>
      </c>
      <c r="X434" s="2">
        <v>1.6519999999999999</v>
      </c>
      <c r="Y434" s="6">
        <f t="shared" si="54"/>
        <v>4.409919649769093E-2</v>
      </c>
      <c r="AA434" t="s">
        <v>777</v>
      </c>
      <c r="AB434">
        <v>17337</v>
      </c>
      <c r="AC434">
        <v>15582221</v>
      </c>
      <c r="AD434" t="s">
        <v>5</v>
      </c>
      <c r="AE434">
        <v>37</v>
      </c>
      <c r="AF434">
        <v>9</v>
      </c>
      <c r="AH434" t="s">
        <v>4492</v>
      </c>
      <c r="AI434" t="s">
        <v>4491</v>
      </c>
      <c r="AK434" t="s">
        <v>4490</v>
      </c>
      <c r="AL434">
        <v>45</v>
      </c>
      <c r="AM434" s="5">
        <f t="shared" si="58"/>
        <v>1.3636363636363635</v>
      </c>
      <c r="AN434" s="4">
        <f t="shared" si="55"/>
        <v>2.0653333792296307E-3</v>
      </c>
      <c r="AO434" s="3"/>
      <c r="AP434">
        <v>0</v>
      </c>
      <c r="AR434" t="s">
        <v>0</v>
      </c>
      <c r="AT434" s="2" t="s">
        <v>19</v>
      </c>
      <c r="AU434" s="1">
        <f t="shared" si="59"/>
        <v>3.1489037562152538</v>
      </c>
      <c r="AV434" s="1">
        <f t="shared" si="60"/>
        <v>2.308226493846028</v>
      </c>
      <c r="AW434" s="1">
        <f t="shared" si="61"/>
        <v>1.4675492314768019</v>
      </c>
    </row>
    <row r="435" spans="1:49" x14ac:dyDescent="0.2">
      <c r="A435">
        <v>433</v>
      </c>
      <c r="B435" t="s">
        <v>4489</v>
      </c>
      <c r="C435" t="s">
        <v>4488</v>
      </c>
      <c r="F435" t="s">
        <v>4487</v>
      </c>
      <c r="G435" t="s">
        <v>15</v>
      </c>
      <c r="H435" t="s">
        <v>14</v>
      </c>
      <c r="I435" t="s">
        <v>4486</v>
      </c>
      <c r="J435">
        <v>60012704</v>
      </c>
      <c r="K435" t="s">
        <v>4485</v>
      </c>
      <c r="L435" t="s">
        <v>4484</v>
      </c>
      <c r="M435" t="s">
        <v>4483</v>
      </c>
      <c r="N435">
        <v>1</v>
      </c>
      <c r="O435" t="s">
        <v>4482</v>
      </c>
      <c r="P435">
        <v>7404469777</v>
      </c>
      <c r="Q435">
        <v>60012704</v>
      </c>
      <c r="R435" s="7">
        <v>32509</v>
      </c>
      <c r="S435" s="8">
        <f t="shared" si="56"/>
        <v>1989</v>
      </c>
      <c r="T435" s="8">
        <v>1989</v>
      </c>
      <c r="U435" s="8">
        <f t="shared" si="57"/>
        <v>33</v>
      </c>
      <c r="V435" s="7">
        <v>32752</v>
      </c>
      <c r="W435" t="s">
        <v>778</v>
      </c>
      <c r="X435" s="2">
        <v>1.6519999999999999</v>
      </c>
      <c r="Y435" s="6">
        <f t="shared" si="54"/>
        <v>4.409919649769093E-2</v>
      </c>
      <c r="AA435" t="s">
        <v>777</v>
      </c>
      <c r="AB435">
        <v>17337</v>
      </c>
      <c r="AC435">
        <v>15582221</v>
      </c>
      <c r="AD435" t="s">
        <v>5</v>
      </c>
      <c r="AE435">
        <v>37</v>
      </c>
      <c r="AF435">
        <v>9</v>
      </c>
      <c r="AH435" t="s">
        <v>4481</v>
      </c>
      <c r="AI435" t="s">
        <v>4480</v>
      </c>
      <c r="AK435" t="s">
        <v>4479</v>
      </c>
      <c r="AL435">
        <v>18</v>
      </c>
      <c r="AM435" s="5">
        <f t="shared" si="58"/>
        <v>0.54545454545454541</v>
      </c>
      <c r="AN435" s="4">
        <f t="shared" si="55"/>
        <v>8.2613335169185224E-4</v>
      </c>
      <c r="AO435" s="3"/>
      <c r="AP435">
        <v>0</v>
      </c>
      <c r="AR435" t="s">
        <v>0</v>
      </c>
      <c r="AT435" s="2" t="s">
        <v>19</v>
      </c>
      <c r="AU435" s="1">
        <f t="shared" si="59"/>
        <v>3.1117277553891207</v>
      </c>
      <c r="AV435" s="1">
        <f t="shared" si="60"/>
        <v>2.2462664924691391</v>
      </c>
      <c r="AW435" s="1">
        <f t="shared" si="61"/>
        <v>1.3808052295491575</v>
      </c>
    </row>
    <row r="436" spans="1:49" x14ac:dyDescent="0.2">
      <c r="A436">
        <v>434</v>
      </c>
      <c r="B436" t="s">
        <v>4478</v>
      </c>
      <c r="C436" t="s">
        <v>4477</v>
      </c>
      <c r="F436" t="s">
        <v>4476</v>
      </c>
      <c r="G436" t="s">
        <v>15</v>
      </c>
      <c r="H436" t="s">
        <v>14</v>
      </c>
      <c r="I436" t="s">
        <v>4475</v>
      </c>
      <c r="J436">
        <v>60014662</v>
      </c>
      <c r="K436" t="s">
        <v>4474</v>
      </c>
      <c r="L436" t="s">
        <v>782</v>
      </c>
      <c r="M436" t="s">
        <v>23</v>
      </c>
      <c r="N436">
        <v>2</v>
      </c>
      <c r="O436" t="s">
        <v>4473</v>
      </c>
      <c r="P436" t="s">
        <v>4472</v>
      </c>
      <c r="Q436" t="s">
        <v>4471</v>
      </c>
      <c r="R436" s="7">
        <v>32509</v>
      </c>
      <c r="S436" s="8">
        <f t="shared" si="56"/>
        <v>1989</v>
      </c>
      <c r="T436" s="8">
        <v>1989</v>
      </c>
      <c r="U436" s="8">
        <f t="shared" si="57"/>
        <v>33</v>
      </c>
      <c r="V436" s="7">
        <v>32752</v>
      </c>
      <c r="W436" t="s">
        <v>778</v>
      </c>
      <c r="X436" s="2">
        <v>1.6519999999999999</v>
      </c>
      <c r="Y436" s="6">
        <f t="shared" si="54"/>
        <v>4.409919649769093E-2</v>
      </c>
      <c r="AA436" t="s">
        <v>777</v>
      </c>
      <c r="AB436">
        <v>17337</v>
      </c>
      <c r="AC436">
        <v>15582221</v>
      </c>
      <c r="AD436" t="s">
        <v>5</v>
      </c>
      <c r="AE436">
        <v>37</v>
      </c>
      <c r="AF436">
        <v>9</v>
      </c>
      <c r="AH436" t="s">
        <v>4470</v>
      </c>
      <c r="AI436" t="s">
        <v>4469</v>
      </c>
      <c r="AK436" t="s">
        <v>4468</v>
      </c>
      <c r="AL436">
        <v>2</v>
      </c>
      <c r="AM436" s="5">
        <f t="shared" si="58"/>
        <v>6.0606060606060608E-2</v>
      </c>
      <c r="AN436" s="4">
        <f t="shared" si="55"/>
        <v>9.1792594632428032E-5</v>
      </c>
      <c r="AO436" s="3"/>
      <c r="AP436">
        <v>0</v>
      </c>
      <c r="AR436" t="s">
        <v>0</v>
      </c>
      <c r="AT436" s="2" t="s">
        <v>19</v>
      </c>
      <c r="AU436" s="1">
        <f t="shared" si="59"/>
        <v>3.0896975326773379</v>
      </c>
      <c r="AV436" s="1">
        <f t="shared" si="60"/>
        <v>2.2095494546161678</v>
      </c>
      <c r="AW436" s="1">
        <f t="shared" si="61"/>
        <v>1.3294013765549977</v>
      </c>
    </row>
    <row r="437" spans="1:49" x14ac:dyDescent="0.2">
      <c r="A437">
        <v>435</v>
      </c>
      <c r="B437" t="s">
        <v>4467</v>
      </c>
      <c r="C437" t="s">
        <v>4466</v>
      </c>
      <c r="F437" t="s">
        <v>4465</v>
      </c>
      <c r="G437" t="s">
        <v>15</v>
      </c>
      <c r="H437" t="s">
        <v>14</v>
      </c>
      <c r="I437" t="s">
        <v>4464</v>
      </c>
      <c r="J437">
        <v>60072501</v>
      </c>
      <c r="K437" t="s">
        <v>2738</v>
      </c>
      <c r="L437" t="s">
        <v>2737</v>
      </c>
      <c r="M437" t="s">
        <v>259</v>
      </c>
      <c r="N437">
        <v>2</v>
      </c>
      <c r="O437" t="s">
        <v>4463</v>
      </c>
      <c r="P437" t="s">
        <v>4462</v>
      </c>
      <c r="Q437" t="s">
        <v>4461</v>
      </c>
      <c r="R437" s="7">
        <v>32509</v>
      </c>
      <c r="S437" s="8">
        <f t="shared" si="56"/>
        <v>1989</v>
      </c>
      <c r="T437" s="8">
        <v>1989</v>
      </c>
      <c r="U437" s="8">
        <f t="shared" si="57"/>
        <v>33</v>
      </c>
      <c r="V437" s="7">
        <v>32752</v>
      </c>
      <c r="W437" t="s">
        <v>778</v>
      </c>
      <c r="X437" s="2">
        <v>1.6519999999999999</v>
      </c>
      <c r="Y437" s="6">
        <f t="shared" si="54"/>
        <v>4.409919649769093E-2</v>
      </c>
      <c r="AA437" t="s">
        <v>777</v>
      </c>
      <c r="AB437">
        <v>17337</v>
      </c>
      <c r="AC437">
        <v>15582221</v>
      </c>
      <c r="AD437" t="s">
        <v>5</v>
      </c>
      <c r="AE437">
        <v>37</v>
      </c>
      <c r="AF437">
        <v>9</v>
      </c>
      <c r="AH437" t="s">
        <v>4460</v>
      </c>
      <c r="AI437" t="s">
        <v>4459</v>
      </c>
      <c r="AK437" t="s">
        <v>4458</v>
      </c>
      <c r="AL437">
        <v>7</v>
      </c>
      <c r="AM437" s="5">
        <f t="shared" si="58"/>
        <v>0.21212121212121213</v>
      </c>
      <c r="AN437" s="4">
        <f t="shared" si="55"/>
        <v>3.2127408121349809E-4</v>
      </c>
      <c r="AO437" s="3"/>
      <c r="AP437">
        <v>0</v>
      </c>
      <c r="AR437" t="s">
        <v>0</v>
      </c>
      <c r="AT437" s="2" t="s">
        <v>19</v>
      </c>
      <c r="AU437" s="1">
        <f t="shared" si="59"/>
        <v>3.09658197727477</v>
      </c>
      <c r="AV437" s="1">
        <f t="shared" si="60"/>
        <v>2.2210235289452216</v>
      </c>
      <c r="AW437" s="1">
        <f t="shared" si="61"/>
        <v>1.3454650806156727</v>
      </c>
    </row>
    <row r="438" spans="1:49" x14ac:dyDescent="0.2">
      <c r="A438">
        <v>436</v>
      </c>
      <c r="B438" t="s">
        <v>4457</v>
      </c>
      <c r="C438" t="s">
        <v>4456</v>
      </c>
      <c r="F438" t="s">
        <v>4455</v>
      </c>
      <c r="G438" t="s">
        <v>15</v>
      </c>
      <c r="H438" t="s">
        <v>14</v>
      </c>
      <c r="I438" t="s">
        <v>4454</v>
      </c>
      <c r="N438">
        <v>2</v>
      </c>
      <c r="O438" t="s">
        <v>4453</v>
      </c>
      <c r="P438" t="s">
        <v>4452</v>
      </c>
      <c r="Q438" t="s">
        <v>1071</v>
      </c>
      <c r="R438" s="7">
        <v>32509</v>
      </c>
      <c r="S438" s="8">
        <f t="shared" si="56"/>
        <v>1989</v>
      </c>
      <c r="T438" s="8">
        <v>1989</v>
      </c>
      <c r="U438" s="8">
        <f t="shared" si="57"/>
        <v>33</v>
      </c>
      <c r="V438" s="7" t="s">
        <v>4432</v>
      </c>
      <c r="W438" t="s">
        <v>334</v>
      </c>
      <c r="X438" s="2">
        <v>0.371</v>
      </c>
      <c r="Y438" s="6">
        <f t="shared" si="54"/>
        <v>9.9036331117695747E-3</v>
      </c>
      <c r="AA438">
        <v>486604</v>
      </c>
      <c r="AB438">
        <v>28580</v>
      </c>
      <c r="AC438" t="s">
        <v>333</v>
      </c>
      <c r="AD438" t="s">
        <v>5</v>
      </c>
      <c r="AE438">
        <v>24</v>
      </c>
      <c r="AF438">
        <v>5</v>
      </c>
      <c r="AH438" t="s">
        <v>4451</v>
      </c>
      <c r="AI438" t="s">
        <v>4450</v>
      </c>
      <c r="AK438" t="s">
        <v>4449</v>
      </c>
      <c r="AL438">
        <v>13</v>
      </c>
      <c r="AM438" s="5">
        <f t="shared" si="58"/>
        <v>0.39393939393939392</v>
      </c>
      <c r="AN438" s="4">
        <f t="shared" si="55"/>
        <v>5.9665186511078218E-4</v>
      </c>
      <c r="AO438" s="3"/>
      <c r="AP438">
        <v>0</v>
      </c>
      <c r="AR438" t="s">
        <v>0</v>
      </c>
      <c r="AT438" s="2">
        <v>1.431</v>
      </c>
      <c r="AU438" s="1">
        <f t="shared" si="59"/>
        <v>0.71115387377719363</v>
      </c>
      <c r="AV438" s="1">
        <f t="shared" si="60"/>
        <v>0.52501424884401782</v>
      </c>
      <c r="AW438" s="1">
        <f t="shared" si="61"/>
        <v>0.338874623910842</v>
      </c>
    </row>
    <row r="439" spans="1:49" x14ac:dyDescent="0.2">
      <c r="A439">
        <v>437</v>
      </c>
      <c r="B439" t="s">
        <v>4448</v>
      </c>
      <c r="C439" t="s">
        <v>4447</v>
      </c>
      <c r="F439" t="s">
        <v>4446</v>
      </c>
      <c r="G439" t="s">
        <v>15</v>
      </c>
      <c r="H439" t="s">
        <v>14</v>
      </c>
      <c r="I439" t="s">
        <v>4445</v>
      </c>
      <c r="J439">
        <v>60003500</v>
      </c>
      <c r="K439" t="s">
        <v>2708</v>
      </c>
      <c r="L439" t="s">
        <v>2707</v>
      </c>
      <c r="M439" t="s">
        <v>23</v>
      </c>
      <c r="N439">
        <v>2</v>
      </c>
      <c r="O439" t="s">
        <v>4444</v>
      </c>
      <c r="P439" t="s">
        <v>4443</v>
      </c>
      <c r="Q439" t="s">
        <v>4442</v>
      </c>
      <c r="R439" s="7">
        <v>32509</v>
      </c>
      <c r="S439" s="8">
        <f t="shared" si="56"/>
        <v>1989</v>
      </c>
      <c r="T439" s="8">
        <v>1989</v>
      </c>
      <c r="U439" s="8">
        <f t="shared" si="57"/>
        <v>33</v>
      </c>
      <c r="V439" s="7">
        <v>32752</v>
      </c>
      <c r="W439" t="s">
        <v>778</v>
      </c>
      <c r="X439" s="2">
        <v>1.6519999999999999</v>
      </c>
      <c r="Y439" s="6">
        <f t="shared" si="54"/>
        <v>4.409919649769093E-2</v>
      </c>
      <c r="AA439" t="s">
        <v>777</v>
      </c>
      <c r="AB439">
        <v>17337</v>
      </c>
      <c r="AC439">
        <v>15582221</v>
      </c>
      <c r="AD439" t="s">
        <v>5</v>
      </c>
      <c r="AE439">
        <v>37</v>
      </c>
      <c r="AF439">
        <v>9</v>
      </c>
      <c r="AH439" t="s">
        <v>4441</v>
      </c>
      <c r="AI439" t="s">
        <v>4440</v>
      </c>
      <c r="AK439" t="s">
        <v>4439</v>
      </c>
      <c r="AL439">
        <v>9</v>
      </c>
      <c r="AM439" s="5">
        <f t="shared" si="58"/>
        <v>0.27272727272727271</v>
      </c>
      <c r="AN439" s="4">
        <f t="shared" si="55"/>
        <v>4.1306667584592612E-4</v>
      </c>
      <c r="AO439" s="3"/>
      <c r="AP439">
        <v>0</v>
      </c>
      <c r="AR439" t="s">
        <v>0</v>
      </c>
      <c r="AT439" s="2" t="s">
        <v>19</v>
      </c>
      <c r="AU439" s="1">
        <f t="shared" si="59"/>
        <v>3.099335755113743</v>
      </c>
      <c r="AV439" s="1">
        <f t="shared" si="60"/>
        <v>2.2256131586768428</v>
      </c>
      <c r="AW439" s="1">
        <f t="shared" si="61"/>
        <v>1.3518905622399426</v>
      </c>
    </row>
    <row r="440" spans="1:49" x14ac:dyDescent="0.2">
      <c r="A440">
        <v>438</v>
      </c>
      <c r="B440" t="s">
        <v>4438</v>
      </c>
      <c r="C440" t="s">
        <v>4437</v>
      </c>
      <c r="F440" t="s">
        <v>4436</v>
      </c>
      <c r="G440" t="s">
        <v>15</v>
      </c>
      <c r="H440" t="s">
        <v>14</v>
      </c>
      <c r="I440" t="s">
        <v>4435</v>
      </c>
      <c r="N440">
        <v>3</v>
      </c>
      <c r="O440" t="s">
        <v>4434</v>
      </c>
      <c r="P440" t="s">
        <v>4433</v>
      </c>
      <c r="Q440" t="s">
        <v>296</v>
      </c>
      <c r="R440" s="7">
        <v>32509</v>
      </c>
      <c r="S440" s="8">
        <f t="shared" si="56"/>
        <v>1989</v>
      </c>
      <c r="T440" s="8">
        <v>1989</v>
      </c>
      <c r="U440" s="8">
        <f t="shared" si="57"/>
        <v>33</v>
      </c>
      <c r="V440" s="7" t="s">
        <v>4432</v>
      </c>
      <c r="W440" t="s">
        <v>334</v>
      </c>
      <c r="X440" s="2">
        <v>0.371</v>
      </c>
      <c r="Y440" s="6">
        <f t="shared" si="54"/>
        <v>9.9036331117695747E-3</v>
      </c>
      <c r="AA440">
        <v>486604</v>
      </c>
      <c r="AB440">
        <v>28580</v>
      </c>
      <c r="AC440" t="s">
        <v>333</v>
      </c>
      <c r="AD440" t="s">
        <v>5</v>
      </c>
      <c r="AE440">
        <v>24</v>
      </c>
      <c r="AF440">
        <v>5</v>
      </c>
      <c r="AH440" t="s">
        <v>4431</v>
      </c>
      <c r="AI440" t="s">
        <v>4430</v>
      </c>
      <c r="AK440" t="s">
        <v>4429</v>
      </c>
      <c r="AL440">
        <v>0</v>
      </c>
      <c r="AM440" s="5">
        <f t="shared" si="58"/>
        <v>0</v>
      </c>
      <c r="AN440" s="4">
        <f t="shared" si="55"/>
        <v>0</v>
      </c>
      <c r="AO440" s="3"/>
      <c r="AP440">
        <v>0</v>
      </c>
      <c r="AR440" t="s">
        <v>0</v>
      </c>
      <c r="AT440" s="2">
        <v>1.431</v>
      </c>
      <c r="AU440" s="1">
        <f t="shared" si="59"/>
        <v>0.69325431782387015</v>
      </c>
      <c r="AV440" s="1">
        <f t="shared" si="60"/>
        <v>0.49518165558847871</v>
      </c>
      <c r="AW440" s="1">
        <f t="shared" si="61"/>
        <v>0.29710899335308727</v>
      </c>
    </row>
    <row r="441" spans="1:49" x14ac:dyDescent="0.2">
      <c r="A441">
        <v>439</v>
      </c>
      <c r="B441" t="s">
        <v>4428</v>
      </c>
      <c r="C441" t="s">
        <v>4427</v>
      </c>
      <c r="F441" t="s">
        <v>4426</v>
      </c>
      <c r="G441" t="s">
        <v>15</v>
      </c>
      <c r="H441" t="s">
        <v>14</v>
      </c>
      <c r="I441" t="s">
        <v>4425</v>
      </c>
      <c r="J441" t="s">
        <v>4424</v>
      </c>
      <c r="K441" t="s">
        <v>4423</v>
      </c>
      <c r="L441" t="s">
        <v>4422</v>
      </c>
      <c r="M441" t="s">
        <v>4421</v>
      </c>
      <c r="N441">
        <v>5</v>
      </c>
      <c r="O441" t="s">
        <v>4420</v>
      </c>
      <c r="P441" t="s">
        <v>4419</v>
      </c>
      <c r="Q441" t="s">
        <v>4418</v>
      </c>
      <c r="R441" s="7">
        <v>32509</v>
      </c>
      <c r="S441" s="8">
        <f t="shared" si="56"/>
        <v>1989</v>
      </c>
      <c r="T441" s="8">
        <v>1989</v>
      </c>
      <c r="U441" s="8">
        <f t="shared" si="57"/>
        <v>33</v>
      </c>
      <c r="V441" s="7">
        <v>32752</v>
      </c>
      <c r="W441" t="s">
        <v>538</v>
      </c>
      <c r="X441" s="2">
        <v>1.774</v>
      </c>
      <c r="Y441" s="6">
        <f t="shared" si="54"/>
        <v>4.7355916820159633E-2</v>
      </c>
      <c r="AA441">
        <v>295515</v>
      </c>
      <c r="AB441">
        <v>29066</v>
      </c>
      <c r="AC441">
        <v>17414326</v>
      </c>
      <c r="AD441" t="s">
        <v>5</v>
      </c>
      <c r="AE441">
        <v>29</v>
      </c>
      <c r="AF441">
        <v>9</v>
      </c>
      <c r="AH441" t="s">
        <v>4417</v>
      </c>
      <c r="AI441" t="s">
        <v>4416</v>
      </c>
      <c r="AK441" t="s">
        <v>4415</v>
      </c>
      <c r="AL441">
        <v>40</v>
      </c>
      <c r="AM441" s="5">
        <f t="shared" si="58"/>
        <v>1.2121212121212122</v>
      </c>
      <c r="AN441" s="4">
        <f t="shared" si="55"/>
        <v>1.8358518926485606E-3</v>
      </c>
      <c r="AO441" s="3"/>
      <c r="AP441">
        <v>0</v>
      </c>
      <c r="AR441" t="s">
        <v>0</v>
      </c>
      <c r="AT441" s="2">
        <v>3.1789999999999998</v>
      </c>
      <c r="AU441" s="1">
        <f t="shared" si="59"/>
        <v>3.3699897341906309</v>
      </c>
      <c r="AV441" s="1">
        <f t="shared" si="60"/>
        <v>2.4595884356404096</v>
      </c>
      <c r="AW441" s="1">
        <f t="shared" si="61"/>
        <v>1.5491871370901882</v>
      </c>
    </row>
    <row r="442" spans="1:49" x14ac:dyDescent="0.2">
      <c r="A442">
        <v>440</v>
      </c>
      <c r="B442" t="s">
        <v>4414</v>
      </c>
      <c r="C442" t="s">
        <v>4413</v>
      </c>
      <c r="F442" t="s">
        <v>4412</v>
      </c>
      <c r="G442" t="s">
        <v>15</v>
      </c>
      <c r="H442" t="s">
        <v>14</v>
      </c>
      <c r="I442" t="s">
        <v>4411</v>
      </c>
      <c r="J442" t="s">
        <v>4410</v>
      </c>
      <c r="K442" t="s">
        <v>4409</v>
      </c>
      <c r="L442" t="s">
        <v>4408</v>
      </c>
      <c r="M442" t="s">
        <v>86</v>
      </c>
      <c r="N442">
        <v>2</v>
      </c>
      <c r="O442" t="s">
        <v>4407</v>
      </c>
      <c r="P442" t="s">
        <v>4406</v>
      </c>
      <c r="Q442" t="s">
        <v>4405</v>
      </c>
      <c r="R442" s="7">
        <v>32509</v>
      </c>
      <c r="S442" s="8">
        <f t="shared" si="56"/>
        <v>1989</v>
      </c>
      <c r="T442" s="8">
        <v>1989</v>
      </c>
      <c r="U442" s="8">
        <f t="shared" si="57"/>
        <v>33</v>
      </c>
      <c r="V442" s="7">
        <v>32752</v>
      </c>
      <c r="W442" t="s">
        <v>778</v>
      </c>
      <c r="X442" s="2">
        <v>1.6519999999999999</v>
      </c>
      <c r="Y442" s="6">
        <f t="shared" si="54"/>
        <v>4.409919649769093E-2</v>
      </c>
      <c r="AA442" t="s">
        <v>777</v>
      </c>
      <c r="AB442">
        <v>17337</v>
      </c>
      <c r="AC442">
        <v>15582221</v>
      </c>
      <c r="AD442" t="s">
        <v>5</v>
      </c>
      <c r="AE442">
        <v>37</v>
      </c>
      <c r="AF442">
        <v>9</v>
      </c>
      <c r="AH442" t="s">
        <v>4404</v>
      </c>
      <c r="AI442" t="s">
        <v>4403</v>
      </c>
      <c r="AK442" t="s">
        <v>4402</v>
      </c>
      <c r="AL442">
        <v>0</v>
      </c>
      <c r="AM442" s="5">
        <f t="shared" si="58"/>
        <v>0</v>
      </c>
      <c r="AN442" s="4">
        <f t="shared" si="55"/>
        <v>0</v>
      </c>
      <c r="AO442" s="3"/>
      <c r="AP442">
        <v>0</v>
      </c>
      <c r="AR442" t="s">
        <v>0</v>
      </c>
      <c r="AT442" s="2" t="s">
        <v>19</v>
      </c>
      <c r="AU442" s="1">
        <f t="shared" si="59"/>
        <v>3.0869437548383649</v>
      </c>
      <c r="AV442" s="1">
        <f t="shared" si="60"/>
        <v>2.2049598248845466</v>
      </c>
      <c r="AW442" s="1">
        <f t="shared" si="61"/>
        <v>1.3229758949307278</v>
      </c>
    </row>
    <row r="443" spans="1:49" x14ac:dyDescent="0.2">
      <c r="A443">
        <v>441</v>
      </c>
      <c r="B443" t="s">
        <v>4401</v>
      </c>
      <c r="C443" t="s">
        <v>4400</v>
      </c>
      <c r="F443" t="s">
        <v>4399</v>
      </c>
      <c r="G443" t="s">
        <v>15</v>
      </c>
      <c r="H443" t="s">
        <v>14</v>
      </c>
      <c r="I443" t="s">
        <v>2585</v>
      </c>
      <c r="J443">
        <v>60009697</v>
      </c>
      <c r="K443" t="s">
        <v>2584</v>
      </c>
      <c r="L443" t="s">
        <v>2583</v>
      </c>
      <c r="M443" t="s">
        <v>283</v>
      </c>
      <c r="N443">
        <v>1</v>
      </c>
      <c r="O443" t="s">
        <v>4398</v>
      </c>
      <c r="P443">
        <v>7004091962</v>
      </c>
      <c r="Q443">
        <v>60009697</v>
      </c>
      <c r="R443" s="7">
        <v>32509</v>
      </c>
      <c r="S443" s="8">
        <f t="shared" si="56"/>
        <v>1989</v>
      </c>
      <c r="T443" s="8">
        <v>1989</v>
      </c>
      <c r="U443" s="8">
        <f t="shared" si="57"/>
        <v>33</v>
      </c>
      <c r="V443" s="7">
        <v>32752</v>
      </c>
      <c r="W443" t="s">
        <v>778</v>
      </c>
      <c r="X443" s="2">
        <v>1.6519999999999999</v>
      </c>
      <c r="Y443" s="6">
        <f t="shared" si="54"/>
        <v>4.409919649769093E-2</v>
      </c>
      <c r="AA443" t="s">
        <v>777</v>
      </c>
      <c r="AB443">
        <v>17337</v>
      </c>
      <c r="AC443">
        <v>15582221</v>
      </c>
      <c r="AD443" t="s">
        <v>5</v>
      </c>
      <c r="AE443">
        <v>37</v>
      </c>
      <c r="AF443">
        <v>9</v>
      </c>
      <c r="AH443" t="s">
        <v>4397</v>
      </c>
      <c r="AI443" t="s">
        <v>4396</v>
      </c>
      <c r="AK443" t="s">
        <v>4395</v>
      </c>
      <c r="AL443">
        <v>7</v>
      </c>
      <c r="AM443" s="5">
        <f t="shared" si="58"/>
        <v>0.21212121212121213</v>
      </c>
      <c r="AN443" s="4">
        <f t="shared" si="55"/>
        <v>3.2127408121349809E-4</v>
      </c>
      <c r="AO443" s="3"/>
      <c r="AP443">
        <v>0</v>
      </c>
      <c r="AR443" t="s">
        <v>0</v>
      </c>
      <c r="AT443" s="2" t="s">
        <v>19</v>
      </c>
      <c r="AU443" s="1">
        <f t="shared" si="59"/>
        <v>3.09658197727477</v>
      </c>
      <c r="AV443" s="1">
        <f t="shared" si="60"/>
        <v>2.2210235289452216</v>
      </c>
      <c r="AW443" s="1">
        <f t="shared" si="61"/>
        <v>1.3454650806156727</v>
      </c>
    </row>
    <row r="444" spans="1:49" x14ac:dyDescent="0.2">
      <c r="A444">
        <v>442</v>
      </c>
      <c r="B444" t="s">
        <v>4394</v>
      </c>
      <c r="C444" t="s">
        <v>4393</v>
      </c>
      <c r="F444" t="s">
        <v>4392</v>
      </c>
      <c r="G444" t="s">
        <v>15</v>
      </c>
      <c r="H444" t="s">
        <v>14</v>
      </c>
      <c r="I444" t="s">
        <v>4391</v>
      </c>
      <c r="J444" t="s">
        <v>4390</v>
      </c>
      <c r="K444" t="s">
        <v>4389</v>
      </c>
      <c r="L444" t="s">
        <v>4388</v>
      </c>
      <c r="M444" t="s">
        <v>554</v>
      </c>
      <c r="N444">
        <v>3</v>
      </c>
      <c r="O444" t="s">
        <v>4387</v>
      </c>
      <c r="P444" t="s">
        <v>4386</v>
      </c>
      <c r="Q444" t="s">
        <v>4385</v>
      </c>
      <c r="R444" s="7">
        <v>32509</v>
      </c>
      <c r="S444" s="8">
        <f t="shared" si="56"/>
        <v>1989</v>
      </c>
      <c r="T444" s="8">
        <v>1989</v>
      </c>
      <c r="U444" s="8">
        <f t="shared" si="57"/>
        <v>33</v>
      </c>
      <c r="V444" s="7">
        <v>32752</v>
      </c>
      <c r="W444" t="s">
        <v>1996</v>
      </c>
      <c r="X444" s="2">
        <v>0.62</v>
      </c>
      <c r="Y444" s="6">
        <f t="shared" si="54"/>
        <v>1.6550545901070447E-2</v>
      </c>
      <c r="AA444">
        <v>189464</v>
      </c>
      <c r="AB444">
        <v>17364</v>
      </c>
      <c r="AC444">
        <v>19410069</v>
      </c>
      <c r="AD444" t="s">
        <v>5</v>
      </c>
      <c r="AE444">
        <v>25</v>
      </c>
      <c r="AF444">
        <v>5</v>
      </c>
      <c r="AH444" t="s">
        <v>4384</v>
      </c>
      <c r="AI444" t="s">
        <v>4383</v>
      </c>
      <c r="AK444" t="s">
        <v>4382</v>
      </c>
      <c r="AL444">
        <v>1</v>
      </c>
      <c r="AM444" s="5">
        <f t="shared" si="58"/>
        <v>3.0303030303030304E-2</v>
      </c>
      <c r="AN444" s="4">
        <f t="shared" si="55"/>
        <v>4.5896297316214016E-5</v>
      </c>
      <c r="AO444" s="3"/>
      <c r="AP444">
        <v>0</v>
      </c>
      <c r="AR444" t="s">
        <v>0</v>
      </c>
      <c r="AT444" s="2">
        <v>1.7</v>
      </c>
      <c r="AU444" s="1">
        <f t="shared" si="59"/>
        <v>1.1599151019944176</v>
      </c>
      <c r="AV444" s="1">
        <f t="shared" si="60"/>
        <v>0.82982210991933303</v>
      </c>
      <c r="AW444" s="1">
        <f t="shared" si="61"/>
        <v>0.49972911784424839</v>
      </c>
    </row>
    <row r="445" spans="1:49" x14ac:dyDescent="0.2">
      <c r="A445">
        <v>443</v>
      </c>
      <c r="B445" t="s">
        <v>4381</v>
      </c>
      <c r="C445" t="s">
        <v>4380</v>
      </c>
      <c r="F445" t="s">
        <v>4379</v>
      </c>
      <c r="G445" t="s">
        <v>15</v>
      </c>
      <c r="H445" t="s">
        <v>14</v>
      </c>
      <c r="I445" t="s">
        <v>4378</v>
      </c>
      <c r="J445">
        <v>60023345</v>
      </c>
      <c r="K445" t="s">
        <v>3011</v>
      </c>
      <c r="L445" t="s">
        <v>3010</v>
      </c>
      <c r="M445" t="s">
        <v>885</v>
      </c>
      <c r="N445">
        <v>2</v>
      </c>
      <c r="O445" t="s">
        <v>4377</v>
      </c>
      <c r="P445" t="s">
        <v>4376</v>
      </c>
      <c r="Q445" t="s">
        <v>3007</v>
      </c>
      <c r="R445" s="7">
        <v>32509</v>
      </c>
      <c r="S445" s="8">
        <f t="shared" si="56"/>
        <v>1989</v>
      </c>
      <c r="T445" s="8">
        <v>1989</v>
      </c>
      <c r="U445" s="8">
        <f t="shared" si="57"/>
        <v>33</v>
      </c>
      <c r="V445" s="7" t="s">
        <v>4350</v>
      </c>
      <c r="W445" t="s">
        <v>2320</v>
      </c>
      <c r="X445" s="2">
        <v>0.34899999999999998</v>
      </c>
      <c r="Y445" s="6">
        <f t="shared" si="54"/>
        <v>9.3163556765702999E-3</v>
      </c>
      <c r="AA445">
        <v>2564602</v>
      </c>
      <c r="AB445">
        <v>18958</v>
      </c>
      <c r="AD445" t="s">
        <v>5</v>
      </c>
      <c r="AE445">
        <v>6</v>
      </c>
      <c r="AF445">
        <v>5</v>
      </c>
      <c r="AH445" t="s">
        <v>4375</v>
      </c>
      <c r="AI445" t="s">
        <v>4374</v>
      </c>
      <c r="AK445" t="s">
        <v>4373</v>
      </c>
      <c r="AL445">
        <v>1</v>
      </c>
      <c r="AM445" s="5">
        <f t="shared" si="58"/>
        <v>3.0303030303030304E-2</v>
      </c>
      <c r="AN445" s="4">
        <f t="shared" si="55"/>
        <v>4.5896297316214016E-5</v>
      </c>
      <c r="AO445" s="3"/>
      <c r="AP445">
        <v>0</v>
      </c>
      <c r="AR445" t="s">
        <v>0</v>
      </c>
      <c r="AT445" s="2" t="s">
        <v>19</v>
      </c>
      <c r="AU445" s="1">
        <f t="shared" si="59"/>
        <v>0.65352178627940738</v>
      </c>
      <c r="AV445" s="1">
        <f t="shared" si="60"/>
        <v>0.46811259869432564</v>
      </c>
      <c r="AW445" s="1">
        <f t="shared" si="61"/>
        <v>0.28270341110924402</v>
      </c>
    </row>
    <row r="446" spans="1:49" x14ac:dyDescent="0.2">
      <c r="A446">
        <v>444</v>
      </c>
      <c r="B446" t="s">
        <v>4372</v>
      </c>
      <c r="C446" t="s">
        <v>4371</v>
      </c>
      <c r="F446" t="s">
        <v>4370</v>
      </c>
      <c r="G446" t="s">
        <v>15</v>
      </c>
      <c r="H446" t="s">
        <v>14</v>
      </c>
      <c r="I446" t="s">
        <v>4369</v>
      </c>
      <c r="J446">
        <v>60002494</v>
      </c>
      <c r="K446" t="s">
        <v>4368</v>
      </c>
      <c r="L446" t="s">
        <v>4069</v>
      </c>
      <c r="M446" t="s">
        <v>283</v>
      </c>
      <c r="N446">
        <v>1</v>
      </c>
      <c r="O446" t="s">
        <v>4367</v>
      </c>
      <c r="P446">
        <v>7005416337</v>
      </c>
      <c r="Q446">
        <v>60002494</v>
      </c>
      <c r="R446" s="7">
        <v>32509</v>
      </c>
      <c r="S446" s="8">
        <f t="shared" si="56"/>
        <v>1989</v>
      </c>
      <c r="T446" s="8">
        <v>1989</v>
      </c>
      <c r="U446" s="8">
        <f t="shared" si="57"/>
        <v>33</v>
      </c>
      <c r="V446" s="7">
        <v>32752</v>
      </c>
      <c r="W446" t="s">
        <v>4366</v>
      </c>
      <c r="X446" s="2">
        <v>0.249</v>
      </c>
      <c r="Y446" s="6">
        <f t="shared" si="54"/>
        <v>6.6469127893008734E-3</v>
      </c>
      <c r="AA446">
        <v>8943370</v>
      </c>
      <c r="AB446">
        <v>18200</v>
      </c>
      <c r="AC446">
        <v>10991204</v>
      </c>
      <c r="AD446" t="s">
        <v>5</v>
      </c>
      <c r="AE446">
        <v>2</v>
      </c>
      <c r="AF446">
        <v>3</v>
      </c>
      <c r="AH446" t="s">
        <v>4365</v>
      </c>
      <c r="AI446" t="s">
        <v>4364</v>
      </c>
      <c r="AK446" t="s">
        <v>4363</v>
      </c>
      <c r="AL446">
        <v>4</v>
      </c>
      <c r="AM446" s="5">
        <f t="shared" si="58"/>
        <v>0.12121212121212122</v>
      </c>
      <c r="AN446" s="4">
        <f t="shared" si="55"/>
        <v>1.8358518926485606E-4</v>
      </c>
      <c r="AO446" s="3"/>
      <c r="AP446">
        <v>0</v>
      </c>
      <c r="AR446" t="s">
        <v>0</v>
      </c>
      <c r="AT446" s="2" t="s">
        <v>19</v>
      </c>
      <c r="AU446" s="1">
        <f t="shared" si="59"/>
        <v>0.47079145092900682</v>
      </c>
      <c r="AV446" s="1">
        <f t="shared" si="60"/>
        <v>0.34152489892828647</v>
      </c>
      <c r="AW446" s="1">
        <f t="shared" si="61"/>
        <v>0.21225834692756612</v>
      </c>
    </row>
    <row r="447" spans="1:49" x14ac:dyDescent="0.2">
      <c r="A447">
        <v>445</v>
      </c>
      <c r="B447" t="s">
        <v>4362</v>
      </c>
      <c r="C447" t="s">
        <v>4361</v>
      </c>
      <c r="F447" t="s">
        <v>4360</v>
      </c>
      <c r="G447" t="s">
        <v>15</v>
      </c>
      <c r="H447" t="s">
        <v>14</v>
      </c>
      <c r="I447" t="s">
        <v>4035</v>
      </c>
      <c r="J447">
        <v>60013372</v>
      </c>
      <c r="K447" t="s">
        <v>1796</v>
      </c>
      <c r="L447" t="s">
        <v>1795</v>
      </c>
      <c r="M447" t="s">
        <v>23</v>
      </c>
      <c r="N447">
        <v>2</v>
      </c>
      <c r="O447" t="s">
        <v>4359</v>
      </c>
      <c r="P447" t="s">
        <v>4033</v>
      </c>
      <c r="Q447" t="s">
        <v>4032</v>
      </c>
      <c r="R447" s="7">
        <v>32509</v>
      </c>
      <c r="S447" s="8">
        <f t="shared" si="56"/>
        <v>1989</v>
      </c>
      <c r="T447" s="8">
        <v>1989</v>
      </c>
      <c r="U447" s="8">
        <f t="shared" si="57"/>
        <v>33</v>
      </c>
      <c r="V447" s="7">
        <v>32752</v>
      </c>
      <c r="W447" t="s">
        <v>360</v>
      </c>
      <c r="X447" s="2">
        <v>1.3720000000000001</v>
      </c>
      <c r="Y447" s="6">
        <f t="shared" si="54"/>
        <v>3.662475641333654E-2</v>
      </c>
      <c r="AA447">
        <v>189480</v>
      </c>
      <c r="AB447">
        <v>17366</v>
      </c>
      <c r="AC447">
        <v>15579670</v>
      </c>
      <c r="AD447" t="s">
        <v>5</v>
      </c>
      <c r="AE447">
        <v>37</v>
      </c>
      <c r="AF447">
        <v>9</v>
      </c>
      <c r="AH447" t="s">
        <v>4358</v>
      </c>
      <c r="AI447" t="s">
        <v>4357</v>
      </c>
      <c r="AK447" t="s">
        <v>4356</v>
      </c>
      <c r="AL447">
        <v>23</v>
      </c>
      <c r="AM447" s="5">
        <f t="shared" si="58"/>
        <v>0.69696969696969702</v>
      </c>
      <c r="AN447" s="4">
        <f t="shared" si="55"/>
        <v>1.0556148382729225E-3</v>
      </c>
      <c r="AO447" s="3"/>
      <c r="AP447">
        <v>0</v>
      </c>
      <c r="AQ447" t="s">
        <v>356</v>
      </c>
      <c r="AR447" t="s">
        <v>4028</v>
      </c>
      <c r="AS447" t="s">
        <v>355</v>
      </c>
      <c r="AT447" s="2" t="s">
        <v>19</v>
      </c>
      <c r="AU447" s="1">
        <f t="shared" si="59"/>
        <v>2.5954013940817453</v>
      </c>
      <c r="AV447" s="1">
        <f t="shared" si="60"/>
        <v>1.8840185625804731</v>
      </c>
      <c r="AW447" s="1">
        <f t="shared" si="61"/>
        <v>1.1726357310792008</v>
      </c>
    </row>
    <row r="448" spans="1:49" x14ac:dyDescent="0.2">
      <c r="A448">
        <v>446</v>
      </c>
      <c r="B448" t="s">
        <v>4355</v>
      </c>
      <c r="C448" t="s">
        <v>4354</v>
      </c>
      <c r="F448" t="s">
        <v>4353</v>
      </c>
      <c r="G448" t="s">
        <v>15</v>
      </c>
      <c r="H448" t="s">
        <v>14</v>
      </c>
      <c r="I448" t="s">
        <v>4352</v>
      </c>
      <c r="N448">
        <v>1</v>
      </c>
      <c r="O448" t="s">
        <v>4351</v>
      </c>
      <c r="P448">
        <v>1</v>
      </c>
      <c r="R448" s="7">
        <v>32509</v>
      </c>
      <c r="S448" s="8">
        <f t="shared" si="56"/>
        <v>1989</v>
      </c>
      <c r="T448" s="8">
        <v>1989</v>
      </c>
      <c r="U448" s="8">
        <f t="shared" si="57"/>
        <v>33</v>
      </c>
      <c r="V448" s="7" t="s">
        <v>4350</v>
      </c>
      <c r="W448" t="s">
        <v>880</v>
      </c>
      <c r="X448" s="2">
        <v>0.218</v>
      </c>
      <c r="Y448" s="6">
        <f t="shared" si="54"/>
        <v>5.8193854942473512E-3</v>
      </c>
      <c r="AA448">
        <v>3772063</v>
      </c>
      <c r="AB448">
        <v>130012</v>
      </c>
      <c r="AD448" t="s">
        <v>5</v>
      </c>
      <c r="AE448">
        <v>35</v>
      </c>
      <c r="AF448">
        <v>5</v>
      </c>
      <c r="AH448" t="s">
        <v>4349</v>
      </c>
      <c r="AI448" t="s">
        <v>4348</v>
      </c>
      <c r="AK448" t="s">
        <v>4347</v>
      </c>
      <c r="AL448">
        <v>0</v>
      </c>
      <c r="AM448" s="5">
        <f t="shared" si="58"/>
        <v>0</v>
      </c>
      <c r="AN448" s="4">
        <f t="shared" si="55"/>
        <v>0</v>
      </c>
      <c r="AO448" s="3"/>
      <c r="AP448">
        <v>0</v>
      </c>
      <c r="AR448" t="s">
        <v>0</v>
      </c>
      <c r="AT448" s="2">
        <v>2.3330000000000002</v>
      </c>
      <c r="AU448" s="1">
        <f t="shared" si="59"/>
        <v>0.40735698459731456</v>
      </c>
      <c r="AV448" s="1">
        <f t="shared" si="60"/>
        <v>0.29096927471236755</v>
      </c>
      <c r="AW448" s="1">
        <f t="shared" si="61"/>
        <v>0.17458156482742054</v>
      </c>
    </row>
    <row r="449" spans="1:49" x14ac:dyDescent="0.2">
      <c r="A449">
        <v>447</v>
      </c>
      <c r="B449" t="s">
        <v>4346</v>
      </c>
      <c r="C449" t="s">
        <v>4345</v>
      </c>
      <c r="F449" t="s">
        <v>4344</v>
      </c>
      <c r="G449" t="s">
        <v>15</v>
      </c>
      <c r="H449" t="s">
        <v>14</v>
      </c>
      <c r="I449" t="s">
        <v>4343</v>
      </c>
      <c r="J449">
        <v>60027271</v>
      </c>
      <c r="K449" t="s">
        <v>2278</v>
      </c>
      <c r="L449" t="s">
        <v>24</v>
      </c>
      <c r="M449" t="s">
        <v>23</v>
      </c>
      <c r="N449">
        <v>1</v>
      </c>
      <c r="O449" t="s">
        <v>4342</v>
      </c>
      <c r="P449">
        <v>7006017795</v>
      </c>
      <c r="Q449">
        <v>60027271</v>
      </c>
      <c r="R449" s="7">
        <v>32509</v>
      </c>
      <c r="S449" s="8">
        <f t="shared" si="56"/>
        <v>1989</v>
      </c>
      <c r="T449" s="8">
        <v>1989</v>
      </c>
      <c r="U449" s="8">
        <f t="shared" si="57"/>
        <v>33</v>
      </c>
      <c r="V449" s="7">
        <v>32752</v>
      </c>
      <c r="W449" t="s">
        <v>778</v>
      </c>
      <c r="X449" s="2">
        <v>1.6519999999999999</v>
      </c>
      <c r="Y449" s="6">
        <f t="shared" si="54"/>
        <v>4.409919649769093E-2</v>
      </c>
      <c r="AA449" t="s">
        <v>777</v>
      </c>
      <c r="AB449">
        <v>17337</v>
      </c>
      <c r="AC449">
        <v>15582221</v>
      </c>
      <c r="AD449" t="s">
        <v>5</v>
      </c>
      <c r="AE449">
        <v>37</v>
      </c>
      <c r="AF449">
        <v>9</v>
      </c>
      <c r="AH449" t="s">
        <v>4341</v>
      </c>
      <c r="AI449" t="s">
        <v>4340</v>
      </c>
      <c r="AK449" t="s">
        <v>4339</v>
      </c>
      <c r="AL449">
        <v>17</v>
      </c>
      <c r="AM449" s="5">
        <f t="shared" si="58"/>
        <v>0.51515151515151514</v>
      </c>
      <c r="AN449" s="4">
        <f t="shared" si="55"/>
        <v>7.8023705437563825E-4</v>
      </c>
      <c r="AO449" s="3"/>
      <c r="AP449">
        <v>0</v>
      </c>
      <c r="AR449" t="s">
        <v>0</v>
      </c>
      <c r="AT449" s="2" t="s">
        <v>19</v>
      </c>
      <c r="AU449" s="1">
        <f t="shared" si="59"/>
        <v>3.1103508664696342</v>
      </c>
      <c r="AV449" s="1">
        <f t="shared" si="60"/>
        <v>2.2439716776033283</v>
      </c>
      <c r="AW449" s="1">
        <f t="shared" si="61"/>
        <v>1.3775924887370223</v>
      </c>
    </row>
    <row r="450" spans="1:49" x14ac:dyDescent="0.2">
      <c r="A450">
        <v>448</v>
      </c>
      <c r="B450" t="s">
        <v>4338</v>
      </c>
      <c r="C450" t="s">
        <v>4337</v>
      </c>
      <c r="F450" t="s">
        <v>4336</v>
      </c>
      <c r="G450" t="s">
        <v>15</v>
      </c>
      <c r="H450" t="s">
        <v>14</v>
      </c>
      <c r="I450" t="s">
        <v>1606</v>
      </c>
      <c r="J450">
        <v>60003381</v>
      </c>
      <c r="K450" t="s">
        <v>4335</v>
      </c>
      <c r="L450" t="s">
        <v>1496</v>
      </c>
      <c r="M450" t="s">
        <v>115</v>
      </c>
      <c r="N450">
        <v>5</v>
      </c>
      <c r="O450" t="s">
        <v>4334</v>
      </c>
      <c r="P450" t="s">
        <v>4333</v>
      </c>
      <c r="Q450" t="s">
        <v>4332</v>
      </c>
      <c r="R450" s="7">
        <v>32509</v>
      </c>
      <c r="S450" s="8">
        <f t="shared" si="56"/>
        <v>1989</v>
      </c>
      <c r="T450" s="8">
        <v>1989</v>
      </c>
      <c r="U450" s="8">
        <f t="shared" si="57"/>
        <v>33</v>
      </c>
      <c r="V450" s="7">
        <v>32752</v>
      </c>
      <c r="W450" t="s">
        <v>764</v>
      </c>
      <c r="X450" s="2">
        <v>1.159</v>
      </c>
      <c r="Y450" s="6">
        <f t="shared" ref="Y450:Y513" si="62">(X450-$Z$4)/($Z$3-$Z$4)</f>
        <v>3.093884306345266E-2</v>
      </c>
      <c r="AA450">
        <v>8853010</v>
      </c>
      <c r="AB450">
        <v>12998</v>
      </c>
      <c r="AD450" t="s">
        <v>5</v>
      </c>
      <c r="AE450">
        <v>36</v>
      </c>
      <c r="AF450">
        <v>5</v>
      </c>
      <c r="AH450" t="s">
        <v>4331</v>
      </c>
      <c r="AI450" t="s">
        <v>4330</v>
      </c>
      <c r="AK450" t="s">
        <v>4329</v>
      </c>
      <c r="AL450">
        <v>15</v>
      </c>
      <c r="AM450" s="5">
        <f t="shared" si="58"/>
        <v>0.45454545454545453</v>
      </c>
      <c r="AN450" s="4">
        <f t="shared" ref="AN450:AN513" si="63">(AM450-$AO$4)/($AO$3-$AO$4)</f>
        <v>6.8844445974321016E-4</v>
      </c>
      <c r="AO450" s="3"/>
      <c r="AP450">
        <v>0</v>
      </c>
      <c r="AR450" t="s">
        <v>0</v>
      </c>
      <c r="AT450" s="2" t="s">
        <v>19</v>
      </c>
      <c r="AU450" s="1">
        <f t="shared" si="59"/>
        <v>2.1863723482339821</v>
      </c>
      <c r="AV450" s="1">
        <f t="shared" si="60"/>
        <v>1.5813643761597935</v>
      </c>
      <c r="AW450" s="1">
        <f t="shared" si="61"/>
        <v>0.97635640408560453</v>
      </c>
    </row>
    <row r="451" spans="1:49" x14ac:dyDescent="0.2">
      <c r="A451">
        <v>449</v>
      </c>
      <c r="B451" t="s">
        <v>4328</v>
      </c>
      <c r="C451" t="s">
        <v>4327</v>
      </c>
      <c r="F451" t="s">
        <v>4326</v>
      </c>
      <c r="G451" t="s">
        <v>15</v>
      </c>
      <c r="H451" t="s">
        <v>14</v>
      </c>
      <c r="I451" t="s">
        <v>2909</v>
      </c>
      <c r="J451">
        <v>60020975</v>
      </c>
      <c r="K451" t="s">
        <v>4325</v>
      </c>
      <c r="L451" t="s">
        <v>4324</v>
      </c>
      <c r="M451" t="s">
        <v>23</v>
      </c>
      <c r="N451">
        <v>1</v>
      </c>
      <c r="O451" t="s">
        <v>2908</v>
      </c>
      <c r="P451">
        <v>56219429900</v>
      </c>
      <c r="Q451">
        <v>60020975</v>
      </c>
      <c r="R451" s="7">
        <v>32509</v>
      </c>
      <c r="S451" s="8">
        <f t="shared" si="56"/>
        <v>1989</v>
      </c>
      <c r="T451" s="8">
        <v>1989</v>
      </c>
      <c r="U451" s="8">
        <f t="shared" si="57"/>
        <v>33</v>
      </c>
      <c r="V451" s="7">
        <v>32752</v>
      </c>
      <c r="W451" t="s">
        <v>778</v>
      </c>
      <c r="X451" s="2">
        <v>1.6519999999999999</v>
      </c>
      <c r="Y451" s="6">
        <f t="shared" si="62"/>
        <v>4.409919649769093E-2</v>
      </c>
      <c r="AA451" t="s">
        <v>777</v>
      </c>
      <c r="AB451">
        <v>17337</v>
      </c>
      <c r="AC451">
        <v>15582221</v>
      </c>
      <c r="AD451" t="s">
        <v>5</v>
      </c>
      <c r="AE451">
        <v>37</v>
      </c>
      <c r="AF451">
        <v>9</v>
      </c>
      <c r="AH451" t="s">
        <v>4323</v>
      </c>
      <c r="AI451" t="s">
        <v>4322</v>
      </c>
      <c r="AK451" t="s">
        <v>4321</v>
      </c>
      <c r="AL451">
        <v>106</v>
      </c>
      <c r="AM451" s="5">
        <f t="shared" si="58"/>
        <v>3.2121212121212119</v>
      </c>
      <c r="AN451" s="4">
        <f t="shared" si="63"/>
        <v>4.8650075155186852E-3</v>
      </c>
      <c r="AO451" s="3"/>
      <c r="AP451">
        <v>0</v>
      </c>
      <c r="AR451" t="s">
        <v>0</v>
      </c>
      <c r="AT451" s="2" t="s">
        <v>19</v>
      </c>
      <c r="AU451" s="1">
        <f t="shared" si="59"/>
        <v>3.2328939803039254</v>
      </c>
      <c r="AV451" s="1">
        <f t="shared" si="60"/>
        <v>2.4482102006604811</v>
      </c>
      <c r="AW451" s="1">
        <f t="shared" si="61"/>
        <v>1.6635264210170357</v>
      </c>
    </row>
    <row r="452" spans="1:49" x14ac:dyDescent="0.2">
      <c r="A452">
        <v>450</v>
      </c>
      <c r="B452" t="s">
        <v>4320</v>
      </c>
      <c r="C452" t="s">
        <v>4319</v>
      </c>
      <c r="F452" t="s">
        <v>4318</v>
      </c>
      <c r="G452" t="s">
        <v>15</v>
      </c>
      <c r="H452" t="s">
        <v>14</v>
      </c>
      <c r="I452" t="s">
        <v>4317</v>
      </c>
      <c r="J452" t="s">
        <v>4312</v>
      </c>
      <c r="K452" t="s">
        <v>4316</v>
      </c>
      <c r="L452" t="s">
        <v>4315</v>
      </c>
      <c r="M452" t="s">
        <v>86</v>
      </c>
      <c r="N452">
        <v>2</v>
      </c>
      <c r="O452" t="s">
        <v>4314</v>
      </c>
      <c r="P452" t="s">
        <v>4313</v>
      </c>
      <c r="Q452" t="s">
        <v>4312</v>
      </c>
      <c r="R452" s="7">
        <v>32509</v>
      </c>
      <c r="S452" s="8">
        <f t="shared" si="56"/>
        <v>1989</v>
      </c>
      <c r="T452" s="8">
        <v>1989</v>
      </c>
      <c r="U452" s="8">
        <f t="shared" si="57"/>
        <v>33</v>
      </c>
      <c r="V452" s="7">
        <v>32752</v>
      </c>
      <c r="W452" t="s">
        <v>1019</v>
      </c>
      <c r="X452" s="2">
        <v>1.468</v>
      </c>
      <c r="Y452" s="6">
        <f t="shared" si="62"/>
        <v>3.9187421585115186E-2</v>
      </c>
      <c r="AA452">
        <v>906778</v>
      </c>
      <c r="AB452">
        <v>18931</v>
      </c>
      <c r="AD452" t="s">
        <v>5</v>
      </c>
      <c r="AE452">
        <v>37</v>
      </c>
      <c r="AF452">
        <v>9</v>
      </c>
      <c r="AH452" t="s">
        <v>4311</v>
      </c>
      <c r="AI452" t="s">
        <v>4310</v>
      </c>
      <c r="AK452" t="s">
        <v>4309</v>
      </c>
      <c r="AL452">
        <v>1</v>
      </c>
      <c r="AM452" s="5">
        <f t="shared" si="58"/>
        <v>3.0303030303030304E-2</v>
      </c>
      <c r="AN452" s="4">
        <f t="shared" si="63"/>
        <v>4.5896297316214016E-5</v>
      </c>
      <c r="AO452" s="3"/>
      <c r="AP452">
        <v>0</v>
      </c>
      <c r="AQ452" t="s">
        <v>4308</v>
      </c>
      <c r="AR452" t="s">
        <v>4307</v>
      </c>
      <c r="AS452" t="s">
        <v>4306</v>
      </c>
      <c r="AT452" s="2">
        <v>5.0830000000000002</v>
      </c>
      <c r="AU452" s="1">
        <f t="shared" si="59"/>
        <v>2.7444963998775491</v>
      </c>
      <c r="AV452" s="1">
        <f t="shared" si="60"/>
        <v>1.9616658941215701</v>
      </c>
      <c r="AW452" s="1">
        <f t="shared" si="61"/>
        <v>1.1788353883655904</v>
      </c>
    </row>
    <row r="453" spans="1:49" x14ac:dyDescent="0.2">
      <c r="A453">
        <v>451</v>
      </c>
      <c r="B453" t="s">
        <v>4305</v>
      </c>
      <c r="C453" t="s">
        <v>4304</v>
      </c>
      <c r="F453" t="s">
        <v>4303</v>
      </c>
      <c r="G453" t="s">
        <v>15</v>
      </c>
      <c r="H453" t="s">
        <v>14</v>
      </c>
      <c r="I453" t="s">
        <v>4302</v>
      </c>
      <c r="N453">
        <v>3</v>
      </c>
      <c r="O453" t="s">
        <v>4301</v>
      </c>
      <c r="P453" t="s">
        <v>4300</v>
      </c>
      <c r="Q453" t="s">
        <v>296</v>
      </c>
      <c r="R453" s="7">
        <v>32509</v>
      </c>
      <c r="S453" s="8">
        <f t="shared" si="56"/>
        <v>1989</v>
      </c>
      <c r="T453" s="8">
        <v>1989</v>
      </c>
      <c r="U453" s="8">
        <f t="shared" si="57"/>
        <v>33</v>
      </c>
      <c r="V453" s="7">
        <v>32752</v>
      </c>
      <c r="W453" t="s">
        <v>2866</v>
      </c>
      <c r="X453" s="2">
        <v>1.137</v>
      </c>
      <c r="Y453" s="6">
        <f t="shared" si="62"/>
        <v>3.0351565628253384E-2</v>
      </c>
      <c r="AA453">
        <v>189251</v>
      </c>
      <c r="AB453">
        <v>17336</v>
      </c>
      <c r="AD453" t="s">
        <v>5</v>
      </c>
      <c r="AE453">
        <v>25</v>
      </c>
      <c r="AF453">
        <v>5</v>
      </c>
      <c r="AH453" t="s">
        <v>4299</v>
      </c>
      <c r="AI453" t="s">
        <v>4298</v>
      </c>
      <c r="AK453" t="s">
        <v>4297</v>
      </c>
      <c r="AL453">
        <v>0</v>
      </c>
      <c r="AM453" s="5">
        <f t="shared" si="58"/>
        <v>0</v>
      </c>
      <c r="AN453" s="4">
        <f t="shared" si="63"/>
        <v>0</v>
      </c>
      <c r="AO453" s="3"/>
      <c r="AP453">
        <v>0</v>
      </c>
      <c r="AR453" t="s">
        <v>0</v>
      </c>
      <c r="AT453" s="2" t="s">
        <v>19</v>
      </c>
      <c r="AU453" s="1">
        <f t="shared" si="59"/>
        <v>2.1246095939777367</v>
      </c>
      <c r="AV453" s="1">
        <f t="shared" si="60"/>
        <v>1.5175782814126693</v>
      </c>
      <c r="AW453" s="1">
        <f t="shared" si="61"/>
        <v>0.91054696884760156</v>
      </c>
    </row>
    <row r="454" spans="1:49" x14ac:dyDescent="0.2">
      <c r="A454">
        <v>452</v>
      </c>
      <c r="B454" t="s">
        <v>4296</v>
      </c>
      <c r="C454" t="s">
        <v>4295</v>
      </c>
      <c r="F454" t="s">
        <v>4294</v>
      </c>
      <c r="G454" t="s">
        <v>15</v>
      </c>
      <c r="H454" t="s">
        <v>14</v>
      </c>
      <c r="I454" t="s">
        <v>4293</v>
      </c>
      <c r="J454">
        <v>60023053</v>
      </c>
      <c r="K454" t="s">
        <v>3802</v>
      </c>
      <c r="L454" t="s">
        <v>1703</v>
      </c>
      <c r="M454" t="s">
        <v>23</v>
      </c>
      <c r="N454">
        <v>1</v>
      </c>
      <c r="O454" t="s">
        <v>4292</v>
      </c>
      <c r="P454">
        <v>7006396228</v>
      </c>
      <c r="Q454">
        <v>60023053</v>
      </c>
      <c r="R454" s="7">
        <v>32509</v>
      </c>
      <c r="S454" s="8">
        <f t="shared" si="56"/>
        <v>1989</v>
      </c>
      <c r="T454" s="8">
        <v>1989</v>
      </c>
      <c r="U454" s="8">
        <f t="shared" si="57"/>
        <v>33</v>
      </c>
      <c r="V454" s="7">
        <v>32752</v>
      </c>
      <c r="W454" t="s">
        <v>778</v>
      </c>
      <c r="X454" s="2">
        <v>1.6519999999999999</v>
      </c>
      <c r="Y454" s="6">
        <f t="shared" si="62"/>
        <v>4.409919649769093E-2</v>
      </c>
      <c r="AA454" t="s">
        <v>777</v>
      </c>
      <c r="AB454">
        <v>17337</v>
      </c>
      <c r="AC454">
        <v>15582221</v>
      </c>
      <c r="AD454" t="s">
        <v>5</v>
      </c>
      <c r="AE454">
        <v>37</v>
      </c>
      <c r="AF454">
        <v>9</v>
      </c>
      <c r="AH454" t="s">
        <v>4291</v>
      </c>
      <c r="AI454" t="s">
        <v>4290</v>
      </c>
      <c r="AK454" t="s">
        <v>4289</v>
      </c>
      <c r="AL454">
        <v>0</v>
      </c>
      <c r="AM454" s="5">
        <f t="shared" si="58"/>
        <v>0</v>
      </c>
      <c r="AN454" s="4">
        <f t="shared" si="63"/>
        <v>0</v>
      </c>
      <c r="AO454" s="3"/>
      <c r="AP454">
        <v>0</v>
      </c>
      <c r="AR454" t="s">
        <v>0</v>
      </c>
      <c r="AT454" s="2" t="s">
        <v>19</v>
      </c>
      <c r="AU454" s="1">
        <f t="shared" si="59"/>
        <v>3.0869437548383649</v>
      </c>
      <c r="AV454" s="1">
        <f t="shared" si="60"/>
        <v>2.2049598248845466</v>
      </c>
      <c r="AW454" s="1">
        <f t="shared" si="61"/>
        <v>1.3229758949307278</v>
      </c>
    </row>
    <row r="455" spans="1:49" x14ac:dyDescent="0.2">
      <c r="A455">
        <v>453</v>
      </c>
      <c r="B455" t="s">
        <v>4288</v>
      </c>
      <c r="C455" t="s">
        <v>4287</v>
      </c>
      <c r="F455" t="s">
        <v>4286</v>
      </c>
      <c r="G455" t="s">
        <v>15</v>
      </c>
      <c r="H455" t="s">
        <v>14</v>
      </c>
      <c r="I455" t="s">
        <v>4285</v>
      </c>
      <c r="J455">
        <v>60011188</v>
      </c>
      <c r="K455" t="s">
        <v>4284</v>
      </c>
      <c r="L455" t="s">
        <v>4283</v>
      </c>
      <c r="M455" t="s">
        <v>23</v>
      </c>
      <c r="N455">
        <v>1</v>
      </c>
      <c r="O455" t="s">
        <v>4282</v>
      </c>
      <c r="P455">
        <v>7004602639</v>
      </c>
      <c r="Q455">
        <v>60011188</v>
      </c>
      <c r="R455" s="7">
        <v>32509</v>
      </c>
      <c r="S455" s="8">
        <f t="shared" si="56"/>
        <v>1989</v>
      </c>
      <c r="T455" s="8">
        <v>1989</v>
      </c>
      <c r="U455" s="8">
        <f t="shared" si="57"/>
        <v>33</v>
      </c>
      <c r="V455" s="7" t="s">
        <v>4281</v>
      </c>
      <c r="W455" t="s">
        <v>4280</v>
      </c>
      <c r="X455" s="2">
        <v>4.6829999999999998</v>
      </c>
      <c r="Y455" s="6">
        <f t="shared" si="62"/>
        <v>0.12501001041082727</v>
      </c>
      <c r="AA455">
        <v>361445</v>
      </c>
      <c r="AB455">
        <v>26430</v>
      </c>
      <c r="AD455" t="s">
        <v>5</v>
      </c>
      <c r="AE455">
        <v>31</v>
      </c>
      <c r="AF455">
        <v>3</v>
      </c>
      <c r="AH455" t="s">
        <v>4279</v>
      </c>
      <c r="AI455" t="s">
        <v>4278</v>
      </c>
      <c r="AK455" t="s">
        <v>4277</v>
      </c>
      <c r="AL455">
        <v>0</v>
      </c>
      <c r="AM455" s="5">
        <f t="shared" si="58"/>
        <v>0</v>
      </c>
      <c r="AN455" s="4">
        <f t="shared" si="63"/>
        <v>0</v>
      </c>
      <c r="AO455" s="3"/>
      <c r="AP455">
        <v>0</v>
      </c>
      <c r="AR455" t="s">
        <v>0</v>
      </c>
      <c r="AT455" s="2">
        <v>10.78</v>
      </c>
      <c r="AU455" s="1">
        <f t="shared" si="59"/>
        <v>8.7507007287579075</v>
      </c>
      <c r="AV455" s="1">
        <f t="shared" si="60"/>
        <v>6.2505005205413635</v>
      </c>
      <c r="AW455" s="1">
        <f t="shared" si="61"/>
        <v>3.7503003123248178</v>
      </c>
    </row>
    <row r="456" spans="1:49" x14ac:dyDescent="0.2">
      <c r="A456">
        <v>454</v>
      </c>
      <c r="B456" t="s">
        <v>4276</v>
      </c>
      <c r="C456" t="s">
        <v>4275</v>
      </c>
      <c r="F456" t="s">
        <v>4274</v>
      </c>
      <c r="G456" t="s">
        <v>15</v>
      </c>
      <c r="H456" t="s">
        <v>14</v>
      </c>
      <c r="I456" t="s">
        <v>4273</v>
      </c>
      <c r="J456">
        <v>60019499</v>
      </c>
      <c r="K456" t="s">
        <v>4272</v>
      </c>
      <c r="L456" t="s">
        <v>4022</v>
      </c>
      <c r="M456" t="s">
        <v>1641</v>
      </c>
      <c r="N456">
        <v>1</v>
      </c>
      <c r="O456" t="s">
        <v>4271</v>
      </c>
      <c r="P456">
        <v>7402146718</v>
      </c>
      <c r="Q456">
        <v>60019499</v>
      </c>
      <c r="R456" s="7">
        <v>32509</v>
      </c>
      <c r="S456" s="8">
        <f t="shared" si="56"/>
        <v>1989</v>
      </c>
      <c r="T456" s="8">
        <v>1989</v>
      </c>
      <c r="U456" s="8">
        <f t="shared" si="57"/>
        <v>33</v>
      </c>
      <c r="V456" s="7">
        <v>32721</v>
      </c>
      <c r="W456" t="s">
        <v>2592</v>
      </c>
      <c r="X456" s="2">
        <v>0.82</v>
      </c>
      <c r="Y456" s="6">
        <f t="shared" si="62"/>
        <v>2.1889431675609299E-2</v>
      </c>
      <c r="AA456">
        <v>189456</v>
      </c>
      <c r="AB456">
        <v>15361</v>
      </c>
      <c r="AC456">
        <v>15579662</v>
      </c>
      <c r="AD456" t="s">
        <v>5</v>
      </c>
      <c r="AE456">
        <v>38</v>
      </c>
      <c r="AF456">
        <v>4</v>
      </c>
      <c r="AH456" t="s">
        <v>4270</v>
      </c>
      <c r="AI456" t="s">
        <v>4269</v>
      </c>
      <c r="AK456" t="s">
        <v>4268</v>
      </c>
      <c r="AL456">
        <v>1</v>
      </c>
      <c r="AM456" s="5">
        <f t="shared" si="58"/>
        <v>3.0303030303030304E-2</v>
      </c>
      <c r="AN456" s="4">
        <f t="shared" si="63"/>
        <v>4.5896297316214016E-5</v>
      </c>
      <c r="AO456" s="3"/>
      <c r="AP456">
        <v>0</v>
      </c>
      <c r="AR456" t="s">
        <v>0</v>
      </c>
      <c r="AT456" s="2" t="s">
        <v>19</v>
      </c>
      <c r="AU456" s="1">
        <f t="shared" si="59"/>
        <v>1.5336371062121372</v>
      </c>
      <c r="AV456" s="1">
        <f t="shared" si="60"/>
        <v>1.0967663986462757</v>
      </c>
      <c r="AW456" s="1">
        <f t="shared" si="61"/>
        <v>0.6598956910804139</v>
      </c>
    </row>
    <row r="457" spans="1:49" x14ac:dyDescent="0.2">
      <c r="A457">
        <v>455</v>
      </c>
      <c r="B457" t="s">
        <v>4267</v>
      </c>
      <c r="C457" t="s">
        <v>4266</v>
      </c>
      <c r="F457" t="s">
        <v>4265</v>
      </c>
      <c r="G457" t="s">
        <v>15</v>
      </c>
      <c r="H457" t="s">
        <v>14</v>
      </c>
      <c r="I457" t="s">
        <v>4264</v>
      </c>
      <c r="J457" t="s">
        <v>4263</v>
      </c>
      <c r="K457" t="s">
        <v>4262</v>
      </c>
      <c r="L457" t="s">
        <v>4261</v>
      </c>
      <c r="M457" t="s">
        <v>4260</v>
      </c>
      <c r="N457">
        <v>4</v>
      </c>
      <c r="O457" t="s">
        <v>4259</v>
      </c>
      <c r="P457" t="s">
        <v>4258</v>
      </c>
      <c r="Q457" t="s">
        <v>4257</v>
      </c>
      <c r="R457" s="7">
        <v>32509</v>
      </c>
      <c r="S457" s="8">
        <f t="shared" si="56"/>
        <v>1989</v>
      </c>
      <c r="T457" s="8">
        <v>1989</v>
      </c>
      <c r="U457" s="8">
        <f t="shared" si="57"/>
        <v>33</v>
      </c>
      <c r="V457" s="7">
        <v>32721</v>
      </c>
      <c r="W457" t="s">
        <v>2592</v>
      </c>
      <c r="X457" s="2">
        <v>0.82</v>
      </c>
      <c r="Y457" s="6">
        <f t="shared" si="62"/>
        <v>2.1889431675609299E-2</v>
      </c>
      <c r="AA457">
        <v>189456</v>
      </c>
      <c r="AB457">
        <v>15361</v>
      </c>
      <c r="AC457">
        <v>15579662</v>
      </c>
      <c r="AD457" t="s">
        <v>5</v>
      </c>
      <c r="AE457">
        <v>38</v>
      </c>
      <c r="AF457">
        <v>4</v>
      </c>
      <c r="AH457" t="s">
        <v>4256</v>
      </c>
      <c r="AI457" t="s">
        <v>4255</v>
      </c>
      <c r="AJ457" t="s">
        <v>4254</v>
      </c>
      <c r="AK457" t="s">
        <v>4253</v>
      </c>
      <c r="AL457">
        <v>2</v>
      </c>
      <c r="AM457" s="5">
        <f t="shared" si="58"/>
        <v>6.0606060606060608E-2</v>
      </c>
      <c r="AN457" s="4">
        <f t="shared" si="63"/>
        <v>9.1792594632428032E-5</v>
      </c>
      <c r="AO457" s="3"/>
      <c r="AP457">
        <v>0</v>
      </c>
      <c r="AQ457" t="s">
        <v>4062</v>
      </c>
      <c r="AR457" t="s">
        <v>0</v>
      </c>
      <c r="AS457" t="s">
        <v>4060</v>
      </c>
      <c r="AT457" s="2" t="s">
        <v>19</v>
      </c>
      <c r="AU457" s="1">
        <f t="shared" si="59"/>
        <v>1.5350139951316237</v>
      </c>
      <c r="AV457" s="1">
        <f t="shared" si="60"/>
        <v>1.0990612135120863</v>
      </c>
      <c r="AW457" s="1">
        <f t="shared" si="61"/>
        <v>0.66310843189254887</v>
      </c>
    </row>
    <row r="458" spans="1:49" x14ac:dyDescent="0.2">
      <c r="A458">
        <v>456</v>
      </c>
      <c r="B458" t="s">
        <v>4252</v>
      </c>
      <c r="C458" t="s">
        <v>4251</v>
      </c>
      <c r="F458" t="s">
        <v>4250</v>
      </c>
      <c r="G458" t="s">
        <v>15</v>
      </c>
      <c r="H458" t="s">
        <v>14</v>
      </c>
      <c r="I458" t="s">
        <v>4249</v>
      </c>
      <c r="J458">
        <v>60092258</v>
      </c>
      <c r="K458" t="s">
        <v>4248</v>
      </c>
      <c r="L458" t="s">
        <v>2630</v>
      </c>
      <c r="M458" t="s">
        <v>115</v>
      </c>
      <c r="N458">
        <v>1</v>
      </c>
      <c r="O458" t="s">
        <v>4247</v>
      </c>
      <c r="P458">
        <v>57198340788</v>
      </c>
      <c r="Q458">
        <v>60092258</v>
      </c>
      <c r="R458" s="7">
        <v>32509</v>
      </c>
      <c r="S458" s="8">
        <f t="shared" si="56"/>
        <v>1989</v>
      </c>
      <c r="T458" s="8">
        <v>1989</v>
      </c>
      <c r="U458" s="8">
        <f t="shared" si="57"/>
        <v>33</v>
      </c>
      <c r="V458" s="7">
        <v>32721</v>
      </c>
      <c r="W458" t="s">
        <v>2247</v>
      </c>
      <c r="X458" s="2">
        <v>0.111</v>
      </c>
      <c r="Y458" s="6">
        <f t="shared" si="62"/>
        <v>2.9630816048690639E-3</v>
      </c>
      <c r="AA458">
        <v>87566621</v>
      </c>
      <c r="AB458">
        <v>24890</v>
      </c>
      <c r="AC458">
        <v>15206424</v>
      </c>
      <c r="AD458" t="s">
        <v>5</v>
      </c>
      <c r="AE458">
        <v>72</v>
      </c>
      <c r="AF458">
        <v>8</v>
      </c>
      <c r="AH458" t="s">
        <v>4246</v>
      </c>
      <c r="AI458" t="s">
        <v>4245</v>
      </c>
      <c r="AK458" t="s">
        <v>4244</v>
      </c>
      <c r="AL458">
        <v>0</v>
      </c>
      <c r="AM458" s="5">
        <f t="shared" si="58"/>
        <v>0</v>
      </c>
      <c r="AN458" s="4">
        <f t="shared" si="63"/>
        <v>0</v>
      </c>
      <c r="AO458" s="3"/>
      <c r="AP458">
        <v>0</v>
      </c>
      <c r="AR458" t="s">
        <v>0</v>
      </c>
      <c r="AT458" s="2" t="s">
        <v>19</v>
      </c>
      <c r="AU458" s="1">
        <f t="shared" si="59"/>
        <v>0.20741571234083445</v>
      </c>
      <c r="AV458" s="1">
        <f t="shared" si="60"/>
        <v>0.1481540802434532</v>
      </c>
      <c r="AW458" s="1">
        <f t="shared" si="61"/>
        <v>8.8892448146071903E-2</v>
      </c>
    </row>
    <row r="459" spans="1:49" x14ac:dyDescent="0.2">
      <c r="A459">
        <v>457</v>
      </c>
      <c r="B459" t="s">
        <v>4243</v>
      </c>
      <c r="C459" t="s">
        <v>4242</v>
      </c>
      <c r="F459" t="s">
        <v>4241</v>
      </c>
      <c r="G459" t="s">
        <v>15</v>
      </c>
      <c r="H459" t="s">
        <v>14</v>
      </c>
      <c r="I459" t="s">
        <v>4240</v>
      </c>
      <c r="J459">
        <v>60003414</v>
      </c>
      <c r="K459" t="s">
        <v>4233</v>
      </c>
      <c r="L459" t="s">
        <v>1496</v>
      </c>
      <c r="M459" t="s">
        <v>115</v>
      </c>
      <c r="N459">
        <v>5</v>
      </c>
      <c r="O459" t="s">
        <v>4239</v>
      </c>
      <c r="P459" t="s">
        <v>4238</v>
      </c>
      <c r="Q459" t="s">
        <v>4237</v>
      </c>
      <c r="R459" s="7">
        <v>32509</v>
      </c>
      <c r="S459" s="8">
        <f t="shared" si="56"/>
        <v>1989</v>
      </c>
      <c r="T459" s="8">
        <v>1989</v>
      </c>
      <c r="U459" s="8">
        <f t="shared" si="57"/>
        <v>33</v>
      </c>
      <c r="V459" s="7">
        <v>32721</v>
      </c>
      <c r="W459" t="s">
        <v>1436</v>
      </c>
      <c r="X459" s="2">
        <v>0.251</v>
      </c>
      <c r="Y459" s="6">
        <f t="shared" si="62"/>
        <v>6.7003016470462617E-3</v>
      </c>
      <c r="AA459">
        <v>207217</v>
      </c>
      <c r="AB459">
        <v>26145</v>
      </c>
      <c r="AC459">
        <v>13623060</v>
      </c>
      <c r="AD459" t="s">
        <v>5</v>
      </c>
      <c r="AE459">
        <v>67</v>
      </c>
      <c r="AF459">
        <v>2</v>
      </c>
      <c r="AH459" t="s">
        <v>3223</v>
      </c>
      <c r="AI459" t="s">
        <v>4236</v>
      </c>
      <c r="AK459" t="s">
        <v>4235</v>
      </c>
      <c r="AL459">
        <v>3</v>
      </c>
      <c r="AM459" s="5">
        <f t="shared" si="58"/>
        <v>9.0909090909090912E-2</v>
      </c>
      <c r="AN459" s="4">
        <f t="shared" si="63"/>
        <v>1.3768889194864205E-4</v>
      </c>
      <c r="AO459" s="3"/>
      <c r="AP459">
        <v>0</v>
      </c>
      <c r="AQ459" t="s">
        <v>4234</v>
      </c>
      <c r="AR459" t="s">
        <v>0</v>
      </c>
      <c r="AS459" t="s">
        <v>4233</v>
      </c>
      <c r="AT459" s="2">
        <v>1.3360000000000001</v>
      </c>
      <c r="AU459" s="1">
        <f t="shared" si="59"/>
        <v>0.4731517820516975</v>
      </c>
      <c r="AV459" s="1">
        <f t="shared" si="60"/>
        <v>0.34189952694974518</v>
      </c>
      <c r="AW459" s="1">
        <f t="shared" si="61"/>
        <v>0.21064727184779275</v>
      </c>
    </row>
    <row r="460" spans="1:49" x14ac:dyDescent="0.2">
      <c r="A460">
        <v>458</v>
      </c>
      <c r="B460" t="s">
        <v>4232</v>
      </c>
      <c r="C460" t="s">
        <v>4231</v>
      </c>
      <c r="F460" t="s">
        <v>4230</v>
      </c>
      <c r="G460" t="s">
        <v>15</v>
      </c>
      <c r="H460" t="s">
        <v>14</v>
      </c>
      <c r="I460" t="s">
        <v>4229</v>
      </c>
      <c r="J460" t="s">
        <v>4228</v>
      </c>
      <c r="K460" t="s">
        <v>4227</v>
      </c>
      <c r="L460" t="s">
        <v>4226</v>
      </c>
      <c r="M460" t="s">
        <v>86</v>
      </c>
      <c r="N460">
        <v>2</v>
      </c>
      <c r="O460" t="s">
        <v>4225</v>
      </c>
      <c r="P460" t="s">
        <v>4224</v>
      </c>
      <c r="Q460" t="s">
        <v>4223</v>
      </c>
      <c r="R460" s="7">
        <v>32509</v>
      </c>
      <c r="S460" s="8">
        <f t="shared" si="56"/>
        <v>1989</v>
      </c>
      <c r="T460" s="8">
        <v>1989</v>
      </c>
      <c r="U460" s="8">
        <f t="shared" si="57"/>
        <v>33</v>
      </c>
      <c r="V460" s="7">
        <v>32721</v>
      </c>
      <c r="W460" t="s">
        <v>778</v>
      </c>
      <c r="X460" s="2">
        <v>1.6519999999999999</v>
      </c>
      <c r="Y460" s="6">
        <f t="shared" si="62"/>
        <v>4.409919649769093E-2</v>
      </c>
      <c r="AA460" t="s">
        <v>777</v>
      </c>
      <c r="AB460">
        <v>17337</v>
      </c>
      <c r="AC460">
        <v>15582221</v>
      </c>
      <c r="AD460" t="s">
        <v>5</v>
      </c>
      <c r="AE460">
        <v>37</v>
      </c>
      <c r="AF460">
        <v>8</v>
      </c>
      <c r="AH460" t="s">
        <v>4222</v>
      </c>
      <c r="AI460" t="s">
        <v>4221</v>
      </c>
      <c r="AK460" t="s">
        <v>4220</v>
      </c>
      <c r="AL460">
        <v>17</v>
      </c>
      <c r="AM460" s="5">
        <f t="shared" si="58"/>
        <v>0.51515151515151514</v>
      </c>
      <c r="AN460" s="4">
        <f t="shared" si="63"/>
        <v>7.8023705437563825E-4</v>
      </c>
      <c r="AO460" s="3"/>
      <c r="AP460">
        <v>0</v>
      </c>
      <c r="AR460" t="s">
        <v>0</v>
      </c>
      <c r="AT460" s="2" t="s">
        <v>19</v>
      </c>
      <c r="AU460" s="1">
        <f t="shared" si="59"/>
        <v>3.1103508664696342</v>
      </c>
      <c r="AV460" s="1">
        <f t="shared" si="60"/>
        <v>2.2439716776033283</v>
      </c>
      <c r="AW460" s="1">
        <f t="shared" si="61"/>
        <v>1.3775924887370223</v>
      </c>
    </row>
    <row r="461" spans="1:49" x14ac:dyDescent="0.2">
      <c r="A461">
        <v>459</v>
      </c>
      <c r="B461" t="s">
        <v>4219</v>
      </c>
      <c r="C461" t="s">
        <v>4218</v>
      </c>
      <c r="F461" t="s">
        <v>4217</v>
      </c>
      <c r="G461" t="s">
        <v>15</v>
      </c>
      <c r="H461" t="s">
        <v>14</v>
      </c>
      <c r="I461" t="s">
        <v>4216</v>
      </c>
      <c r="N461">
        <v>2</v>
      </c>
      <c r="O461" t="s">
        <v>4215</v>
      </c>
      <c r="P461" t="s">
        <v>4214</v>
      </c>
      <c r="Q461" t="s">
        <v>1071</v>
      </c>
      <c r="R461" s="7">
        <v>32509</v>
      </c>
      <c r="S461" s="8">
        <f t="shared" si="56"/>
        <v>1989</v>
      </c>
      <c r="T461" s="8">
        <v>1989</v>
      </c>
      <c r="U461" s="8">
        <f t="shared" si="57"/>
        <v>33</v>
      </c>
      <c r="V461" s="7">
        <v>32721</v>
      </c>
      <c r="W461" t="s">
        <v>1599</v>
      </c>
      <c r="X461" s="2">
        <v>1.365</v>
      </c>
      <c r="Y461" s="6">
        <f t="shared" si="62"/>
        <v>3.6437895411227675E-2</v>
      </c>
      <c r="AA461">
        <v>189545</v>
      </c>
      <c r="AB461">
        <v>17393</v>
      </c>
      <c r="AC461">
        <v>19399359</v>
      </c>
      <c r="AD461" t="s">
        <v>5</v>
      </c>
      <c r="AE461">
        <v>38</v>
      </c>
      <c r="AF461">
        <v>3</v>
      </c>
      <c r="AH461" t="s">
        <v>4213</v>
      </c>
      <c r="AI461" t="s">
        <v>4212</v>
      </c>
      <c r="AK461" t="s">
        <v>4211</v>
      </c>
      <c r="AL461">
        <v>5</v>
      </c>
      <c r="AM461" s="5">
        <f t="shared" si="58"/>
        <v>0.15151515151515152</v>
      </c>
      <c r="AN461" s="4">
        <f t="shared" si="63"/>
        <v>2.2948148658107008E-4</v>
      </c>
      <c r="AO461" s="3"/>
      <c r="AP461">
        <v>0</v>
      </c>
      <c r="AR461" t="s">
        <v>0</v>
      </c>
      <c r="AT461" s="2" t="s">
        <v>19</v>
      </c>
      <c r="AU461" s="1">
        <f t="shared" si="59"/>
        <v>2.5575371233833692</v>
      </c>
      <c r="AV461" s="1">
        <f t="shared" si="60"/>
        <v>1.8333688448904373</v>
      </c>
      <c r="AW461" s="1">
        <f t="shared" si="61"/>
        <v>1.1092005663975051</v>
      </c>
    </row>
    <row r="462" spans="1:49" x14ac:dyDescent="0.2">
      <c r="A462">
        <v>460</v>
      </c>
      <c r="B462" t="s">
        <v>4210</v>
      </c>
      <c r="C462" t="s">
        <v>4209</v>
      </c>
      <c r="F462" t="s">
        <v>4208</v>
      </c>
      <c r="G462" t="s">
        <v>15</v>
      </c>
      <c r="H462" t="s">
        <v>14</v>
      </c>
      <c r="I462" t="s">
        <v>4207</v>
      </c>
      <c r="J462" t="s">
        <v>4206</v>
      </c>
      <c r="K462" t="s">
        <v>4205</v>
      </c>
      <c r="L462" t="s">
        <v>4204</v>
      </c>
      <c r="M462" t="s">
        <v>4203</v>
      </c>
      <c r="N462">
        <v>3</v>
      </c>
      <c r="O462" t="s">
        <v>4202</v>
      </c>
      <c r="P462" t="s">
        <v>4201</v>
      </c>
      <c r="Q462" t="s">
        <v>4200</v>
      </c>
      <c r="R462" s="7">
        <v>32509</v>
      </c>
      <c r="S462" s="8">
        <f t="shared" si="56"/>
        <v>1989</v>
      </c>
      <c r="T462" s="8">
        <v>1989</v>
      </c>
      <c r="U462" s="8">
        <f t="shared" si="57"/>
        <v>33</v>
      </c>
      <c r="V462" s="7">
        <v>32721</v>
      </c>
      <c r="W462" t="s">
        <v>778</v>
      </c>
      <c r="X462" s="2">
        <v>1.6519999999999999</v>
      </c>
      <c r="Y462" s="6">
        <f t="shared" si="62"/>
        <v>4.409919649769093E-2</v>
      </c>
      <c r="AA462" t="s">
        <v>777</v>
      </c>
      <c r="AB462">
        <v>17337</v>
      </c>
      <c r="AC462">
        <v>15582221</v>
      </c>
      <c r="AD462" t="s">
        <v>5</v>
      </c>
      <c r="AE462">
        <v>37</v>
      </c>
      <c r="AF462">
        <v>8</v>
      </c>
      <c r="AH462" t="s">
        <v>4199</v>
      </c>
      <c r="AI462" t="s">
        <v>4198</v>
      </c>
      <c r="AK462" t="s">
        <v>4197</v>
      </c>
      <c r="AL462">
        <v>5</v>
      </c>
      <c r="AM462" s="5">
        <f t="shared" si="58"/>
        <v>0.15151515151515152</v>
      </c>
      <c r="AN462" s="4">
        <f t="shared" si="63"/>
        <v>2.2948148658107008E-4</v>
      </c>
      <c r="AO462" s="3"/>
      <c r="AP462">
        <v>0</v>
      </c>
      <c r="AR462" t="s">
        <v>0</v>
      </c>
      <c r="AT462" s="2" t="s">
        <v>19</v>
      </c>
      <c r="AU462" s="1">
        <f t="shared" si="59"/>
        <v>3.0938281994357975</v>
      </c>
      <c r="AV462" s="1">
        <f t="shared" si="60"/>
        <v>2.2164338992135999</v>
      </c>
      <c r="AW462" s="1">
        <f t="shared" si="61"/>
        <v>1.3390395989914028</v>
      </c>
    </row>
    <row r="463" spans="1:49" x14ac:dyDescent="0.2">
      <c r="A463">
        <v>461</v>
      </c>
      <c r="B463" t="s">
        <v>4196</v>
      </c>
      <c r="C463" t="s">
        <v>4195</v>
      </c>
      <c r="F463" t="s">
        <v>4194</v>
      </c>
      <c r="G463" t="s">
        <v>15</v>
      </c>
      <c r="H463" t="s">
        <v>14</v>
      </c>
      <c r="I463" t="s">
        <v>4130</v>
      </c>
      <c r="J463" t="s">
        <v>4193</v>
      </c>
      <c r="K463" t="s">
        <v>4192</v>
      </c>
      <c r="L463" t="s">
        <v>4191</v>
      </c>
      <c r="M463" t="s">
        <v>4190</v>
      </c>
      <c r="N463">
        <v>3</v>
      </c>
      <c r="O463" t="s">
        <v>4189</v>
      </c>
      <c r="P463" t="s">
        <v>4188</v>
      </c>
      <c r="Q463" t="s">
        <v>4187</v>
      </c>
      <c r="R463" s="7">
        <v>32509</v>
      </c>
      <c r="S463" s="8">
        <f t="shared" si="56"/>
        <v>1989</v>
      </c>
      <c r="T463" s="8">
        <v>1989</v>
      </c>
      <c r="U463" s="8">
        <f t="shared" si="57"/>
        <v>33</v>
      </c>
      <c r="V463" s="7">
        <v>32721</v>
      </c>
      <c r="W463" t="s">
        <v>778</v>
      </c>
      <c r="X463" s="2">
        <v>1.6519999999999999</v>
      </c>
      <c r="Y463" s="6">
        <f t="shared" si="62"/>
        <v>4.409919649769093E-2</v>
      </c>
      <c r="AA463" t="s">
        <v>777</v>
      </c>
      <c r="AB463">
        <v>17337</v>
      </c>
      <c r="AC463">
        <v>15582221</v>
      </c>
      <c r="AD463" t="s">
        <v>5</v>
      </c>
      <c r="AE463">
        <v>37</v>
      </c>
      <c r="AF463">
        <v>8</v>
      </c>
      <c r="AH463" t="s">
        <v>4186</v>
      </c>
      <c r="AI463" t="s">
        <v>4185</v>
      </c>
      <c r="AK463" t="s">
        <v>4184</v>
      </c>
      <c r="AL463">
        <v>26</v>
      </c>
      <c r="AM463" s="5">
        <f t="shared" si="58"/>
        <v>0.78787878787878785</v>
      </c>
      <c r="AN463" s="4">
        <f t="shared" si="63"/>
        <v>1.1933037302215644E-3</v>
      </c>
      <c r="AO463" s="3"/>
      <c r="AP463">
        <v>0</v>
      </c>
      <c r="AR463" t="s">
        <v>0</v>
      </c>
      <c r="AT463" s="2" t="s">
        <v>19</v>
      </c>
      <c r="AU463" s="1">
        <f t="shared" si="59"/>
        <v>3.1227428667450119</v>
      </c>
      <c r="AV463" s="1">
        <f t="shared" si="60"/>
        <v>2.2646250113956246</v>
      </c>
      <c r="AW463" s="1">
        <f t="shared" si="61"/>
        <v>1.4065071560462372</v>
      </c>
    </row>
    <row r="464" spans="1:49" x14ac:dyDescent="0.2">
      <c r="A464">
        <v>462</v>
      </c>
      <c r="B464" t="s">
        <v>4183</v>
      </c>
      <c r="C464" t="s">
        <v>4182</v>
      </c>
      <c r="F464" t="s">
        <v>4181</v>
      </c>
      <c r="G464" t="s">
        <v>15</v>
      </c>
      <c r="H464" t="s">
        <v>14</v>
      </c>
      <c r="I464" t="s">
        <v>4180</v>
      </c>
      <c r="J464">
        <v>60003500</v>
      </c>
      <c r="K464" t="s">
        <v>2708</v>
      </c>
      <c r="L464" t="s">
        <v>2707</v>
      </c>
      <c r="M464" t="s">
        <v>23</v>
      </c>
      <c r="N464">
        <v>3</v>
      </c>
      <c r="O464" t="s">
        <v>4179</v>
      </c>
      <c r="P464" t="s">
        <v>4178</v>
      </c>
      <c r="Q464" t="s">
        <v>2704</v>
      </c>
      <c r="R464" s="7">
        <v>32509</v>
      </c>
      <c r="S464" s="8">
        <f t="shared" si="56"/>
        <v>1989</v>
      </c>
      <c r="T464" s="8">
        <v>1989</v>
      </c>
      <c r="U464" s="8">
        <f t="shared" si="57"/>
        <v>33</v>
      </c>
      <c r="V464" s="7">
        <v>32721</v>
      </c>
      <c r="W464" t="s">
        <v>778</v>
      </c>
      <c r="X464" s="2">
        <v>1.6519999999999999</v>
      </c>
      <c r="Y464" s="6">
        <f t="shared" si="62"/>
        <v>4.409919649769093E-2</v>
      </c>
      <c r="AA464" t="s">
        <v>777</v>
      </c>
      <c r="AB464">
        <v>17337</v>
      </c>
      <c r="AC464">
        <v>15582221</v>
      </c>
      <c r="AD464" t="s">
        <v>5</v>
      </c>
      <c r="AE464">
        <v>37</v>
      </c>
      <c r="AF464">
        <v>8</v>
      </c>
      <c r="AH464" t="s">
        <v>4177</v>
      </c>
      <c r="AI464" t="s">
        <v>4176</v>
      </c>
      <c r="AK464" t="s">
        <v>4175</v>
      </c>
      <c r="AL464">
        <v>13</v>
      </c>
      <c r="AM464" s="5">
        <f t="shared" si="58"/>
        <v>0.39393939393939392</v>
      </c>
      <c r="AN464" s="4">
        <f t="shared" si="63"/>
        <v>5.9665186511078218E-4</v>
      </c>
      <c r="AO464" s="3"/>
      <c r="AP464">
        <v>0</v>
      </c>
      <c r="AR464" t="s">
        <v>0</v>
      </c>
      <c r="AT464" s="2" t="s">
        <v>19</v>
      </c>
      <c r="AU464" s="1">
        <f t="shared" si="59"/>
        <v>3.1048433107916882</v>
      </c>
      <c r="AV464" s="1">
        <f t="shared" si="60"/>
        <v>2.2347924181400858</v>
      </c>
      <c r="AW464" s="1">
        <f t="shared" si="61"/>
        <v>1.3647415254884827</v>
      </c>
    </row>
    <row r="465" spans="1:49" x14ac:dyDescent="0.2">
      <c r="A465">
        <v>463</v>
      </c>
      <c r="B465" t="s">
        <v>4174</v>
      </c>
      <c r="C465" t="s">
        <v>4173</v>
      </c>
      <c r="F465" t="s">
        <v>4172</v>
      </c>
      <c r="G465" t="s">
        <v>15</v>
      </c>
      <c r="H465" t="s">
        <v>14</v>
      </c>
      <c r="I465" t="s">
        <v>4171</v>
      </c>
      <c r="J465">
        <v>60005304</v>
      </c>
      <c r="K465" t="s">
        <v>2061</v>
      </c>
      <c r="L465" t="s">
        <v>2060</v>
      </c>
      <c r="M465" t="s">
        <v>23</v>
      </c>
      <c r="N465">
        <v>1</v>
      </c>
      <c r="O465" t="s">
        <v>4170</v>
      </c>
      <c r="P465">
        <v>6602621821</v>
      </c>
      <c r="Q465">
        <v>60005304</v>
      </c>
      <c r="R465" s="7">
        <v>32509</v>
      </c>
      <c r="S465" s="8">
        <f t="shared" si="56"/>
        <v>1989</v>
      </c>
      <c r="T465" s="8">
        <v>1989</v>
      </c>
      <c r="U465" s="8">
        <f t="shared" si="57"/>
        <v>33</v>
      </c>
      <c r="V465" s="7">
        <v>32721</v>
      </c>
      <c r="W465" t="s">
        <v>778</v>
      </c>
      <c r="X465" s="2">
        <v>1.6519999999999999</v>
      </c>
      <c r="Y465" s="6">
        <f t="shared" si="62"/>
        <v>4.409919649769093E-2</v>
      </c>
      <c r="AA465" t="s">
        <v>777</v>
      </c>
      <c r="AB465">
        <v>17337</v>
      </c>
      <c r="AC465">
        <v>15582221</v>
      </c>
      <c r="AD465" t="s">
        <v>5</v>
      </c>
      <c r="AE465">
        <v>37</v>
      </c>
      <c r="AF465">
        <v>8</v>
      </c>
      <c r="AH465" t="s">
        <v>4169</v>
      </c>
      <c r="AI465" t="s">
        <v>4168</v>
      </c>
      <c r="AK465" t="s">
        <v>4167</v>
      </c>
      <c r="AL465">
        <v>48</v>
      </c>
      <c r="AM465" s="5">
        <f t="shared" si="58"/>
        <v>1.4545454545454546</v>
      </c>
      <c r="AN465" s="4">
        <f t="shared" si="63"/>
        <v>2.2030222711782728E-3</v>
      </c>
      <c r="AO465" s="3"/>
      <c r="AP465">
        <v>0</v>
      </c>
      <c r="AR465" t="s">
        <v>0</v>
      </c>
      <c r="AT465" s="2" t="s">
        <v>19</v>
      </c>
      <c r="AU465" s="1">
        <f t="shared" si="59"/>
        <v>3.1530344229737133</v>
      </c>
      <c r="AV465" s="1">
        <f t="shared" si="60"/>
        <v>2.3151109384434601</v>
      </c>
      <c r="AW465" s="1">
        <f t="shared" si="61"/>
        <v>1.477187453913207</v>
      </c>
    </row>
    <row r="466" spans="1:49" x14ac:dyDescent="0.2">
      <c r="A466">
        <v>464</v>
      </c>
      <c r="B466" t="s">
        <v>4166</v>
      </c>
      <c r="C466" t="s">
        <v>4165</v>
      </c>
      <c r="F466" t="s">
        <v>4164</v>
      </c>
      <c r="G466" t="s">
        <v>15</v>
      </c>
      <c r="H466" t="s">
        <v>14</v>
      </c>
      <c r="I466" t="s">
        <v>4163</v>
      </c>
      <c r="J466">
        <v>60007902</v>
      </c>
      <c r="K466" t="s">
        <v>4162</v>
      </c>
      <c r="L466" t="s">
        <v>4161</v>
      </c>
      <c r="M466" t="s">
        <v>259</v>
      </c>
      <c r="N466">
        <v>2</v>
      </c>
      <c r="O466" t="s">
        <v>4160</v>
      </c>
      <c r="P466" t="s">
        <v>4159</v>
      </c>
      <c r="Q466" t="s">
        <v>4158</v>
      </c>
      <c r="R466" s="7">
        <v>32509</v>
      </c>
      <c r="S466" s="8">
        <f t="shared" si="56"/>
        <v>1989</v>
      </c>
      <c r="T466" s="8">
        <v>1989</v>
      </c>
      <c r="U466" s="8">
        <f t="shared" si="57"/>
        <v>33</v>
      </c>
      <c r="V466" s="7">
        <v>32721</v>
      </c>
      <c r="W466" t="s">
        <v>778</v>
      </c>
      <c r="X466" s="2">
        <v>1.6519999999999999</v>
      </c>
      <c r="Y466" s="6">
        <f t="shared" si="62"/>
        <v>4.409919649769093E-2</v>
      </c>
      <c r="AA466" t="s">
        <v>777</v>
      </c>
      <c r="AB466">
        <v>17337</v>
      </c>
      <c r="AC466">
        <v>15582221</v>
      </c>
      <c r="AD466" t="s">
        <v>5</v>
      </c>
      <c r="AE466">
        <v>37</v>
      </c>
      <c r="AF466">
        <v>8</v>
      </c>
      <c r="AH466" t="s">
        <v>4157</v>
      </c>
      <c r="AI466" t="s">
        <v>4156</v>
      </c>
      <c r="AK466" t="s">
        <v>4155</v>
      </c>
      <c r="AL466">
        <v>1</v>
      </c>
      <c r="AM466" s="5">
        <f t="shared" si="58"/>
        <v>3.0303030303030304E-2</v>
      </c>
      <c r="AN466" s="4">
        <f t="shared" si="63"/>
        <v>4.5896297316214016E-5</v>
      </c>
      <c r="AO466" s="3"/>
      <c r="AP466">
        <v>0</v>
      </c>
      <c r="AR466" t="s">
        <v>0</v>
      </c>
      <c r="AT466" s="2" t="s">
        <v>19</v>
      </c>
      <c r="AU466" s="1">
        <f t="shared" si="59"/>
        <v>3.0883206437578514</v>
      </c>
      <c r="AV466" s="1">
        <f t="shared" si="60"/>
        <v>2.2072546397503574</v>
      </c>
      <c r="AW466" s="1">
        <f t="shared" si="61"/>
        <v>1.3261886357428627</v>
      </c>
    </row>
    <row r="467" spans="1:49" x14ac:dyDescent="0.2">
      <c r="A467">
        <v>465</v>
      </c>
      <c r="B467" t="s">
        <v>4154</v>
      </c>
      <c r="C467" t="s">
        <v>4153</v>
      </c>
      <c r="F467" t="s">
        <v>4152</v>
      </c>
      <c r="G467" t="s">
        <v>15</v>
      </c>
      <c r="H467" t="s">
        <v>14</v>
      </c>
      <c r="I467" t="s">
        <v>4151</v>
      </c>
      <c r="J467">
        <v>60018429</v>
      </c>
      <c r="K467" t="s">
        <v>4150</v>
      </c>
      <c r="L467" t="s">
        <v>4149</v>
      </c>
      <c r="M467" t="s">
        <v>115</v>
      </c>
      <c r="N467">
        <v>3</v>
      </c>
      <c r="O467" t="s">
        <v>4148</v>
      </c>
      <c r="P467" t="s">
        <v>4147</v>
      </c>
      <c r="Q467" t="s">
        <v>4146</v>
      </c>
      <c r="R467" s="7">
        <v>32509</v>
      </c>
      <c r="S467" s="8">
        <f t="shared" si="56"/>
        <v>1989</v>
      </c>
      <c r="T467" s="8">
        <v>1989</v>
      </c>
      <c r="U467" s="8">
        <f t="shared" si="57"/>
        <v>33</v>
      </c>
      <c r="V467" s="7">
        <v>32721</v>
      </c>
      <c r="W467" t="s">
        <v>2247</v>
      </c>
      <c r="X467" s="2">
        <v>0.111</v>
      </c>
      <c r="Y467" s="6">
        <f t="shared" si="62"/>
        <v>2.9630816048690639E-3</v>
      </c>
      <c r="AA467">
        <v>87566621</v>
      </c>
      <c r="AB467">
        <v>24890</v>
      </c>
      <c r="AC467">
        <v>15206424</v>
      </c>
      <c r="AD467" t="s">
        <v>5</v>
      </c>
      <c r="AE467">
        <v>72</v>
      </c>
      <c r="AF467">
        <v>8</v>
      </c>
      <c r="AH467" t="s">
        <v>4145</v>
      </c>
      <c r="AI467" t="s">
        <v>4144</v>
      </c>
      <c r="AK467" t="s">
        <v>4143</v>
      </c>
      <c r="AL467">
        <v>1</v>
      </c>
      <c r="AM467" s="5">
        <f t="shared" si="58"/>
        <v>3.0303030303030304E-2</v>
      </c>
      <c r="AN467" s="4">
        <f t="shared" si="63"/>
        <v>4.5896297316214016E-5</v>
      </c>
      <c r="AO467" s="3"/>
      <c r="AP467">
        <v>0</v>
      </c>
      <c r="AR467" t="s">
        <v>0</v>
      </c>
      <c r="AT467" s="2" t="s">
        <v>19</v>
      </c>
      <c r="AU467" s="1">
        <f t="shared" si="59"/>
        <v>0.20879260126032087</v>
      </c>
      <c r="AV467" s="1">
        <f t="shared" si="60"/>
        <v>0.1504488951092639</v>
      </c>
      <c r="AW467" s="1">
        <f t="shared" si="61"/>
        <v>9.2105188958206893E-2</v>
      </c>
    </row>
    <row r="468" spans="1:49" x14ac:dyDescent="0.2">
      <c r="A468">
        <v>466</v>
      </c>
      <c r="B468" t="s">
        <v>4142</v>
      </c>
      <c r="C468" t="s">
        <v>4141</v>
      </c>
      <c r="F468" t="s">
        <v>4140</v>
      </c>
      <c r="G468" t="s">
        <v>15</v>
      </c>
      <c r="H468" t="s">
        <v>14</v>
      </c>
      <c r="I468" t="s">
        <v>3476</v>
      </c>
      <c r="J468" t="s">
        <v>3475</v>
      </c>
      <c r="K468" t="s">
        <v>3474</v>
      </c>
      <c r="L468" t="s">
        <v>3473</v>
      </c>
      <c r="M468" t="s">
        <v>644</v>
      </c>
      <c r="N468">
        <v>4</v>
      </c>
      <c r="O468" t="s">
        <v>4139</v>
      </c>
      <c r="P468" t="s">
        <v>4138</v>
      </c>
      <c r="Q468" t="s">
        <v>4137</v>
      </c>
      <c r="R468" s="7">
        <v>32509</v>
      </c>
      <c r="S468" s="8">
        <f t="shared" si="56"/>
        <v>1989</v>
      </c>
      <c r="T468" s="8">
        <v>1989</v>
      </c>
      <c r="U468" s="8">
        <f t="shared" si="57"/>
        <v>33</v>
      </c>
      <c r="V468" s="7">
        <v>32721</v>
      </c>
      <c r="W468" t="s">
        <v>778</v>
      </c>
      <c r="X468" s="2">
        <v>1.6519999999999999</v>
      </c>
      <c r="Y468" s="6">
        <f t="shared" si="62"/>
        <v>4.409919649769093E-2</v>
      </c>
      <c r="AA468" t="s">
        <v>777</v>
      </c>
      <c r="AB468">
        <v>17337</v>
      </c>
      <c r="AC468">
        <v>15582221</v>
      </c>
      <c r="AD468" t="s">
        <v>5</v>
      </c>
      <c r="AE468">
        <v>37</v>
      </c>
      <c r="AF468">
        <v>8</v>
      </c>
      <c r="AH468" t="s">
        <v>4136</v>
      </c>
      <c r="AI468" t="s">
        <v>4135</v>
      </c>
      <c r="AK468" t="s">
        <v>4134</v>
      </c>
      <c r="AL468">
        <v>31</v>
      </c>
      <c r="AM468" s="5">
        <f t="shared" si="58"/>
        <v>0.93939393939393945</v>
      </c>
      <c r="AN468" s="4">
        <f t="shared" si="63"/>
        <v>1.4227852168026346E-3</v>
      </c>
      <c r="AO468" s="3"/>
      <c r="AP468">
        <v>0</v>
      </c>
      <c r="AR468" t="s">
        <v>0</v>
      </c>
      <c r="AT468" s="2" t="s">
        <v>19</v>
      </c>
      <c r="AU468" s="1">
        <f t="shared" si="59"/>
        <v>3.1296273113424444</v>
      </c>
      <c r="AV468" s="1">
        <f t="shared" si="60"/>
        <v>2.2760990857246783</v>
      </c>
      <c r="AW468" s="1">
        <f t="shared" si="61"/>
        <v>1.4225708601069122</v>
      </c>
    </row>
    <row r="469" spans="1:49" x14ac:dyDescent="0.2">
      <c r="A469">
        <v>467</v>
      </c>
      <c r="B469" t="s">
        <v>4133</v>
      </c>
      <c r="C469" t="s">
        <v>4132</v>
      </c>
      <c r="F469" t="s">
        <v>4131</v>
      </c>
      <c r="G469" t="s">
        <v>15</v>
      </c>
      <c r="H469" t="s">
        <v>14</v>
      </c>
      <c r="I469" t="s">
        <v>4130</v>
      </c>
      <c r="J469">
        <v>60000990</v>
      </c>
      <c r="K469" t="s">
        <v>2174</v>
      </c>
      <c r="L469" t="s">
        <v>2173</v>
      </c>
      <c r="M469" t="s">
        <v>10</v>
      </c>
      <c r="N469">
        <v>1</v>
      </c>
      <c r="O469" t="s">
        <v>4129</v>
      </c>
      <c r="P469">
        <v>57188535248</v>
      </c>
      <c r="Q469">
        <v>60000990</v>
      </c>
      <c r="R469" s="7">
        <v>32509</v>
      </c>
      <c r="S469" s="8">
        <f t="shared" si="56"/>
        <v>1989</v>
      </c>
      <c r="T469" s="8">
        <v>1989</v>
      </c>
      <c r="U469" s="8">
        <f t="shared" si="57"/>
        <v>33</v>
      </c>
      <c r="V469" s="7">
        <v>32721</v>
      </c>
      <c r="W469" t="s">
        <v>778</v>
      </c>
      <c r="X469" s="2">
        <v>1.6519999999999999</v>
      </c>
      <c r="Y469" s="6">
        <f t="shared" si="62"/>
        <v>4.409919649769093E-2</v>
      </c>
      <c r="AA469" t="s">
        <v>777</v>
      </c>
      <c r="AB469">
        <v>17337</v>
      </c>
      <c r="AC469">
        <v>15582221</v>
      </c>
      <c r="AD469" t="s">
        <v>5</v>
      </c>
      <c r="AE469">
        <v>37</v>
      </c>
      <c r="AF469">
        <v>8</v>
      </c>
      <c r="AH469" t="s">
        <v>4128</v>
      </c>
      <c r="AI469" t="s">
        <v>4127</v>
      </c>
      <c r="AK469" t="s">
        <v>4126</v>
      </c>
      <c r="AL469">
        <v>25</v>
      </c>
      <c r="AM469" s="5">
        <f t="shared" si="58"/>
        <v>0.75757575757575757</v>
      </c>
      <c r="AN469" s="4">
        <f t="shared" si="63"/>
        <v>1.1474074329053503E-3</v>
      </c>
      <c r="AO469" s="3"/>
      <c r="AP469">
        <v>0</v>
      </c>
      <c r="AR469" t="s">
        <v>0</v>
      </c>
      <c r="AT469" s="2" t="s">
        <v>19</v>
      </c>
      <c r="AU469" s="1">
        <f t="shared" si="59"/>
        <v>3.1213659778255258</v>
      </c>
      <c r="AV469" s="1">
        <f t="shared" si="60"/>
        <v>2.2623301965298142</v>
      </c>
      <c r="AW469" s="1">
        <f t="shared" si="61"/>
        <v>1.4032944152341025</v>
      </c>
    </row>
    <row r="470" spans="1:49" x14ac:dyDescent="0.2">
      <c r="A470">
        <v>468</v>
      </c>
      <c r="B470" t="s">
        <v>4125</v>
      </c>
      <c r="C470" t="s">
        <v>4124</v>
      </c>
      <c r="F470" t="s">
        <v>4123</v>
      </c>
      <c r="G470" t="s">
        <v>15</v>
      </c>
      <c r="H470" t="s">
        <v>14</v>
      </c>
      <c r="I470" t="s">
        <v>4122</v>
      </c>
      <c r="J470" t="s">
        <v>4117</v>
      </c>
      <c r="K470" t="s">
        <v>4121</v>
      </c>
      <c r="L470" t="s">
        <v>4120</v>
      </c>
      <c r="M470" t="s">
        <v>86</v>
      </c>
      <c r="N470">
        <v>2</v>
      </c>
      <c r="O470" t="s">
        <v>4119</v>
      </c>
      <c r="P470" t="s">
        <v>4118</v>
      </c>
      <c r="Q470" t="s">
        <v>4117</v>
      </c>
      <c r="R470" s="7">
        <v>32509</v>
      </c>
      <c r="S470" s="8">
        <f t="shared" si="56"/>
        <v>1989</v>
      </c>
      <c r="T470" s="8">
        <v>1989</v>
      </c>
      <c r="U470" s="8">
        <f t="shared" si="57"/>
        <v>33</v>
      </c>
      <c r="V470" s="7">
        <v>32721</v>
      </c>
      <c r="W470" t="s">
        <v>778</v>
      </c>
      <c r="X470" s="2">
        <v>1.6519999999999999</v>
      </c>
      <c r="Y470" s="6">
        <f t="shared" si="62"/>
        <v>4.409919649769093E-2</v>
      </c>
      <c r="AA470" t="s">
        <v>777</v>
      </c>
      <c r="AB470">
        <v>17337</v>
      </c>
      <c r="AC470">
        <v>15582221</v>
      </c>
      <c r="AD470" t="s">
        <v>5</v>
      </c>
      <c r="AE470">
        <v>37</v>
      </c>
      <c r="AF470">
        <v>8</v>
      </c>
      <c r="AH470" t="s">
        <v>4116</v>
      </c>
      <c r="AI470" t="s">
        <v>4115</v>
      </c>
      <c r="AK470" t="s">
        <v>4114</v>
      </c>
      <c r="AL470">
        <v>64</v>
      </c>
      <c r="AM470" s="5">
        <f t="shared" si="58"/>
        <v>1.9393939393939394</v>
      </c>
      <c r="AN470" s="4">
        <f t="shared" si="63"/>
        <v>2.937363028237697E-3</v>
      </c>
      <c r="AO470" s="3"/>
      <c r="AP470">
        <v>0</v>
      </c>
      <c r="AR470" t="s">
        <v>0</v>
      </c>
      <c r="AT470" s="2" t="s">
        <v>19</v>
      </c>
      <c r="AU470" s="1">
        <f t="shared" si="59"/>
        <v>3.1750646456854956</v>
      </c>
      <c r="AV470" s="1">
        <f t="shared" si="60"/>
        <v>2.3518279762964314</v>
      </c>
      <c r="AW470" s="1">
        <f t="shared" si="61"/>
        <v>1.5285913069073664</v>
      </c>
    </row>
    <row r="471" spans="1:49" x14ac:dyDescent="0.2">
      <c r="A471">
        <v>469</v>
      </c>
      <c r="B471" t="s">
        <v>4113</v>
      </c>
      <c r="C471" t="s">
        <v>4112</v>
      </c>
      <c r="F471" t="s">
        <v>4111</v>
      </c>
      <c r="G471" t="s">
        <v>15</v>
      </c>
      <c r="H471" t="s">
        <v>14</v>
      </c>
      <c r="I471" t="s">
        <v>4110</v>
      </c>
      <c r="J471" t="s">
        <v>4109</v>
      </c>
      <c r="K471" t="s">
        <v>4108</v>
      </c>
      <c r="L471" t="s">
        <v>4107</v>
      </c>
      <c r="M471" t="s">
        <v>4106</v>
      </c>
      <c r="N471">
        <v>2</v>
      </c>
      <c r="O471" t="s">
        <v>4105</v>
      </c>
      <c r="P471" t="s">
        <v>4104</v>
      </c>
      <c r="Q471" t="s">
        <v>4103</v>
      </c>
      <c r="R471" s="7">
        <v>32509</v>
      </c>
      <c r="S471" s="8">
        <f t="shared" si="56"/>
        <v>1989</v>
      </c>
      <c r="T471" s="8">
        <v>1989</v>
      </c>
      <c r="U471" s="8">
        <f t="shared" si="57"/>
        <v>33</v>
      </c>
      <c r="V471" s="7">
        <v>32721</v>
      </c>
      <c r="W471" t="s">
        <v>778</v>
      </c>
      <c r="X471" s="2">
        <v>1.6519999999999999</v>
      </c>
      <c r="Y471" s="6">
        <f t="shared" si="62"/>
        <v>4.409919649769093E-2</v>
      </c>
      <c r="AA471" t="s">
        <v>777</v>
      </c>
      <c r="AB471">
        <v>17337</v>
      </c>
      <c r="AC471">
        <v>15582221</v>
      </c>
      <c r="AD471" t="s">
        <v>5</v>
      </c>
      <c r="AE471">
        <v>37</v>
      </c>
      <c r="AF471">
        <v>8</v>
      </c>
      <c r="AH471" t="s">
        <v>4102</v>
      </c>
      <c r="AI471" t="s">
        <v>4101</v>
      </c>
      <c r="AK471" t="s">
        <v>4100</v>
      </c>
      <c r="AL471">
        <v>2</v>
      </c>
      <c r="AM471" s="5">
        <f t="shared" si="58"/>
        <v>6.0606060606060608E-2</v>
      </c>
      <c r="AN471" s="4">
        <f t="shared" si="63"/>
        <v>9.1792594632428032E-5</v>
      </c>
      <c r="AO471" s="3"/>
      <c r="AP471">
        <v>0</v>
      </c>
      <c r="AR471" t="s">
        <v>0</v>
      </c>
      <c r="AT471" s="2" t="s">
        <v>19</v>
      </c>
      <c r="AU471" s="1">
        <f t="shared" si="59"/>
        <v>3.0896975326773379</v>
      </c>
      <c r="AV471" s="1">
        <f t="shared" si="60"/>
        <v>2.2095494546161678</v>
      </c>
      <c r="AW471" s="1">
        <f t="shared" si="61"/>
        <v>1.3294013765549977</v>
      </c>
    </row>
    <row r="472" spans="1:49" x14ac:dyDescent="0.2">
      <c r="A472">
        <v>470</v>
      </c>
      <c r="B472" t="s">
        <v>4099</v>
      </c>
      <c r="C472" t="s">
        <v>4098</v>
      </c>
      <c r="F472" t="s">
        <v>4097</v>
      </c>
      <c r="G472" t="s">
        <v>15</v>
      </c>
      <c r="H472" t="s">
        <v>14</v>
      </c>
      <c r="I472" t="s">
        <v>4096</v>
      </c>
      <c r="J472" t="s">
        <v>4095</v>
      </c>
      <c r="K472" t="s">
        <v>4094</v>
      </c>
      <c r="L472" t="s">
        <v>4093</v>
      </c>
      <c r="M472" t="s">
        <v>86</v>
      </c>
      <c r="N472">
        <v>2</v>
      </c>
      <c r="O472" t="s">
        <v>4092</v>
      </c>
      <c r="P472" t="s">
        <v>4091</v>
      </c>
      <c r="Q472" t="s">
        <v>4090</v>
      </c>
      <c r="R472" s="7">
        <v>32509</v>
      </c>
      <c r="S472" s="8">
        <f t="shared" si="56"/>
        <v>1989</v>
      </c>
      <c r="T472" s="8">
        <v>1989</v>
      </c>
      <c r="U472" s="8">
        <f t="shared" si="57"/>
        <v>33</v>
      </c>
      <c r="V472" s="7">
        <v>32721</v>
      </c>
      <c r="W472" t="s">
        <v>3033</v>
      </c>
      <c r="X472" s="2">
        <v>0.82799999999999996</v>
      </c>
      <c r="Y472" s="6">
        <f t="shared" si="62"/>
        <v>2.2102987106590855E-2</v>
      </c>
      <c r="AA472">
        <v>11452</v>
      </c>
      <c r="AB472">
        <v>29964</v>
      </c>
      <c r="AD472" t="s">
        <v>5</v>
      </c>
      <c r="AE472">
        <v>27</v>
      </c>
      <c r="AF472">
        <v>8</v>
      </c>
      <c r="AH472" t="s">
        <v>4089</v>
      </c>
      <c r="AI472" t="s">
        <v>4088</v>
      </c>
      <c r="AK472" t="s">
        <v>4087</v>
      </c>
      <c r="AL472">
        <v>34</v>
      </c>
      <c r="AM472" s="5">
        <f t="shared" si="58"/>
        <v>1.0303030303030303</v>
      </c>
      <c r="AN472" s="4">
        <f t="shared" si="63"/>
        <v>1.5604741087512765E-3</v>
      </c>
      <c r="AO472" s="3"/>
      <c r="AP472">
        <v>0</v>
      </c>
      <c r="AR472" t="s">
        <v>0</v>
      </c>
      <c r="AT472" s="2">
        <v>2.1269999999999998</v>
      </c>
      <c r="AU472" s="1">
        <f t="shared" si="59"/>
        <v>1.5940233207238981</v>
      </c>
      <c r="AV472" s="1">
        <f t="shared" si="60"/>
        <v>1.1831730607671067</v>
      </c>
      <c r="AW472" s="1">
        <f t="shared" si="61"/>
        <v>0.77232280081031501</v>
      </c>
    </row>
    <row r="473" spans="1:49" x14ac:dyDescent="0.2">
      <c r="A473">
        <v>471</v>
      </c>
      <c r="B473" t="s">
        <v>4086</v>
      </c>
      <c r="C473" t="s">
        <v>4085</v>
      </c>
      <c r="F473" t="s">
        <v>4084</v>
      </c>
      <c r="G473" t="s">
        <v>15</v>
      </c>
      <c r="H473" t="s">
        <v>14</v>
      </c>
      <c r="I473" t="s">
        <v>4083</v>
      </c>
      <c r="J473">
        <v>60011754</v>
      </c>
      <c r="K473" t="s">
        <v>4082</v>
      </c>
      <c r="L473" t="s">
        <v>4081</v>
      </c>
      <c r="M473" t="s">
        <v>23</v>
      </c>
      <c r="N473">
        <v>3</v>
      </c>
      <c r="O473" t="s">
        <v>4080</v>
      </c>
      <c r="P473" t="s">
        <v>4079</v>
      </c>
      <c r="Q473" t="s">
        <v>4078</v>
      </c>
      <c r="R473" s="7">
        <v>32509</v>
      </c>
      <c r="S473" s="8">
        <f t="shared" si="56"/>
        <v>1989</v>
      </c>
      <c r="T473" s="8">
        <v>1989</v>
      </c>
      <c r="U473" s="8">
        <f t="shared" si="57"/>
        <v>33</v>
      </c>
      <c r="V473" s="7">
        <v>32721</v>
      </c>
      <c r="W473" t="s">
        <v>1551</v>
      </c>
      <c r="X473" s="2">
        <v>0.65500000000000003</v>
      </c>
      <c r="Y473" s="6">
        <f t="shared" si="62"/>
        <v>1.7484850911614749E-2</v>
      </c>
      <c r="AA473">
        <v>189375</v>
      </c>
      <c r="AB473">
        <v>26051</v>
      </c>
      <c r="AC473" t="s">
        <v>1550</v>
      </c>
      <c r="AD473" t="s">
        <v>5</v>
      </c>
      <c r="AE473">
        <v>31</v>
      </c>
      <c r="AF473">
        <v>3</v>
      </c>
      <c r="AH473" t="s">
        <v>3150</v>
      </c>
      <c r="AI473" t="s">
        <v>4077</v>
      </c>
      <c r="AJ473" t="s">
        <v>4076</v>
      </c>
      <c r="AK473" t="s">
        <v>4075</v>
      </c>
      <c r="AL473">
        <v>0</v>
      </c>
      <c r="AM473" s="5">
        <f t="shared" si="58"/>
        <v>0</v>
      </c>
      <c r="AN473" s="4">
        <f t="shared" si="63"/>
        <v>0</v>
      </c>
      <c r="AO473" s="3"/>
      <c r="AP473">
        <v>0</v>
      </c>
      <c r="AR473" t="s">
        <v>0</v>
      </c>
      <c r="AT473" s="2" t="s">
        <v>19</v>
      </c>
      <c r="AU473" s="1">
        <f t="shared" si="59"/>
        <v>1.2239395638130324</v>
      </c>
      <c r="AV473" s="1">
        <f t="shared" si="60"/>
        <v>0.87424254558073744</v>
      </c>
      <c r="AW473" s="1">
        <f t="shared" si="61"/>
        <v>0.52454552734844251</v>
      </c>
    </row>
    <row r="474" spans="1:49" x14ac:dyDescent="0.2">
      <c r="A474">
        <v>472</v>
      </c>
      <c r="B474" t="s">
        <v>4074</v>
      </c>
      <c r="C474" t="s">
        <v>4073</v>
      </c>
      <c r="F474" t="s">
        <v>4072</v>
      </c>
      <c r="G474" t="s">
        <v>15</v>
      </c>
      <c r="H474" t="s">
        <v>14</v>
      </c>
      <c r="I474" t="s">
        <v>4071</v>
      </c>
      <c r="J474">
        <v>60009507</v>
      </c>
      <c r="K474" t="s">
        <v>4070</v>
      </c>
      <c r="L474" t="s">
        <v>4069</v>
      </c>
      <c r="M474" t="s">
        <v>283</v>
      </c>
      <c r="N474">
        <v>2</v>
      </c>
      <c r="O474" t="s">
        <v>4068</v>
      </c>
      <c r="P474" t="s">
        <v>4067</v>
      </c>
      <c r="Q474" t="s">
        <v>4066</v>
      </c>
      <c r="R474" s="7">
        <v>32509</v>
      </c>
      <c r="S474" s="8">
        <f t="shared" si="56"/>
        <v>1989</v>
      </c>
      <c r="T474" s="8">
        <v>1989</v>
      </c>
      <c r="U474" s="8">
        <f t="shared" si="57"/>
        <v>33</v>
      </c>
      <c r="V474" s="7">
        <v>32721</v>
      </c>
      <c r="W474" t="s">
        <v>1551</v>
      </c>
      <c r="X474" s="2">
        <v>0.65500000000000003</v>
      </c>
      <c r="Y474" s="6">
        <f t="shared" si="62"/>
        <v>1.7484850911614749E-2</v>
      </c>
      <c r="AA474">
        <v>189375</v>
      </c>
      <c r="AB474">
        <v>26051</v>
      </c>
      <c r="AC474" t="s">
        <v>1550</v>
      </c>
      <c r="AD474" t="s">
        <v>5</v>
      </c>
      <c r="AE474">
        <v>31</v>
      </c>
      <c r="AF474">
        <v>3</v>
      </c>
      <c r="AH474" t="s">
        <v>4065</v>
      </c>
      <c r="AI474" t="s">
        <v>4064</v>
      </c>
      <c r="AK474" t="s">
        <v>4063</v>
      </c>
      <c r="AL474">
        <v>2</v>
      </c>
      <c r="AM474" s="5">
        <f t="shared" si="58"/>
        <v>6.0606060606060608E-2</v>
      </c>
      <c r="AN474" s="4">
        <f t="shared" si="63"/>
        <v>9.1792594632428032E-5</v>
      </c>
      <c r="AO474" s="3"/>
      <c r="AP474">
        <v>0</v>
      </c>
      <c r="AQ474" t="s">
        <v>4062</v>
      </c>
      <c r="AR474" t="s">
        <v>4061</v>
      </c>
      <c r="AS474" t="s">
        <v>4060</v>
      </c>
      <c r="AT474" s="2" t="s">
        <v>19</v>
      </c>
      <c r="AU474" s="1">
        <f t="shared" si="59"/>
        <v>1.2266933416520052</v>
      </c>
      <c r="AV474" s="1">
        <f t="shared" si="60"/>
        <v>0.8788321753123588</v>
      </c>
      <c r="AW474" s="1">
        <f t="shared" si="61"/>
        <v>0.53097100897271243</v>
      </c>
    </row>
    <row r="475" spans="1:49" x14ac:dyDescent="0.2">
      <c r="A475">
        <v>473</v>
      </c>
      <c r="B475" t="s">
        <v>4059</v>
      </c>
      <c r="C475" t="s">
        <v>4058</v>
      </c>
      <c r="F475" t="s">
        <v>4057</v>
      </c>
      <c r="G475" t="s">
        <v>15</v>
      </c>
      <c r="H475" t="s">
        <v>14</v>
      </c>
      <c r="I475" t="s">
        <v>4056</v>
      </c>
      <c r="J475">
        <v>60022109</v>
      </c>
      <c r="K475" t="s">
        <v>4055</v>
      </c>
      <c r="L475" t="s">
        <v>1480</v>
      </c>
      <c r="M475" t="s">
        <v>792</v>
      </c>
      <c r="N475">
        <v>3</v>
      </c>
      <c r="O475" t="s">
        <v>4054</v>
      </c>
      <c r="P475" t="s">
        <v>4053</v>
      </c>
      <c r="Q475" t="s">
        <v>4052</v>
      </c>
      <c r="R475" s="7">
        <v>32509</v>
      </c>
      <c r="S475" s="8">
        <f t="shared" si="56"/>
        <v>1989</v>
      </c>
      <c r="T475" s="8">
        <v>1989</v>
      </c>
      <c r="U475" s="8">
        <f t="shared" si="57"/>
        <v>33</v>
      </c>
      <c r="V475" s="7" t="s">
        <v>3893</v>
      </c>
      <c r="W475" s="11" t="s">
        <v>1449</v>
      </c>
      <c r="X475" s="2">
        <v>2.383</v>
      </c>
      <c r="Y475" s="6">
        <f t="shared" si="62"/>
        <v>6.3612824003630442E-2</v>
      </c>
      <c r="AA475" t="s">
        <v>1448</v>
      </c>
      <c r="AB475">
        <v>101151</v>
      </c>
      <c r="AD475" t="s">
        <v>5</v>
      </c>
      <c r="AE475">
        <v>136</v>
      </c>
      <c r="AF475">
        <v>4</v>
      </c>
      <c r="AH475" t="s">
        <v>4051</v>
      </c>
      <c r="AI475" t="s">
        <v>4050</v>
      </c>
      <c r="AK475" t="s">
        <v>4049</v>
      </c>
      <c r="AL475">
        <v>1</v>
      </c>
      <c r="AM475" s="5">
        <f t="shared" si="58"/>
        <v>3.0303030303030304E-2</v>
      </c>
      <c r="AN475" s="4">
        <f t="shared" si="63"/>
        <v>4.5896297316214016E-5</v>
      </c>
      <c r="AO475" s="3"/>
      <c r="AP475">
        <v>0</v>
      </c>
      <c r="AR475" t="s">
        <v>0</v>
      </c>
      <c r="AT475" s="2" t="s">
        <v>19</v>
      </c>
      <c r="AU475" s="1">
        <f t="shared" si="59"/>
        <v>4.4542745691736174</v>
      </c>
      <c r="AV475" s="1">
        <f t="shared" si="60"/>
        <v>3.1829360150473329</v>
      </c>
      <c r="AW475" s="1">
        <f t="shared" si="61"/>
        <v>1.9115974609210482</v>
      </c>
    </row>
    <row r="476" spans="1:49" x14ac:dyDescent="0.2">
      <c r="A476">
        <v>474</v>
      </c>
      <c r="B476" t="s">
        <v>4048</v>
      </c>
      <c r="C476" t="s">
        <v>4047</v>
      </c>
      <c r="F476" t="s">
        <v>4046</v>
      </c>
      <c r="G476" t="s">
        <v>15</v>
      </c>
      <c r="H476" t="s">
        <v>14</v>
      </c>
      <c r="I476" t="s">
        <v>4045</v>
      </c>
      <c r="J476">
        <v>60027576</v>
      </c>
      <c r="K476" t="s">
        <v>4044</v>
      </c>
      <c r="L476" t="s">
        <v>4043</v>
      </c>
      <c r="M476" t="s">
        <v>23</v>
      </c>
      <c r="N476">
        <v>1</v>
      </c>
      <c r="O476" t="s">
        <v>4042</v>
      </c>
      <c r="P476">
        <v>6701547029</v>
      </c>
      <c r="Q476">
        <v>60027576</v>
      </c>
      <c r="R476" s="7">
        <v>32509</v>
      </c>
      <c r="S476" s="8">
        <f t="shared" si="56"/>
        <v>1989</v>
      </c>
      <c r="T476" s="8">
        <v>1989</v>
      </c>
      <c r="U476" s="8">
        <f t="shared" si="57"/>
        <v>33</v>
      </c>
      <c r="V476" s="7">
        <v>32721</v>
      </c>
      <c r="W476" t="s">
        <v>1551</v>
      </c>
      <c r="X476" s="2">
        <v>0.65500000000000003</v>
      </c>
      <c r="Y476" s="6">
        <f t="shared" si="62"/>
        <v>1.7484850911614749E-2</v>
      </c>
      <c r="AA476">
        <v>189375</v>
      </c>
      <c r="AB476">
        <v>26051</v>
      </c>
      <c r="AC476" t="s">
        <v>1550</v>
      </c>
      <c r="AD476" t="s">
        <v>5</v>
      </c>
      <c r="AE476">
        <v>31</v>
      </c>
      <c r="AF476">
        <v>3</v>
      </c>
      <c r="AH476" t="s">
        <v>4041</v>
      </c>
      <c r="AI476" t="s">
        <v>4040</v>
      </c>
      <c r="AK476" t="s">
        <v>4039</v>
      </c>
      <c r="AL476">
        <v>7</v>
      </c>
      <c r="AM476" s="5">
        <f t="shared" si="58"/>
        <v>0.21212121212121213</v>
      </c>
      <c r="AN476" s="4">
        <f t="shared" si="63"/>
        <v>3.2127408121349809E-4</v>
      </c>
      <c r="AO476" s="3"/>
      <c r="AP476">
        <v>0</v>
      </c>
      <c r="AR476" t="s">
        <v>0</v>
      </c>
      <c r="AT476" s="2" t="s">
        <v>19</v>
      </c>
      <c r="AU476" s="1">
        <f t="shared" si="59"/>
        <v>1.2335777862494373</v>
      </c>
      <c r="AV476" s="1">
        <f t="shared" si="60"/>
        <v>0.89030624964141236</v>
      </c>
      <c r="AW476" s="1">
        <f t="shared" si="61"/>
        <v>0.54703471303338735</v>
      </c>
    </row>
    <row r="477" spans="1:49" x14ac:dyDescent="0.2">
      <c r="A477">
        <v>475</v>
      </c>
      <c r="B477" t="s">
        <v>4038</v>
      </c>
      <c r="C477" t="s">
        <v>4037</v>
      </c>
      <c r="F477" t="s">
        <v>4036</v>
      </c>
      <c r="G477" t="s">
        <v>15</v>
      </c>
      <c r="H477" t="s">
        <v>14</v>
      </c>
      <c r="I477" t="s">
        <v>4035</v>
      </c>
      <c r="J477">
        <v>60013372</v>
      </c>
      <c r="K477" t="s">
        <v>1796</v>
      </c>
      <c r="L477" t="s">
        <v>1795</v>
      </c>
      <c r="M477" t="s">
        <v>23</v>
      </c>
      <c r="N477">
        <v>2</v>
      </c>
      <c r="O477" t="s">
        <v>4034</v>
      </c>
      <c r="P477" t="s">
        <v>4033</v>
      </c>
      <c r="Q477" t="s">
        <v>4032</v>
      </c>
      <c r="R477" s="7">
        <v>32509</v>
      </c>
      <c r="S477" s="8">
        <f t="shared" si="56"/>
        <v>1989</v>
      </c>
      <c r="T477" s="8">
        <v>1989</v>
      </c>
      <c r="U477" s="8">
        <f t="shared" si="57"/>
        <v>33</v>
      </c>
      <c r="V477" s="7">
        <v>32721</v>
      </c>
      <c r="W477" t="s">
        <v>360</v>
      </c>
      <c r="X477" s="2">
        <v>1.3720000000000001</v>
      </c>
      <c r="Y477" s="6">
        <f t="shared" si="62"/>
        <v>3.662475641333654E-2</v>
      </c>
      <c r="AA477">
        <v>189480</v>
      </c>
      <c r="AB477">
        <v>17366</v>
      </c>
      <c r="AC477">
        <v>15579670</v>
      </c>
      <c r="AD477" t="s">
        <v>5</v>
      </c>
      <c r="AE477">
        <v>37</v>
      </c>
      <c r="AF477">
        <v>8</v>
      </c>
      <c r="AH477" t="s">
        <v>4031</v>
      </c>
      <c r="AI477" t="s">
        <v>4030</v>
      </c>
      <c r="AK477" t="s">
        <v>4029</v>
      </c>
      <c r="AL477">
        <v>23</v>
      </c>
      <c r="AM477" s="5">
        <f t="shared" si="58"/>
        <v>0.69696969696969702</v>
      </c>
      <c r="AN477" s="4">
        <f t="shared" si="63"/>
        <v>1.0556148382729225E-3</v>
      </c>
      <c r="AO477" s="3"/>
      <c r="AP477">
        <v>0</v>
      </c>
      <c r="AR477" t="s">
        <v>4028</v>
      </c>
      <c r="AT477" s="2" t="s">
        <v>19</v>
      </c>
      <c r="AU477" s="1">
        <f t="shared" si="59"/>
        <v>2.5954013940817453</v>
      </c>
      <c r="AV477" s="1">
        <f t="shared" si="60"/>
        <v>1.8840185625804731</v>
      </c>
      <c r="AW477" s="1">
        <f t="shared" si="61"/>
        <v>1.1726357310792008</v>
      </c>
    </row>
    <row r="478" spans="1:49" x14ac:dyDescent="0.2">
      <c r="A478">
        <v>476</v>
      </c>
      <c r="B478" t="s">
        <v>4027</v>
      </c>
      <c r="C478" t="s">
        <v>4026</v>
      </c>
      <c r="F478" t="s">
        <v>4025</v>
      </c>
      <c r="G478" t="s">
        <v>15</v>
      </c>
      <c r="H478" t="s">
        <v>14</v>
      </c>
      <c r="I478" t="s">
        <v>4024</v>
      </c>
      <c r="J478">
        <v>60016930</v>
      </c>
      <c r="K478" t="s">
        <v>4023</v>
      </c>
      <c r="L478" t="s">
        <v>4022</v>
      </c>
      <c r="M478" t="s">
        <v>1641</v>
      </c>
      <c r="N478">
        <v>2</v>
      </c>
      <c r="O478" t="s">
        <v>4021</v>
      </c>
      <c r="P478" t="s">
        <v>4020</v>
      </c>
      <c r="Q478" t="s">
        <v>4019</v>
      </c>
      <c r="R478" s="7">
        <v>32509</v>
      </c>
      <c r="S478" s="8">
        <f t="shared" si="56"/>
        <v>1989</v>
      </c>
      <c r="T478" s="8">
        <v>1989</v>
      </c>
      <c r="U478" s="8">
        <f t="shared" si="57"/>
        <v>33</v>
      </c>
      <c r="V478" s="7">
        <v>32721</v>
      </c>
      <c r="W478" t="s">
        <v>1551</v>
      </c>
      <c r="X478" s="2">
        <v>0.65500000000000003</v>
      </c>
      <c r="Y478" s="6">
        <f t="shared" si="62"/>
        <v>1.7484850911614749E-2</v>
      </c>
      <c r="AA478">
        <v>189375</v>
      </c>
      <c r="AB478">
        <v>26051</v>
      </c>
      <c r="AC478" t="s">
        <v>1550</v>
      </c>
      <c r="AD478" t="s">
        <v>5</v>
      </c>
      <c r="AE478">
        <v>31</v>
      </c>
      <c r="AF478">
        <v>3</v>
      </c>
      <c r="AH478" t="s">
        <v>4018</v>
      </c>
      <c r="AI478" t="s">
        <v>4017</v>
      </c>
      <c r="AJ478" t="s">
        <v>4016</v>
      </c>
      <c r="AK478" t="s">
        <v>4015</v>
      </c>
      <c r="AL478">
        <v>15</v>
      </c>
      <c r="AM478" s="5">
        <f t="shared" si="58"/>
        <v>0.45454545454545453</v>
      </c>
      <c r="AN478" s="4">
        <f t="shared" si="63"/>
        <v>6.8844445974321016E-4</v>
      </c>
      <c r="AO478" s="3"/>
      <c r="AP478">
        <v>0</v>
      </c>
      <c r="AR478" t="s">
        <v>0</v>
      </c>
      <c r="AT478" s="2" t="s">
        <v>19</v>
      </c>
      <c r="AU478" s="1">
        <f t="shared" si="59"/>
        <v>1.2445928976053284</v>
      </c>
      <c r="AV478" s="1">
        <f t="shared" si="60"/>
        <v>0.90866476856789791</v>
      </c>
      <c r="AW478" s="1">
        <f t="shared" si="61"/>
        <v>0.57273663953046716</v>
      </c>
    </row>
    <row r="479" spans="1:49" x14ac:dyDescent="0.2">
      <c r="A479">
        <v>477</v>
      </c>
      <c r="B479" t="s">
        <v>4014</v>
      </c>
      <c r="C479" t="s">
        <v>4013</v>
      </c>
      <c r="F479" t="s">
        <v>4012</v>
      </c>
      <c r="G479" t="s">
        <v>15</v>
      </c>
      <c r="H479" t="s">
        <v>14</v>
      </c>
      <c r="I479" t="s">
        <v>4011</v>
      </c>
      <c r="J479">
        <v>60016074</v>
      </c>
      <c r="K479" t="s">
        <v>4010</v>
      </c>
      <c r="L479" t="s">
        <v>4009</v>
      </c>
      <c r="M479" t="s">
        <v>115</v>
      </c>
      <c r="N479">
        <v>3</v>
      </c>
      <c r="O479" t="s">
        <v>4008</v>
      </c>
      <c r="P479" t="s">
        <v>4007</v>
      </c>
      <c r="Q479" t="s">
        <v>4006</v>
      </c>
      <c r="R479" s="7">
        <v>32509</v>
      </c>
      <c r="S479" s="8">
        <f t="shared" si="56"/>
        <v>1989</v>
      </c>
      <c r="T479" s="8">
        <v>1989</v>
      </c>
      <c r="U479" s="8">
        <f t="shared" si="57"/>
        <v>33</v>
      </c>
      <c r="V479" s="7">
        <v>32721</v>
      </c>
      <c r="W479" t="s">
        <v>1551</v>
      </c>
      <c r="X479" s="2">
        <v>0.65500000000000003</v>
      </c>
      <c r="Y479" s="6">
        <f t="shared" si="62"/>
        <v>1.7484850911614749E-2</v>
      </c>
      <c r="AA479">
        <v>189375</v>
      </c>
      <c r="AB479">
        <v>26051</v>
      </c>
      <c r="AC479" t="s">
        <v>1550</v>
      </c>
      <c r="AD479" t="s">
        <v>5</v>
      </c>
      <c r="AE479">
        <v>31</v>
      </c>
      <c r="AF479">
        <v>3</v>
      </c>
      <c r="AH479" t="s">
        <v>4005</v>
      </c>
      <c r="AI479" t="s">
        <v>4004</v>
      </c>
      <c r="AJ479" t="s">
        <v>4003</v>
      </c>
      <c r="AK479" t="s">
        <v>4002</v>
      </c>
      <c r="AL479">
        <v>3</v>
      </c>
      <c r="AM479" s="5">
        <f t="shared" si="58"/>
        <v>9.0909090909090912E-2</v>
      </c>
      <c r="AN479" s="4">
        <f t="shared" si="63"/>
        <v>1.3768889194864205E-4</v>
      </c>
      <c r="AO479" s="3"/>
      <c r="AP479">
        <v>0</v>
      </c>
      <c r="AR479" t="s">
        <v>0</v>
      </c>
      <c r="AT479" s="2" t="s">
        <v>19</v>
      </c>
      <c r="AU479" s="1">
        <f t="shared" si="59"/>
        <v>1.2280702305714917</v>
      </c>
      <c r="AV479" s="1">
        <f t="shared" si="60"/>
        <v>0.88112699017816942</v>
      </c>
      <c r="AW479" s="1">
        <f t="shared" si="61"/>
        <v>0.53418374978484751</v>
      </c>
    </row>
    <row r="480" spans="1:49" x14ac:dyDescent="0.2">
      <c r="A480">
        <v>478</v>
      </c>
      <c r="B480" t="s">
        <v>4001</v>
      </c>
      <c r="C480" t="s">
        <v>4000</v>
      </c>
      <c r="F480" t="s">
        <v>3999</v>
      </c>
      <c r="G480" t="s">
        <v>15</v>
      </c>
      <c r="H480" t="s">
        <v>14</v>
      </c>
      <c r="I480" t="s">
        <v>3998</v>
      </c>
      <c r="J480">
        <v>60009658</v>
      </c>
      <c r="K480" t="s">
        <v>3997</v>
      </c>
      <c r="L480" t="s">
        <v>3996</v>
      </c>
      <c r="M480" t="s">
        <v>792</v>
      </c>
      <c r="N480">
        <v>4</v>
      </c>
      <c r="O480" t="s">
        <v>3995</v>
      </c>
      <c r="P480" t="s">
        <v>3994</v>
      </c>
      <c r="Q480" t="s">
        <v>3993</v>
      </c>
      <c r="R480" s="7">
        <v>32509</v>
      </c>
      <c r="S480" s="8">
        <f t="shared" si="56"/>
        <v>1989</v>
      </c>
      <c r="T480" s="8">
        <v>1989</v>
      </c>
      <c r="U480" s="8">
        <f t="shared" si="57"/>
        <v>33</v>
      </c>
      <c r="V480" s="7" t="s">
        <v>3893</v>
      </c>
      <c r="W480" s="11" t="s">
        <v>1449</v>
      </c>
      <c r="X480" s="2">
        <v>2.383</v>
      </c>
      <c r="Y480" s="6">
        <f t="shared" si="62"/>
        <v>6.3612824003630442E-2</v>
      </c>
      <c r="AA480" t="s">
        <v>1448</v>
      </c>
      <c r="AB480">
        <v>101151</v>
      </c>
      <c r="AD480" t="s">
        <v>5</v>
      </c>
      <c r="AE480">
        <v>136</v>
      </c>
      <c r="AF480">
        <v>4</v>
      </c>
      <c r="AH480" t="s">
        <v>3992</v>
      </c>
      <c r="AI480" t="s">
        <v>3991</v>
      </c>
      <c r="AK480" t="s">
        <v>3990</v>
      </c>
      <c r="AL480">
        <v>20</v>
      </c>
      <c r="AM480" s="5">
        <f t="shared" si="58"/>
        <v>0.60606060606060608</v>
      </c>
      <c r="AN480" s="4">
        <f t="shared" si="63"/>
        <v>9.1792594632428032E-4</v>
      </c>
      <c r="AO480" s="3"/>
      <c r="AP480">
        <v>0</v>
      </c>
      <c r="AR480" t="s">
        <v>0</v>
      </c>
      <c r="AT480" s="2" t="s">
        <v>19</v>
      </c>
      <c r="AU480" s="1">
        <f t="shared" si="59"/>
        <v>4.4804354586438588</v>
      </c>
      <c r="AV480" s="1">
        <f t="shared" si="60"/>
        <v>3.2265374974977363</v>
      </c>
      <c r="AW480" s="1">
        <f t="shared" si="61"/>
        <v>1.9726395363516127</v>
      </c>
    </row>
    <row r="481" spans="1:49" x14ac:dyDescent="0.2">
      <c r="A481">
        <v>479</v>
      </c>
      <c r="B481" t="s">
        <v>3989</v>
      </c>
      <c r="C481" t="s">
        <v>3988</v>
      </c>
      <c r="F481" t="s">
        <v>3987</v>
      </c>
      <c r="G481" t="s">
        <v>15</v>
      </c>
      <c r="H481" t="s">
        <v>14</v>
      </c>
      <c r="I481" t="s">
        <v>3986</v>
      </c>
      <c r="J481">
        <v>60021378</v>
      </c>
      <c r="K481" t="s">
        <v>978</v>
      </c>
      <c r="L481" t="s">
        <v>977</v>
      </c>
      <c r="M481" t="s">
        <v>23</v>
      </c>
      <c r="N481">
        <v>1</v>
      </c>
      <c r="O481" t="s">
        <v>3985</v>
      </c>
      <c r="P481">
        <v>7005699797</v>
      </c>
      <c r="Q481">
        <v>60021378</v>
      </c>
      <c r="R481" s="7">
        <v>32509</v>
      </c>
      <c r="S481" s="8">
        <f t="shared" si="56"/>
        <v>1989</v>
      </c>
      <c r="T481" s="8">
        <v>1989</v>
      </c>
      <c r="U481" s="8">
        <f t="shared" si="57"/>
        <v>33</v>
      </c>
      <c r="V481" s="7">
        <v>32721</v>
      </c>
      <c r="W481" t="s">
        <v>3984</v>
      </c>
      <c r="X481" s="2">
        <v>0.81</v>
      </c>
      <c r="Y481" s="6">
        <f t="shared" si="62"/>
        <v>2.1622487386882359E-2</v>
      </c>
      <c r="AA481">
        <v>10411135</v>
      </c>
      <c r="AB481">
        <v>12116</v>
      </c>
      <c r="AC481">
        <v>19410174</v>
      </c>
      <c r="AD481" t="s">
        <v>5</v>
      </c>
      <c r="AE481">
        <v>1</v>
      </c>
      <c r="AF481">
        <v>8</v>
      </c>
      <c r="AH481" t="s">
        <v>3983</v>
      </c>
      <c r="AI481" t="s">
        <v>3982</v>
      </c>
      <c r="AK481" t="s">
        <v>3981</v>
      </c>
      <c r="AL481">
        <v>22</v>
      </c>
      <c r="AM481" s="5">
        <f t="shared" si="58"/>
        <v>0.66666666666666663</v>
      </c>
      <c r="AN481" s="4">
        <f t="shared" si="63"/>
        <v>1.0097185409567082E-3</v>
      </c>
      <c r="AO481" s="3"/>
      <c r="AP481">
        <v>0</v>
      </c>
      <c r="AR481" t="s">
        <v>0</v>
      </c>
      <c r="AT481" s="2">
        <v>2.468</v>
      </c>
      <c r="AU481" s="1">
        <f t="shared" si="59"/>
        <v>1.5438656733104663</v>
      </c>
      <c r="AV481" s="1">
        <f t="shared" si="60"/>
        <v>1.1316102963919534</v>
      </c>
      <c r="AW481" s="1">
        <f t="shared" si="61"/>
        <v>0.71935491947344032</v>
      </c>
    </row>
    <row r="482" spans="1:49" x14ac:dyDescent="0.2">
      <c r="A482">
        <v>480</v>
      </c>
      <c r="B482" t="s">
        <v>3980</v>
      </c>
      <c r="C482" t="s">
        <v>3979</v>
      </c>
      <c r="F482" t="s">
        <v>3978</v>
      </c>
      <c r="G482" t="s">
        <v>15</v>
      </c>
      <c r="H482" t="s">
        <v>14</v>
      </c>
      <c r="I482" t="s">
        <v>3977</v>
      </c>
      <c r="J482" t="s">
        <v>3391</v>
      </c>
      <c r="K482" t="s">
        <v>3390</v>
      </c>
      <c r="L482" t="s">
        <v>3389</v>
      </c>
      <c r="M482" t="s">
        <v>86</v>
      </c>
      <c r="N482">
        <v>2</v>
      </c>
      <c r="O482" t="s">
        <v>3976</v>
      </c>
      <c r="P482" t="s">
        <v>3975</v>
      </c>
      <c r="Q482" t="s">
        <v>3974</v>
      </c>
      <c r="R482" s="7">
        <v>32509</v>
      </c>
      <c r="S482" s="8">
        <f t="shared" si="56"/>
        <v>1989</v>
      </c>
      <c r="T482" s="8">
        <v>1989</v>
      </c>
      <c r="U482" s="8">
        <f t="shared" si="57"/>
        <v>33</v>
      </c>
      <c r="V482" s="7">
        <v>32721</v>
      </c>
      <c r="W482" t="s">
        <v>895</v>
      </c>
      <c r="X482" s="2">
        <v>1.6379999999999999</v>
      </c>
      <c r="Y482" s="6">
        <f t="shared" si="62"/>
        <v>4.3725474493473214E-2</v>
      </c>
      <c r="AA482">
        <v>963518</v>
      </c>
      <c r="AB482">
        <v>31560</v>
      </c>
      <c r="AD482" t="s">
        <v>5</v>
      </c>
      <c r="AE482">
        <v>37</v>
      </c>
      <c r="AF482">
        <v>8</v>
      </c>
      <c r="AH482" t="s">
        <v>3973</v>
      </c>
      <c r="AI482" t="s">
        <v>3972</v>
      </c>
      <c r="AK482" t="s">
        <v>3971</v>
      </c>
      <c r="AL482">
        <v>43</v>
      </c>
      <c r="AM482" s="5">
        <f t="shared" si="58"/>
        <v>1.303030303030303</v>
      </c>
      <c r="AN482" s="4">
        <f t="shared" si="63"/>
        <v>1.9735407845972025E-3</v>
      </c>
      <c r="AO482" s="3"/>
      <c r="AP482">
        <v>0</v>
      </c>
      <c r="AQ482" t="s">
        <v>356</v>
      </c>
      <c r="AR482" t="s">
        <v>3970</v>
      </c>
      <c r="AS482" t="s">
        <v>355</v>
      </c>
      <c r="AT482" s="2" t="s">
        <v>19</v>
      </c>
      <c r="AU482" s="1">
        <f t="shared" si="59"/>
        <v>3.1199894380810411</v>
      </c>
      <c r="AV482" s="1">
        <f t="shared" si="60"/>
        <v>2.2849507639035207</v>
      </c>
      <c r="AW482" s="1">
        <f t="shared" si="61"/>
        <v>1.4499120897260005</v>
      </c>
    </row>
    <row r="483" spans="1:49" x14ac:dyDescent="0.2">
      <c r="A483">
        <v>481</v>
      </c>
      <c r="B483" t="s">
        <v>3969</v>
      </c>
      <c r="C483" t="s">
        <v>3968</v>
      </c>
      <c r="F483" t="s">
        <v>3967</v>
      </c>
      <c r="G483" t="s">
        <v>15</v>
      </c>
      <c r="H483" t="s">
        <v>14</v>
      </c>
      <c r="I483" t="s">
        <v>3966</v>
      </c>
      <c r="J483">
        <v>60021095</v>
      </c>
      <c r="K483" t="s">
        <v>3965</v>
      </c>
      <c r="M483" t="s">
        <v>857</v>
      </c>
      <c r="N483">
        <v>2</v>
      </c>
      <c r="O483" t="s">
        <v>3964</v>
      </c>
      <c r="P483" t="s">
        <v>3963</v>
      </c>
      <c r="Q483" t="s">
        <v>3962</v>
      </c>
      <c r="R483" s="7">
        <v>32509</v>
      </c>
      <c r="S483" s="8">
        <f t="shared" si="56"/>
        <v>1989</v>
      </c>
      <c r="T483" s="8">
        <v>1989</v>
      </c>
      <c r="U483" s="8">
        <f t="shared" si="57"/>
        <v>33</v>
      </c>
      <c r="V483" s="7">
        <v>32721</v>
      </c>
      <c r="W483" t="s">
        <v>1551</v>
      </c>
      <c r="X483" s="2">
        <v>0.65500000000000003</v>
      </c>
      <c r="Y483" s="6">
        <f t="shared" si="62"/>
        <v>1.7484850911614749E-2</v>
      </c>
      <c r="AA483">
        <v>189375</v>
      </c>
      <c r="AB483">
        <v>26051</v>
      </c>
      <c r="AC483" t="s">
        <v>1550</v>
      </c>
      <c r="AD483" t="s">
        <v>5</v>
      </c>
      <c r="AE483">
        <v>31</v>
      </c>
      <c r="AF483">
        <v>3</v>
      </c>
      <c r="AH483" t="s">
        <v>3961</v>
      </c>
      <c r="AI483" t="s">
        <v>3960</v>
      </c>
      <c r="AJ483" t="s">
        <v>3959</v>
      </c>
      <c r="AK483" t="s">
        <v>3958</v>
      </c>
      <c r="AL483">
        <v>12</v>
      </c>
      <c r="AM483" s="5">
        <f t="shared" si="58"/>
        <v>0.36363636363636365</v>
      </c>
      <c r="AN483" s="4">
        <f t="shared" si="63"/>
        <v>5.5075556779456819E-4</v>
      </c>
      <c r="AO483" s="3"/>
      <c r="AP483">
        <v>0</v>
      </c>
      <c r="AR483" t="s">
        <v>0</v>
      </c>
      <c r="AT483" s="2" t="s">
        <v>19</v>
      </c>
      <c r="AU483" s="1">
        <f t="shared" si="59"/>
        <v>1.2404622308468694</v>
      </c>
      <c r="AV483" s="1">
        <f t="shared" si="60"/>
        <v>0.90178032397046581</v>
      </c>
      <c r="AW483" s="1">
        <f t="shared" si="61"/>
        <v>0.56309841709406228</v>
      </c>
    </row>
    <row r="484" spans="1:49" x14ac:dyDescent="0.2">
      <c r="A484">
        <v>482</v>
      </c>
      <c r="B484" t="s">
        <v>3957</v>
      </c>
      <c r="C484" t="s">
        <v>3956</v>
      </c>
      <c r="F484" t="s">
        <v>3955</v>
      </c>
      <c r="G484" t="s">
        <v>15</v>
      </c>
      <c r="H484" t="s">
        <v>14</v>
      </c>
      <c r="I484" t="s">
        <v>3954</v>
      </c>
      <c r="J484" t="s">
        <v>3953</v>
      </c>
      <c r="K484" t="s">
        <v>3952</v>
      </c>
      <c r="L484" t="s">
        <v>3951</v>
      </c>
      <c r="M484" t="s">
        <v>86</v>
      </c>
      <c r="N484">
        <v>4</v>
      </c>
      <c r="O484" t="s">
        <v>3950</v>
      </c>
      <c r="P484" t="s">
        <v>3949</v>
      </c>
      <c r="Q484" t="s">
        <v>3948</v>
      </c>
      <c r="R484" s="7">
        <v>32509</v>
      </c>
      <c r="S484" s="8">
        <f t="shared" ref="S484:S547" si="64">YEAR(R484)</f>
        <v>1989</v>
      </c>
      <c r="T484" s="8">
        <v>1989</v>
      </c>
      <c r="U484" s="8">
        <f t="shared" ref="U484:U547" si="65">2022-T484</f>
        <v>33</v>
      </c>
      <c r="V484" s="7">
        <v>32721</v>
      </c>
      <c r="W484" t="s">
        <v>360</v>
      </c>
      <c r="X484" s="2">
        <v>1.3720000000000001</v>
      </c>
      <c r="Y484" s="6">
        <f t="shared" si="62"/>
        <v>3.662475641333654E-2</v>
      </c>
      <c r="AA484">
        <v>189480</v>
      </c>
      <c r="AB484">
        <v>17366</v>
      </c>
      <c r="AC484">
        <v>15579670</v>
      </c>
      <c r="AD484" t="s">
        <v>5</v>
      </c>
      <c r="AE484">
        <v>37</v>
      </c>
      <c r="AF484">
        <v>8</v>
      </c>
      <c r="AH484" t="s">
        <v>3947</v>
      </c>
      <c r="AI484" t="s">
        <v>3946</v>
      </c>
      <c r="AK484" t="s">
        <v>3945</v>
      </c>
      <c r="AL484">
        <v>25</v>
      </c>
      <c r="AM484" s="5">
        <f t="shared" ref="AM484:AM547" si="66">AL484/U484</f>
        <v>0.75757575757575757</v>
      </c>
      <c r="AN484" s="4">
        <f t="shared" si="63"/>
        <v>1.1474074329053503E-3</v>
      </c>
      <c r="AO484" s="3"/>
      <c r="AP484">
        <v>0</v>
      </c>
      <c r="AQ484" t="s">
        <v>618</v>
      </c>
      <c r="AR484" t="s">
        <v>3944</v>
      </c>
      <c r="AS484" t="s">
        <v>616</v>
      </c>
      <c r="AT484" s="2" t="s">
        <v>19</v>
      </c>
      <c r="AU484" s="1">
        <f t="shared" ref="AU484:AU547" si="67">(Y484*0.7+AN484*0.3)*100</f>
        <v>2.5981551719207183</v>
      </c>
      <c r="AV484" s="1">
        <f t="shared" ref="AV484:AV547" si="68">(Y484*0.5+AN484*0.5)*100</f>
        <v>1.8886081923120948</v>
      </c>
      <c r="AW484" s="1">
        <f t="shared" ref="AW484:AW547" si="69">(Y484*0.3+AN484*0.7)*100</f>
        <v>1.1790612127034708</v>
      </c>
    </row>
    <row r="485" spans="1:49" x14ac:dyDescent="0.2">
      <c r="A485">
        <v>483</v>
      </c>
      <c r="B485" t="s">
        <v>3943</v>
      </c>
      <c r="C485" t="s">
        <v>3942</v>
      </c>
      <c r="F485" t="s">
        <v>3941</v>
      </c>
      <c r="G485" t="s">
        <v>15</v>
      </c>
      <c r="H485" t="s">
        <v>14</v>
      </c>
      <c r="I485" t="s">
        <v>3940</v>
      </c>
      <c r="J485">
        <v>123058954</v>
      </c>
      <c r="K485" t="s">
        <v>3939</v>
      </c>
      <c r="L485" t="s">
        <v>900</v>
      </c>
      <c r="M485" t="s">
        <v>899</v>
      </c>
      <c r="N485">
        <v>2</v>
      </c>
      <c r="O485" t="s">
        <v>3938</v>
      </c>
      <c r="P485" t="s">
        <v>3937</v>
      </c>
      <c r="Q485" t="s">
        <v>3936</v>
      </c>
      <c r="R485" s="7">
        <v>32509</v>
      </c>
      <c r="S485" s="8">
        <f t="shared" si="64"/>
        <v>1989</v>
      </c>
      <c r="T485" s="8">
        <v>1989</v>
      </c>
      <c r="U485" s="8">
        <f t="shared" si="65"/>
        <v>33</v>
      </c>
      <c r="V485" s="7" t="s">
        <v>3893</v>
      </c>
      <c r="W485" s="11" t="s">
        <v>2429</v>
      </c>
      <c r="X485" s="2">
        <v>2.383</v>
      </c>
      <c r="Y485" s="6">
        <f t="shared" si="62"/>
        <v>6.3612824003630442E-2</v>
      </c>
      <c r="AA485">
        <v>1437070</v>
      </c>
      <c r="AB485">
        <v>39742</v>
      </c>
      <c r="AD485" t="s">
        <v>5</v>
      </c>
      <c r="AE485">
        <v>136</v>
      </c>
      <c r="AF485">
        <v>4</v>
      </c>
      <c r="AH485" t="s">
        <v>3935</v>
      </c>
      <c r="AI485" t="s">
        <v>3934</v>
      </c>
      <c r="AK485" t="s">
        <v>3933</v>
      </c>
      <c r="AL485">
        <v>4</v>
      </c>
      <c r="AM485" s="5">
        <f t="shared" si="66"/>
        <v>0.12121212121212122</v>
      </c>
      <c r="AN485" s="4">
        <f t="shared" si="63"/>
        <v>1.8358518926485606E-4</v>
      </c>
      <c r="AO485" s="3"/>
      <c r="AP485">
        <v>0</v>
      </c>
      <c r="AR485" t="s">
        <v>0</v>
      </c>
      <c r="AT485" s="2" t="s">
        <v>19</v>
      </c>
      <c r="AU485" s="1">
        <f t="shared" si="67"/>
        <v>4.4584052359320765</v>
      </c>
      <c r="AV485" s="1">
        <f t="shared" si="68"/>
        <v>3.1898204596447646</v>
      </c>
      <c r="AW485" s="1">
        <f t="shared" si="69"/>
        <v>1.9212356833574533</v>
      </c>
    </row>
    <row r="486" spans="1:49" x14ac:dyDescent="0.2">
      <c r="A486">
        <v>484</v>
      </c>
      <c r="B486" t="s">
        <v>3932</v>
      </c>
      <c r="C486" t="s">
        <v>3931</v>
      </c>
      <c r="F486" t="s">
        <v>3930</v>
      </c>
      <c r="G486" t="s">
        <v>15</v>
      </c>
      <c r="H486" t="s">
        <v>14</v>
      </c>
      <c r="I486" t="s">
        <v>3929</v>
      </c>
      <c r="J486">
        <v>60020825</v>
      </c>
      <c r="K486" t="s">
        <v>3928</v>
      </c>
      <c r="L486" t="s">
        <v>3927</v>
      </c>
      <c r="M486" t="s">
        <v>885</v>
      </c>
      <c r="N486">
        <v>4</v>
      </c>
      <c r="O486" t="s">
        <v>3926</v>
      </c>
      <c r="P486" t="s">
        <v>3925</v>
      </c>
      <c r="Q486" t="s">
        <v>3924</v>
      </c>
      <c r="R486" s="7">
        <v>32509</v>
      </c>
      <c r="S486" s="8">
        <f t="shared" si="64"/>
        <v>1989</v>
      </c>
      <c r="T486" s="8">
        <v>1989</v>
      </c>
      <c r="U486" s="8">
        <f t="shared" si="65"/>
        <v>33</v>
      </c>
      <c r="V486" s="7" t="s">
        <v>3893</v>
      </c>
      <c r="W486" s="11" t="s">
        <v>1449</v>
      </c>
      <c r="X486" s="2">
        <v>2.383</v>
      </c>
      <c r="Y486" s="6">
        <f t="shared" si="62"/>
        <v>6.3612824003630442E-2</v>
      </c>
      <c r="AA486" t="s">
        <v>1448</v>
      </c>
      <c r="AB486">
        <v>101151</v>
      </c>
      <c r="AD486" t="s">
        <v>5</v>
      </c>
      <c r="AE486">
        <v>136</v>
      </c>
      <c r="AF486">
        <v>4</v>
      </c>
      <c r="AH486" t="s">
        <v>3923</v>
      </c>
      <c r="AI486" t="s">
        <v>3922</v>
      </c>
      <c r="AK486" t="s">
        <v>3921</v>
      </c>
      <c r="AL486">
        <v>11</v>
      </c>
      <c r="AM486" s="5">
        <f t="shared" si="66"/>
        <v>0.33333333333333331</v>
      </c>
      <c r="AN486" s="4">
        <f t="shared" si="63"/>
        <v>5.048592704783541E-4</v>
      </c>
      <c r="AO486" s="3"/>
      <c r="AP486">
        <v>0</v>
      </c>
      <c r="AR486" t="s">
        <v>0</v>
      </c>
      <c r="AT486" s="2" t="s">
        <v>19</v>
      </c>
      <c r="AU486" s="1">
        <f t="shared" si="67"/>
        <v>4.4680434583684816</v>
      </c>
      <c r="AV486" s="1">
        <f t="shared" si="68"/>
        <v>3.20588416370544</v>
      </c>
      <c r="AW486" s="1">
        <f t="shared" si="69"/>
        <v>1.9437248690423978</v>
      </c>
    </row>
    <row r="487" spans="1:49" x14ac:dyDescent="0.2">
      <c r="A487">
        <v>485</v>
      </c>
      <c r="B487" t="s">
        <v>3920</v>
      </c>
      <c r="C487" t="s">
        <v>3919</v>
      </c>
      <c r="F487" t="s">
        <v>3918</v>
      </c>
      <c r="G487" t="s">
        <v>15</v>
      </c>
      <c r="H487" t="s">
        <v>14</v>
      </c>
      <c r="I487" t="s">
        <v>3917</v>
      </c>
      <c r="J487">
        <v>60038812</v>
      </c>
      <c r="K487" t="s">
        <v>1718</v>
      </c>
      <c r="L487" t="s">
        <v>3916</v>
      </c>
      <c r="M487" t="s">
        <v>3915</v>
      </c>
      <c r="N487">
        <v>2</v>
      </c>
      <c r="O487" t="s">
        <v>3914</v>
      </c>
      <c r="P487" t="s">
        <v>3913</v>
      </c>
      <c r="Q487" t="s">
        <v>3912</v>
      </c>
      <c r="R487" s="7">
        <v>32509</v>
      </c>
      <c r="S487" s="8">
        <f t="shared" si="64"/>
        <v>1989</v>
      </c>
      <c r="T487" s="8">
        <v>1989</v>
      </c>
      <c r="U487" s="8">
        <f t="shared" si="65"/>
        <v>33</v>
      </c>
      <c r="V487" s="7">
        <v>32721</v>
      </c>
      <c r="W487" t="s">
        <v>1551</v>
      </c>
      <c r="X487" s="2">
        <v>0.65500000000000003</v>
      </c>
      <c r="Y487" s="6">
        <f t="shared" si="62"/>
        <v>1.7484850911614749E-2</v>
      </c>
      <c r="AA487">
        <v>189375</v>
      </c>
      <c r="AB487">
        <v>26051</v>
      </c>
      <c r="AC487" t="s">
        <v>1550</v>
      </c>
      <c r="AD487" t="s">
        <v>5</v>
      </c>
      <c r="AE487">
        <v>31</v>
      </c>
      <c r="AF487">
        <v>3</v>
      </c>
      <c r="AH487" t="s">
        <v>3911</v>
      </c>
      <c r="AI487" t="s">
        <v>3910</v>
      </c>
      <c r="AJ487" t="s">
        <v>3909</v>
      </c>
      <c r="AK487" t="s">
        <v>3908</v>
      </c>
      <c r="AL487">
        <v>2</v>
      </c>
      <c r="AM487" s="5">
        <f t="shared" si="66"/>
        <v>6.0606060606060608E-2</v>
      </c>
      <c r="AN487" s="4">
        <f t="shared" si="63"/>
        <v>9.1792594632428032E-5</v>
      </c>
      <c r="AO487" s="3"/>
      <c r="AP487">
        <v>0</v>
      </c>
      <c r="AR487" t="s">
        <v>0</v>
      </c>
      <c r="AT487" s="2" t="s">
        <v>19</v>
      </c>
      <c r="AU487" s="1">
        <f t="shared" si="67"/>
        <v>1.2266933416520052</v>
      </c>
      <c r="AV487" s="1">
        <f t="shared" si="68"/>
        <v>0.8788321753123588</v>
      </c>
      <c r="AW487" s="1">
        <f t="shared" si="69"/>
        <v>0.53097100897271243</v>
      </c>
    </row>
    <row r="488" spans="1:49" x14ac:dyDescent="0.2">
      <c r="A488">
        <v>486</v>
      </c>
      <c r="B488" t="s">
        <v>3907</v>
      </c>
      <c r="C488" t="s">
        <v>3906</v>
      </c>
      <c r="F488" t="s">
        <v>3905</v>
      </c>
      <c r="G488" t="s">
        <v>15</v>
      </c>
      <c r="H488" t="s">
        <v>14</v>
      </c>
      <c r="I488" t="s">
        <v>3904</v>
      </c>
      <c r="J488">
        <v>60005465</v>
      </c>
      <c r="K488" t="s">
        <v>1643</v>
      </c>
      <c r="L488" t="s">
        <v>1642</v>
      </c>
      <c r="M488" t="s">
        <v>1641</v>
      </c>
      <c r="N488">
        <v>1</v>
      </c>
      <c r="O488" t="s">
        <v>3903</v>
      </c>
      <c r="P488">
        <v>55453488700</v>
      </c>
      <c r="Q488">
        <v>60005465</v>
      </c>
      <c r="R488" s="7">
        <v>32509</v>
      </c>
      <c r="S488" s="8">
        <f t="shared" si="64"/>
        <v>1989</v>
      </c>
      <c r="T488" s="8">
        <v>1989</v>
      </c>
      <c r="U488" s="8">
        <f t="shared" si="65"/>
        <v>33</v>
      </c>
      <c r="V488" s="7">
        <v>32721</v>
      </c>
      <c r="W488" t="s">
        <v>1551</v>
      </c>
      <c r="X488" s="2">
        <v>0.65500000000000003</v>
      </c>
      <c r="Y488" s="6">
        <f t="shared" si="62"/>
        <v>1.7484850911614749E-2</v>
      </c>
      <c r="AA488">
        <v>189375</v>
      </c>
      <c r="AB488">
        <v>26051</v>
      </c>
      <c r="AC488" t="s">
        <v>1550</v>
      </c>
      <c r="AD488" t="s">
        <v>5</v>
      </c>
      <c r="AE488">
        <v>31</v>
      </c>
      <c r="AF488">
        <v>3</v>
      </c>
      <c r="AH488" t="s">
        <v>3902</v>
      </c>
      <c r="AI488" t="s">
        <v>3901</v>
      </c>
      <c r="AJ488" t="s">
        <v>3900</v>
      </c>
      <c r="AK488" t="s">
        <v>3899</v>
      </c>
      <c r="AL488">
        <v>5</v>
      </c>
      <c r="AM488" s="5">
        <f t="shared" si="66"/>
        <v>0.15151515151515152</v>
      </c>
      <c r="AN488" s="4">
        <f t="shared" si="63"/>
        <v>2.2948148658107008E-4</v>
      </c>
      <c r="AO488" s="3"/>
      <c r="AP488">
        <v>0</v>
      </c>
      <c r="AR488" t="s">
        <v>0</v>
      </c>
      <c r="AT488" s="2" t="s">
        <v>19</v>
      </c>
      <c r="AU488" s="1">
        <f t="shared" si="67"/>
        <v>1.2308240084104642</v>
      </c>
      <c r="AV488" s="1">
        <f t="shared" si="68"/>
        <v>0.885716619909791</v>
      </c>
      <c r="AW488" s="1">
        <f t="shared" si="69"/>
        <v>0.54060923140911732</v>
      </c>
    </row>
    <row r="489" spans="1:49" x14ac:dyDescent="0.2">
      <c r="A489">
        <v>487</v>
      </c>
      <c r="B489" t="s">
        <v>3898</v>
      </c>
      <c r="C489" t="s">
        <v>3897</v>
      </c>
      <c r="F489" t="s">
        <v>3896</v>
      </c>
      <c r="G489" t="s">
        <v>15</v>
      </c>
      <c r="H489" t="s">
        <v>14</v>
      </c>
      <c r="I489" t="s">
        <v>3895</v>
      </c>
      <c r="J489">
        <v>60017161</v>
      </c>
      <c r="K489" t="s">
        <v>3247</v>
      </c>
      <c r="L489" t="s">
        <v>3246</v>
      </c>
      <c r="M489" t="s">
        <v>3245</v>
      </c>
      <c r="N489">
        <v>1</v>
      </c>
      <c r="O489" t="s">
        <v>3894</v>
      </c>
      <c r="P489">
        <v>7202596473</v>
      </c>
      <c r="Q489">
        <v>60017161</v>
      </c>
      <c r="R489" s="7">
        <v>32509</v>
      </c>
      <c r="S489" s="8">
        <f t="shared" si="64"/>
        <v>1989</v>
      </c>
      <c r="T489" s="8">
        <v>1989</v>
      </c>
      <c r="U489" s="8">
        <f t="shared" si="65"/>
        <v>33</v>
      </c>
      <c r="V489" s="7" t="s">
        <v>3893</v>
      </c>
      <c r="W489" s="11" t="s">
        <v>2429</v>
      </c>
      <c r="X489" s="2">
        <v>2.383</v>
      </c>
      <c r="Y489" s="6">
        <f t="shared" si="62"/>
        <v>6.3612824003630442E-2</v>
      </c>
      <c r="AA489">
        <v>1437070</v>
      </c>
      <c r="AB489">
        <v>39742</v>
      </c>
      <c r="AD489" t="s">
        <v>5</v>
      </c>
      <c r="AE489">
        <v>136</v>
      </c>
      <c r="AF489">
        <v>4</v>
      </c>
      <c r="AH489" t="s">
        <v>3892</v>
      </c>
      <c r="AI489" t="s">
        <v>3891</v>
      </c>
      <c r="AK489" t="s">
        <v>3890</v>
      </c>
      <c r="AL489">
        <v>1</v>
      </c>
      <c r="AM489" s="5">
        <f t="shared" si="66"/>
        <v>3.0303030303030304E-2</v>
      </c>
      <c r="AN489" s="4">
        <f t="shared" si="63"/>
        <v>4.5896297316214016E-5</v>
      </c>
      <c r="AO489" s="3"/>
      <c r="AP489">
        <v>0</v>
      </c>
      <c r="AR489" t="s">
        <v>0</v>
      </c>
      <c r="AT489" s="2" t="s">
        <v>19</v>
      </c>
      <c r="AU489" s="1">
        <f t="shared" si="67"/>
        <v>4.4542745691736174</v>
      </c>
      <c r="AV489" s="1">
        <f t="shared" si="68"/>
        <v>3.1829360150473329</v>
      </c>
      <c r="AW489" s="1">
        <f t="shared" si="69"/>
        <v>1.9115974609210482</v>
      </c>
    </row>
    <row r="490" spans="1:49" x14ac:dyDescent="0.2">
      <c r="A490">
        <v>488</v>
      </c>
      <c r="B490" t="s">
        <v>3889</v>
      </c>
      <c r="E490">
        <v>2547692</v>
      </c>
      <c r="F490" t="s">
        <v>3888</v>
      </c>
      <c r="G490" t="s">
        <v>15</v>
      </c>
      <c r="H490" t="s">
        <v>14</v>
      </c>
      <c r="I490" t="s">
        <v>3887</v>
      </c>
      <c r="J490">
        <v>60025488</v>
      </c>
      <c r="K490" t="s">
        <v>808</v>
      </c>
      <c r="L490" t="s">
        <v>807</v>
      </c>
      <c r="M490" t="s">
        <v>23</v>
      </c>
      <c r="N490">
        <v>2</v>
      </c>
      <c r="O490" t="s">
        <v>3886</v>
      </c>
      <c r="P490" t="s">
        <v>3885</v>
      </c>
      <c r="Q490" t="s">
        <v>804</v>
      </c>
      <c r="R490" s="7">
        <v>32509</v>
      </c>
      <c r="S490" s="8">
        <f t="shared" si="64"/>
        <v>1989</v>
      </c>
      <c r="T490" s="8">
        <v>1989</v>
      </c>
      <c r="U490" s="8">
        <f t="shared" si="65"/>
        <v>33</v>
      </c>
      <c r="V490" s="7">
        <v>32721</v>
      </c>
      <c r="W490" t="s">
        <v>3884</v>
      </c>
      <c r="X490" s="2">
        <v>2.7919999999999998</v>
      </c>
      <c r="Y490" s="6">
        <f t="shared" si="62"/>
        <v>7.4530845412562399E-2</v>
      </c>
      <c r="AA490">
        <v>166731</v>
      </c>
      <c r="AB490">
        <v>22173</v>
      </c>
      <c r="AD490" t="s">
        <v>5</v>
      </c>
      <c r="AE490">
        <v>122</v>
      </c>
      <c r="AF490">
        <v>4</v>
      </c>
      <c r="AH490" t="s">
        <v>3883</v>
      </c>
      <c r="AI490" t="s">
        <v>3882</v>
      </c>
      <c r="AK490" t="s">
        <v>3881</v>
      </c>
      <c r="AL490">
        <v>15</v>
      </c>
      <c r="AM490" s="5">
        <f t="shared" si="66"/>
        <v>0.45454545454545453</v>
      </c>
      <c r="AN490" s="4">
        <f t="shared" si="63"/>
        <v>6.8844445974321016E-4</v>
      </c>
      <c r="AO490" s="3"/>
      <c r="AP490">
        <v>0</v>
      </c>
      <c r="AQ490" t="s">
        <v>3018</v>
      </c>
      <c r="AR490" t="s">
        <v>3880</v>
      </c>
      <c r="AS490" t="s">
        <v>3016</v>
      </c>
      <c r="AT490" s="2">
        <v>4.5620000000000003</v>
      </c>
      <c r="AU490" s="1">
        <f t="shared" si="67"/>
        <v>5.2378125126716641</v>
      </c>
      <c r="AV490" s="1">
        <f t="shared" si="68"/>
        <v>3.7609644936152806</v>
      </c>
      <c r="AW490" s="1">
        <f t="shared" si="69"/>
        <v>2.2841164745588967</v>
      </c>
    </row>
    <row r="491" spans="1:49" x14ac:dyDescent="0.2">
      <c r="A491">
        <v>489</v>
      </c>
      <c r="B491" t="s">
        <v>3879</v>
      </c>
      <c r="C491" t="s">
        <v>3878</v>
      </c>
      <c r="D491" t="s">
        <v>3877</v>
      </c>
      <c r="E491">
        <v>2665834</v>
      </c>
      <c r="F491" t="s">
        <v>3876</v>
      </c>
      <c r="G491" t="s">
        <v>15</v>
      </c>
      <c r="H491" t="s">
        <v>14</v>
      </c>
      <c r="I491" t="s">
        <v>3875</v>
      </c>
      <c r="J491">
        <v>60029278</v>
      </c>
      <c r="K491" t="s">
        <v>3874</v>
      </c>
      <c r="L491" t="s">
        <v>1746</v>
      </c>
      <c r="M491" t="s">
        <v>23</v>
      </c>
      <c r="N491">
        <v>5</v>
      </c>
      <c r="O491" t="s">
        <v>3873</v>
      </c>
      <c r="P491" t="s">
        <v>3872</v>
      </c>
      <c r="Q491" t="s">
        <v>3871</v>
      </c>
      <c r="R491" s="7">
        <v>32509</v>
      </c>
      <c r="S491" s="8">
        <f t="shared" si="64"/>
        <v>1989</v>
      </c>
      <c r="T491" s="8">
        <v>1989</v>
      </c>
      <c r="U491" s="8">
        <f t="shared" si="65"/>
        <v>33</v>
      </c>
      <c r="V491" s="7">
        <v>1989</v>
      </c>
      <c r="W491" t="s">
        <v>3870</v>
      </c>
      <c r="X491" s="2">
        <v>1.7130000000000001</v>
      </c>
      <c r="Y491" s="6">
        <f t="shared" si="62"/>
        <v>4.5727556658925285E-2</v>
      </c>
      <c r="AA491">
        <v>63495</v>
      </c>
      <c r="AB491">
        <v>14859</v>
      </c>
      <c r="AD491" t="s">
        <v>5</v>
      </c>
      <c r="AE491">
        <v>56</v>
      </c>
      <c r="AF491">
        <v>1</v>
      </c>
      <c r="AH491" t="s">
        <v>3869</v>
      </c>
      <c r="AI491" t="s">
        <v>3868</v>
      </c>
      <c r="AK491" t="s">
        <v>3867</v>
      </c>
      <c r="AL491">
        <v>31</v>
      </c>
      <c r="AM491" s="5">
        <f t="shared" si="66"/>
        <v>0.93939393939393945</v>
      </c>
      <c r="AN491" s="4">
        <f t="shared" si="63"/>
        <v>1.4227852168026346E-3</v>
      </c>
      <c r="AO491" s="3"/>
      <c r="AP491">
        <v>1</v>
      </c>
      <c r="AQ491" t="s">
        <v>618</v>
      </c>
      <c r="AR491" t="s">
        <v>3866</v>
      </c>
      <c r="AS491" t="s">
        <v>616</v>
      </c>
      <c r="AT491" s="2">
        <v>4.0330000000000004</v>
      </c>
      <c r="AU491" s="1">
        <f t="shared" si="67"/>
        <v>3.2436125226288492</v>
      </c>
      <c r="AV491" s="1">
        <f t="shared" si="68"/>
        <v>2.3575170937863961</v>
      </c>
      <c r="AW491" s="1">
        <f t="shared" si="69"/>
        <v>1.4714216649439429</v>
      </c>
    </row>
    <row r="492" spans="1:49" x14ac:dyDescent="0.2">
      <c r="A492">
        <v>490</v>
      </c>
      <c r="B492" t="s">
        <v>3865</v>
      </c>
      <c r="C492" t="s">
        <v>3864</v>
      </c>
      <c r="F492" t="s">
        <v>3863</v>
      </c>
      <c r="G492" t="s">
        <v>15</v>
      </c>
      <c r="H492" t="s">
        <v>14</v>
      </c>
      <c r="I492" t="s">
        <v>3862</v>
      </c>
      <c r="J492" t="s">
        <v>3861</v>
      </c>
      <c r="K492" t="s">
        <v>3860</v>
      </c>
      <c r="L492" t="s">
        <v>3859</v>
      </c>
      <c r="M492" t="s">
        <v>86</v>
      </c>
      <c r="N492">
        <v>2</v>
      </c>
      <c r="O492" t="s">
        <v>3858</v>
      </c>
      <c r="P492" t="s">
        <v>3857</v>
      </c>
      <c r="Q492" t="s">
        <v>3856</v>
      </c>
      <c r="R492" s="7">
        <v>32509</v>
      </c>
      <c r="S492" s="8">
        <f t="shared" si="64"/>
        <v>1989</v>
      </c>
      <c r="T492" s="8">
        <v>1989</v>
      </c>
      <c r="U492" s="8">
        <f t="shared" si="65"/>
        <v>33</v>
      </c>
      <c r="V492" s="7">
        <v>32690</v>
      </c>
      <c r="W492" t="s">
        <v>853</v>
      </c>
      <c r="X492" s="2">
        <v>2.141</v>
      </c>
      <c r="Y492" s="6">
        <f t="shared" si="62"/>
        <v>5.7152772216438434E-2</v>
      </c>
      <c r="AA492">
        <v>1962892</v>
      </c>
      <c r="AB492">
        <v>17360</v>
      </c>
      <c r="AC492">
        <v>15580644</v>
      </c>
      <c r="AD492" t="s">
        <v>5</v>
      </c>
      <c r="AE492">
        <v>27</v>
      </c>
      <c r="AF492">
        <v>4</v>
      </c>
      <c r="AH492" t="s">
        <v>3855</v>
      </c>
      <c r="AI492" t="s">
        <v>3854</v>
      </c>
      <c r="AK492" t="s">
        <v>3853</v>
      </c>
      <c r="AL492">
        <v>12</v>
      </c>
      <c r="AM492" s="5">
        <f t="shared" si="66"/>
        <v>0.36363636363636365</v>
      </c>
      <c r="AN492" s="4">
        <f t="shared" si="63"/>
        <v>5.5075556779456819E-4</v>
      </c>
      <c r="AO492" s="3"/>
      <c r="AP492">
        <v>0</v>
      </c>
      <c r="AR492" t="s">
        <v>0</v>
      </c>
      <c r="AT492" s="2" t="s">
        <v>19</v>
      </c>
      <c r="AU492" s="1">
        <f t="shared" si="67"/>
        <v>4.0172167221845276</v>
      </c>
      <c r="AV492" s="1">
        <f t="shared" si="68"/>
        <v>2.88517638921165</v>
      </c>
      <c r="AW492" s="1">
        <f t="shared" si="69"/>
        <v>1.753136056238773</v>
      </c>
    </row>
    <row r="493" spans="1:49" x14ac:dyDescent="0.2">
      <c r="A493">
        <v>491</v>
      </c>
      <c r="B493" t="s">
        <v>3852</v>
      </c>
      <c r="C493" t="s">
        <v>3851</v>
      </c>
      <c r="F493" t="s">
        <v>3850</v>
      </c>
      <c r="G493" t="s">
        <v>15</v>
      </c>
      <c r="H493" t="s">
        <v>14</v>
      </c>
      <c r="I493" t="s">
        <v>3849</v>
      </c>
      <c r="J493" t="s">
        <v>3848</v>
      </c>
      <c r="K493" t="s">
        <v>3847</v>
      </c>
      <c r="L493" t="s">
        <v>3846</v>
      </c>
      <c r="M493" t="s">
        <v>554</v>
      </c>
      <c r="N493">
        <v>4</v>
      </c>
      <c r="O493" t="s">
        <v>3845</v>
      </c>
      <c r="P493" t="s">
        <v>3844</v>
      </c>
      <c r="Q493" t="s">
        <v>3843</v>
      </c>
      <c r="R493" s="7">
        <v>32509</v>
      </c>
      <c r="S493" s="8">
        <f t="shared" si="64"/>
        <v>1989</v>
      </c>
      <c r="T493" s="8">
        <v>1989</v>
      </c>
      <c r="U493" s="8">
        <f t="shared" si="65"/>
        <v>33</v>
      </c>
      <c r="V493" s="7">
        <v>32690</v>
      </c>
      <c r="W493" t="s">
        <v>2247</v>
      </c>
      <c r="X493" s="2">
        <v>0.111</v>
      </c>
      <c r="Y493" s="6">
        <f t="shared" si="62"/>
        <v>2.9630816048690639E-3</v>
      </c>
      <c r="AA493">
        <v>87566621</v>
      </c>
      <c r="AB493">
        <v>24890</v>
      </c>
      <c r="AC493">
        <v>15206424</v>
      </c>
      <c r="AD493" t="s">
        <v>5</v>
      </c>
      <c r="AE493">
        <v>72</v>
      </c>
      <c r="AF493">
        <v>7</v>
      </c>
      <c r="AH493" t="s">
        <v>3842</v>
      </c>
      <c r="AI493" t="s">
        <v>3841</v>
      </c>
      <c r="AK493" t="s">
        <v>3840</v>
      </c>
      <c r="AL493">
        <v>2</v>
      </c>
      <c r="AM493" s="5">
        <f t="shared" si="66"/>
        <v>6.0606060606060608E-2</v>
      </c>
      <c r="AN493" s="4">
        <f t="shared" si="63"/>
        <v>9.1792594632428032E-5</v>
      </c>
      <c r="AO493" s="3"/>
      <c r="AP493">
        <v>0</v>
      </c>
      <c r="AR493" t="s">
        <v>0</v>
      </c>
      <c r="AT493" s="2" t="s">
        <v>19</v>
      </c>
      <c r="AU493" s="1">
        <f t="shared" si="67"/>
        <v>0.21016949017980727</v>
      </c>
      <c r="AV493" s="1">
        <f t="shared" si="68"/>
        <v>0.15274370997507461</v>
      </c>
      <c r="AW493" s="1">
        <f t="shared" si="69"/>
        <v>9.5317929770341869E-2</v>
      </c>
    </row>
    <row r="494" spans="1:49" x14ac:dyDescent="0.2">
      <c r="A494">
        <v>492</v>
      </c>
      <c r="B494" t="s">
        <v>3839</v>
      </c>
      <c r="C494" t="s">
        <v>3838</v>
      </c>
      <c r="F494" t="s">
        <v>3837</v>
      </c>
      <c r="G494" t="s">
        <v>15</v>
      </c>
      <c r="H494" t="s">
        <v>14</v>
      </c>
      <c r="I494" t="s">
        <v>3836</v>
      </c>
      <c r="J494">
        <v>60025858</v>
      </c>
      <c r="K494" t="s">
        <v>3835</v>
      </c>
      <c r="L494" t="s">
        <v>3834</v>
      </c>
      <c r="M494" t="s">
        <v>3833</v>
      </c>
      <c r="N494">
        <v>2</v>
      </c>
      <c r="O494" t="s">
        <v>3832</v>
      </c>
      <c r="P494" t="s">
        <v>3831</v>
      </c>
      <c r="Q494" t="s">
        <v>3830</v>
      </c>
      <c r="R494" s="7">
        <v>32509</v>
      </c>
      <c r="S494" s="8">
        <f t="shared" si="64"/>
        <v>1989</v>
      </c>
      <c r="T494" s="8">
        <v>1989</v>
      </c>
      <c r="U494" s="8">
        <f t="shared" si="65"/>
        <v>33</v>
      </c>
      <c r="V494" s="7">
        <v>32690</v>
      </c>
      <c r="W494" t="s">
        <v>1996</v>
      </c>
      <c r="X494" s="2">
        <v>0.62</v>
      </c>
      <c r="Y494" s="6">
        <f t="shared" si="62"/>
        <v>1.6550545901070447E-2</v>
      </c>
      <c r="AA494">
        <v>189464</v>
      </c>
      <c r="AB494">
        <v>17364</v>
      </c>
      <c r="AC494">
        <v>19410069</v>
      </c>
      <c r="AD494" t="s">
        <v>5</v>
      </c>
      <c r="AE494">
        <v>25</v>
      </c>
      <c r="AF494">
        <v>4</v>
      </c>
      <c r="AH494" t="s">
        <v>3829</v>
      </c>
      <c r="AI494" t="s">
        <v>3828</v>
      </c>
      <c r="AK494" t="s">
        <v>3827</v>
      </c>
      <c r="AL494">
        <v>8</v>
      </c>
      <c r="AM494" s="5">
        <f t="shared" si="66"/>
        <v>0.24242424242424243</v>
      </c>
      <c r="AN494" s="4">
        <f t="shared" si="63"/>
        <v>3.6717037852971213E-4</v>
      </c>
      <c r="AO494" s="3"/>
      <c r="AP494">
        <v>0</v>
      </c>
      <c r="AR494" t="s">
        <v>0</v>
      </c>
      <c r="AT494" s="2">
        <v>1.7</v>
      </c>
      <c r="AU494" s="1">
        <f t="shared" si="67"/>
        <v>1.1695533244308225</v>
      </c>
      <c r="AV494" s="1">
        <f t="shared" si="68"/>
        <v>0.84588581398000795</v>
      </c>
      <c r="AW494" s="1">
        <f t="shared" si="69"/>
        <v>0.5222183035291933</v>
      </c>
    </row>
    <row r="495" spans="1:49" x14ac:dyDescent="0.2">
      <c r="A495">
        <v>493</v>
      </c>
      <c r="B495" t="s">
        <v>3826</v>
      </c>
      <c r="C495" t="s">
        <v>3825</v>
      </c>
      <c r="F495" t="s">
        <v>3824</v>
      </c>
      <c r="G495" t="s">
        <v>15</v>
      </c>
      <c r="H495" t="s">
        <v>14</v>
      </c>
      <c r="I495" t="s">
        <v>3823</v>
      </c>
      <c r="J495">
        <v>100340532</v>
      </c>
      <c r="K495" t="s">
        <v>3822</v>
      </c>
      <c r="L495" t="s">
        <v>3821</v>
      </c>
      <c r="M495" t="s">
        <v>115</v>
      </c>
      <c r="N495">
        <v>2</v>
      </c>
      <c r="O495" t="s">
        <v>3820</v>
      </c>
      <c r="P495" t="s">
        <v>3819</v>
      </c>
      <c r="Q495" t="s">
        <v>3818</v>
      </c>
      <c r="R495" s="7">
        <v>32509</v>
      </c>
      <c r="S495" s="8">
        <f t="shared" si="64"/>
        <v>1989</v>
      </c>
      <c r="T495" s="8">
        <v>1989</v>
      </c>
      <c r="U495" s="8">
        <f t="shared" si="65"/>
        <v>33</v>
      </c>
      <c r="V495" s="7">
        <v>32690</v>
      </c>
      <c r="W495" t="s">
        <v>2247</v>
      </c>
      <c r="X495" s="2">
        <v>0.111</v>
      </c>
      <c r="Y495" s="6">
        <f t="shared" si="62"/>
        <v>2.9630816048690639E-3</v>
      </c>
      <c r="AA495">
        <v>87566621</v>
      </c>
      <c r="AB495">
        <v>24890</v>
      </c>
      <c r="AC495">
        <v>15206424</v>
      </c>
      <c r="AD495" t="s">
        <v>5</v>
      </c>
      <c r="AE495">
        <v>72</v>
      </c>
      <c r="AF495">
        <v>7</v>
      </c>
      <c r="AH495" t="s">
        <v>3817</v>
      </c>
      <c r="AI495" t="s">
        <v>3816</v>
      </c>
      <c r="AK495" t="s">
        <v>3815</v>
      </c>
      <c r="AL495">
        <v>0</v>
      </c>
      <c r="AM495" s="5">
        <f t="shared" si="66"/>
        <v>0</v>
      </c>
      <c r="AN495" s="4">
        <f t="shared" si="63"/>
        <v>0</v>
      </c>
      <c r="AO495" s="3"/>
      <c r="AP495">
        <v>0</v>
      </c>
      <c r="AR495" t="s">
        <v>0</v>
      </c>
      <c r="AT495" s="2" t="s">
        <v>19</v>
      </c>
      <c r="AU495" s="1">
        <f t="shared" si="67"/>
        <v>0.20741571234083445</v>
      </c>
      <c r="AV495" s="1">
        <f t="shared" si="68"/>
        <v>0.1481540802434532</v>
      </c>
      <c r="AW495" s="1">
        <f t="shared" si="69"/>
        <v>8.8892448146071903E-2</v>
      </c>
    </row>
    <row r="496" spans="1:49" x14ac:dyDescent="0.2">
      <c r="A496">
        <v>494</v>
      </c>
      <c r="B496" t="s">
        <v>3814</v>
      </c>
      <c r="C496" t="s">
        <v>3813</v>
      </c>
      <c r="F496" t="s">
        <v>3812</v>
      </c>
      <c r="G496" t="s">
        <v>15</v>
      </c>
      <c r="H496" t="s">
        <v>14</v>
      </c>
      <c r="I496" t="s">
        <v>3811</v>
      </c>
      <c r="J496">
        <v>60014652</v>
      </c>
      <c r="K496" t="s">
        <v>1473</v>
      </c>
      <c r="L496" t="s">
        <v>1472</v>
      </c>
      <c r="M496" t="s">
        <v>115</v>
      </c>
      <c r="N496">
        <v>3</v>
      </c>
      <c r="O496" t="s">
        <v>3810</v>
      </c>
      <c r="P496" t="s">
        <v>3809</v>
      </c>
      <c r="Q496" t="s">
        <v>2571</v>
      </c>
      <c r="R496" s="7">
        <v>32509</v>
      </c>
      <c r="S496" s="8">
        <f t="shared" si="64"/>
        <v>1989</v>
      </c>
      <c r="T496" s="8">
        <v>1989</v>
      </c>
      <c r="U496" s="8">
        <f t="shared" si="65"/>
        <v>33</v>
      </c>
      <c r="V496" s="7">
        <v>1989</v>
      </c>
      <c r="W496" t="s">
        <v>2192</v>
      </c>
      <c r="X496" s="2">
        <v>0.13900000000000001</v>
      </c>
      <c r="Y496" s="6">
        <f t="shared" si="62"/>
        <v>3.7105256133045036E-3</v>
      </c>
      <c r="AA496" t="s">
        <v>2191</v>
      </c>
      <c r="AB496">
        <v>24891</v>
      </c>
      <c r="AC496">
        <v>15206432</v>
      </c>
      <c r="AD496" t="s">
        <v>5</v>
      </c>
      <c r="AE496">
        <v>72</v>
      </c>
      <c r="AF496">
        <v>7</v>
      </c>
      <c r="AH496" s="10">
        <v>41640</v>
      </c>
      <c r="AI496" t="s">
        <v>3808</v>
      </c>
      <c r="AK496" t="s">
        <v>3807</v>
      </c>
      <c r="AL496">
        <v>0</v>
      </c>
      <c r="AM496" s="5">
        <f t="shared" si="66"/>
        <v>0</v>
      </c>
      <c r="AN496" s="4">
        <f t="shared" si="63"/>
        <v>0</v>
      </c>
      <c r="AO496" s="3"/>
      <c r="AP496">
        <v>0</v>
      </c>
      <c r="AR496" t="s">
        <v>0</v>
      </c>
      <c r="AT496" s="2" t="s">
        <v>19</v>
      </c>
      <c r="AU496" s="1">
        <f t="shared" si="67"/>
        <v>0.25973679293131524</v>
      </c>
      <c r="AV496" s="1">
        <f t="shared" si="68"/>
        <v>0.1855262806652252</v>
      </c>
      <c r="AW496" s="1">
        <f t="shared" si="69"/>
        <v>0.1113157683991351</v>
      </c>
    </row>
    <row r="497" spans="1:49" x14ac:dyDescent="0.2">
      <c r="A497">
        <v>495</v>
      </c>
      <c r="B497" t="s">
        <v>3806</v>
      </c>
      <c r="C497" t="s">
        <v>3805</v>
      </c>
      <c r="F497" t="s">
        <v>3804</v>
      </c>
      <c r="G497" t="s">
        <v>15</v>
      </c>
      <c r="H497" t="s">
        <v>14</v>
      </c>
      <c r="I497" t="s">
        <v>3803</v>
      </c>
      <c r="J497">
        <v>60023053</v>
      </c>
      <c r="K497" t="s">
        <v>3802</v>
      </c>
      <c r="L497" t="s">
        <v>1703</v>
      </c>
      <c r="M497" t="s">
        <v>23</v>
      </c>
      <c r="N497">
        <v>1</v>
      </c>
      <c r="O497" t="s">
        <v>3801</v>
      </c>
      <c r="P497">
        <v>56050028200</v>
      </c>
      <c r="Q497">
        <v>60023053</v>
      </c>
      <c r="R497" s="7">
        <v>32509</v>
      </c>
      <c r="S497" s="8">
        <f t="shared" si="64"/>
        <v>1989</v>
      </c>
      <c r="T497" s="8">
        <v>1989</v>
      </c>
      <c r="U497" s="8">
        <f t="shared" si="65"/>
        <v>33</v>
      </c>
      <c r="V497" s="7">
        <v>32690</v>
      </c>
      <c r="W497" t="s">
        <v>853</v>
      </c>
      <c r="X497" s="2">
        <v>2.141</v>
      </c>
      <c r="Y497" s="6">
        <f t="shared" si="62"/>
        <v>5.7152772216438434E-2</v>
      </c>
      <c r="AA497">
        <v>1962892</v>
      </c>
      <c r="AB497">
        <v>17360</v>
      </c>
      <c r="AC497">
        <v>15580644</v>
      </c>
      <c r="AD497" t="s">
        <v>5</v>
      </c>
      <c r="AE497">
        <v>27</v>
      </c>
      <c r="AF497">
        <v>4</v>
      </c>
      <c r="AH497" t="s">
        <v>3800</v>
      </c>
      <c r="AI497" t="s">
        <v>3799</v>
      </c>
      <c r="AK497" t="s">
        <v>3798</v>
      </c>
      <c r="AL497">
        <v>16</v>
      </c>
      <c r="AM497" s="5">
        <f t="shared" si="66"/>
        <v>0.48484848484848486</v>
      </c>
      <c r="AN497" s="4">
        <f t="shared" si="63"/>
        <v>7.3434075705942426E-4</v>
      </c>
      <c r="AO497" s="3"/>
      <c r="AP497">
        <v>0</v>
      </c>
      <c r="AR497" t="s">
        <v>0</v>
      </c>
      <c r="AT497" s="2" t="s">
        <v>19</v>
      </c>
      <c r="AU497" s="1">
        <f t="shared" si="67"/>
        <v>4.0227242778624728</v>
      </c>
      <c r="AV497" s="1">
        <f t="shared" si="68"/>
        <v>2.8943556486748929</v>
      </c>
      <c r="AW497" s="1">
        <f t="shared" si="69"/>
        <v>1.7659870194873126</v>
      </c>
    </row>
    <row r="498" spans="1:49" x14ac:dyDescent="0.2">
      <c r="A498">
        <v>496</v>
      </c>
      <c r="B498" t="s">
        <v>3797</v>
      </c>
      <c r="C498" t="s">
        <v>3796</v>
      </c>
      <c r="F498" t="s">
        <v>3795</v>
      </c>
      <c r="G498" t="s">
        <v>15</v>
      </c>
      <c r="H498" t="s">
        <v>14</v>
      </c>
      <c r="I498" t="s">
        <v>3794</v>
      </c>
      <c r="J498" t="s">
        <v>3793</v>
      </c>
      <c r="K498" t="s">
        <v>3792</v>
      </c>
      <c r="L498" t="s">
        <v>3791</v>
      </c>
      <c r="M498" t="s">
        <v>554</v>
      </c>
      <c r="N498">
        <v>3</v>
      </c>
      <c r="O498" t="s">
        <v>3790</v>
      </c>
      <c r="P498" t="s">
        <v>3789</v>
      </c>
      <c r="Q498" t="s">
        <v>3788</v>
      </c>
      <c r="R498" s="7">
        <v>32509</v>
      </c>
      <c r="S498" s="8">
        <f t="shared" si="64"/>
        <v>1989</v>
      </c>
      <c r="T498" s="8">
        <v>1989</v>
      </c>
      <c r="U498" s="8">
        <f t="shared" si="65"/>
        <v>33</v>
      </c>
      <c r="V498" s="7">
        <v>32690</v>
      </c>
      <c r="W498" t="s">
        <v>2247</v>
      </c>
      <c r="X498" s="2">
        <v>0.111</v>
      </c>
      <c r="Y498" s="6">
        <f t="shared" si="62"/>
        <v>2.9630816048690639E-3</v>
      </c>
      <c r="AA498">
        <v>87566621</v>
      </c>
      <c r="AB498">
        <v>24890</v>
      </c>
      <c r="AC498">
        <v>15206424</v>
      </c>
      <c r="AD498" t="s">
        <v>5</v>
      </c>
      <c r="AE498">
        <v>72</v>
      </c>
      <c r="AF498">
        <v>7</v>
      </c>
      <c r="AH498" t="s">
        <v>3787</v>
      </c>
      <c r="AI498" t="s">
        <v>3786</v>
      </c>
      <c r="AK498" t="s">
        <v>3785</v>
      </c>
      <c r="AL498">
        <v>0</v>
      </c>
      <c r="AM498" s="5">
        <f t="shared" si="66"/>
        <v>0</v>
      </c>
      <c r="AN498" s="4">
        <f t="shared" si="63"/>
        <v>0</v>
      </c>
      <c r="AO498" s="3"/>
      <c r="AP498">
        <v>0</v>
      </c>
      <c r="AR498" t="s">
        <v>0</v>
      </c>
      <c r="AT498" s="2" t="s">
        <v>19</v>
      </c>
      <c r="AU498" s="1">
        <f t="shared" si="67"/>
        <v>0.20741571234083445</v>
      </c>
      <c r="AV498" s="1">
        <f t="shared" si="68"/>
        <v>0.1481540802434532</v>
      </c>
      <c r="AW498" s="1">
        <f t="shared" si="69"/>
        <v>8.8892448146071903E-2</v>
      </c>
    </row>
    <row r="499" spans="1:49" x14ac:dyDescent="0.2">
      <c r="A499">
        <v>497</v>
      </c>
      <c r="B499" t="s">
        <v>3784</v>
      </c>
      <c r="C499" t="s">
        <v>3783</v>
      </c>
      <c r="F499" t="s">
        <v>3782</v>
      </c>
      <c r="G499" t="s">
        <v>15</v>
      </c>
      <c r="H499" t="s">
        <v>14</v>
      </c>
      <c r="I499" t="s">
        <v>3781</v>
      </c>
      <c r="J499" t="s">
        <v>3780</v>
      </c>
      <c r="K499" t="s">
        <v>3779</v>
      </c>
      <c r="L499" t="s">
        <v>3778</v>
      </c>
      <c r="M499" t="s">
        <v>644</v>
      </c>
      <c r="N499">
        <v>2</v>
      </c>
      <c r="O499" t="s">
        <v>3777</v>
      </c>
      <c r="P499" t="s">
        <v>3776</v>
      </c>
      <c r="Q499" t="s">
        <v>3775</v>
      </c>
      <c r="R499" s="7">
        <v>32509</v>
      </c>
      <c r="S499" s="8">
        <f t="shared" si="64"/>
        <v>1989</v>
      </c>
      <c r="T499" s="8">
        <v>1989</v>
      </c>
      <c r="U499" s="8">
        <f t="shared" si="65"/>
        <v>33</v>
      </c>
      <c r="V499" s="7">
        <v>32690</v>
      </c>
      <c r="W499" t="s">
        <v>1996</v>
      </c>
      <c r="X499" s="2">
        <v>0.62</v>
      </c>
      <c r="Y499" s="6">
        <f t="shared" si="62"/>
        <v>1.6550545901070447E-2</v>
      </c>
      <c r="AA499">
        <v>189464</v>
      </c>
      <c r="AB499">
        <v>17364</v>
      </c>
      <c r="AC499">
        <v>19410069</v>
      </c>
      <c r="AD499" t="s">
        <v>5</v>
      </c>
      <c r="AE499">
        <v>25</v>
      </c>
      <c r="AF499">
        <v>4</v>
      </c>
      <c r="AH499" t="s">
        <v>3774</v>
      </c>
      <c r="AI499" t="s">
        <v>3773</v>
      </c>
      <c r="AK499" t="s">
        <v>3772</v>
      </c>
      <c r="AL499">
        <v>104</v>
      </c>
      <c r="AM499" s="5">
        <f t="shared" si="66"/>
        <v>3.1515151515151514</v>
      </c>
      <c r="AN499" s="4">
        <f t="shared" si="63"/>
        <v>4.7732149208862575E-3</v>
      </c>
      <c r="AO499" s="3"/>
      <c r="AP499">
        <v>0</v>
      </c>
      <c r="AQ499" t="s">
        <v>2130</v>
      </c>
      <c r="AR499" t="s">
        <v>3771</v>
      </c>
      <c r="AS499" t="s">
        <v>2129</v>
      </c>
      <c r="AT499" s="2">
        <v>1.7</v>
      </c>
      <c r="AU499" s="1">
        <f t="shared" si="67"/>
        <v>1.301734660701519</v>
      </c>
      <c r="AV499" s="1">
        <f t="shared" si="68"/>
        <v>1.0661880410978353</v>
      </c>
      <c r="AW499" s="1">
        <f t="shared" si="69"/>
        <v>0.83064142149415143</v>
      </c>
    </row>
    <row r="500" spans="1:49" x14ac:dyDescent="0.2">
      <c r="A500">
        <v>498</v>
      </c>
      <c r="B500" t="s">
        <v>3770</v>
      </c>
      <c r="C500" t="s">
        <v>3769</v>
      </c>
      <c r="F500" t="s">
        <v>3768</v>
      </c>
      <c r="G500" t="s">
        <v>15</v>
      </c>
      <c r="H500" t="s">
        <v>14</v>
      </c>
      <c r="I500" t="s">
        <v>3767</v>
      </c>
      <c r="J500" t="s">
        <v>3766</v>
      </c>
      <c r="K500" t="s">
        <v>3765</v>
      </c>
      <c r="L500" t="s">
        <v>3764</v>
      </c>
      <c r="M500" t="s">
        <v>554</v>
      </c>
      <c r="N500">
        <v>4</v>
      </c>
      <c r="O500" t="s">
        <v>3763</v>
      </c>
      <c r="P500" t="s">
        <v>3762</v>
      </c>
      <c r="Q500" t="s">
        <v>3761</v>
      </c>
      <c r="R500" s="7">
        <v>32509</v>
      </c>
      <c r="S500" s="8">
        <f t="shared" si="64"/>
        <v>1989</v>
      </c>
      <c r="T500" s="8">
        <v>1989</v>
      </c>
      <c r="U500" s="8">
        <f t="shared" si="65"/>
        <v>33</v>
      </c>
      <c r="V500" s="7">
        <v>32690</v>
      </c>
      <c r="W500" t="s">
        <v>2247</v>
      </c>
      <c r="X500" s="2">
        <v>0.111</v>
      </c>
      <c r="Y500" s="6">
        <f t="shared" si="62"/>
        <v>2.9630816048690639E-3</v>
      </c>
      <c r="AA500">
        <v>87566621</v>
      </c>
      <c r="AB500">
        <v>24890</v>
      </c>
      <c r="AC500">
        <v>15206424</v>
      </c>
      <c r="AD500" t="s">
        <v>5</v>
      </c>
      <c r="AE500">
        <v>72</v>
      </c>
      <c r="AF500">
        <v>7</v>
      </c>
      <c r="AH500" t="s">
        <v>3760</v>
      </c>
      <c r="AI500" t="s">
        <v>3759</v>
      </c>
      <c r="AK500" t="s">
        <v>3758</v>
      </c>
      <c r="AL500">
        <v>2</v>
      </c>
      <c r="AM500" s="5">
        <f t="shared" si="66"/>
        <v>6.0606060606060608E-2</v>
      </c>
      <c r="AN500" s="4">
        <f t="shared" si="63"/>
        <v>9.1792594632428032E-5</v>
      </c>
      <c r="AO500" s="3"/>
      <c r="AP500">
        <v>0</v>
      </c>
      <c r="AR500" t="s">
        <v>0</v>
      </c>
      <c r="AT500" s="2" t="s">
        <v>19</v>
      </c>
      <c r="AU500" s="1">
        <f t="shared" si="67"/>
        <v>0.21016949017980727</v>
      </c>
      <c r="AV500" s="1">
        <f t="shared" si="68"/>
        <v>0.15274370997507461</v>
      </c>
      <c r="AW500" s="1">
        <f t="shared" si="69"/>
        <v>9.5317929770341869E-2</v>
      </c>
    </row>
    <row r="501" spans="1:49" x14ac:dyDescent="0.2">
      <c r="A501">
        <v>499</v>
      </c>
      <c r="B501" t="s">
        <v>3757</v>
      </c>
      <c r="C501" t="s">
        <v>3756</v>
      </c>
      <c r="D501" t="s">
        <v>3755</v>
      </c>
      <c r="F501" t="s">
        <v>3754</v>
      </c>
      <c r="G501" t="s">
        <v>15</v>
      </c>
      <c r="H501" t="s">
        <v>14</v>
      </c>
      <c r="I501" t="s">
        <v>3753</v>
      </c>
      <c r="J501">
        <v>60013372</v>
      </c>
      <c r="K501" t="s">
        <v>1796</v>
      </c>
      <c r="L501" t="s">
        <v>1795</v>
      </c>
      <c r="M501" t="s">
        <v>23</v>
      </c>
      <c r="N501">
        <v>1</v>
      </c>
      <c r="O501" t="s">
        <v>3752</v>
      </c>
      <c r="P501">
        <v>56034208100</v>
      </c>
      <c r="Q501">
        <v>60013372</v>
      </c>
      <c r="R501" s="7">
        <v>32509</v>
      </c>
      <c r="S501" s="8">
        <f t="shared" si="64"/>
        <v>1989</v>
      </c>
      <c r="T501" s="8">
        <v>1989</v>
      </c>
      <c r="U501" s="8">
        <f t="shared" si="65"/>
        <v>33</v>
      </c>
      <c r="V501" s="7">
        <v>32690</v>
      </c>
      <c r="W501" t="s">
        <v>750</v>
      </c>
      <c r="X501" s="2" t="s">
        <v>19</v>
      </c>
      <c r="Y501" s="6" t="e">
        <f t="shared" si="62"/>
        <v>#VALUE!</v>
      </c>
      <c r="AA501">
        <v>200891</v>
      </c>
      <c r="AB501">
        <v>33360</v>
      </c>
      <c r="AD501" t="s">
        <v>5</v>
      </c>
      <c r="AE501">
        <v>29</v>
      </c>
      <c r="AF501">
        <v>5</v>
      </c>
      <c r="AH501" t="s">
        <v>3751</v>
      </c>
      <c r="AI501" t="s">
        <v>3750</v>
      </c>
      <c r="AK501" t="s">
        <v>3749</v>
      </c>
      <c r="AL501">
        <v>32</v>
      </c>
      <c r="AM501" s="5">
        <f t="shared" si="66"/>
        <v>0.96969696969696972</v>
      </c>
      <c r="AN501" s="4">
        <f t="shared" si="63"/>
        <v>1.4686815141188485E-3</v>
      </c>
      <c r="AO501" s="3"/>
      <c r="AP501">
        <v>0</v>
      </c>
      <c r="AR501" t="s">
        <v>0</v>
      </c>
      <c r="AT501" s="2" t="s">
        <v>19</v>
      </c>
      <c r="AU501" s="1" t="e">
        <f t="shared" si="67"/>
        <v>#VALUE!</v>
      </c>
      <c r="AV501" s="1" t="e">
        <f t="shared" si="68"/>
        <v>#VALUE!</v>
      </c>
      <c r="AW501" s="1" t="e">
        <f t="shared" si="69"/>
        <v>#VALUE!</v>
      </c>
    </row>
    <row r="502" spans="1:49" x14ac:dyDescent="0.2">
      <c r="A502">
        <v>500</v>
      </c>
      <c r="B502" t="s">
        <v>3748</v>
      </c>
      <c r="C502" t="s">
        <v>3747</v>
      </c>
      <c r="D502">
        <v>141029689900011</v>
      </c>
      <c r="F502" t="s">
        <v>3746</v>
      </c>
      <c r="G502" t="s">
        <v>15</v>
      </c>
      <c r="H502" t="s">
        <v>14</v>
      </c>
      <c r="I502" t="s">
        <v>3745</v>
      </c>
      <c r="J502">
        <v>60028868</v>
      </c>
      <c r="K502" t="s">
        <v>3744</v>
      </c>
      <c r="L502" t="s">
        <v>3743</v>
      </c>
      <c r="M502" t="s">
        <v>101</v>
      </c>
      <c r="N502">
        <v>1</v>
      </c>
      <c r="O502" t="s">
        <v>3742</v>
      </c>
      <c r="P502">
        <v>7202583008</v>
      </c>
      <c r="Q502">
        <v>60028868</v>
      </c>
      <c r="R502" s="7">
        <v>32509</v>
      </c>
      <c r="S502" s="8">
        <f t="shared" si="64"/>
        <v>1989</v>
      </c>
      <c r="T502" s="8">
        <v>1989</v>
      </c>
      <c r="U502" s="8">
        <f t="shared" si="65"/>
        <v>33</v>
      </c>
      <c r="V502" s="7">
        <v>32690</v>
      </c>
      <c r="W502" t="s">
        <v>3741</v>
      </c>
      <c r="X502" s="2">
        <v>1.5669999999999999</v>
      </c>
      <c r="Y502" s="6">
        <f t="shared" si="62"/>
        <v>4.1830170043511916E-2</v>
      </c>
      <c r="AA502">
        <v>1410296</v>
      </c>
      <c r="AB502">
        <v>15652</v>
      </c>
      <c r="AD502" t="s">
        <v>5</v>
      </c>
      <c r="AE502">
        <v>11</v>
      </c>
      <c r="AF502">
        <v>3</v>
      </c>
      <c r="AH502" t="s">
        <v>3740</v>
      </c>
      <c r="AI502" t="s">
        <v>3739</v>
      </c>
      <c r="AJ502" t="s">
        <v>3738</v>
      </c>
      <c r="AK502" t="s">
        <v>3737</v>
      </c>
      <c r="AL502">
        <v>2</v>
      </c>
      <c r="AM502" s="5">
        <f t="shared" si="66"/>
        <v>6.0606060606060608E-2</v>
      </c>
      <c r="AN502" s="4">
        <f t="shared" si="63"/>
        <v>9.1792594632428032E-5</v>
      </c>
      <c r="AO502" s="3"/>
      <c r="AP502">
        <v>0</v>
      </c>
      <c r="AR502" t="s">
        <v>0</v>
      </c>
      <c r="AT502" s="2">
        <v>4.4710000000000001</v>
      </c>
      <c r="AU502" s="1">
        <f t="shared" si="67"/>
        <v>2.9308656808848066</v>
      </c>
      <c r="AV502" s="1">
        <f t="shared" si="68"/>
        <v>2.0960981319072172</v>
      </c>
      <c r="AW502" s="1">
        <f t="shared" si="69"/>
        <v>1.2613305829296273</v>
      </c>
    </row>
    <row r="503" spans="1:49" x14ac:dyDescent="0.2">
      <c r="A503">
        <v>501</v>
      </c>
      <c r="B503" t="s">
        <v>3736</v>
      </c>
      <c r="C503" t="s">
        <v>3735</v>
      </c>
      <c r="F503" t="s">
        <v>3734</v>
      </c>
      <c r="G503" t="s">
        <v>15</v>
      </c>
      <c r="H503" t="s">
        <v>14</v>
      </c>
      <c r="I503" t="s">
        <v>3733</v>
      </c>
      <c r="J503">
        <v>60005429</v>
      </c>
      <c r="K503" t="s">
        <v>901</v>
      </c>
      <c r="L503" t="s">
        <v>900</v>
      </c>
      <c r="M503" t="s">
        <v>899</v>
      </c>
      <c r="N503">
        <v>2</v>
      </c>
      <c r="O503" t="s">
        <v>3732</v>
      </c>
      <c r="P503" t="s">
        <v>3731</v>
      </c>
      <c r="Q503" t="s">
        <v>3730</v>
      </c>
      <c r="R503" s="7">
        <v>32509</v>
      </c>
      <c r="S503" s="8">
        <f t="shared" si="64"/>
        <v>1989</v>
      </c>
      <c r="T503" s="8">
        <v>1989</v>
      </c>
      <c r="U503" s="8">
        <f t="shared" si="65"/>
        <v>33</v>
      </c>
      <c r="V503" s="7">
        <v>32690</v>
      </c>
      <c r="W503" t="s">
        <v>1996</v>
      </c>
      <c r="X503" s="2">
        <v>0.62</v>
      </c>
      <c r="Y503" s="6">
        <f t="shared" si="62"/>
        <v>1.6550545901070447E-2</v>
      </c>
      <c r="AA503">
        <v>189464</v>
      </c>
      <c r="AB503">
        <v>17364</v>
      </c>
      <c r="AC503">
        <v>19410069</v>
      </c>
      <c r="AD503" t="s">
        <v>5</v>
      </c>
      <c r="AE503">
        <v>25</v>
      </c>
      <c r="AF503">
        <v>4</v>
      </c>
      <c r="AH503" t="s">
        <v>3729</v>
      </c>
      <c r="AI503" t="s">
        <v>3728</v>
      </c>
      <c r="AK503" t="s">
        <v>3727</v>
      </c>
      <c r="AL503">
        <v>2</v>
      </c>
      <c r="AM503" s="5">
        <f t="shared" si="66"/>
        <v>6.0606060606060608E-2</v>
      </c>
      <c r="AN503" s="4">
        <f t="shared" si="63"/>
        <v>9.1792594632428032E-5</v>
      </c>
      <c r="AO503" s="3"/>
      <c r="AP503">
        <v>0</v>
      </c>
      <c r="AR503" t="s">
        <v>3726</v>
      </c>
      <c r="AT503" s="2">
        <v>1.7</v>
      </c>
      <c r="AU503" s="1">
        <f t="shared" si="67"/>
        <v>1.1612919909139041</v>
      </c>
      <c r="AV503" s="1">
        <f t="shared" si="68"/>
        <v>0.83211692478514365</v>
      </c>
      <c r="AW503" s="1">
        <f t="shared" si="69"/>
        <v>0.50294185865638341</v>
      </c>
    </row>
    <row r="504" spans="1:49" x14ac:dyDescent="0.2">
      <c r="A504">
        <v>502</v>
      </c>
      <c r="B504" t="s">
        <v>3725</v>
      </c>
      <c r="C504" t="s">
        <v>3724</v>
      </c>
      <c r="F504" t="s">
        <v>3723</v>
      </c>
      <c r="G504" t="s">
        <v>15</v>
      </c>
      <c r="H504" t="s">
        <v>14</v>
      </c>
      <c r="I504" t="s">
        <v>3722</v>
      </c>
      <c r="J504" t="s">
        <v>3717</v>
      </c>
      <c r="K504" t="s">
        <v>3721</v>
      </c>
      <c r="L504" t="s">
        <v>3720</v>
      </c>
      <c r="M504" t="s">
        <v>86</v>
      </c>
      <c r="N504">
        <v>2</v>
      </c>
      <c r="O504" t="s">
        <v>3719</v>
      </c>
      <c r="P504" t="s">
        <v>3718</v>
      </c>
      <c r="Q504" t="s">
        <v>3717</v>
      </c>
      <c r="R504" s="7">
        <v>32509</v>
      </c>
      <c r="S504" s="8">
        <f t="shared" si="64"/>
        <v>1989</v>
      </c>
      <c r="T504" s="8">
        <v>1989</v>
      </c>
      <c r="U504" s="8">
        <f t="shared" si="65"/>
        <v>33</v>
      </c>
      <c r="V504" s="7">
        <v>32690</v>
      </c>
      <c r="W504" t="s">
        <v>778</v>
      </c>
      <c r="X504" s="2">
        <v>1.6519999999999999</v>
      </c>
      <c r="Y504" s="6">
        <f t="shared" si="62"/>
        <v>4.409919649769093E-2</v>
      </c>
      <c r="AA504" t="s">
        <v>777</v>
      </c>
      <c r="AB504">
        <v>17337</v>
      </c>
      <c r="AC504">
        <v>15582221</v>
      </c>
      <c r="AD504" t="s">
        <v>5</v>
      </c>
      <c r="AE504">
        <v>37</v>
      </c>
      <c r="AF504">
        <v>7</v>
      </c>
      <c r="AH504" t="s">
        <v>3716</v>
      </c>
      <c r="AI504" t="s">
        <v>3715</v>
      </c>
      <c r="AK504" t="s">
        <v>3714</v>
      </c>
      <c r="AL504">
        <v>7</v>
      </c>
      <c r="AM504" s="5">
        <f t="shared" si="66"/>
        <v>0.21212121212121213</v>
      </c>
      <c r="AN504" s="4">
        <f t="shared" si="63"/>
        <v>3.2127408121349809E-4</v>
      </c>
      <c r="AO504" s="3"/>
      <c r="AP504">
        <v>0</v>
      </c>
      <c r="AR504" t="s">
        <v>0</v>
      </c>
      <c r="AT504" s="2" t="s">
        <v>19</v>
      </c>
      <c r="AU504" s="1">
        <f t="shared" si="67"/>
        <v>3.09658197727477</v>
      </c>
      <c r="AV504" s="1">
        <f t="shared" si="68"/>
        <v>2.2210235289452216</v>
      </c>
      <c r="AW504" s="1">
        <f t="shared" si="69"/>
        <v>1.3454650806156727</v>
      </c>
    </row>
    <row r="505" spans="1:49" x14ac:dyDescent="0.2">
      <c r="A505">
        <v>503</v>
      </c>
      <c r="B505" t="s">
        <v>3713</v>
      </c>
      <c r="C505" t="s">
        <v>3712</v>
      </c>
      <c r="F505" t="s">
        <v>3711</v>
      </c>
      <c r="G505" t="s">
        <v>15</v>
      </c>
      <c r="H505" t="s">
        <v>14</v>
      </c>
      <c r="I505" t="s">
        <v>3710</v>
      </c>
      <c r="J505" t="s">
        <v>3709</v>
      </c>
      <c r="K505" t="s">
        <v>3708</v>
      </c>
      <c r="L505" t="s">
        <v>3707</v>
      </c>
      <c r="M505" t="s">
        <v>86</v>
      </c>
      <c r="N505">
        <v>4</v>
      </c>
      <c r="O505" t="s">
        <v>3706</v>
      </c>
      <c r="P505" t="s">
        <v>3705</v>
      </c>
      <c r="Q505" t="s">
        <v>3704</v>
      </c>
      <c r="R505" s="7">
        <v>32509</v>
      </c>
      <c r="S505" s="8">
        <f t="shared" si="64"/>
        <v>1989</v>
      </c>
      <c r="T505" s="8">
        <v>1989</v>
      </c>
      <c r="U505" s="8">
        <f t="shared" si="65"/>
        <v>33</v>
      </c>
      <c r="V505" s="7">
        <v>32690</v>
      </c>
      <c r="W505" t="s">
        <v>538</v>
      </c>
      <c r="X505" s="2">
        <v>1.774</v>
      </c>
      <c r="Y505" s="6">
        <f t="shared" si="62"/>
        <v>4.7355916820159633E-2</v>
      </c>
      <c r="AA505">
        <v>295515</v>
      </c>
      <c r="AB505">
        <v>29066</v>
      </c>
      <c r="AC505">
        <v>17414326</v>
      </c>
      <c r="AD505" t="s">
        <v>5</v>
      </c>
      <c r="AE505">
        <v>29</v>
      </c>
      <c r="AF505">
        <v>7</v>
      </c>
      <c r="AH505" t="s">
        <v>3703</v>
      </c>
      <c r="AI505" t="s">
        <v>3702</v>
      </c>
      <c r="AK505" t="s">
        <v>3701</v>
      </c>
      <c r="AL505">
        <v>1</v>
      </c>
      <c r="AM505" s="5">
        <f t="shared" si="66"/>
        <v>3.0303030303030304E-2</v>
      </c>
      <c r="AN505" s="4">
        <f t="shared" si="63"/>
        <v>4.5896297316214016E-5</v>
      </c>
      <c r="AO505" s="3"/>
      <c r="AP505">
        <v>0</v>
      </c>
      <c r="AR505" t="s">
        <v>0</v>
      </c>
      <c r="AT505" s="2">
        <v>3.1789999999999998</v>
      </c>
      <c r="AU505" s="1">
        <f t="shared" si="67"/>
        <v>3.3162910663306602</v>
      </c>
      <c r="AV505" s="1">
        <f t="shared" si="68"/>
        <v>2.3700906558737924</v>
      </c>
      <c r="AW505" s="1">
        <f t="shared" si="69"/>
        <v>1.4238902454169238</v>
      </c>
    </row>
    <row r="506" spans="1:49" x14ac:dyDescent="0.2">
      <c r="A506">
        <v>504</v>
      </c>
      <c r="B506" t="s">
        <v>3700</v>
      </c>
      <c r="C506" t="s">
        <v>3699</v>
      </c>
      <c r="F506" t="s">
        <v>3698</v>
      </c>
      <c r="G506" t="s">
        <v>15</v>
      </c>
      <c r="H506" t="s">
        <v>14</v>
      </c>
      <c r="I506" t="s">
        <v>3697</v>
      </c>
      <c r="J506">
        <v>60000745</v>
      </c>
      <c r="K506" t="s">
        <v>769</v>
      </c>
      <c r="L506" t="s">
        <v>768</v>
      </c>
      <c r="M506" t="s">
        <v>23</v>
      </c>
      <c r="N506">
        <v>2</v>
      </c>
      <c r="O506" t="s">
        <v>3696</v>
      </c>
      <c r="P506" t="s">
        <v>3695</v>
      </c>
      <c r="Q506" t="s">
        <v>765</v>
      </c>
      <c r="R506" s="7">
        <v>32509</v>
      </c>
      <c r="S506" s="8">
        <f t="shared" si="64"/>
        <v>1989</v>
      </c>
      <c r="T506" s="8">
        <v>1989</v>
      </c>
      <c r="U506" s="8">
        <f t="shared" si="65"/>
        <v>33</v>
      </c>
      <c r="V506" s="7">
        <v>32690</v>
      </c>
      <c r="W506" t="s">
        <v>778</v>
      </c>
      <c r="X506" s="2">
        <v>1.6519999999999999</v>
      </c>
      <c r="Y506" s="6">
        <f t="shared" si="62"/>
        <v>4.409919649769093E-2</v>
      </c>
      <c r="AA506" t="s">
        <v>777</v>
      </c>
      <c r="AB506">
        <v>17337</v>
      </c>
      <c r="AC506">
        <v>15582221</v>
      </c>
      <c r="AD506" t="s">
        <v>5</v>
      </c>
      <c r="AE506">
        <v>37</v>
      </c>
      <c r="AF506">
        <v>7</v>
      </c>
      <c r="AH506" t="s">
        <v>3694</v>
      </c>
      <c r="AI506" t="s">
        <v>3693</v>
      </c>
      <c r="AK506" t="s">
        <v>3692</v>
      </c>
      <c r="AL506">
        <v>21</v>
      </c>
      <c r="AM506" s="5">
        <f t="shared" si="66"/>
        <v>0.63636363636363635</v>
      </c>
      <c r="AN506" s="4">
        <f t="shared" si="63"/>
        <v>9.6382224364049431E-4</v>
      </c>
      <c r="AO506" s="3"/>
      <c r="AP506">
        <v>0</v>
      </c>
      <c r="AR506" t="s">
        <v>0</v>
      </c>
      <c r="AT506" s="2" t="s">
        <v>19</v>
      </c>
      <c r="AU506" s="1">
        <f t="shared" si="67"/>
        <v>3.1158584221475798</v>
      </c>
      <c r="AV506" s="1">
        <f t="shared" si="68"/>
        <v>2.2531509370665712</v>
      </c>
      <c r="AW506" s="1">
        <f t="shared" si="69"/>
        <v>1.3904434519855624</v>
      </c>
    </row>
    <row r="507" spans="1:49" x14ac:dyDescent="0.2">
      <c r="A507">
        <v>505</v>
      </c>
      <c r="B507" t="s">
        <v>3691</v>
      </c>
      <c r="C507" t="s">
        <v>3690</v>
      </c>
      <c r="F507" t="s">
        <v>3689</v>
      </c>
      <c r="G507" t="s">
        <v>15</v>
      </c>
      <c r="H507" t="s">
        <v>14</v>
      </c>
      <c r="I507" t="s">
        <v>3688</v>
      </c>
      <c r="J507">
        <v>60015331</v>
      </c>
      <c r="K507" t="s">
        <v>3687</v>
      </c>
      <c r="L507" t="s">
        <v>3686</v>
      </c>
      <c r="M507" t="s">
        <v>2025</v>
      </c>
      <c r="N507">
        <v>2</v>
      </c>
      <c r="O507" t="s">
        <v>3685</v>
      </c>
      <c r="P507" t="s">
        <v>3684</v>
      </c>
      <c r="Q507" t="s">
        <v>3683</v>
      </c>
      <c r="R507" s="7">
        <v>32509</v>
      </c>
      <c r="S507" s="8">
        <f t="shared" si="64"/>
        <v>1989</v>
      </c>
      <c r="T507" s="8">
        <v>1989</v>
      </c>
      <c r="U507" s="8">
        <f t="shared" si="65"/>
        <v>33</v>
      </c>
      <c r="V507" s="7">
        <v>32690</v>
      </c>
      <c r="W507" t="s">
        <v>778</v>
      </c>
      <c r="X507" s="2">
        <v>1.6519999999999999</v>
      </c>
      <c r="Y507" s="6">
        <f t="shared" si="62"/>
        <v>4.409919649769093E-2</v>
      </c>
      <c r="AA507" t="s">
        <v>777</v>
      </c>
      <c r="AB507">
        <v>17337</v>
      </c>
      <c r="AC507">
        <v>15582221</v>
      </c>
      <c r="AD507" t="s">
        <v>5</v>
      </c>
      <c r="AE507">
        <v>37</v>
      </c>
      <c r="AF507">
        <v>7</v>
      </c>
      <c r="AH507" t="s">
        <v>3682</v>
      </c>
      <c r="AI507" t="s">
        <v>3681</v>
      </c>
      <c r="AK507" t="s">
        <v>3680</v>
      </c>
      <c r="AL507">
        <v>9</v>
      </c>
      <c r="AM507" s="5">
        <f t="shared" si="66"/>
        <v>0.27272727272727271</v>
      </c>
      <c r="AN507" s="4">
        <f t="shared" si="63"/>
        <v>4.1306667584592612E-4</v>
      </c>
      <c r="AO507" s="3"/>
      <c r="AP507">
        <v>0</v>
      </c>
      <c r="AR507" t="s">
        <v>0</v>
      </c>
      <c r="AT507" s="2" t="s">
        <v>19</v>
      </c>
      <c r="AU507" s="1">
        <f t="shared" si="67"/>
        <v>3.099335755113743</v>
      </c>
      <c r="AV507" s="1">
        <f t="shared" si="68"/>
        <v>2.2256131586768428</v>
      </c>
      <c r="AW507" s="1">
        <f t="shared" si="69"/>
        <v>1.3518905622399426</v>
      </c>
    </row>
    <row r="508" spans="1:49" x14ac:dyDescent="0.2">
      <c r="A508">
        <v>506</v>
      </c>
      <c r="B508" t="s">
        <v>3679</v>
      </c>
      <c r="C508" t="s">
        <v>3678</v>
      </c>
      <c r="F508" t="s">
        <v>3677</v>
      </c>
      <c r="G508" t="s">
        <v>15</v>
      </c>
      <c r="H508" t="s">
        <v>14</v>
      </c>
      <c r="I508" t="s">
        <v>3676</v>
      </c>
      <c r="J508" t="s">
        <v>3671</v>
      </c>
      <c r="K508" t="s">
        <v>3675</v>
      </c>
      <c r="L508" t="s">
        <v>3674</v>
      </c>
      <c r="M508" t="s">
        <v>86</v>
      </c>
      <c r="N508">
        <v>2</v>
      </c>
      <c r="O508" t="s">
        <v>3673</v>
      </c>
      <c r="P508" t="s">
        <v>3672</v>
      </c>
      <c r="Q508" t="s">
        <v>3671</v>
      </c>
      <c r="R508" s="7">
        <v>32509</v>
      </c>
      <c r="S508" s="8">
        <f t="shared" si="64"/>
        <v>1989</v>
      </c>
      <c r="T508" s="8">
        <v>1989</v>
      </c>
      <c r="U508" s="8">
        <f t="shared" si="65"/>
        <v>33</v>
      </c>
      <c r="V508" s="7">
        <v>32690</v>
      </c>
      <c r="W508" t="s">
        <v>778</v>
      </c>
      <c r="X508" s="2">
        <v>1.6519999999999999</v>
      </c>
      <c r="Y508" s="6">
        <f t="shared" si="62"/>
        <v>4.409919649769093E-2</v>
      </c>
      <c r="AA508" t="s">
        <v>777</v>
      </c>
      <c r="AB508">
        <v>17337</v>
      </c>
      <c r="AC508">
        <v>15582221</v>
      </c>
      <c r="AD508" t="s">
        <v>5</v>
      </c>
      <c r="AE508">
        <v>37</v>
      </c>
      <c r="AF508">
        <v>7</v>
      </c>
      <c r="AH508" t="s">
        <v>3670</v>
      </c>
      <c r="AI508" t="s">
        <v>3669</v>
      </c>
      <c r="AK508" t="s">
        <v>3668</v>
      </c>
      <c r="AL508">
        <v>3</v>
      </c>
      <c r="AM508" s="5">
        <f t="shared" si="66"/>
        <v>9.0909090909090912E-2</v>
      </c>
      <c r="AN508" s="4">
        <f t="shared" si="63"/>
        <v>1.3768889194864205E-4</v>
      </c>
      <c r="AO508" s="3"/>
      <c r="AP508">
        <v>0</v>
      </c>
      <c r="AR508" t="s">
        <v>0</v>
      </c>
      <c r="AT508" s="2" t="s">
        <v>19</v>
      </c>
      <c r="AU508" s="1">
        <f t="shared" si="67"/>
        <v>3.0910744215968244</v>
      </c>
      <c r="AV508" s="1">
        <f t="shared" si="68"/>
        <v>2.2118442694819787</v>
      </c>
      <c r="AW508" s="1">
        <f t="shared" si="69"/>
        <v>1.3326141173671326</v>
      </c>
    </row>
    <row r="509" spans="1:49" x14ac:dyDescent="0.2">
      <c r="A509">
        <v>507</v>
      </c>
      <c r="B509" t="s">
        <v>3667</v>
      </c>
      <c r="C509" t="s">
        <v>3666</v>
      </c>
      <c r="F509" t="s">
        <v>3665</v>
      </c>
      <c r="G509" t="s">
        <v>15</v>
      </c>
      <c r="H509" t="s">
        <v>14</v>
      </c>
      <c r="I509" t="s">
        <v>3664</v>
      </c>
      <c r="J509">
        <v>60026340</v>
      </c>
      <c r="K509" t="s">
        <v>3663</v>
      </c>
      <c r="L509" t="s">
        <v>3060</v>
      </c>
      <c r="M509" t="s">
        <v>1940</v>
      </c>
      <c r="N509">
        <v>2</v>
      </c>
      <c r="O509" t="s">
        <v>3662</v>
      </c>
      <c r="P509" t="s">
        <v>3661</v>
      </c>
      <c r="Q509" t="s">
        <v>3660</v>
      </c>
      <c r="R509" s="7">
        <v>32509</v>
      </c>
      <c r="S509" s="8">
        <f t="shared" si="64"/>
        <v>1989</v>
      </c>
      <c r="T509" s="8">
        <v>1989</v>
      </c>
      <c r="U509" s="8">
        <f t="shared" si="65"/>
        <v>33</v>
      </c>
      <c r="V509" s="7">
        <v>32690</v>
      </c>
      <c r="W509" t="s">
        <v>895</v>
      </c>
      <c r="X509" s="2">
        <v>1.6379999999999999</v>
      </c>
      <c r="Y509" s="6">
        <f t="shared" si="62"/>
        <v>4.3725474493473214E-2</v>
      </c>
      <c r="AA509">
        <v>963518</v>
      </c>
      <c r="AB509">
        <v>31560</v>
      </c>
      <c r="AD509" t="s">
        <v>5</v>
      </c>
      <c r="AE509">
        <v>37</v>
      </c>
      <c r="AF509">
        <v>7</v>
      </c>
      <c r="AH509" t="s">
        <v>3659</v>
      </c>
      <c r="AI509" t="s">
        <v>3658</v>
      </c>
      <c r="AK509" t="s">
        <v>3657</v>
      </c>
      <c r="AL509">
        <v>179</v>
      </c>
      <c r="AM509" s="5">
        <f t="shared" si="66"/>
        <v>5.4242424242424239</v>
      </c>
      <c r="AN509" s="4">
        <f t="shared" si="63"/>
        <v>8.2154372196023076E-3</v>
      </c>
      <c r="AO509" s="3"/>
      <c r="AP509">
        <v>0</v>
      </c>
      <c r="AR509" t="s">
        <v>0</v>
      </c>
      <c r="AT509" s="2" t="s">
        <v>19</v>
      </c>
      <c r="AU509" s="1">
        <f t="shared" si="67"/>
        <v>3.3072463311311937</v>
      </c>
      <c r="AV509" s="1">
        <f t="shared" si="68"/>
        <v>2.5970455856537762</v>
      </c>
      <c r="AW509" s="1">
        <f t="shared" si="69"/>
        <v>1.8868448401763578</v>
      </c>
    </row>
    <row r="510" spans="1:49" x14ac:dyDescent="0.2">
      <c r="A510">
        <v>508</v>
      </c>
      <c r="B510" t="s">
        <v>3656</v>
      </c>
      <c r="C510" t="s">
        <v>3655</v>
      </c>
      <c r="F510" t="s">
        <v>3654</v>
      </c>
      <c r="G510" t="s">
        <v>15</v>
      </c>
      <c r="H510" t="s">
        <v>14</v>
      </c>
      <c r="I510" t="s">
        <v>3653</v>
      </c>
      <c r="J510">
        <v>60028668</v>
      </c>
      <c r="K510" t="s">
        <v>3652</v>
      </c>
      <c r="L510" t="s">
        <v>3651</v>
      </c>
      <c r="M510" t="s">
        <v>23</v>
      </c>
      <c r="N510">
        <v>1</v>
      </c>
      <c r="O510" t="s">
        <v>3650</v>
      </c>
      <c r="P510">
        <v>7103160896</v>
      </c>
      <c r="Q510">
        <v>60028668</v>
      </c>
      <c r="R510" s="7">
        <v>32509</v>
      </c>
      <c r="S510" s="8">
        <f t="shared" si="64"/>
        <v>1989</v>
      </c>
      <c r="T510" s="8">
        <v>1989</v>
      </c>
      <c r="U510" s="8">
        <f t="shared" si="65"/>
        <v>33</v>
      </c>
      <c r="V510" s="7">
        <v>32690</v>
      </c>
      <c r="W510" t="s">
        <v>2866</v>
      </c>
      <c r="X510" s="2">
        <v>1.137</v>
      </c>
      <c r="Y510" s="6">
        <f t="shared" si="62"/>
        <v>3.0351565628253384E-2</v>
      </c>
      <c r="AA510">
        <v>189251</v>
      </c>
      <c r="AB510">
        <v>17336</v>
      </c>
      <c r="AD510" t="s">
        <v>5</v>
      </c>
      <c r="AE510">
        <v>25</v>
      </c>
      <c r="AF510">
        <v>4</v>
      </c>
      <c r="AH510" t="s">
        <v>3649</v>
      </c>
      <c r="AI510" t="s">
        <v>3648</v>
      </c>
      <c r="AK510" t="s">
        <v>3647</v>
      </c>
      <c r="AL510">
        <v>10</v>
      </c>
      <c r="AM510" s="5">
        <f t="shared" si="66"/>
        <v>0.30303030303030304</v>
      </c>
      <c r="AN510" s="4">
        <f t="shared" si="63"/>
        <v>4.5896297316214016E-4</v>
      </c>
      <c r="AO510" s="3"/>
      <c r="AP510">
        <v>0</v>
      </c>
      <c r="AR510" t="s">
        <v>0</v>
      </c>
      <c r="AT510" s="2" t="s">
        <v>19</v>
      </c>
      <c r="AU510" s="1">
        <f t="shared" si="67"/>
        <v>2.1383784831726005</v>
      </c>
      <c r="AV510" s="1">
        <f t="shared" si="68"/>
        <v>1.5405264300707762</v>
      </c>
      <c r="AW510" s="1">
        <f t="shared" si="69"/>
        <v>0.94267437696895129</v>
      </c>
    </row>
    <row r="511" spans="1:49" x14ac:dyDescent="0.2">
      <c r="A511">
        <v>509</v>
      </c>
      <c r="B511" t="s">
        <v>3646</v>
      </c>
      <c r="C511" t="s">
        <v>3645</v>
      </c>
      <c r="F511" t="s">
        <v>3644</v>
      </c>
      <c r="G511" t="s">
        <v>15</v>
      </c>
      <c r="H511" t="s">
        <v>14</v>
      </c>
      <c r="I511" t="s">
        <v>3643</v>
      </c>
      <c r="J511">
        <v>60025778</v>
      </c>
      <c r="K511" t="s">
        <v>1726</v>
      </c>
      <c r="L511" t="s">
        <v>1142</v>
      </c>
      <c r="M511" t="s">
        <v>23</v>
      </c>
      <c r="N511">
        <v>2</v>
      </c>
      <c r="O511" t="s">
        <v>3642</v>
      </c>
      <c r="P511" t="s">
        <v>3641</v>
      </c>
      <c r="Q511" t="s">
        <v>3640</v>
      </c>
      <c r="R511" s="7">
        <v>32509</v>
      </c>
      <c r="S511" s="8">
        <f t="shared" si="64"/>
        <v>1989</v>
      </c>
      <c r="T511" s="8">
        <v>1989</v>
      </c>
      <c r="U511" s="8">
        <f t="shared" si="65"/>
        <v>33</v>
      </c>
      <c r="V511" s="7">
        <v>32690</v>
      </c>
      <c r="W511" t="s">
        <v>778</v>
      </c>
      <c r="X511" s="2">
        <v>1.6519999999999999</v>
      </c>
      <c r="Y511" s="6">
        <f t="shared" si="62"/>
        <v>4.409919649769093E-2</v>
      </c>
      <c r="AA511" t="s">
        <v>777</v>
      </c>
      <c r="AB511">
        <v>17337</v>
      </c>
      <c r="AC511">
        <v>15582221</v>
      </c>
      <c r="AD511" t="s">
        <v>5</v>
      </c>
      <c r="AE511">
        <v>37</v>
      </c>
      <c r="AF511">
        <v>7</v>
      </c>
      <c r="AH511" t="s">
        <v>3639</v>
      </c>
      <c r="AI511" t="s">
        <v>3638</v>
      </c>
      <c r="AK511" t="s">
        <v>3637</v>
      </c>
      <c r="AL511">
        <v>16</v>
      </c>
      <c r="AM511" s="5">
        <f t="shared" si="66"/>
        <v>0.48484848484848486</v>
      </c>
      <c r="AN511" s="4">
        <f t="shared" si="63"/>
        <v>7.3434075705942426E-4</v>
      </c>
      <c r="AO511" s="3"/>
      <c r="AP511">
        <v>0</v>
      </c>
      <c r="AR511" t="s">
        <v>0</v>
      </c>
      <c r="AT511" s="2" t="s">
        <v>19</v>
      </c>
      <c r="AU511" s="1">
        <f t="shared" si="67"/>
        <v>3.1089739775501477</v>
      </c>
      <c r="AV511" s="1">
        <f t="shared" si="68"/>
        <v>2.2416768627375174</v>
      </c>
      <c r="AW511" s="1">
        <f t="shared" si="69"/>
        <v>1.3743797479248876</v>
      </c>
    </row>
    <row r="512" spans="1:49" x14ac:dyDescent="0.2">
      <c r="A512">
        <v>510</v>
      </c>
      <c r="B512" t="s">
        <v>3636</v>
      </c>
      <c r="C512" t="s">
        <v>3635</v>
      </c>
      <c r="F512" t="s">
        <v>3634</v>
      </c>
      <c r="G512" t="s">
        <v>15</v>
      </c>
      <c r="H512" t="s">
        <v>14</v>
      </c>
      <c r="I512" t="s">
        <v>3633</v>
      </c>
      <c r="N512">
        <v>3</v>
      </c>
      <c r="O512" t="s">
        <v>3632</v>
      </c>
      <c r="P512" t="s">
        <v>3631</v>
      </c>
      <c r="Q512" t="s">
        <v>296</v>
      </c>
      <c r="R512" s="7">
        <v>32509</v>
      </c>
      <c r="S512" s="8">
        <f t="shared" si="64"/>
        <v>1989</v>
      </c>
      <c r="T512" s="8">
        <v>1989</v>
      </c>
      <c r="U512" s="8">
        <f t="shared" si="65"/>
        <v>33</v>
      </c>
      <c r="V512" s="7">
        <v>32690</v>
      </c>
      <c r="W512" t="s">
        <v>2866</v>
      </c>
      <c r="X512" s="2">
        <v>1.137</v>
      </c>
      <c r="Y512" s="6">
        <f t="shared" si="62"/>
        <v>3.0351565628253384E-2</v>
      </c>
      <c r="AA512">
        <v>189251</v>
      </c>
      <c r="AB512">
        <v>17336</v>
      </c>
      <c r="AD512" t="s">
        <v>5</v>
      </c>
      <c r="AE512">
        <v>25</v>
      </c>
      <c r="AF512">
        <v>4</v>
      </c>
      <c r="AH512" t="s">
        <v>3630</v>
      </c>
      <c r="AI512" t="s">
        <v>3629</v>
      </c>
      <c r="AK512" t="s">
        <v>3628</v>
      </c>
      <c r="AL512">
        <v>9</v>
      </c>
      <c r="AM512" s="5">
        <f t="shared" si="66"/>
        <v>0.27272727272727271</v>
      </c>
      <c r="AN512" s="4">
        <f t="shared" si="63"/>
        <v>4.1306667584592612E-4</v>
      </c>
      <c r="AO512" s="3"/>
      <c r="AP512">
        <v>0</v>
      </c>
      <c r="AR512" t="s">
        <v>0</v>
      </c>
      <c r="AT512" s="2" t="s">
        <v>19</v>
      </c>
      <c r="AU512" s="1">
        <f t="shared" si="67"/>
        <v>2.1370015942531144</v>
      </c>
      <c r="AV512" s="1">
        <f t="shared" si="68"/>
        <v>1.5382316152049653</v>
      </c>
      <c r="AW512" s="1">
        <f t="shared" si="69"/>
        <v>0.93946163615681644</v>
      </c>
    </row>
    <row r="513" spans="1:49" x14ac:dyDescent="0.2">
      <c r="A513">
        <v>511</v>
      </c>
      <c r="B513" t="s">
        <v>3627</v>
      </c>
      <c r="C513" t="s">
        <v>3626</v>
      </c>
      <c r="F513" t="s">
        <v>3625</v>
      </c>
      <c r="G513" t="s">
        <v>15</v>
      </c>
      <c r="H513" t="s">
        <v>14</v>
      </c>
      <c r="I513" t="s">
        <v>3624</v>
      </c>
      <c r="J513">
        <v>60004956</v>
      </c>
      <c r="K513" t="s">
        <v>3623</v>
      </c>
      <c r="L513" t="s">
        <v>3622</v>
      </c>
      <c r="M513" t="s">
        <v>3621</v>
      </c>
      <c r="N513">
        <v>1</v>
      </c>
      <c r="O513" t="s">
        <v>3620</v>
      </c>
      <c r="P513">
        <v>6602872462</v>
      </c>
      <c r="Q513">
        <v>60004956</v>
      </c>
      <c r="R513" s="7">
        <v>32509</v>
      </c>
      <c r="S513" s="8">
        <f t="shared" si="64"/>
        <v>1989</v>
      </c>
      <c r="T513" s="8">
        <v>1989</v>
      </c>
      <c r="U513" s="8">
        <f t="shared" si="65"/>
        <v>33</v>
      </c>
      <c r="V513" s="7">
        <v>32690</v>
      </c>
      <c r="W513" t="s">
        <v>943</v>
      </c>
      <c r="X513" s="2">
        <v>0.30399999999999999</v>
      </c>
      <c r="Y513" s="6">
        <f t="shared" si="62"/>
        <v>8.115106377299057E-3</v>
      </c>
      <c r="AA513">
        <v>8952477</v>
      </c>
      <c r="AB513">
        <v>12250</v>
      </c>
      <c r="AC513">
        <v>10982760</v>
      </c>
      <c r="AD513" t="s">
        <v>5</v>
      </c>
      <c r="AE513">
        <v>2</v>
      </c>
      <c r="AF513">
        <v>7</v>
      </c>
      <c r="AH513" t="s">
        <v>3619</v>
      </c>
      <c r="AI513" t="s">
        <v>3618</v>
      </c>
      <c r="AJ513" t="s">
        <v>3617</v>
      </c>
      <c r="AK513" t="s">
        <v>3616</v>
      </c>
      <c r="AL513">
        <v>0</v>
      </c>
      <c r="AM513" s="5">
        <f t="shared" si="66"/>
        <v>0</v>
      </c>
      <c r="AN513" s="4">
        <f t="shared" si="63"/>
        <v>0</v>
      </c>
      <c r="AO513" s="3"/>
      <c r="AP513">
        <v>0</v>
      </c>
      <c r="AR513" t="s">
        <v>0</v>
      </c>
      <c r="AT513" s="2" t="s">
        <v>19</v>
      </c>
      <c r="AU513" s="1">
        <f t="shared" si="67"/>
        <v>0.56805744641093392</v>
      </c>
      <c r="AV513" s="1">
        <f t="shared" si="68"/>
        <v>0.40575531886495286</v>
      </c>
      <c r="AW513" s="1">
        <f t="shared" si="69"/>
        <v>0.24345319131897172</v>
      </c>
    </row>
    <row r="514" spans="1:49" x14ac:dyDescent="0.2">
      <c r="A514">
        <v>512</v>
      </c>
      <c r="B514" t="s">
        <v>3615</v>
      </c>
      <c r="C514" t="s">
        <v>3614</v>
      </c>
      <c r="F514" t="s">
        <v>3613</v>
      </c>
      <c r="G514" t="s">
        <v>15</v>
      </c>
      <c r="H514" t="s">
        <v>14</v>
      </c>
      <c r="I514" t="s">
        <v>3612</v>
      </c>
      <c r="J514">
        <v>60030551</v>
      </c>
      <c r="K514" t="s">
        <v>3611</v>
      </c>
      <c r="L514" t="s">
        <v>3610</v>
      </c>
      <c r="M514" t="s">
        <v>23</v>
      </c>
      <c r="N514">
        <v>2</v>
      </c>
      <c r="O514" t="s">
        <v>3609</v>
      </c>
      <c r="P514" t="s">
        <v>3608</v>
      </c>
      <c r="Q514" t="s">
        <v>3607</v>
      </c>
      <c r="R514" s="7">
        <v>32509</v>
      </c>
      <c r="S514" s="8">
        <f t="shared" si="64"/>
        <v>1989</v>
      </c>
      <c r="T514" s="8">
        <v>1989</v>
      </c>
      <c r="U514" s="8">
        <f t="shared" si="65"/>
        <v>33</v>
      </c>
      <c r="V514" s="7">
        <v>32690</v>
      </c>
      <c r="W514" t="s">
        <v>778</v>
      </c>
      <c r="X514" s="2">
        <v>1.6519999999999999</v>
      </c>
      <c r="Y514" s="6">
        <f t="shared" ref="Y514:Y577" si="70">(X514-$Z$4)/($Z$3-$Z$4)</f>
        <v>4.409919649769093E-2</v>
      </c>
      <c r="AA514" t="s">
        <v>777</v>
      </c>
      <c r="AB514">
        <v>17337</v>
      </c>
      <c r="AC514">
        <v>15582221</v>
      </c>
      <c r="AD514" t="s">
        <v>5</v>
      </c>
      <c r="AE514">
        <v>37</v>
      </c>
      <c r="AF514">
        <v>7</v>
      </c>
      <c r="AH514" t="s">
        <v>3606</v>
      </c>
      <c r="AI514" t="s">
        <v>3605</v>
      </c>
      <c r="AK514" t="s">
        <v>3604</v>
      </c>
      <c r="AL514">
        <v>73</v>
      </c>
      <c r="AM514" s="5">
        <f t="shared" si="66"/>
        <v>2.2121212121212119</v>
      </c>
      <c r="AN514" s="4">
        <f t="shared" ref="AN514:AN577" si="71">(AM514-$AO$4)/($AO$3-$AO$4)</f>
        <v>3.3504297040836228E-3</v>
      </c>
      <c r="AO514" s="3"/>
      <c r="AP514">
        <v>0</v>
      </c>
      <c r="AR514" t="s">
        <v>0</v>
      </c>
      <c r="AT514" s="2" t="s">
        <v>19</v>
      </c>
      <c r="AU514" s="1">
        <f t="shared" si="67"/>
        <v>3.1874566459608742</v>
      </c>
      <c r="AV514" s="1">
        <f t="shared" si="68"/>
        <v>2.3724813100887276</v>
      </c>
      <c r="AW514" s="1">
        <f t="shared" si="69"/>
        <v>1.5575059742165813</v>
      </c>
    </row>
    <row r="515" spans="1:49" x14ac:dyDescent="0.2">
      <c r="A515">
        <v>513</v>
      </c>
      <c r="B515" t="s">
        <v>3603</v>
      </c>
      <c r="C515" t="s">
        <v>3602</v>
      </c>
      <c r="F515" t="s">
        <v>3601</v>
      </c>
      <c r="G515" t="s">
        <v>15</v>
      </c>
      <c r="H515" t="s">
        <v>14</v>
      </c>
      <c r="I515" t="s">
        <v>3600</v>
      </c>
      <c r="J515">
        <v>60007843</v>
      </c>
      <c r="K515" t="s">
        <v>2227</v>
      </c>
      <c r="L515" t="s">
        <v>2226</v>
      </c>
      <c r="M515" t="s">
        <v>23</v>
      </c>
      <c r="N515">
        <v>2</v>
      </c>
      <c r="O515" t="s">
        <v>3599</v>
      </c>
      <c r="P515" t="s">
        <v>3598</v>
      </c>
      <c r="Q515" t="s">
        <v>3597</v>
      </c>
      <c r="R515" s="7">
        <v>32509</v>
      </c>
      <c r="S515" s="8">
        <f t="shared" si="64"/>
        <v>1989</v>
      </c>
      <c r="T515" s="8">
        <v>1989</v>
      </c>
      <c r="U515" s="8">
        <f t="shared" si="65"/>
        <v>33</v>
      </c>
      <c r="V515" s="7">
        <v>32690</v>
      </c>
      <c r="W515" t="s">
        <v>778</v>
      </c>
      <c r="X515" s="2">
        <v>1.6519999999999999</v>
      </c>
      <c r="Y515" s="6">
        <f t="shared" si="70"/>
        <v>4.409919649769093E-2</v>
      </c>
      <c r="AA515" t="s">
        <v>777</v>
      </c>
      <c r="AB515">
        <v>17337</v>
      </c>
      <c r="AC515">
        <v>15582221</v>
      </c>
      <c r="AD515" t="s">
        <v>5</v>
      </c>
      <c r="AE515">
        <v>37</v>
      </c>
      <c r="AF515">
        <v>7</v>
      </c>
      <c r="AH515" t="s">
        <v>3596</v>
      </c>
      <c r="AI515" t="s">
        <v>3595</v>
      </c>
      <c r="AK515" t="s">
        <v>3594</v>
      </c>
      <c r="AL515">
        <v>24</v>
      </c>
      <c r="AM515" s="5">
        <f t="shared" si="66"/>
        <v>0.72727272727272729</v>
      </c>
      <c r="AN515" s="4">
        <f t="shared" si="71"/>
        <v>1.1015111355891364E-3</v>
      </c>
      <c r="AO515" s="3"/>
      <c r="AP515">
        <v>0</v>
      </c>
      <c r="AR515" t="s">
        <v>0</v>
      </c>
      <c r="AT515" s="2" t="s">
        <v>19</v>
      </c>
      <c r="AU515" s="1">
        <f t="shared" si="67"/>
        <v>3.1199890889060393</v>
      </c>
      <c r="AV515" s="1">
        <f t="shared" si="68"/>
        <v>2.2600353816640033</v>
      </c>
      <c r="AW515" s="1">
        <f t="shared" si="69"/>
        <v>1.4000816744219673</v>
      </c>
    </row>
    <row r="516" spans="1:49" x14ac:dyDescent="0.2">
      <c r="A516">
        <v>514</v>
      </c>
      <c r="B516" t="s">
        <v>3593</v>
      </c>
      <c r="C516" t="s">
        <v>3592</v>
      </c>
      <c r="F516" t="s">
        <v>3591</v>
      </c>
      <c r="G516" t="s">
        <v>15</v>
      </c>
      <c r="H516" t="s">
        <v>14</v>
      </c>
      <c r="I516" t="s">
        <v>3590</v>
      </c>
      <c r="J516">
        <v>60104081</v>
      </c>
      <c r="K516" t="s">
        <v>1850</v>
      </c>
      <c r="L516" t="s">
        <v>1849</v>
      </c>
      <c r="M516" t="s">
        <v>72</v>
      </c>
      <c r="N516">
        <v>1</v>
      </c>
      <c r="O516" t="s">
        <v>3589</v>
      </c>
      <c r="P516">
        <v>6508323248</v>
      </c>
      <c r="Q516">
        <v>60104081</v>
      </c>
      <c r="R516" s="7">
        <v>32509</v>
      </c>
      <c r="S516" s="8">
        <f t="shared" si="64"/>
        <v>1989</v>
      </c>
      <c r="T516" s="8">
        <v>1989</v>
      </c>
      <c r="U516" s="8">
        <f t="shared" si="65"/>
        <v>33</v>
      </c>
      <c r="V516" s="7">
        <v>32690</v>
      </c>
      <c r="W516" t="s">
        <v>778</v>
      </c>
      <c r="X516" s="2">
        <v>1.6519999999999999</v>
      </c>
      <c r="Y516" s="6">
        <f t="shared" si="70"/>
        <v>4.409919649769093E-2</v>
      </c>
      <c r="AA516" t="s">
        <v>777</v>
      </c>
      <c r="AB516">
        <v>17337</v>
      </c>
      <c r="AC516">
        <v>15582221</v>
      </c>
      <c r="AD516" t="s">
        <v>5</v>
      </c>
      <c r="AE516">
        <v>37</v>
      </c>
      <c r="AF516">
        <v>7</v>
      </c>
      <c r="AH516" t="s">
        <v>3588</v>
      </c>
      <c r="AI516" t="s">
        <v>3587</v>
      </c>
      <c r="AK516" t="s">
        <v>3586</v>
      </c>
      <c r="AL516">
        <v>60</v>
      </c>
      <c r="AM516" s="5">
        <f t="shared" si="66"/>
        <v>1.8181818181818181</v>
      </c>
      <c r="AN516" s="4">
        <f t="shared" si="71"/>
        <v>2.7537778389728406E-3</v>
      </c>
      <c r="AO516" s="3"/>
      <c r="AP516">
        <v>0</v>
      </c>
      <c r="AR516" t="s">
        <v>0</v>
      </c>
      <c r="AT516" s="2" t="s">
        <v>19</v>
      </c>
      <c r="AU516" s="1">
        <f t="shared" si="67"/>
        <v>3.16955709000755</v>
      </c>
      <c r="AV516" s="1">
        <f t="shared" si="68"/>
        <v>2.3426487168331884</v>
      </c>
      <c r="AW516" s="1">
        <f t="shared" si="69"/>
        <v>1.5157403436588268</v>
      </c>
    </row>
    <row r="517" spans="1:49" x14ac:dyDescent="0.2">
      <c r="A517">
        <v>515</v>
      </c>
      <c r="B517" t="s">
        <v>3585</v>
      </c>
      <c r="C517" t="s">
        <v>3584</v>
      </c>
      <c r="F517" t="s">
        <v>3583</v>
      </c>
      <c r="G517" t="s">
        <v>15</v>
      </c>
      <c r="H517" t="s">
        <v>14</v>
      </c>
      <c r="I517" t="s">
        <v>3582</v>
      </c>
      <c r="J517">
        <v>60011774</v>
      </c>
      <c r="K517" t="s">
        <v>3581</v>
      </c>
      <c r="L517" t="s">
        <v>3580</v>
      </c>
      <c r="M517" t="s">
        <v>3579</v>
      </c>
      <c r="N517">
        <v>1</v>
      </c>
      <c r="O517" t="s">
        <v>3578</v>
      </c>
      <c r="P517">
        <v>35480068000</v>
      </c>
      <c r="Q517">
        <v>60011774</v>
      </c>
      <c r="R517" s="7">
        <v>32509</v>
      </c>
      <c r="S517" s="8">
        <f t="shared" si="64"/>
        <v>1989</v>
      </c>
      <c r="T517" s="8">
        <v>1989</v>
      </c>
      <c r="U517" s="8">
        <f t="shared" si="65"/>
        <v>33</v>
      </c>
      <c r="V517" s="7">
        <v>32690</v>
      </c>
      <c r="W517" t="s">
        <v>1436</v>
      </c>
      <c r="X517" s="2">
        <v>0.251</v>
      </c>
      <c r="Y517" s="6">
        <f t="shared" si="70"/>
        <v>6.7003016470462617E-3</v>
      </c>
      <c r="AA517">
        <v>207217</v>
      </c>
      <c r="AB517">
        <v>26145</v>
      </c>
      <c r="AC517">
        <v>13623060</v>
      </c>
      <c r="AD517" t="s">
        <v>5</v>
      </c>
      <c r="AE517">
        <v>67</v>
      </c>
      <c r="AF517">
        <v>1</v>
      </c>
      <c r="AH517" t="s">
        <v>3577</v>
      </c>
      <c r="AI517" t="s">
        <v>3576</v>
      </c>
      <c r="AK517" t="s">
        <v>3575</v>
      </c>
      <c r="AL517">
        <v>0</v>
      </c>
      <c r="AM517" s="5">
        <f t="shared" si="66"/>
        <v>0</v>
      </c>
      <c r="AN517" s="4">
        <f t="shared" si="71"/>
        <v>0</v>
      </c>
      <c r="AO517" s="3"/>
      <c r="AP517">
        <v>0</v>
      </c>
      <c r="AR517" t="s">
        <v>0</v>
      </c>
      <c r="AT517" s="2">
        <v>1.3360000000000001</v>
      </c>
      <c r="AU517" s="1">
        <f t="shared" si="67"/>
        <v>0.46902111529323826</v>
      </c>
      <c r="AV517" s="1">
        <f t="shared" si="68"/>
        <v>0.33501508235231309</v>
      </c>
      <c r="AW517" s="1">
        <f t="shared" si="69"/>
        <v>0.20100904941138784</v>
      </c>
    </row>
    <row r="518" spans="1:49" x14ac:dyDescent="0.2">
      <c r="A518">
        <v>516</v>
      </c>
      <c r="B518" t="s">
        <v>3574</v>
      </c>
      <c r="C518" t="s">
        <v>3573</v>
      </c>
      <c r="F518" t="s">
        <v>3572</v>
      </c>
      <c r="G518" t="s">
        <v>15</v>
      </c>
      <c r="H518" t="s">
        <v>14</v>
      </c>
      <c r="I518" t="s">
        <v>3571</v>
      </c>
      <c r="J518" t="s">
        <v>3570</v>
      </c>
      <c r="K518" t="s">
        <v>3569</v>
      </c>
      <c r="L518" t="s">
        <v>3568</v>
      </c>
      <c r="M518" t="s">
        <v>3567</v>
      </c>
      <c r="N518">
        <v>1</v>
      </c>
      <c r="O518" t="s">
        <v>3566</v>
      </c>
      <c r="P518">
        <v>7004922524</v>
      </c>
      <c r="Q518" t="s">
        <v>3565</v>
      </c>
      <c r="R518" s="7">
        <v>32509</v>
      </c>
      <c r="S518" s="8">
        <f t="shared" si="64"/>
        <v>1989</v>
      </c>
      <c r="T518" s="8">
        <v>1989</v>
      </c>
      <c r="U518" s="8">
        <f t="shared" si="65"/>
        <v>33</v>
      </c>
      <c r="V518" s="7">
        <v>32690</v>
      </c>
      <c r="W518" t="s">
        <v>1436</v>
      </c>
      <c r="X518" s="2">
        <v>0.251</v>
      </c>
      <c r="Y518" s="6">
        <f t="shared" si="70"/>
        <v>6.7003016470462617E-3</v>
      </c>
      <c r="AA518">
        <v>207217</v>
      </c>
      <c r="AB518">
        <v>26145</v>
      </c>
      <c r="AC518">
        <v>13623060</v>
      </c>
      <c r="AD518" t="s">
        <v>5</v>
      </c>
      <c r="AE518">
        <v>67</v>
      </c>
      <c r="AF518">
        <v>1</v>
      </c>
      <c r="AH518" t="s">
        <v>3564</v>
      </c>
      <c r="AI518" t="s">
        <v>3563</v>
      </c>
      <c r="AK518" t="s">
        <v>3562</v>
      </c>
      <c r="AL518">
        <v>0</v>
      </c>
      <c r="AM518" s="5">
        <f t="shared" si="66"/>
        <v>0</v>
      </c>
      <c r="AN518" s="4">
        <f t="shared" si="71"/>
        <v>0</v>
      </c>
      <c r="AO518" s="3"/>
      <c r="AP518">
        <v>0</v>
      </c>
      <c r="AR518" t="s">
        <v>0</v>
      </c>
      <c r="AT518" s="2">
        <v>1.3360000000000001</v>
      </c>
      <c r="AU518" s="1">
        <f t="shared" si="67"/>
        <v>0.46902111529323826</v>
      </c>
      <c r="AV518" s="1">
        <f t="shared" si="68"/>
        <v>0.33501508235231309</v>
      </c>
      <c r="AW518" s="1">
        <f t="shared" si="69"/>
        <v>0.20100904941138784</v>
      </c>
    </row>
    <row r="519" spans="1:49" x14ac:dyDescent="0.2">
      <c r="A519">
        <v>517</v>
      </c>
      <c r="B519" t="s">
        <v>3561</v>
      </c>
      <c r="C519" t="s">
        <v>3560</v>
      </c>
      <c r="F519" t="s">
        <v>3559</v>
      </c>
      <c r="G519" t="s">
        <v>15</v>
      </c>
      <c r="H519" t="s">
        <v>14</v>
      </c>
      <c r="I519" t="s">
        <v>902</v>
      </c>
      <c r="J519">
        <v>60005429</v>
      </c>
      <c r="K519" t="s">
        <v>901</v>
      </c>
      <c r="L519" t="s">
        <v>900</v>
      </c>
      <c r="M519" t="s">
        <v>899</v>
      </c>
      <c r="N519">
        <v>3</v>
      </c>
      <c r="O519" t="s">
        <v>3558</v>
      </c>
      <c r="P519" t="s">
        <v>3557</v>
      </c>
      <c r="Q519" t="s">
        <v>896</v>
      </c>
      <c r="R519" s="7">
        <v>32509</v>
      </c>
      <c r="S519" s="8">
        <f t="shared" si="64"/>
        <v>1989</v>
      </c>
      <c r="T519" s="8">
        <v>1989</v>
      </c>
      <c r="U519" s="8">
        <f t="shared" si="65"/>
        <v>33</v>
      </c>
      <c r="V519" s="7">
        <v>32690</v>
      </c>
      <c r="W519" t="s">
        <v>778</v>
      </c>
      <c r="X519" s="2">
        <v>1.6519999999999999</v>
      </c>
      <c r="Y519" s="6">
        <f t="shared" si="70"/>
        <v>4.409919649769093E-2</v>
      </c>
      <c r="AA519" t="s">
        <v>777</v>
      </c>
      <c r="AB519">
        <v>17337</v>
      </c>
      <c r="AC519">
        <v>15582221</v>
      </c>
      <c r="AD519" t="s">
        <v>5</v>
      </c>
      <c r="AE519">
        <v>37</v>
      </c>
      <c r="AF519">
        <v>7</v>
      </c>
      <c r="AH519" t="s">
        <v>3556</v>
      </c>
      <c r="AI519" t="s">
        <v>3555</v>
      </c>
      <c r="AK519" t="s">
        <v>3554</v>
      </c>
      <c r="AL519">
        <v>9</v>
      </c>
      <c r="AM519" s="5">
        <f t="shared" si="66"/>
        <v>0.27272727272727271</v>
      </c>
      <c r="AN519" s="4">
        <f t="shared" si="71"/>
        <v>4.1306667584592612E-4</v>
      </c>
      <c r="AO519" s="3"/>
      <c r="AP519">
        <v>0</v>
      </c>
      <c r="AR519" t="s">
        <v>0</v>
      </c>
      <c r="AT519" s="2" t="s">
        <v>19</v>
      </c>
      <c r="AU519" s="1">
        <f t="shared" si="67"/>
        <v>3.099335755113743</v>
      </c>
      <c r="AV519" s="1">
        <f t="shared" si="68"/>
        <v>2.2256131586768428</v>
      </c>
      <c r="AW519" s="1">
        <f t="shared" si="69"/>
        <v>1.3518905622399426</v>
      </c>
    </row>
    <row r="520" spans="1:49" x14ac:dyDescent="0.2">
      <c r="A520">
        <v>518</v>
      </c>
      <c r="B520" t="s">
        <v>3553</v>
      </c>
      <c r="C520" t="s">
        <v>3552</v>
      </c>
      <c r="F520" t="s">
        <v>3551</v>
      </c>
      <c r="G520" t="s">
        <v>15</v>
      </c>
      <c r="H520" t="s">
        <v>14</v>
      </c>
      <c r="I520" t="s">
        <v>3550</v>
      </c>
      <c r="J520">
        <v>60021378</v>
      </c>
      <c r="K520" t="s">
        <v>978</v>
      </c>
      <c r="L520" t="s">
        <v>977</v>
      </c>
      <c r="M520" t="s">
        <v>23</v>
      </c>
      <c r="N520">
        <v>2</v>
      </c>
      <c r="O520" t="s">
        <v>3549</v>
      </c>
      <c r="P520" t="s">
        <v>3548</v>
      </c>
      <c r="Q520" t="s">
        <v>974</v>
      </c>
      <c r="R520" s="7">
        <v>32509</v>
      </c>
      <c r="S520" s="8">
        <f t="shared" si="64"/>
        <v>1989</v>
      </c>
      <c r="T520" s="8">
        <v>1989</v>
      </c>
      <c r="U520" s="8">
        <f t="shared" si="65"/>
        <v>33</v>
      </c>
      <c r="V520" s="7">
        <v>32690</v>
      </c>
      <c r="W520" t="s">
        <v>778</v>
      </c>
      <c r="X520" s="2">
        <v>1.6519999999999999</v>
      </c>
      <c r="Y520" s="6">
        <f t="shared" si="70"/>
        <v>4.409919649769093E-2</v>
      </c>
      <c r="AA520" t="s">
        <v>777</v>
      </c>
      <c r="AB520">
        <v>17337</v>
      </c>
      <c r="AC520">
        <v>15582221</v>
      </c>
      <c r="AD520" t="s">
        <v>5</v>
      </c>
      <c r="AE520">
        <v>37</v>
      </c>
      <c r="AF520">
        <v>7</v>
      </c>
      <c r="AH520" t="s">
        <v>3547</v>
      </c>
      <c r="AI520" t="s">
        <v>3546</v>
      </c>
      <c r="AK520" t="s">
        <v>3545</v>
      </c>
      <c r="AL520">
        <v>11</v>
      </c>
      <c r="AM520" s="5">
        <f t="shared" si="66"/>
        <v>0.33333333333333331</v>
      </c>
      <c r="AN520" s="4">
        <f t="shared" si="71"/>
        <v>5.048592704783541E-4</v>
      </c>
      <c r="AO520" s="3"/>
      <c r="AP520">
        <v>0</v>
      </c>
      <c r="AR520" t="s">
        <v>0</v>
      </c>
      <c r="AT520" s="2" t="s">
        <v>19</v>
      </c>
      <c r="AU520" s="1">
        <f t="shared" si="67"/>
        <v>3.1020895329527156</v>
      </c>
      <c r="AV520" s="1">
        <f t="shared" si="68"/>
        <v>2.2302027884084641</v>
      </c>
      <c r="AW520" s="1">
        <f t="shared" si="69"/>
        <v>1.3583160438642126</v>
      </c>
    </row>
    <row r="521" spans="1:49" x14ac:dyDescent="0.2">
      <c r="A521">
        <v>519</v>
      </c>
      <c r="B521" t="s">
        <v>3544</v>
      </c>
      <c r="C521" t="s">
        <v>3543</v>
      </c>
      <c r="F521" t="s">
        <v>3542</v>
      </c>
      <c r="G521" t="s">
        <v>15</v>
      </c>
      <c r="H521" t="s">
        <v>14</v>
      </c>
      <c r="I521" t="s">
        <v>3541</v>
      </c>
      <c r="J521" t="s">
        <v>3540</v>
      </c>
      <c r="K521" t="s">
        <v>3539</v>
      </c>
      <c r="L521" t="s">
        <v>3538</v>
      </c>
      <c r="M521" t="s">
        <v>225</v>
      </c>
      <c r="N521">
        <v>3</v>
      </c>
      <c r="O521" t="s">
        <v>3537</v>
      </c>
      <c r="P521" t="s">
        <v>3536</v>
      </c>
      <c r="Q521" t="s">
        <v>3535</v>
      </c>
      <c r="R521" s="7">
        <v>32509</v>
      </c>
      <c r="S521" s="8">
        <f t="shared" si="64"/>
        <v>1989</v>
      </c>
      <c r="T521" s="8">
        <v>1989</v>
      </c>
      <c r="U521" s="8">
        <f t="shared" si="65"/>
        <v>33</v>
      </c>
      <c r="V521" s="7">
        <v>32690</v>
      </c>
      <c r="W521" t="s">
        <v>778</v>
      </c>
      <c r="X521" s="2">
        <v>1.6519999999999999</v>
      </c>
      <c r="Y521" s="6">
        <f t="shared" si="70"/>
        <v>4.409919649769093E-2</v>
      </c>
      <c r="AA521" t="s">
        <v>777</v>
      </c>
      <c r="AB521">
        <v>17337</v>
      </c>
      <c r="AC521">
        <v>15582221</v>
      </c>
      <c r="AD521" t="s">
        <v>5</v>
      </c>
      <c r="AE521">
        <v>37</v>
      </c>
      <c r="AF521">
        <v>7</v>
      </c>
      <c r="AH521" t="s">
        <v>3534</v>
      </c>
      <c r="AI521" t="s">
        <v>3533</v>
      </c>
      <c r="AK521" t="s">
        <v>3532</v>
      </c>
      <c r="AL521">
        <v>7</v>
      </c>
      <c r="AM521" s="5">
        <f t="shared" si="66"/>
        <v>0.21212121212121213</v>
      </c>
      <c r="AN521" s="4">
        <f t="shared" si="71"/>
        <v>3.2127408121349809E-4</v>
      </c>
      <c r="AO521" s="3"/>
      <c r="AP521">
        <v>0</v>
      </c>
      <c r="AR521" t="s">
        <v>0</v>
      </c>
      <c r="AT521" s="2" t="s">
        <v>19</v>
      </c>
      <c r="AU521" s="1">
        <f t="shared" si="67"/>
        <v>3.09658197727477</v>
      </c>
      <c r="AV521" s="1">
        <f t="shared" si="68"/>
        <v>2.2210235289452216</v>
      </c>
      <c r="AW521" s="1">
        <f t="shared" si="69"/>
        <v>1.3454650806156727</v>
      </c>
    </row>
    <row r="522" spans="1:49" x14ac:dyDescent="0.2">
      <c r="A522">
        <v>520</v>
      </c>
      <c r="B522" t="s">
        <v>3531</v>
      </c>
      <c r="C522" t="s">
        <v>3530</v>
      </c>
      <c r="F522" t="s">
        <v>3529</v>
      </c>
      <c r="G522" t="s">
        <v>15</v>
      </c>
      <c r="H522" t="s">
        <v>14</v>
      </c>
      <c r="I522" t="s">
        <v>3528</v>
      </c>
      <c r="J522" t="s">
        <v>3527</v>
      </c>
      <c r="K522" t="s">
        <v>3526</v>
      </c>
      <c r="L522" t="s">
        <v>3525</v>
      </c>
      <c r="M522" t="s">
        <v>644</v>
      </c>
      <c r="N522">
        <v>3</v>
      </c>
      <c r="O522" t="s">
        <v>3524</v>
      </c>
      <c r="P522" t="s">
        <v>3523</v>
      </c>
      <c r="Q522" t="s">
        <v>3522</v>
      </c>
      <c r="R522" s="7">
        <v>32509</v>
      </c>
      <c r="S522" s="8">
        <f t="shared" si="64"/>
        <v>1989</v>
      </c>
      <c r="T522" s="8">
        <v>1989</v>
      </c>
      <c r="U522" s="8">
        <f t="shared" si="65"/>
        <v>33</v>
      </c>
      <c r="V522" s="7">
        <v>32690</v>
      </c>
      <c r="W522" t="s">
        <v>943</v>
      </c>
      <c r="X522" s="2">
        <v>0.30399999999999999</v>
      </c>
      <c r="Y522" s="6">
        <f t="shared" si="70"/>
        <v>8.115106377299057E-3</v>
      </c>
      <c r="AA522">
        <v>8952477</v>
      </c>
      <c r="AB522">
        <v>12250</v>
      </c>
      <c r="AC522">
        <v>10982760</v>
      </c>
      <c r="AD522" t="s">
        <v>5</v>
      </c>
      <c r="AE522">
        <v>2</v>
      </c>
      <c r="AF522">
        <v>7</v>
      </c>
      <c r="AH522" t="s">
        <v>3521</v>
      </c>
      <c r="AI522" t="s">
        <v>3520</v>
      </c>
      <c r="AJ522" t="s">
        <v>3519</v>
      </c>
      <c r="AK522" t="s">
        <v>3518</v>
      </c>
      <c r="AL522">
        <v>2</v>
      </c>
      <c r="AM522" s="5">
        <f t="shared" si="66"/>
        <v>6.0606060606060608E-2</v>
      </c>
      <c r="AN522" s="4">
        <f t="shared" si="71"/>
        <v>9.1792594632428032E-5</v>
      </c>
      <c r="AO522" s="3"/>
      <c r="AP522">
        <v>0</v>
      </c>
      <c r="AR522" t="s">
        <v>0</v>
      </c>
      <c r="AT522" s="2" t="s">
        <v>19</v>
      </c>
      <c r="AU522" s="1">
        <f t="shared" si="67"/>
        <v>0.57081122424990682</v>
      </c>
      <c r="AV522" s="1">
        <f t="shared" si="68"/>
        <v>0.41034494859657428</v>
      </c>
      <c r="AW522" s="1">
        <f t="shared" si="69"/>
        <v>0.24987867294324168</v>
      </c>
    </row>
    <row r="523" spans="1:49" x14ac:dyDescent="0.2">
      <c r="A523">
        <v>521</v>
      </c>
      <c r="B523" t="s">
        <v>3517</v>
      </c>
      <c r="C523" t="s">
        <v>3516</v>
      </c>
      <c r="F523" t="s">
        <v>3515</v>
      </c>
      <c r="G523" t="s">
        <v>15</v>
      </c>
      <c r="H523" t="s">
        <v>14</v>
      </c>
      <c r="I523" t="s">
        <v>3514</v>
      </c>
      <c r="J523">
        <v>60022195</v>
      </c>
      <c r="K523" t="s">
        <v>376</v>
      </c>
      <c r="L523" t="s">
        <v>324</v>
      </c>
      <c r="M523" t="s">
        <v>23</v>
      </c>
      <c r="N523">
        <v>3</v>
      </c>
      <c r="O523" t="s">
        <v>3513</v>
      </c>
      <c r="P523" t="s">
        <v>3512</v>
      </c>
      <c r="Q523" t="s">
        <v>3511</v>
      </c>
      <c r="R523" s="7">
        <v>32509</v>
      </c>
      <c r="S523" s="8">
        <f t="shared" si="64"/>
        <v>1989</v>
      </c>
      <c r="T523" s="8">
        <v>1989</v>
      </c>
      <c r="U523" s="8">
        <f t="shared" si="65"/>
        <v>33</v>
      </c>
      <c r="V523" s="7">
        <v>32690</v>
      </c>
      <c r="W523" t="s">
        <v>778</v>
      </c>
      <c r="X523" s="2">
        <v>1.6519999999999999</v>
      </c>
      <c r="Y523" s="6">
        <f t="shared" si="70"/>
        <v>4.409919649769093E-2</v>
      </c>
      <c r="AA523" t="s">
        <v>777</v>
      </c>
      <c r="AB523">
        <v>17337</v>
      </c>
      <c r="AC523">
        <v>15582221</v>
      </c>
      <c r="AD523" t="s">
        <v>5</v>
      </c>
      <c r="AE523">
        <v>37</v>
      </c>
      <c r="AF523">
        <v>7</v>
      </c>
      <c r="AH523" t="s">
        <v>3510</v>
      </c>
      <c r="AI523" t="s">
        <v>3509</v>
      </c>
      <c r="AK523" t="s">
        <v>3508</v>
      </c>
      <c r="AL523">
        <v>128</v>
      </c>
      <c r="AM523" s="5">
        <f t="shared" si="66"/>
        <v>3.8787878787878789</v>
      </c>
      <c r="AN523" s="4">
        <f t="shared" si="71"/>
        <v>5.8747260564753941E-3</v>
      </c>
      <c r="AO523" s="3"/>
      <c r="AP523">
        <v>0</v>
      </c>
      <c r="AR523" t="s">
        <v>0</v>
      </c>
      <c r="AT523" s="2" t="s">
        <v>19</v>
      </c>
      <c r="AU523" s="1">
        <f t="shared" si="67"/>
        <v>3.2631855365326272</v>
      </c>
      <c r="AV523" s="1">
        <f t="shared" si="68"/>
        <v>2.4986961277083166</v>
      </c>
      <c r="AW523" s="1">
        <f t="shared" si="69"/>
        <v>1.7342067188840053</v>
      </c>
    </row>
    <row r="524" spans="1:49" x14ac:dyDescent="0.2">
      <c r="A524">
        <v>522</v>
      </c>
      <c r="B524" t="s">
        <v>3507</v>
      </c>
      <c r="C524" t="s">
        <v>3506</v>
      </c>
      <c r="E524">
        <v>2787288</v>
      </c>
      <c r="F524" t="s">
        <v>3505</v>
      </c>
      <c r="G524" t="s">
        <v>15</v>
      </c>
      <c r="H524" t="s">
        <v>14</v>
      </c>
      <c r="I524" t="s">
        <v>3504</v>
      </c>
      <c r="J524">
        <v>113036827</v>
      </c>
      <c r="K524" t="s">
        <v>3503</v>
      </c>
      <c r="L524" t="s">
        <v>3323</v>
      </c>
      <c r="M524" t="s">
        <v>23</v>
      </c>
      <c r="N524">
        <v>2</v>
      </c>
      <c r="O524" t="s">
        <v>3502</v>
      </c>
      <c r="P524" t="s">
        <v>3501</v>
      </c>
      <c r="Q524" t="s">
        <v>3500</v>
      </c>
      <c r="R524" s="7">
        <v>32509</v>
      </c>
      <c r="S524" s="8">
        <f t="shared" si="64"/>
        <v>1989</v>
      </c>
      <c r="T524" s="8">
        <v>1989</v>
      </c>
      <c r="U524" s="8">
        <f t="shared" si="65"/>
        <v>33</v>
      </c>
      <c r="V524" s="7">
        <v>32690</v>
      </c>
      <c r="W524" t="s">
        <v>1873</v>
      </c>
      <c r="X524" s="2">
        <v>1.1479999999999999</v>
      </c>
      <c r="Y524" s="6">
        <f t="shared" si="70"/>
        <v>3.0645204345853019E-2</v>
      </c>
      <c r="AA524">
        <v>189294</v>
      </c>
      <c r="AB524">
        <v>16318</v>
      </c>
      <c r="AC524">
        <v>15582531</v>
      </c>
      <c r="AD524" t="s">
        <v>5</v>
      </c>
      <c r="AE524">
        <v>36</v>
      </c>
      <c r="AF524">
        <v>7</v>
      </c>
      <c r="AH524" t="s">
        <v>3499</v>
      </c>
      <c r="AI524" t="s">
        <v>3498</v>
      </c>
      <c r="AK524" t="s">
        <v>3497</v>
      </c>
      <c r="AL524">
        <v>5</v>
      </c>
      <c r="AM524" s="5">
        <f t="shared" si="66"/>
        <v>0.15151515151515152</v>
      </c>
      <c r="AN524" s="4">
        <f t="shared" si="71"/>
        <v>2.2948148658107008E-4</v>
      </c>
      <c r="AO524" s="3"/>
      <c r="AP524">
        <v>0</v>
      </c>
      <c r="AR524" t="s">
        <v>0</v>
      </c>
      <c r="AT524" s="2" t="s">
        <v>19</v>
      </c>
      <c r="AU524" s="1">
        <f t="shared" si="67"/>
        <v>2.1520487488071436</v>
      </c>
      <c r="AV524" s="1">
        <f t="shared" si="68"/>
        <v>1.5437342916217045</v>
      </c>
      <c r="AW524" s="1">
        <f t="shared" si="69"/>
        <v>0.93541983443626542</v>
      </c>
    </row>
    <row r="525" spans="1:49" x14ac:dyDescent="0.2">
      <c r="A525">
        <v>523</v>
      </c>
      <c r="B525" t="s">
        <v>3496</v>
      </c>
      <c r="C525" t="s">
        <v>3495</v>
      </c>
      <c r="F525" t="s">
        <v>3494</v>
      </c>
      <c r="G525" t="s">
        <v>15</v>
      </c>
      <c r="H525" t="s">
        <v>14</v>
      </c>
      <c r="I525" t="s">
        <v>3493</v>
      </c>
      <c r="J525">
        <v>60009697</v>
      </c>
      <c r="K525" t="s">
        <v>2584</v>
      </c>
      <c r="L525" t="s">
        <v>2583</v>
      </c>
      <c r="M525" t="s">
        <v>283</v>
      </c>
      <c r="N525">
        <v>2</v>
      </c>
      <c r="O525" t="s">
        <v>3492</v>
      </c>
      <c r="P525" t="s">
        <v>3491</v>
      </c>
      <c r="Q525" t="s">
        <v>2580</v>
      </c>
      <c r="R525" s="7">
        <v>32509</v>
      </c>
      <c r="S525" s="8">
        <f t="shared" si="64"/>
        <v>1989</v>
      </c>
      <c r="T525" s="8">
        <v>1989</v>
      </c>
      <c r="U525" s="8">
        <f t="shared" si="65"/>
        <v>33</v>
      </c>
      <c r="V525" s="7" t="s">
        <v>3164</v>
      </c>
      <c r="W525" t="s">
        <v>3490</v>
      </c>
      <c r="X525" s="2" t="s">
        <v>19</v>
      </c>
      <c r="Y525" s="6" t="e">
        <f t="shared" si="70"/>
        <v>#VALUE!</v>
      </c>
      <c r="AA525">
        <v>84204</v>
      </c>
      <c r="AB525">
        <v>27420</v>
      </c>
      <c r="AD525" t="s">
        <v>5</v>
      </c>
      <c r="AE525">
        <v>67</v>
      </c>
      <c r="AF525">
        <v>6</v>
      </c>
      <c r="AH525" t="s">
        <v>3489</v>
      </c>
      <c r="AI525" t="s">
        <v>3488</v>
      </c>
      <c r="AK525" t="s">
        <v>3487</v>
      </c>
      <c r="AL525">
        <v>1</v>
      </c>
      <c r="AM525" s="5">
        <f t="shared" si="66"/>
        <v>3.0303030303030304E-2</v>
      </c>
      <c r="AN525" s="4">
        <f t="shared" si="71"/>
        <v>4.5896297316214016E-5</v>
      </c>
      <c r="AO525" s="3"/>
      <c r="AP525">
        <v>0</v>
      </c>
      <c r="AR525" t="s">
        <v>0</v>
      </c>
      <c r="AT525" s="2">
        <v>1.24</v>
      </c>
      <c r="AU525" s="1" t="e">
        <f t="shared" si="67"/>
        <v>#VALUE!</v>
      </c>
      <c r="AV525" s="1" t="e">
        <f t="shared" si="68"/>
        <v>#VALUE!</v>
      </c>
      <c r="AW525" s="1" t="e">
        <f t="shared" si="69"/>
        <v>#VALUE!</v>
      </c>
    </row>
    <row r="526" spans="1:49" x14ac:dyDescent="0.2">
      <c r="A526">
        <v>524</v>
      </c>
      <c r="B526" t="s">
        <v>3486</v>
      </c>
      <c r="C526" t="s">
        <v>3485</v>
      </c>
      <c r="F526" t="s">
        <v>3484</v>
      </c>
      <c r="G526" t="s">
        <v>15</v>
      </c>
      <c r="H526" t="s">
        <v>14</v>
      </c>
      <c r="I526" t="s">
        <v>3483</v>
      </c>
      <c r="N526">
        <v>1</v>
      </c>
      <c r="O526" t="s">
        <v>3482</v>
      </c>
      <c r="P526">
        <v>6506007792</v>
      </c>
      <c r="R526" s="7">
        <v>32509</v>
      </c>
      <c r="S526" s="8">
        <f t="shared" si="64"/>
        <v>1989</v>
      </c>
      <c r="T526" s="8">
        <v>1989</v>
      </c>
      <c r="U526" s="8">
        <f t="shared" si="65"/>
        <v>33</v>
      </c>
      <c r="V526" s="7">
        <v>32509</v>
      </c>
      <c r="W526" t="s">
        <v>3481</v>
      </c>
      <c r="X526" s="2">
        <v>0.14899999999999999</v>
      </c>
      <c r="Y526" s="6">
        <f t="shared" si="70"/>
        <v>3.977469902031446E-3</v>
      </c>
      <c r="AA526">
        <v>5431972</v>
      </c>
      <c r="AB526">
        <v>15425</v>
      </c>
      <c r="AC526">
        <v>15738906</v>
      </c>
      <c r="AD526" t="s">
        <v>5</v>
      </c>
      <c r="AE526">
        <v>32</v>
      </c>
      <c r="AF526">
        <v>1</v>
      </c>
      <c r="AH526" t="s">
        <v>3480</v>
      </c>
      <c r="AL526">
        <v>0</v>
      </c>
      <c r="AM526" s="5">
        <f t="shared" si="66"/>
        <v>0</v>
      </c>
      <c r="AN526" s="4">
        <f t="shared" si="71"/>
        <v>0</v>
      </c>
      <c r="AO526" s="3"/>
      <c r="AP526">
        <v>0</v>
      </c>
      <c r="AR526" t="s">
        <v>0</v>
      </c>
      <c r="AT526" s="2" t="s">
        <v>19</v>
      </c>
      <c r="AU526" s="1">
        <f t="shared" si="67"/>
        <v>0.2784228931422012</v>
      </c>
      <c r="AV526" s="1">
        <f t="shared" si="68"/>
        <v>0.19887349510157229</v>
      </c>
      <c r="AW526" s="1">
        <f t="shared" si="69"/>
        <v>0.11932409706094337</v>
      </c>
    </row>
    <row r="527" spans="1:49" x14ac:dyDescent="0.2">
      <c r="A527">
        <v>525</v>
      </c>
      <c r="B527" t="s">
        <v>3479</v>
      </c>
      <c r="C527" t="s">
        <v>3478</v>
      </c>
      <c r="F527" t="s">
        <v>3477</v>
      </c>
      <c r="G527" t="s">
        <v>15</v>
      </c>
      <c r="H527" t="s">
        <v>14</v>
      </c>
      <c r="I527" t="s">
        <v>3476</v>
      </c>
      <c r="J527" t="s">
        <v>3475</v>
      </c>
      <c r="K527" t="s">
        <v>3474</v>
      </c>
      <c r="L527" t="s">
        <v>3473</v>
      </c>
      <c r="M527" t="s">
        <v>644</v>
      </c>
      <c r="N527">
        <v>3</v>
      </c>
      <c r="O527" t="s">
        <v>3472</v>
      </c>
      <c r="P527" t="s">
        <v>3471</v>
      </c>
      <c r="Q527" t="s">
        <v>3470</v>
      </c>
      <c r="R527" s="7">
        <v>32509</v>
      </c>
      <c r="S527" s="8">
        <f t="shared" si="64"/>
        <v>1989</v>
      </c>
      <c r="T527" s="8">
        <v>1989</v>
      </c>
      <c r="U527" s="8">
        <f t="shared" si="65"/>
        <v>33</v>
      </c>
      <c r="V527" s="7">
        <v>32660</v>
      </c>
      <c r="W527" t="s">
        <v>778</v>
      </c>
      <c r="X527" s="2">
        <v>1.6519999999999999</v>
      </c>
      <c r="Y527" s="6">
        <f t="shared" si="70"/>
        <v>4.409919649769093E-2</v>
      </c>
      <c r="AA527" t="s">
        <v>777</v>
      </c>
      <c r="AB527">
        <v>17337</v>
      </c>
      <c r="AC527">
        <v>15582221</v>
      </c>
      <c r="AD527" t="s">
        <v>5</v>
      </c>
      <c r="AE527">
        <v>37</v>
      </c>
      <c r="AF527">
        <v>6</v>
      </c>
      <c r="AH527" t="s">
        <v>3469</v>
      </c>
      <c r="AI527" t="s">
        <v>3468</v>
      </c>
      <c r="AK527" t="s">
        <v>3467</v>
      </c>
      <c r="AL527">
        <v>65</v>
      </c>
      <c r="AM527" s="5">
        <f t="shared" si="66"/>
        <v>1.9696969696969697</v>
      </c>
      <c r="AN527" s="4">
        <f t="shared" si="71"/>
        <v>2.9832593255539109E-3</v>
      </c>
      <c r="AO527" s="3"/>
      <c r="AP527">
        <v>0</v>
      </c>
      <c r="AR527" t="s">
        <v>0</v>
      </c>
      <c r="AT527" s="2" t="s">
        <v>19</v>
      </c>
      <c r="AU527" s="1">
        <f t="shared" si="67"/>
        <v>3.1764415346049826</v>
      </c>
      <c r="AV527" s="1">
        <f t="shared" si="68"/>
        <v>2.3541227911622422</v>
      </c>
      <c r="AW527" s="1">
        <f t="shared" si="69"/>
        <v>1.5318040477195016</v>
      </c>
    </row>
    <row r="528" spans="1:49" x14ac:dyDescent="0.2">
      <c r="A528">
        <v>526</v>
      </c>
      <c r="B528" t="s">
        <v>3466</v>
      </c>
      <c r="C528" t="s">
        <v>3465</v>
      </c>
      <c r="F528" t="s">
        <v>3464</v>
      </c>
      <c r="G528" t="s">
        <v>15</v>
      </c>
      <c r="H528" t="s">
        <v>14</v>
      </c>
      <c r="I528" t="s">
        <v>3463</v>
      </c>
      <c r="J528" t="s">
        <v>3462</v>
      </c>
      <c r="K528" t="s">
        <v>3461</v>
      </c>
      <c r="L528" t="s">
        <v>3460</v>
      </c>
      <c r="M528" t="s">
        <v>86</v>
      </c>
      <c r="N528">
        <v>2</v>
      </c>
      <c r="O528" t="s">
        <v>3459</v>
      </c>
      <c r="P528" t="s">
        <v>3458</v>
      </c>
      <c r="Q528" t="s">
        <v>3457</v>
      </c>
      <c r="R528" s="7">
        <v>32509</v>
      </c>
      <c r="S528" s="8">
        <f t="shared" si="64"/>
        <v>1989</v>
      </c>
      <c r="T528" s="8">
        <v>1989</v>
      </c>
      <c r="U528" s="8">
        <f t="shared" si="65"/>
        <v>33</v>
      </c>
      <c r="V528" s="7">
        <v>32660</v>
      </c>
      <c r="W528" t="s">
        <v>778</v>
      </c>
      <c r="X528" s="2">
        <v>1.6519999999999999</v>
      </c>
      <c r="Y528" s="6">
        <f t="shared" si="70"/>
        <v>4.409919649769093E-2</v>
      </c>
      <c r="AA528" t="s">
        <v>777</v>
      </c>
      <c r="AB528">
        <v>17337</v>
      </c>
      <c r="AC528">
        <v>15582221</v>
      </c>
      <c r="AD528" t="s">
        <v>5</v>
      </c>
      <c r="AE528">
        <v>37</v>
      </c>
      <c r="AF528">
        <v>6</v>
      </c>
      <c r="AH528" t="s">
        <v>3456</v>
      </c>
      <c r="AI528" t="s">
        <v>3455</v>
      </c>
      <c r="AK528" t="s">
        <v>3454</v>
      </c>
      <c r="AL528">
        <v>4</v>
      </c>
      <c r="AM528" s="5">
        <f t="shared" si="66"/>
        <v>0.12121212121212122</v>
      </c>
      <c r="AN528" s="4">
        <f t="shared" si="71"/>
        <v>1.8358518926485606E-4</v>
      </c>
      <c r="AO528" s="3"/>
      <c r="AP528">
        <v>0</v>
      </c>
      <c r="AR528" t="s">
        <v>0</v>
      </c>
      <c r="AT528" s="2" t="s">
        <v>19</v>
      </c>
      <c r="AU528" s="1">
        <f t="shared" si="67"/>
        <v>3.0924513105163109</v>
      </c>
      <c r="AV528" s="1">
        <f t="shared" si="68"/>
        <v>2.2141390843477891</v>
      </c>
      <c r="AW528" s="1">
        <f t="shared" si="69"/>
        <v>1.3358268581792678</v>
      </c>
    </row>
    <row r="529" spans="1:49" x14ac:dyDescent="0.2">
      <c r="A529">
        <v>527</v>
      </c>
      <c r="B529" t="s">
        <v>3453</v>
      </c>
      <c r="C529" t="s">
        <v>3452</v>
      </c>
      <c r="F529" t="s">
        <v>3451</v>
      </c>
      <c r="G529" t="s">
        <v>15</v>
      </c>
      <c r="H529" t="s">
        <v>14</v>
      </c>
      <c r="I529" t="s">
        <v>3450</v>
      </c>
      <c r="J529">
        <v>60026610</v>
      </c>
      <c r="K529" t="s">
        <v>3449</v>
      </c>
      <c r="L529" t="s">
        <v>3448</v>
      </c>
      <c r="M529" t="s">
        <v>23</v>
      </c>
      <c r="N529">
        <v>1</v>
      </c>
      <c r="O529" t="s">
        <v>3447</v>
      </c>
      <c r="P529">
        <v>6701429640</v>
      </c>
      <c r="Q529">
        <v>60026610</v>
      </c>
      <c r="R529" s="7">
        <v>32509</v>
      </c>
      <c r="S529" s="8">
        <f t="shared" si="64"/>
        <v>1989</v>
      </c>
      <c r="T529" s="8">
        <v>1989</v>
      </c>
      <c r="U529" s="8">
        <f t="shared" si="65"/>
        <v>33</v>
      </c>
      <c r="V529" s="7">
        <v>32660</v>
      </c>
      <c r="W529" t="s">
        <v>778</v>
      </c>
      <c r="X529" s="2">
        <v>1.6519999999999999</v>
      </c>
      <c r="Y529" s="6">
        <f t="shared" si="70"/>
        <v>4.409919649769093E-2</v>
      </c>
      <c r="AA529" t="s">
        <v>777</v>
      </c>
      <c r="AB529">
        <v>17337</v>
      </c>
      <c r="AC529">
        <v>15582221</v>
      </c>
      <c r="AD529" t="s">
        <v>5</v>
      </c>
      <c r="AE529">
        <v>37</v>
      </c>
      <c r="AF529">
        <v>6</v>
      </c>
      <c r="AH529" t="s">
        <v>3446</v>
      </c>
      <c r="AI529" t="s">
        <v>3445</v>
      </c>
      <c r="AK529" t="s">
        <v>3444</v>
      </c>
      <c r="AL529">
        <v>3</v>
      </c>
      <c r="AM529" s="5">
        <f t="shared" si="66"/>
        <v>9.0909090909090912E-2</v>
      </c>
      <c r="AN529" s="4">
        <f t="shared" si="71"/>
        <v>1.3768889194864205E-4</v>
      </c>
      <c r="AO529" s="3"/>
      <c r="AP529">
        <v>0</v>
      </c>
      <c r="AR529" t="s">
        <v>0</v>
      </c>
      <c r="AT529" s="2" t="s">
        <v>19</v>
      </c>
      <c r="AU529" s="1">
        <f t="shared" si="67"/>
        <v>3.0910744215968244</v>
      </c>
      <c r="AV529" s="1">
        <f t="shared" si="68"/>
        <v>2.2118442694819787</v>
      </c>
      <c r="AW529" s="1">
        <f t="shared" si="69"/>
        <v>1.3326141173671326</v>
      </c>
    </row>
    <row r="530" spans="1:49" x14ac:dyDescent="0.2">
      <c r="A530">
        <v>528</v>
      </c>
      <c r="B530" t="s">
        <v>3443</v>
      </c>
      <c r="C530" t="s">
        <v>3442</v>
      </c>
      <c r="F530" t="s">
        <v>3441</v>
      </c>
      <c r="G530" t="s">
        <v>15</v>
      </c>
      <c r="H530" t="s">
        <v>14</v>
      </c>
      <c r="I530" t="s">
        <v>3440</v>
      </c>
      <c r="N530">
        <v>1</v>
      </c>
      <c r="O530" t="s">
        <v>3439</v>
      </c>
      <c r="P530">
        <v>7004858413</v>
      </c>
      <c r="R530" s="7">
        <v>32509</v>
      </c>
      <c r="S530" s="8">
        <f t="shared" si="64"/>
        <v>1989</v>
      </c>
      <c r="T530" s="8">
        <v>1989</v>
      </c>
      <c r="U530" s="8">
        <f t="shared" si="65"/>
        <v>33</v>
      </c>
      <c r="V530" s="7">
        <v>32660</v>
      </c>
      <c r="W530" t="s">
        <v>2256</v>
      </c>
      <c r="X530" s="2">
        <v>0.78200000000000003</v>
      </c>
      <c r="Y530" s="6">
        <f t="shared" si="70"/>
        <v>2.0875043378446919E-2</v>
      </c>
      <c r="AA530">
        <v>189316</v>
      </c>
      <c r="AB530">
        <v>19901</v>
      </c>
      <c r="AC530">
        <v>15579611</v>
      </c>
      <c r="AD530" t="s">
        <v>5</v>
      </c>
      <c r="AE530">
        <v>35</v>
      </c>
      <c r="AF530">
        <v>2</v>
      </c>
      <c r="AH530" t="s">
        <v>3438</v>
      </c>
      <c r="AI530" t="s">
        <v>3437</v>
      </c>
      <c r="AK530" t="s">
        <v>3436</v>
      </c>
      <c r="AL530">
        <v>4</v>
      </c>
      <c r="AM530" s="5">
        <f t="shared" si="66"/>
        <v>0.12121212121212122</v>
      </c>
      <c r="AN530" s="4">
        <f t="shared" si="71"/>
        <v>1.8358518926485606E-4</v>
      </c>
      <c r="AO530" s="3"/>
      <c r="AP530">
        <v>0</v>
      </c>
      <c r="AR530" t="s">
        <v>0</v>
      </c>
      <c r="AT530" s="2">
        <v>3.863</v>
      </c>
      <c r="AU530" s="1">
        <f t="shared" si="67"/>
        <v>1.4667605921692299</v>
      </c>
      <c r="AV530" s="1">
        <f t="shared" si="68"/>
        <v>1.0529314283855888</v>
      </c>
      <c r="AW530" s="1">
        <f t="shared" si="69"/>
        <v>0.63910226460194741</v>
      </c>
    </row>
    <row r="531" spans="1:49" x14ac:dyDescent="0.2">
      <c r="A531">
        <v>529</v>
      </c>
      <c r="B531" t="s">
        <v>3435</v>
      </c>
      <c r="C531" t="s">
        <v>3434</v>
      </c>
      <c r="F531" t="s">
        <v>3433</v>
      </c>
      <c r="G531" t="s">
        <v>15</v>
      </c>
      <c r="H531" t="s">
        <v>14</v>
      </c>
      <c r="I531" t="s">
        <v>3432</v>
      </c>
      <c r="J531">
        <v>60027550</v>
      </c>
      <c r="K531" t="s">
        <v>482</v>
      </c>
      <c r="L531" t="s">
        <v>481</v>
      </c>
      <c r="M531" t="s">
        <v>23</v>
      </c>
      <c r="N531">
        <v>3</v>
      </c>
      <c r="O531" t="s">
        <v>3431</v>
      </c>
      <c r="P531" t="s">
        <v>3430</v>
      </c>
      <c r="Q531" t="s">
        <v>3429</v>
      </c>
      <c r="R531" s="7">
        <v>32509</v>
      </c>
      <c r="S531" s="8">
        <f t="shared" si="64"/>
        <v>1989</v>
      </c>
      <c r="T531" s="8">
        <v>1989</v>
      </c>
      <c r="U531" s="8">
        <f t="shared" si="65"/>
        <v>33</v>
      </c>
      <c r="V531" s="7">
        <v>32660</v>
      </c>
      <c r="W531" t="s">
        <v>778</v>
      </c>
      <c r="X531" s="2">
        <v>1.6519999999999999</v>
      </c>
      <c r="Y531" s="6">
        <f t="shared" si="70"/>
        <v>4.409919649769093E-2</v>
      </c>
      <c r="AA531" t="s">
        <v>777</v>
      </c>
      <c r="AB531">
        <v>17337</v>
      </c>
      <c r="AC531">
        <v>15582221</v>
      </c>
      <c r="AD531" t="s">
        <v>5</v>
      </c>
      <c r="AE531">
        <v>37</v>
      </c>
      <c r="AF531">
        <v>6</v>
      </c>
      <c r="AH531" t="s">
        <v>3428</v>
      </c>
      <c r="AI531" t="s">
        <v>3427</v>
      </c>
      <c r="AK531" t="s">
        <v>3426</v>
      </c>
      <c r="AL531">
        <v>12</v>
      </c>
      <c r="AM531" s="5">
        <f t="shared" si="66"/>
        <v>0.36363636363636365</v>
      </c>
      <c r="AN531" s="4">
        <f t="shared" si="71"/>
        <v>5.5075556779456819E-4</v>
      </c>
      <c r="AO531" s="3"/>
      <c r="AP531">
        <v>0</v>
      </c>
      <c r="AR531" t="s">
        <v>0</v>
      </c>
      <c r="AT531" s="2" t="s">
        <v>19</v>
      </c>
      <c r="AU531" s="1">
        <f t="shared" si="67"/>
        <v>3.1034664218722021</v>
      </c>
      <c r="AV531" s="1">
        <f t="shared" si="68"/>
        <v>2.2324976032742749</v>
      </c>
      <c r="AW531" s="1">
        <f t="shared" si="69"/>
        <v>1.3615287846763475</v>
      </c>
    </row>
    <row r="532" spans="1:49" x14ac:dyDescent="0.2">
      <c r="A532">
        <v>530</v>
      </c>
      <c r="B532" t="s">
        <v>3425</v>
      </c>
      <c r="C532" t="s">
        <v>3424</v>
      </c>
      <c r="F532" t="s">
        <v>3423</v>
      </c>
      <c r="G532" t="s">
        <v>15</v>
      </c>
      <c r="H532" t="s">
        <v>14</v>
      </c>
      <c r="I532" t="s">
        <v>1633</v>
      </c>
      <c r="J532">
        <v>60002798</v>
      </c>
      <c r="K532" t="s">
        <v>3422</v>
      </c>
      <c r="L532" t="s">
        <v>3421</v>
      </c>
      <c r="M532" t="s">
        <v>3421</v>
      </c>
      <c r="N532">
        <v>3</v>
      </c>
      <c r="O532" t="s">
        <v>3420</v>
      </c>
      <c r="P532" t="s">
        <v>3419</v>
      </c>
      <c r="Q532" t="s">
        <v>3418</v>
      </c>
      <c r="R532" s="7">
        <v>32509</v>
      </c>
      <c r="S532" s="8">
        <f t="shared" si="64"/>
        <v>1989</v>
      </c>
      <c r="T532" s="8">
        <v>1989</v>
      </c>
      <c r="U532" s="8">
        <f t="shared" si="65"/>
        <v>33</v>
      </c>
      <c r="V532" s="7" t="s">
        <v>3164</v>
      </c>
      <c r="W532" s="11" t="s">
        <v>1449</v>
      </c>
      <c r="X532" s="2">
        <v>2.383</v>
      </c>
      <c r="Y532" s="6">
        <f t="shared" si="70"/>
        <v>6.3612824003630442E-2</v>
      </c>
      <c r="AA532" t="s">
        <v>1448</v>
      </c>
      <c r="AB532">
        <v>101151</v>
      </c>
      <c r="AD532" t="s">
        <v>5</v>
      </c>
      <c r="AE532">
        <v>136</v>
      </c>
      <c r="AF532">
        <v>3</v>
      </c>
      <c r="AH532" t="s">
        <v>3417</v>
      </c>
      <c r="AI532" t="s">
        <v>3416</v>
      </c>
      <c r="AK532" t="s">
        <v>3415</v>
      </c>
      <c r="AL532">
        <v>28</v>
      </c>
      <c r="AM532" s="5">
        <f t="shared" si="66"/>
        <v>0.84848484848484851</v>
      </c>
      <c r="AN532" s="4">
        <f t="shared" si="71"/>
        <v>1.2850963248539923E-3</v>
      </c>
      <c r="AO532" s="3"/>
      <c r="AP532">
        <v>0</v>
      </c>
      <c r="AR532" t="s">
        <v>0</v>
      </c>
      <c r="AT532" s="2" t="s">
        <v>19</v>
      </c>
      <c r="AU532" s="1">
        <f t="shared" si="67"/>
        <v>4.4914505699997509</v>
      </c>
      <c r="AV532" s="1">
        <f t="shared" si="68"/>
        <v>3.2448960164242218</v>
      </c>
      <c r="AW532" s="1">
        <f t="shared" si="69"/>
        <v>1.9983414628486926</v>
      </c>
    </row>
    <row r="533" spans="1:49" x14ac:dyDescent="0.2">
      <c r="A533">
        <v>531</v>
      </c>
      <c r="B533" t="s">
        <v>3414</v>
      </c>
      <c r="C533" t="s">
        <v>3413</v>
      </c>
      <c r="F533" t="s">
        <v>3412</v>
      </c>
      <c r="G533" t="s">
        <v>15</v>
      </c>
      <c r="H533" t="s">
        <v>14</v>
      </c>
      <c r="I533" t="s">
        <v>3411</v>
      </c>
      <c r="N533">
        <v>1</v>
      </c>
      <c r="O533" t="s">
        <v>3410</v>
      </c>
      <c r="P533">
        <v>55740112200</v>
      </c>
      <c r="R533" s="7">
        <v>32509</v>
      </c>
      <c r="S533" s="8">
        <f t="shared" si="64"/>
        <v>1989</v>
      </c>
      <c r="T533" s="8">
        <v>1989</v>
      </c>
      <c r="U533" s="8">
        <f t="shared" si="65"/>
        <v>33</v>
      </c>
      <c r="V533" s="7">
        <v>32660</v>
      </c>
      <c r="W533" t="s">
        <v>2256</v>
      </c>
      <c r="X533" s="2">
        <v>0.78200000000000003</v>
      </c>
      <c r="Y533" s="6">
        <f t="shared" si="70"/>
        <v>2.0875043378446919E-2</v>
      </c>
      <c r="AA533">
        <v>189316</v>
      </c>
      <c r="AB533">
        <v>19901</v>
      </c>
      <c r="AC533">
        <v>15579611</v>
      </c>
      <c r="AD533" t="s">
        <v>5</v>
      </c>
      <c r="AE533">
        <v>35</v>
      </c>
      <c r="AF533">
        <v>2</v>
      </c>
      <c r="AH533" t="s">
        <v>3409</v>
      </c>
      <c r="AL533">
        <v>0</v>
      </c>
      <c r="AM533" s="5">
        <f t="shared" si="66"/>
        <v>0</v>
      </c>
      <c r="AN533" s="4">
        <f t="shared" si="71"/>
        <v>0</v>
      </c>
      <c r="AO533" s="3"/>
      <c r="AP533">
        <v>0</v>
      </c>
      <c r="AR533" t="s">
        <v>0</v>
      </c>
      <c r="AT533" s="2">
        <v>3.863</v>
      </c>
      <c r="AU533" s="1">
        <f t="shared" si="67"/>
        <v>1.4612530364912841</v>
      </c>
      <c r="AV533" s="1">
        <f t="shared" si="68"/>
        <v>1.0437521689223459</v>
      </c>
      <c r="AW533" s="1">
        <f t="shared" si="69"/>
        <v>0.62625130135340756</v>
      </c>
    </row>
    <row r="534" spans="1:49" x14ac:dyDescent="0.2">
      <c r="A534">
        <v>532</v>
      </c>
      <c r="B534" t="s">
        <v>3408</v>
      </c>
      <c r="C534" t="s">
        <v>3407</v>
      </c>
      <c r="F534" t="s">
        <v>3406</v>
      </c>
      <c r="G534" t="s">
        <v>15</v>
      </c>
      <c r="H534" t="s">
        <v>14</v>
      </c>
      <c r="I534" t="s">
        <v>3405</v>
      </c>
      <c r="J534" t="s">
        <v>3399</v>
      </c>
      <c r="K534" t="s">
        <v>3404</v>
      </c>
      <c r="L534" t="s">
        <v>3403</v>
      </c>
      <c r="M534" t="s">
        <v>3402</v>
      </c>
      <c r="N534">
        <v>2</v>
      </c>
      <c r="O534" t="s">
        <v>3401</v>
      </c>
      <c r="P534" t="s">
        <v>3400</v>
      </c>
      <c r="Q534" t="s">
        <v>3399</v>
      </c>
      <c r="R534" s="7">
        <v>32509</v>
      </c>
      <c r="S534" s="8">
        <f t="shared" si="64"/>
        <v>1989</v>
      </c>
      <c r="T534" s="8">
        <v>1989</v>
      </c>
      <c r="U534" s="8">
        <f t="shared" si="65"/>
        <v>33</v>
      </c>
      <c r="V534" s="7">
        <v>32660</v>
      </c>
      <c r="W534" t="s">
        <v>2256</v>
      </c>
      <c r="X534" s="2">
        <v>0.78200000000000003</v>
      </c>
      <c r="Y534" s="6">
        <f t="shared" si="70"/>
        <v>2.0875043378446919E-2</v>
      </c>
      <c r="AA534">
        <v>189316</v>
      </c>
      <c r="AB534">
        <v>19901</v>
      </c>
      <c r="AC534">
        <v>15579611</v>
      </c>
      <c r="AD534" t="s">
        <v>5</v>
      </c>
      <c r="AE534">
        <v>35</v>
      </c>
      <c r="AF534">
        <v>2</v>
      </c>
      <c r="AH534" t="s">
        <v>3398</v>
      </c>
      <c r="AI534" t="s">
        <v>3397</v>
      </c>
      <c r="AK534" t="s">
        <v>3396</v>
      </c>
      <c r="AL534">
        <v>0</v>
      </c>
      <c r="AM534" s="5">
        <f t="shared" si="66"/>
        <v>0</v>
      </c>
      <c r="AN534" s="4">
        <f t="shared" si="71"/>
        <v>0</v>
      </c>
      <c r="AO534" s="3"/>
      <c r="AP534">
        <v>0</v>
      </c>
      <c r="AR534" t="s">
        <v>0</v>
      </c>
      <c r="AT534" s="2">
        <v>3.863</v>
      </c>
      <c r="AU534" s="1">
        <f t="shared" si="67"/>
        <v>1.4612530364912841</v>
      </c>
      <c r="AV534" s="1">
        <f t="shared" si="68"/>
        <v>1.0437521689223459</v>
      </c>
      <c r="AW534" s="1">
        <f t="shared" si="69"/>
        <v>0.62625130135340756</v>
      </c>
    </row>
    <row r="535" spans="1:49" x14ac:dyDescent="0.2">
      <c r="A535">
        <v>533</v>
      </c>
      <c r="B535" t="s">
        <v>3395</v>
      </c>
      <c r="C535" t="s">
        <v>3394</v>
      </c>
      <c r="F535" t="s">
        <v>3393</v>
      </c>
      <c r="G535" t="s">
        <v>15</v>
      </c>
      <c r="H535" t="s">
        <v>14</v>
      </c>
      <c r="I535" t="s">
        <v>3392</v>
      </c>
      <c r="J535" t="s">
        <v>3391</v>
      </c>
      <c r="K535" t="s">
        <v>3390</v>
      </c>
      <c r="L535" t="s">
        <v>3389</v>
      </c>
      <c r="M535" t="s">
        <v>86</v>
      </c>
      <c r="N535">
        <v>3</v>
      </c>
      <c r="O535" t="s">
        <v>3388</v>
      </c>
      <c r="P535" t="s">
        <v>3387</v>
      </c>
      <c r="Q535" t="s">
        <v>3386</v>
      </c>
      <c r="R535" s="7">
        <v>32509</v>
      </c>
      <c r="S535" s="8">
        <f t="shared" si="64"/>
        <v>1989</v>
      </c>
      <c r="T535" s="8">
        <v>1989</v>
      </c>
      <c r="U535" s="8">
        <f t="shared" si="65"/>
        <v>33</v>
      </c>
      <c r="V535" s="7">
        <v>32660</v>
      </c>
      <c r="W535" t="s">
        <v>778</v>
      </c>
      <c r="X535" s="2">
        <v>1.6519999999999999</v>
      </c>
      <c r="Y535" s="6">
        <f t="shared" si="70"/>
        <v>4.409919649769093E-2</v>
      </c>
      <c r="AA535" t="s">
        <v>777</v>
      </c>
      <c r="AB535">
        <v>17337</v>
      </c>
      <c r="AC535">
        <v>15582221</v>
      </c>
      <c r="AD535" t="s">
        <v>5</v>
      </c>
      <c r="AE535">
        <v>37</v>
      </c>
      <c r="AF535">
        <v>6</v>
      </c>
      <c r="AH535" t="s">
        <v>3385</v>
      </c>
      <c r="AI535" t="s">
        <v>3384</v>
      </c>
      <c r="AK535" t="s">
        <v>3383</v>
      </c>
      <c r="AL535">
        <v>8</v>
      </c>
      <c r="AM535" s="5">
        <f t="shared" si="66"/>
        <v>0.24242424242424243</v>
      </c>
      <c r="AN535" s="4">
        <f t="shared" si="71"/>
        <v>3.6717037852971213E-4</v>
      </c>
      <c r="AO535" s="3"/>
      <c r="AP535">
        <v>0</v>
      </c>
      <c r="AR535" t="s">
        <v>0</v>
      </c>
      <c r="AT535" s="2" t="s">
        <v>19</v>
      </c>
      <c r="AU535" s="1">
        <f t="shared" si="67"/>
        <v>3.0979588661942565</v>
      </c>
      <c r="AV535" s="1">
        <f t="shared" si="68"/>
        <v>2.2233183438110324</v>
      </c>
      <c r="AW535" s="1">
        <f t="shared" si="69"/>
        <v>1.3486778214278077</v>
      </c>
    </row>
    <row r="536" spans="1:49" x14ac:dyDescent="0.2">
      <c r="A536">
        <v>534</v>
      </c>
      <c r="B536" t="s">
        <v>3382</v>
      </c>
      <c r="C536" t="s">
        <v>3381</v>
      </c>
      <c r="F536" t="s">
        <v>3380</v>
      </c>
      <c r="G536" t="s">
        <v>15</v>
      </c>
      <c r="H536" t="s">
        <v>14</v>
      </c>
      <c r="I536" t="s">
        <v>3379</v>
      </c>
      <c r="J536">
        <v>60014313</v>
      </c>
      <c r="K536" t="s">
        <v>2683</v>
      </c>
      <c r="L536" t="s">
        <v>2682</v>
      </c>
      <c r="M536" t="s">
        <v>23</v>
      </c>
      <c r="N536">
        <v>3</v>
      </c>
      <c r="O536" t="s">
        <v>3378</v>
      </c>
      <c r="P536" t="s">
        <v>3377</v>
      </c>
      <c r="Q536" t="s">
        <v>3376</v>
      </c>
      <c r="R536" s="7">
        <v>32509</v>
      </c>
      <c r="S536" s="8">
        <f t="shared" si="64"/>
        <v>1989</v>
      </c>
      <c r="T536" s="8">
        <v>1989</v>
      </c>
      <c r="U536" s="8">
        <f t="shared" si="65"/>
        <v>33</v>
      </c>
      <c r="V536" s="7">
        <v>32660</v>
      </c>
      <c r="W536" t="s">
        <v>778</v>
      </c>
      <c r="X536" s="2">
        <v>1.6519999999999999</v>
      </c>
      <c r="Y536" s="6">
        <f t="shared" si="70"/>
        <v>4.409919649769093E-2</v>
      </c>
      <c r="AA536" t="s">
        <v>777</v>
      </c>
      <c r="AB536">
        <v>17337</v>
      </c>
      <c r="AC536">
        <v>15582221</v>
      </c>
      <c r="AD536" t="s">
        <v>5</v>
      </c>
      <c r="AE536">
        <v>37</v>
      </c>
      <c r="AF536">
        <v>6</v>
      </c>
      <c r="AH536" t="s">
        <v>3375</v>
      </c>
      <c r="AI536" t="s">
        <v>3374</v>
      </c>
      <c r="AK536" t="s">
        <v>3373</v>
      </c>
      <c r="AL536">
        <v>186</v>
      </c>
      <c r="AM536" s="5">
        <f t="shared" si="66"/>
        <v>5.6363636363636367</v>
      </c>
      <c r="AN536" s="4">
        <f t="shared" si="71"/>
        <v>8.5367113008158069E-3</v>
      </c>
      <c r="AO536" s="3"/>
      <c r="AP536">
        <v>0</v>
      </c>
      <c r="AR536" t="s">
        <v>0</v>
      </c>
      <c r="AT536" s="2" t="s">
        <v>19</v>
      </c>
      <c r="AU536" s="1">
        <f t="shared" si="67"/>
        <v>3.3430450938628389</v>
      </c>
      <c r="AV536" s="1">
        <f t="shared" si="68"/>
        <v>2.6317953899253368</v>
      </c>
      <c r="AW536" s="1">
        <f t="shared" si="69"/>
        <v>1.920545685987834</v>
      </c>
    </row>
    <row r="537" spans="1:49" x14ac:dyDescent="0.2">
      <c r="A537">
        <v>535</v>
      </c>
      <c r="B537" t="s">
        <v>3372</v>
      </c>
      <c r="C537" t="s">
        <v>3371</v>
      </c>
      <c r="F537" t="s">
        <v>3370</v>
      </c>
      <c r="G537" t="s">
        <v>15</v>
      </c>
      <c r="H537" t="s">
        <v>14</v>
      </c>
      <c r="I537" t="s">
        <v>3369</v>
      </c>
      <c r="J537">
        <v>60022403</v>
      </c>
      <c r="K537" t="s">
        <v>3061</v>
      </c>
      <c r="L537" t="s">
        <v>3060</v>
      </c>
      <c r="M537" t="s">
        <v>1940</v>
      </c>
      <c r="N537">
        <v>3</v>
      </c>
      <c r="O537" t="s">
        <v>3368</v>
      </c>
      <c r="P537" t="s">
        <v>3367</v>
      </c>
      <c r="Q537" t="s">
        <v>3057</v>
      </c>
      <c r="R537" s="7">
        <v>32509</v>
      </c>
      <c r="S537" s="8">
        <f t="shared" si="64"/>
        <v>1989</v>
      </c>
      <c r="T537" s="8">
        <v>1989</v>
      </c>
      <c r="U537" s="8">
        <f t="shared" si="65"/>
        <v>33</v>
      </c>
      <c r="V537" s="7" t="s">
        <v>3164</v>
      </c>
      <c r="W537" s="11" t="s">
        <v>1449</v>
      </c>
      <c r="X537" s="2">
        <v>2.383</v>
      </c>
      <c r="Y537" s="6">
        <f t="shared" si="70"/>
        <v>6.3612824003630442E-2</v>
      </c>
      <c r="AA537" t="s">
        <v>1448</v>
      </c>
      <c r="AB537">
        <v>101151</v>
      </c>
      <c r="AD537" t="s">
        <v>5</v>
      </c>
      <c r="AE537">
        <v>136</v>
      </c>
      <c r="AF537">
        <v>3</v>
      </c>
      <c r="AH537" t="s">
        <v>3366</v>
      </c>
      <c r="AI537" t="s">
        <v>3365</v>
      </c>
      <c r="AK537" t="s">
        <v>3364</v>
      </c>
      <c r="AL537">
        <v>1</v>
      </c>
      <c r="AM537" s="5">
        <f t="shared" si="66"/>
        <v>3.0303030303030304E-2</v>
      </c>
      <c r="AN537" s="4">
        <f t="shared" si="71"/>
        <v>4.5896297316214016E-5</v>
      </c>
      <c r="AO537" s="3"/>
      <c r="AP537">
        <v>0</v>
      </c>
      <c r="AR537" t="s">
        <v>0</v>
      </c>
      <c r="AT537" s="2" t="s">
        <v>19</v>
      </c>
      <c r="AU537" s="1">
        <f t="shared" si="67"/>
        <v>4.4542745691736174</v>
      </c>
      <c r="AV537" s="1">
        <f t="shared" si="68"/>
        <v>3.1829360150473329</v>
      </c>
      <c r="AW537" s="1">
        <f t="shared" si="69"/>
        <v>1.9115974609210482</v>
      </c>
    </row>
    <row r="538" spans="1:49" x14ac:dyDescent="0.2">
      <c r="A538">
        <v>536</v>
      </c>
      <c r="B538" t="s">
        <v>3363</v>
      </c>
      <c r="C538" t="s">
        <v>3362</v>
      </c>
      <c r="F538" t="s">
        <v>3361</v>
      </c>
      <c r="G538" t="s">
        <v>15</v>
      </c>
      <c r="H538" t="s">
        <v>14</v>
      </c>
      <c r="I538" t="s">
        <v>3360</v>
      </c>
      <c r="J538" t="s">
        <v>3359</v>
      </c>
      <c r="K538" t="s">
        <v>3358</v>
      </c>
      <c r="L538" t="s">
        <v>3357</v>
      </c>
      <c r="M538" t="s">
        <v>554</v>
      </c>
      <c r="N538">
        <v>3</v>
      </c>
      <c r="O538" t="s">
        <v>3356</v>
      </c>
      <c r="P538" t="s">
        <v>3355</v>
      </c>
      <c r="Q538" t="s">
        <v>3354</v>
      </c>
      <c r="R538" s="7">
        <v>32509</v>
      </c>
      <c r="S538" s="8">
        <f t="shared" si="64"/>
        <v>1989</v>
      </c>
      <c r="T538" s="8">
        <v>1989</v>
      </c>
      <c r="U538" s="8">
        <f t="shared" si="65"/>
        <v>33</v>
      </c>
      <c r="V538" s="7">
        <v>32660</v>
      </c>
      <c r="W538" t="s">
        <v>2592</v>
      </c>
      <c r="X538" s="2">
        <v>0.82</v>
      </c>
      <c r="Y538" s="6">
        <f t="shared" si="70"/>
        <v>2.1889431675609299E-2</v>
      </c>
      <c r="AA538">
        <v>189456</v>
      </c>
      <c r="AB538">
        <v>15361</v>
      </c>
      <c r="AC538">
        <v>15579662</v>
      </c>
      <c r="AD538" t="s">
        <v>5</v>
      </c>
      <c r="AE538">
        <v>38</v>
      </c>
      <c r="AF538">
        <v>3</v>
      </c>
      <c r="AH538" t="s">
        <v>3353</v>
      </c>
      <c r="AI538" t="s">
        <v>3352</v>
      </c>
      <c r="AK538" t="s">
        <v>3351</v>
      </c>
      <c r="AL538">
        <v>0</v>
      </c>
      <c r="AM538" s="5">
        <f t="shared" si="66"/>
        <v>0</v>
      </c>
      <c r="AN538" s="4">
        <f t="shared" si="71"/>
        <v>0</v>
      </c>
      <c r="AO538" s="3"/>
      <c r="AP538">
        <v>0</v>
      </c>
      <c r="AR538" t="s">
        <v>0</v>
      </c>
      <c r="AT538" s="2" t="s">
        <v>19</v>
      </c>
      <c r="AU538" s="1">
        <f t="shared" si="67"/>
        <v>1.5322602172926507</v>
      </c>
      <c r="AV538" s="1">
        <f t="shared" si="68"/>
        <v>1.0944715837804648</v>
      </c>
      <c r="AW538" s="1">
        <f t="shared" si="69"/>
        <v>0.65668295026827894</v>
      </c>
    </row>
    <row r="539" spans="1:49" x14ac:dyDescent="0.2">
      <c r="A539">
        <v>537</v>
      </c>
      <c r="B539" t="s">
        <v>3350</v>
      </c>
      <c r="C539" t="s">
        <v>3349</v>
      </c>
      <c r="F539" t="s">
        <v>3348</v>
      </c>
      <c r="G539" t="s">
        <v>15</v>
      </c>
      <c r="H539" t="s">
        <v>14</v>
      </c>
      <c r="I539" t="s">
        <v>3347</v>
      </c>
      <c r="J539">
        <v>60027090</v>
      </c>
      <c r="K539" t="s">
        <v>312</v>
      </c>
      <c r="L539" t="s">
        <v>311</v>
      </c>
      <c r="M539" t="s">
        <v>23</v>
      </c>
      <c r="N539">
        <v>1</v>
      </c>
      <c r="O539" t="s">
        <v>3346</v>
      </c>
      <c r="P539">
        <v>7406465664</v>
      </c>
      <c r="Q539">
        <v>60027090</v>
      </c>
      <c r="R539" s="7">
        <v>32509</v>
      </c>
      <c r="S539" s="8">
        <f t="shared" si="64"/>
        <v>1989</v>
      </c>
      <c r="T539" s="8">
        <v>1989</v>
      </c>
      <c r="U539" s="8">
        <f t="shared" si="65"/>
        <v>33</v>
      </c>
      <c r="V539" s="7">
        <v>32660</v>
      </c>
      <c r="W539" t="s">
        <v>778</v>
      </c>
      <c r="X539" s="2">
        <v>1.6519999999999999</v>
      </c>
      <c r="Y539" s="6">
        <f t="shared" si="70"/>
        <v>4.409919649769093E-2</v>
      </c>
      <c r="AA539" t="s">
        <v>777</v>
      </c>
      <c r="AB539">
        <v>17337</v>
      </c>
      <c r="AC539">
        <v>15582221</v>
      </c>
      <c r="AD539" t="s">
        <v>5</v>
      </c>
      <c r="AE539">
        <v>37</v>
      </c>
      <c r="AF539">
        <v>6</v>
      </c>
      <c r="AH539" t="s">
        <v>3345</v>
      </c>
      <c r="AI539" t="s">
        <v>3344</v>
      </c>
      <c r="AK539" t="s">
        <v>3343</v>
      </c>
      <c r="AL539">
        <v>12</v>
      </c>
      <c r="AM539" s="5">
        <f t="shared" si="66"/>
        <v>0.36363636363636365</v>
      </c>
      <c r="AN539" s="4">
        <f t="shared" si="71"/>
        <v>5.5075556779456819E-4</v>
      </c>
      <c r="AO539" s="3"/>
      <c r="AP539">
        <v>0</v>
      </c>
      <c r="AR539" t="s">
        <v>0</v>
      </c>
      <c r="AT539" s="2" t="s">
        <v>19</v>
      </c>
      <c r="AU539" s="1">
        <f t="shared" si="67"/>
        <v>3.1034664218722021</v>
      </c>
      <c r="AV539" s="1">
        <f t="shared" si="68"/>
        <v>2.2324976032742749</v>
      </c>
      <c r="AW539" s="1">
        <f t="shared" si="69"/>
        <v>1.3615287846763475</v>
      </c>
    </row>
    <row r="540" spans="1:49" x14ac:dyDescent="0.2">
      <c r="A540">
        <v>538</v>
      </c>
      <c r="B540" t="s">
        <v>3342</v>
      </c>
      <c r="C540" t="s">
        <v>3341</v>
      </c>
      <c r="F540" t="s">
        <v>3340</v>
      </c>
      <c r="G540" t="s">
        <v>15</v>
      </c>
      <c r="H540" t="s">
        <v>14</v>
      </c>
      <c r="I540" t="s">
        <v>3339</v>
      </c>
      <c r="J540">
        <v>60006288</v>
      </c>
      <c r="K540" t="s">
        <v>3338</v>
      </c>
      <c r="L540" t="s">
        <v>3337</v>
      </c>
      <c r="M540" t="s">
        <v>196</v>
      </c>
      <c r="N540">
        <v>1</v>
      </c>
      <c r="O540" t="s">
        <v>3336</v>
      </c>
      <c r="P540">
        <v>6603125821</v>
      </c>
      <c r="Q540">
        <v>60006288</v>
      </c>
      <c r="R540" s="7">
        <v>32509</v>
      </c>
      <c r="S540" s="8">
        <f t="shared" si="64"/>
        <v>1989</v>
      </c>
      <c r="T540" s="8">
        <v>1989</v>
      </c>
      <c r="U540" s="8">
        <f t="shared" si="65"/>
        <v>33</v>
      </c>
      <c r="V540" s="7">
        <v>32660</v>
      </c>
      <c r="W540" t="s">
        <v>3335</v>
      </c>
      <c r="X540" s="2">
        <v>2.5710000000000002</v>
      </c>
      <c r="Y540" s="6">
        <f t="shared" si="70"/>
        <v>6.8631376631696966E-2</v>
      </c>
      <c r="AA540">
        <v>189200</v>
      </c>
      <c r="AB540">
        <v>17278</v>
      </c>
      <c r="AC540" t="s">
        <v>3334</v>
      </c>
      <c r="AD540" t="s">
        <v>5</v>
      </c>
      <c r="AE540">
        <v>24</v>
      </c>
      <c r="AF540">
        <v>3</v>
      </c>
      <c r="AH540" t="s">
        <v>3333</v>
      </c>
      <c r="AI540" t="s">
        <v>3332</v>
      </c>
      <c r="AK540" t="s">
        <v>3331</v>
      </c>
      <c r="AL540">
        <v>10</v>
      </c>
      <c r="AM540" s="5">
        <f t="shared" si="66"/>
        <v>0.30303030303030304</v>
      </c>
      <c r="AN540" s="4">
        <f t="shared" si="71"/>
        <v>4.5896297316214016E-4</v>
      </c>
      <c r="AO540" s="3"/>
      <c r="AP540">
        <v>0</v>
      </c>
      <c r="AQ540" t="s">
        <v>3330</v>
      </c>
      <c r="AR540" t="s">
        <v>0</v>
      </c>
      <c r="AS540" t="s">
        <v>3329</v>
      </c>
      <c r="AT540" s="2">
        <v>5.0129999999999999</v>
      </c>
      <c r="AU540" s="1">
        <f t="shared" si="67"/>
        <v>4.8179652534136519</v>
      </c>
      <c r="AV540" s="1">
        <f t="shared" si="68"/>
        <v>3.4545169802429552</v>
      </c>
      <c r="AW540" s="1">
        <f t="shared" si="69"/>
        <v>2.0910687070722589</v>
      </c>
    </row>
    <row r="541" spans="1:49" x14ac:dyDescent="0.2">
      <c r="A541">
        <v>539</v>
      </c>
      <c r="B541" t="s">
        <v>3328</v>
      </c>
      <c r="C541" t="s">
        <v>3327</v>
      </c>
      <c r="F541" t="s">
        <v>3326</v>
      </c>
      <c r="G541" t="s">
        <v>15</v>
      </c>
      <c r="H541" t="s">
        <v>14</v>
      </c>
      <c r="I541" t="s">
        <v>3325</v>
      </c>
      <c r="J541">
        <v>117744661</v>
      </c>
      <c r="K541" t="s">
        <v>3324</v>
      </c>
      <c r="L541" t="s">
        <v>3323</v>
      </c>
      <c r="M541" t="s">
        <v>23</v>
      </c>
      <c r="N541">
        <v>2</v>
      </c>
      <c r="O541" t="s">
        <v>3322</v>
      </c>
      <c r="P541" t="s">
        <v>3321</v>
      </c>
      <c r="Q541" t="s">
        <v>3320</v>
      </c>
      <c r="R541" s="7">
        <v>32509</v>
      </c>
      <c r="S541" s="8">
        <f t="shared" si="64"/>
        <v>1989</v>
      </c>
      <c r="T541" s="8">
        <v>1989</v>
      </c>
      <c r="U541" s="8">
        <f t="shared" si="65"/>
        <v>33</v>
      </c>
      <c r="V541" s="7">
        <v>32660</v>
      </c>
      <c r="W541" t="s">
        <v>2256</v>
      </c>
      <c r="X541" s="2">
        <v>0.78200000000000003</v>
      </c>
      <c r="Y541" s="6">
        <f t="shared" si="70"/>
        <v>2.0875043378446919E-2</v>
      </c>
      <c r="AA541">
        <v>189316</v>
      </c>
      <c r="AB541">
        <v>19901</v>
      </c>
      <c r="AC541">
        <v>15579611</v>
      </c>
      <c r="AD541" t="s">
        <v>5</v>
      </c>
      <c r="AE541">
        <v>35</v>
      </c>
      <c r="AF541">
        <v>2</v>
      </c>
      <c r="AH541" t="s">
        <v>3319</v>
      </c>
      <c r="AI541" t="s">
        <v>3318</v>
      </c>
      <c r="AK541" t="s">
        <v>3317</v>
      </c>
      <c r="AL541">
        <v>5</v>
      </c>
      <c r="AM541" s="5">
        <f t="shared" si="66"/>
        <v>0.15151515151515152</v>
      </c>
      <c r="AN541" s="4">
        <f t="shared" si="71"/>
        <v>2.2948148658107008E-4</v>
      </c>
      <c r="AO541" s="3"/>
      <c r="AP541">
        <v>0</v>
      </c>
      <c r="AR541" t="s">
        <v>0</v>
      </c>
      <c r="AT541" s="2">
        <v>3.863</v>
      </c>
      <c r="AU541" s="1">
        <f t="shared" si="67"/>
        <v>1.4681374810887162</v>
      </c>
      <c r="AV541" s="1">
        <f t="shared" si="68"/>
        <v>1.0552262432513995</v>
      </c>
      <c r="AW541" s="1">
        <f t="shared" si="69"/>
        <v>0.64231500541408248</v>
      </c>
    </row>
    <row r="542" spans="1:49" x14ac:dyDescent="0.2">
      <c r="A542">
        <v>540</v>
      </c>
      <c r="B542" t="s">
        <v>3316</v>
      </c>
      <c r="C542" t="s">
        <v>3315</v>
      </c>
      <c r="F542" t="s">
        <v>3314</v>
      </c>
      <c r="G542" t="s">
        <v>15</v>
      </c>
      <c r="H542" t="s">
        <v>14</v>
      </c>
      <c r="I542" t="s">
        <v>3313</v>
      </c>
      <c r="J542" t="s">
        <v>3312</v>
      </c>
      <c r="K542" t="s">
        <v>3311</v>
      </c>
      <c r="L542" t="s">
        <v>3310</v>
      </c>
      <c r="M542" t="s">
        <v>3309</v>
      </c>
      <c r="N542">
        <v>2</v>
      </c>
      <c r="O542" t="s">
        <v>3308</v>
      </c>
      <c r="P542" t="s">
        <v>3307</v>
      </c>
      <c r="Q542" t="s">
        <v>3306</v>
      </c>
      <c r="R542" s="7">
        <v>32509</v>
      </c>
      <c r="S542" s="8">
        <f t="shared" si="64"/>
        <v>1989</v>
      </c>
      <c r="T542" s="8">
        <v>1989</v>
      </c>
      <c r="U542" s="8">
        <f t="shared" si="65"/>
        <v>33</v>
      </c>
      <c r="V542" s="7">
        <v>32660</v>
      </c>
      <c r="W542" t="s">
        <v>895</v>
      </c>
      <c r="X542" s="2">
        <v>1.6379999999999999</v>
      </c>
      <c r="Y542" s="6">
        <f t="shared" si="70"/>
        <v>4.3725474493473214E-2</v>
      </c>
      <c r="AA542">
        <v>963518</v>
      </c>
      <c r="AB542">
        <v>31560</v>
      </c>
      <c r="AD542" t="s">
        <v>5</v>
      </c>
      <c r="AE542">
        <v>37</v>
      </c>
      <c r="AF542">
        <v>6</v>
      </c>
      <c r="AH542" t="s">
        <v>3305</v>
      </c>
      <c r="AI542" t="s">
        <v>3304</v>
      </c>
      <c r="AK542" t="s">
        <v>3303</v>
      </c>
      <c r="AL542">
        <v>1</v>
      </c>
      <c r="AM542" s="5">
        <f t="shared" si="66"/>
        <v>3.0303030303030304E-2</v>
      </c>
      <c r="AN542" s="4">
        <f t="shared" si="71"/>
        <v>4.5896297316214016E-5</v>
      </c>
      <c r="AO542" s="3"/>
      <c r="AP542">
        <v>0</v>
      </c>
      <c r="AR542" t="s">
        <v>0</v>
      </c>
      <c r="AT542" s="2" t="s">
        <v>19</v>
      </c>
      <c r="AU542" s="1">
        <f t="shared" si="67"/>
        <v>3.0621601034626114</v>
      </c>
      <c r="AV542" s="1">
        <f t="shared" si="68"/>
        <v>2.1885685395394714</v>
      </c>
      <c r="AW542" s="1">
        <f t="shared" si="69"/>
        <v>1.3149769756163312</v>
      </c>
    </row>
    <row r="543" spans="1:49" x14ac:dyDescent="0.2">
      <c r="A543">
        <v>541</v>
      </c>
      <c r="B543" t="s">
        <v>3302</v>
      </c>
      <c r="C543" t="s">
        <v>3301</v>
      </c>
      <c r="F543" t="s">
        <v>3300</v>
      </c>
      <c r="G543" t="s">
        <v>15</v>
      </c>
      <c r="H543" t="s">
        <v>14</v>
      </c>
      <c r="I543" t="s">
        <v>3299</v>
      </c>
      <c r="J543">
        <v>60029470</v>
      </c>
      <c r="K543" t="s">
        <v>3298</v>
      </c>
      <c r="L543" t="s">
        <v>3297</v>
      </c>
      <c r="M543" t="s">
        <v>857</v>
      </c>
      <c r="N543">
        <v>1</v>
      </c>
      <c r="O543" t="s">
        <v>3296</v>
      </c>
      <c r="P543">
        <v>7201399131</v>
      </c>
      <c r="Q543">
        <v>60029470</v>
      </c>
      <c r="R543" s="7">
        <v>32509</v>
      </c>
      <c r="S543" s="8">
        <f t="shared" si="64"/>
        <v>1989</v>
      </c>
      <c r="T543" s="8">
        <v>1989</v>
      </c>
      <c r="U543" s="8">
        <f t="shared" si="65"/>
        <v>33</v>
      </c>
      <c r="V543" s="7" t="s">
        <v>3164</v>
      </c>
      <c r="W543" s="11" t="s">
        <v>1449</v>
      </c>
      <c r="X543" s="2">
        <v>2.383</v>
      </c>
      <c r="Y543" s="6">
        <f t="shared" si="70"/>
        <v>6.3612824003630442E-2</v>
      </c>
      <c r="AA543" t="s">
        <v>1448</v>
      </c>
      <c r="AB543">
        <v>101151</v>
      </c>
      <c r="AD543" t="s">
        <v>5</v>
      </c>
      <c r="AE543">
        <v>136</v>
      </c>
      <c r="AF543">
        <v>3</v>
      </c>
      <c r="AH543" t="s">
        <v>3295</v>
      </c>
      <c r="AI543" t="s">
        <v>3294</v>
      </c>
      <c r="AK543" t="s">
        <v>3293</v>
      </c>
      <c r="AL543">
        <v>12</v>
      </c>
      <c r="AM543" s="5">
        <f t="shared" si="66"/>
        <v>0.36363636363636365</v>
      </c>
      <c r="AN543" s="4">
        <f t="shared" si="71"/>
        <v>5.5075556779456819E-4</v>
      </c>
      <c r="AO543" s="3"/>
      <c r="AP543">
        <v>0</v>
      </c>
      <c r="AR543" t="s">
        <v>0</v>
      </c>
      <c r="AT543" s="2" t="s">
        <v>19</v>
      </c>
      <c r="AU543" s="1">
        <f t="shared" si="67"/>
        <v>4.4694203472879686</v>
      </c>
      <c r="AV543" s="1">
        <f t="shared" si="68"/>
        <v>3.20817897857125</v>
      </c>
      <c r="AW543" s="1">
        <f t="shared" si="69"/>
        <v>1.9469376098545332</v>
      </c>
    </row>
    <row r="544" spans="1:49" x14ac:dyDescent="0.2">
      <c r="A544">
        <v>542</v>
      </c>
      <c r="B544" t="s">
        <v>3292</v>
      </c>
      <c r="C544" t="s">
        <v>3291</v>
      </c>
      <c r="F544" t="s">
        <v>3290</v>
      </c>
      <c r="G544" t="s">
        <v>15</v>
      </c>
      <c r="H544" t="s">
        <v>14</v>
      </c>
      <c r="I544" t="s">
        <v>3289</v>
      </c>
      <c r="N544">
        <v>1</v>
      </c>
      <c r="O544" t="s">
        <v>3288</v>
      </c>
      <c r="P544">
        <v>7005186054</v>
      </c>
      <c r="R544" s="7">
        <v>32509</v>
      </c>
      <c r="S544" s="8">
        <f t="shared" si="64"/>
        <v>1989</v>
      </c>
      <c r="T544" s="8">
        <v>1989</v>
      </c>
      <c r="U544" s="8">
        <f t="shared" si="65"/>
        <v>33</v>
      </c>
      <c r="V544" s="7">
        <v>32660</v>
      </c>
      <c r="W544" t="s">
        <v>2256</v>
      </c>
      <c r="X544" s="2">
        <v>0.78200000000000003</v>
      </c>
      <c r="Y544" s="6">
        <f t="shared" si="70"/>
        <v>2.0875043378446919E-2</v>
      </c>
      <c r="AA544">
        <v>189316</v>
      </c>
      <c r="AB544">
        <v>19901</v>
      </c>
      <c r="AC544">
        <v>15579611</v>
      </c>
      <c r="AD544" t="s">
        <v>5</v>
      </c>
      <c r="AE544">
        <v>35</v>
      </c>
      <c r="AF544">
        <v>2</v>
      </c>
      <c r="AH544" t="s">
        <v>3287</v>
      </c>
      <c r="AI544" t="s">
        <v>3286</v>
      </c>
      <c r="AK544" t="s">
        <v>3285</v>
      </c>
      <c r="AL544">
        <v>0</v>
      </c>
      <c r="AM544" s="5">
        <f t="shared" si="66"/>
        <v>0</v>
      </c>
      <c r="AN544" s="4">
        <f t="shared" si="71"/>
        <v>0</v>
      </c>
      <c r="AO544" s="3"/>
      <c r="AP544">
        <v>0</v>
      </c>
      <c r="AR544" t="s">
        <v>0</v>
      </c>
      <c r="AT544" s="2">
        <v>3.863</v>
      </c>
      <c r="AU544" s="1">
        <f t="shared" si="67"/>
        <v>1.4612530364912841</v>
      </c>
      <c r="AV544" s="1">
        <f t="shared" si="68"/>
        <v>1.0437521689223459</v>
      </c>
      <c r="AW544" s="1">
        <f t="shared" si="69"/>
        <v>0.62625130135340756</v>
      </c>
    </row>
    <row r="545" spans="1:49" x14ac:dyDescent="0.2">
      <c r="A545">
        <v>543</v>
      </c>
      <c r="B545" t="s">
        <v>3284</v>
      </c>
      <c r="C545" t="s">
        <v>3283</v>
      </c>
      <c r="F545" t="s">
        <v>3282</v>
      </c>
      <c r="G545" t="s">
        <v>15</v>
      </c>
      <c r="H545" t="s">
        <v>14</v>
      </c>
      <c r="I545" t="s">
        <v>3281</v>
      </c>
      <c r="J545">
        <v>60009506</v>
      </c>
      <c r="K545" t="s">
        <v>3280</v>
      </c>
      <c r="L545" t="s">
        <v>3279</v>
      </c>
      <c r="M545" t="s">
        <v>3278</v>
      </c>
      <c r="N545">
        <v>2</v>
      </c>
      <c r="O545" t="s">
        <v>3277</v>
      </c>
      <c r="P545" t="s">
        <v>3276</v>
      </c>
      <c r="Q545" t="s">
        <v>3275</v>
      </c>
      <c r="R545" s="7">
        <v>32509</v>
      </c>
      <c r="S545" s="8">
        <f t="shared" si="64"/>
        <v>1989</v>
      </c>
      <c r="T545" s="8">
        <v>1989</v>
      </c>
      <c r="U545" s="8">
        <f t="shared" si="65"/>
        <v>33</v>
      </c>
      <c r="V545" s="7">
        <v>32660</v>
      </c>
      <c r="W545" t="s">
        <v>778</v>
      </c>
      <c r="X545" s="2">
        <v>1.6519999999999999</v>
      </c>
      <c r="Y545" s="6">
        <f t="shared" si="70"/>
        <v>4.409919649769093E-2</v>
      </c>
      <c r="AA545" t="s">
        <v>777</v>
      </c>
      <c r="AB545">
        <v>17337</v>
      </c>
      <c r="AC545">
        <v>15582221</v>
      </c>
      <c r="AD545" t="s">
        <v>5</v>
      </c>
      <c r="AE545">
        <v>37</v>
      </c>
      <c r="AF545">
        <v>6</v>
      </c>
      <c r="AH545" t="s">
        <v>3274</v>
      </c>
      <c r="AI545" t="s">
        <v>3273</v>
      </c>
      <c r="AK545" t="s">
        <v>3272</v>
      </c>
      <c r="AL545">
        <v>7</v>
      </c>
      <c r="AM545" s="5">
        <f t="shared" si="66"/>
        <v>0.21212121212121213</v>
      </c>
      <c r="AN545" s="4">
        <f t="shared" si="71"/>
        <v>3.2127408121349809E-4</v>
      </c>
      <c r="AO545" s="3"/>
      <c r="AP545">
        <v>0</v>
      </c>
      <c r="AR545" t="s">
        <v>0</v>
      </c>
      <c r="AT545" s="2" t="s">
        <v>19</v>
      </c>
      <c r="AU545" s="1">
        <f t="shared" si="67"/>
        <v>3.09658197727477</v>
      </c>
      <c r="AV545" s="1">
        <f t="shared" si="68"/>
        <v>2.2210235289452216</v>
      </c>
      <c r="AW545" s="1">
        <f t="shared" si="69"/>
        <v>1.3454650806156727</v>
      </c>
    </row>
    <row r="546" spans="1:49" x14ac:dyDescent="0.2">
      <c r="A546">
        <v>544</v>
      </c>
      <c r="B546" t="s">
        <v>3271</v>
      </c>
      <c r="C546" t="s">
        <v>3270</v>
      </c>
      <c r="F546" t="s">
        <v>3269</v>
      </c>
      <c r="G546" t="s">
        <v>15</v>
      </c>
      <c r="H546" t="s">
        <v>14</v>
      </c>
      <c r="I546" t="s">
        <v>3268</v>
      </c>
      <c r="J546">
        <v>60000305</v>
      </c>
      <c r="K546" t="s">
        <v>3267</v>
      </c>
      <c r="L546" t="s">
        <v>3266</v>
      </c>
      <c r="M546" t="s">
        <v>23</v>
      </c>
      <c r="N546">
        <v>2</v>
      </c>
      <c r="O546" t="s">
        <v>3265</v>
      </c>
      <c r="P546" t="s">
        <v>3264</v>
      </c>
      <c r="Q546" t="s">
        <v>3263</v>
      </c>
      <c r="R546" s="7">
        <v>32509</v>
      </c>
      <c r="S546" s="8">
        <f t="shared" si="64"/>
        <v>1989</v>
      </c>
      <c r="T546" s="8">
        <v>1989</v>
      </c>
      <c r="U546" s="8">
        <f t="shared" si="65"/>
        <v>33</v>
      </c>
      <c r="V546" s="7" t="s">
        <v>3164</v>
      </c>
      <c r="W546" s="11" t="s">
        <v>1449</v>
      </c>
      <c r="X546" s="2">
        <v>2.383</v>
      </c>
      <c r="Y546" s="6">
        <f t="shared" si="70"/>
        <v>6.3612824003630442E-2</v>
      </c>
      <c r="AA546" t="s">
        <v>1448</v>
      </c>
      <c r="AB546">
        <v>101151</v>
      </c>
      <c r="AD546" t="s">
        <v>5</v>
      </c>
      <c r="AE546">
        <v>136</v>
      </c>
      <c r="AF546">
        <v>3</v>
      </c>
      <c r="AH546" t="s">
        <v>3262</v>
      </c>
      <c r="AI546" t="s">
        <v>3261</v>
      </c>
      <c r="AK546" t="s">
        <v>3260</v>
      </c>
      <c r="AL546">
        <v>1</v>
      </c>
      <c r="AM546" s="5">
        <f t="shared" si="66"/>
        <v>3.0303030303030304E-2</v>
      </c>
      <c r="AN546" s="4">
        <f t="shared" si="71"/>
        <v>4.5896297316214016E-5</v>
      </c>
      <c r="AO546" s="3"/>
      <c r="AP546">
        <v>0</v>
      </c>
      <c r="AR546" t="s">
        <v>0</v>
      </c>
      <c r="AT546" s="2" t="s">
        <v>19</v>
      </c>
      <c r="AU546" s="1">
        <f t="shared" si="67"/>
        <v>4.4542745691736174</v>
      </c>
      <c r="AV546" s="1">
        <f t="shared" si="68"/>
        <v>3.1829360150473329</v>
      </c>
      <c r="AW546" s="1">
        <f t="shared" si="69"/>
        <v>1.9115974609210482</v>
      </c>
    </row>
    <row r="547" spans="1:49" x14ac:dyDescent="0.2">
      <c r="A547">
        <v>545</v>
      </c>
      <c r="B547" t="s">
        <v>3259</v>
      </c>
      <c r="C547" t="s">
        <v>3258</v>
      </c>
      <c r="F547" t="s">
        <v>3257</v>
      </c>
      <c r="G547" t="s">
        <v>15</v>
      </c>
      <c r="H547" t="s">
        <v>14</v>
      </c>
      <c r="I547" t="s">
        <v>3256</v>
      </c>
      <c r="N547">
        <v>1</v>
      </c>
      <c r="O547" t="s">
        <v>3255</v>
      </c>
      <c r="P547">
        <v>7501652481</v>
      </c>
      <c r="R547" s="7">
        <v>32509</v>
      </c>
      <c r="S547" s="8">
        <f t="shared" si="64"/>
        <v>1989</v>
      </c>
      <c r="T547" s="8">
        <v>1989</v>
      </c>
      <c r="U547" s="8">
        <f t="shared" si="65"/>
        <v>33</v>
      </c>
      <c r="V547" s="7">
        <v>32660</v>
      </c>
      <c r="W547" t="s">
        <v>2256</v>
      </c>
      <c r="X547" s="2">
        <v>0.78200000000000003</v>
      </c>
      <c r="Y547" s="6">
        <f t="shared" si="70"/>
        <v>2.0875043378446919E-2</v>
      </c>
      <c r="AA547">
        <v>189316</v>
      </c>
      <c r="AB547">
        <v>19901</v>
      </c>
      <c r="AC547">
        <v>15579611</v>
      </c>
      <c r="AD547" t="s">
        <v>5</v>
      </c>
      <c r="AE547">
        <v>35</v>
      </c>
      <c r="AF547">
        <v>2</v>
      </c>
      <c r="AH547" t="s">
        <v>3254</v>
      </c>
      <c r="AI547" t="s">
        <v>3253</v>
      </c>
      <c r="AK547" t="s">
        <v>3252</v>
      </c>
      <c r="AL547">
        <v>2</v>
      </c>
      <c r="AM547" s="5">
        <f t="shared" si="66"/>
        <v>6.0606060606060608E-2</v>
      </c>
      <c r="AN547" s="4">
        <f t="shared" si="71"/>
        <v>9.1792594632428032E-5</v>
      </c>
      <c r="AO547" s="3"/>
      <c r="AP547">
        <v>0</v>
      </c>
      <c r="AR547" t="s">
        <v>0</v>
      </c>
      <c r="AT547" s="2">
        <v>3.863</v>
      </c>
      <c r="AU547" s="1">
        <f t="shared" si="67"/>
        <v>1.4640068143302569</v>
      </c>
      <c r="AV547" s="1">
        <f t="shared" si="68"/>
        <v>1.0483417986539674</v>
      </c>
      <c r="AW547" s="1">
        <f t="shared" si="69"/>
        <v>0.6326767829776776</v>
      </c>
    </row>
    <row r="548" spans="1:49" x14ac:dyDescent="0.2">
      <c r="A548">
        <v>546</v>
      </c>
      <c r="B548" t="s">
        <v>3251</v>
      </c>
      <c r="C548" t="s">
        <v>3250</v>
      </c>
      <c r="F548" t="s">
        <v>3249</v>
      </c>
      <c r="G548" t="s">
        <v>15</v>
      </c>
      <c r="H548" t="s">
        <v>14</v>
      </c>
      <c r="I548" t="s">
        <v>3248</v>
      </c>
      <c r="J548">
        <v>60017161</v>
      </c>
      <c r="K548" t="s">
        <v>3247</v>
      </c>
      <c r="L548" t="s">
        <v>3246</v>
      </c>
      <c r="M548" t="s">
        <v>3245</v>
      </c>
      <c r="N548">
        <v>4</v>
      </c>
      <c r="O548" t="s">
        <v>3244</v>
      </c>
      <c r="P548" t="s">
        <v>3243</v>
      </c>
      <c r="Q548" t="s">
        <v>3242</v>
      </c>
      <c r="R548" s="7">
        <v>32509</v>
      </c>
      <c r="S548" s="8">
        <f t="shared" ref="S548:S611" si="72">YEAR(R548)</f>
        <v>1989</v>
      </c>
      <c r="T548" s="8">
        <v>1989</v>
      </c>
      <c r="U548" s="8">
        <f t="shared" ref="U548:U611" si="73">2022-T548</f>
        <v>33</v>
      </c>
      <c r="V548" s="7" t="s">
        <v>3164</v>
      </c>
      <c r="W548" s="11" t="s">
        <v>1449</v>
      </c>
      <c r="X548" s="2">
        <v>2.383</v>
      </c>
      <c r="Y548" s="6">
        <f t="shared" si="70"/>
        <v>6.3612824003630442E-2</v>
      </c>
      <c r="AA548" t="s">
        <v>1448</v>
      </c>
      <c r="AB548">
        <v>101151</v>
      </c>
      <c r="AD548" t="s">
        <v>5</v>
      </c>
      <c r="AE548">
        <v>136</v>
      </c>
      <c r="AF548">
        <v>3</v>
      </c>
      <c r="AH548" t="s">
        <v>3241</v>
      </c>
      <c r="AI548" t="s">
        <v>3240</v>
      </c>
      <c r="AK548" t="s">
        <v>3239</v>
      </c>
      <c r="AL548">
        <v>7</v>
      </c>
      <c r="AM548" s="5">
        <f t="shared" ref="AM548:AM611" si="74">AL548/U548</f>
        <v>0.21212121212121213</v>
      </c>
      <c r="AN548" s="4">
        <f t="shared" si="71"/>
        <v>3.2127408121349809E-4</v>
      </c>
      <c r="AO548" s="3"/>
      <c r="AP548">
        <v>0</v>
      </c>
      <c r="AR548" t="s">
        <v>0</v>
      </c>
      <c r="AT548" s="2" t="s">
        <v>19</v>
      </c>
      <c r="AU548" s="1">
        <f t="shared" ref="AU548:AU611" si="75">(Y548*0.7+AN548*0.3)*100</f>
        <v>4.4625359026905356</v>
      </c>
      <c r="AV548" s="1">
        <f t="shared" ref="AV548:AV611" si="76">(Y548*0.5+AN548*0.5)*100</f>
        <v>3.1967049042421971</v>
      </c>
      <c r="AW548" s="1">
        <f t="shared" ref="AW548:AW611" si="77">(Y548*0.3+AN548*0.7)*100</f>
        <v>1.930873905793858</v>
      </c>
    </row>
    <row r="549" spans="1:49" x14ac:dyDescent="0.2">
      <c r="A549">
        <v>547</v>
      </c>
      <c r="B549" t="s">
        <v>3238</v>
      </c>
      <c r="C549" t="s">
        <v>3237</v>
      </c>
      <c r="F549" t="s">
        <v>3236</v>
      </c>
      <c r="G549" t="s">
        <v>15</v>
      </c>
      <c r="H549" t="s">
        <v>14</v>
      </c>
      <c r="I549" t="s">
        <v>3235</v>
      </c>
      <c r="J549">
        <v>60001881</v>
      </c>
      <c r="K549" t="s">
        <v>2520</v>
      </c>
      <c r="L549" t="s">
        <v>2519</v>
      </c>
      <c r="M549" t="s">
        <v>792</v>
      </c>
      <c r="N549">
        <v>2</v>
      </c>
      <c r="O549" t="s">
        <v>3234</v>
      </c>
      <c r="P549" t="s">
        <v>3233</v>
      </c>
      <c r="Q549" t="s">
        <v>3232</v>
      </c>
      <c r="R549" s="7">
        <v>32509</v>
      </c>
      <c r="S549" s="8">
        <f t="shared" si="72"/>
        <v>1989</v>
      </c>
      <c r="T549" s="8">
        <v>1989</v>
      </c>
      <c r="U549" s="8">
        <f t="shared" si="73"/>
        <v>33</v>
      </c>
      <c r="V549" s="7" t="s">
        <v>3164</v>
      </c>
      <c r="W549" s="11" t="s">
        <v>1449</v>
      </c>
      <c r="X549" s="2">
        <v>2.383</v>
      </c>
      <c r="Y549" s="6">
        <f t="shared" si="70"/>
        <v>6.3612824003630442E-2</v>
      </c>
      <c r="AA549" t="s">
        <v>1448</v>
      </c>
      <c r="AB549">
        <v>101151</v>
      </c>
      <c r="AD549" t="s">
        <v>5</v>
      </c>
      <c r="AE549">
        <v>136</v>
      </c>
      <c r="AF549">
        <v>3</v>
      </c>
      <c r="AH549" t="s">
        <v>3231</v>
      </c>
      <c r="AI549" t="s">
        <v>3230</v>
      </c>
      <c r="AK549" t="s">
        <v>3229</v>
      </c>
      <c r="AL549">
        <v>4</v>
      </c>
      <c r="AM549" s="5">
        <f t="shared" si="74"/>
        <v>0.12121212121212122</v>
      </c>
      <c r="AN549" s="4">
        <f t="shared" si="71"/>
        <v>1.8358518926485606E-4</v>
      </c>
      <c r="AO549" s="3"/>
      <c r="AP549">
        <v>0</v>
      </c>
      <c r="AR549" t="s">
        <v>0</v>
      </c>
      <c r="AT549" s="2" t="s">
        <v>19</v>
      </c>
      <c r="AU549" s="1">
        <f t="shared" si="75"/>
        <v>4.4584052359320765</v>
      </c>
      <c r="AV549" s="1">
        <f t="shared" si="76"/>
        <v>3.1898204596447646</v>
      </c>
      <c r="AW549" s="1">
        <f t="shared" si="77"/>
        <v>1.9212356833574533</v>
      </c>
    </row>
    <row r="550" spans="1:49" x14ac:dyDescent="0.2">
      <c r="A550">
        <v>548</v>
      </c>
      <c r="B550" t="s">
        <v>3228</v>
      </c>
      <c r="C550" t="s">
        <v>3227</v>
      </c>
      <c r="F550" t="s">
        <v>3226</v>
      </c>
      <c r="G550" t="s">
        <v>15</v>
      </c>
      <c r="H550" t="s">
        <v>14</v>
      </c>
      <c r="I550" t="s">
        <v>3225</v>
      </c>
      <c r="J550">
        <v>60021902</v>
      </c>
      <c r="K550" t="s">
        <v>1817</v>
      </c>
      <c r="L550" t="s">
        <v>1816</v>
      </c>
      <c r="M550" t="s">
        <v>1815</v>
      </c>
      <c r="N550">
        <v>1</v>
      </c>
      <c r="O550" t="s">
        <v>3224</v>
      </c>
      <c r="P550">
        <v>57203176700</v>
      </c>
      <c r="Q550">
        <v>60021902</v>
      </c>
      <c r="R550" s="7">
        <v>32509</v>
      </c>
      <c r="S550" s="8">
        <f t="shared" si="72"/>
        <v>1989</v>
      </c>
      <c r="T550" s="8">
        <v>1989</v>
      </c>
      <c r="U550" s="8">
        <f t="shared" si="73"/>
        <v>33</v>
      </c>
      <c r="V550" s="7" t="s">
        <v>3164</v>
      </c>
      <c r="W550" s="11" t="s">
        <v>1449</v>
      </c>
      <c r="X550" s="2">
        <v>2.383</v>
      </c>
      <c r="Y550" s="6">
        <f t="shared" si="70"/>
        <v>6.3612824003630442E-2</v>
      </c>
      <c r="AA550" t="s">
        <v>1448</v>
      </c>
      <c r="AB550">
        <v>101151</v>
      </c>
      <c r="AD550" t="s">
        <v>5</v>
      </c>
      <c r="AE550">
        <v>136</v>
      </c>
      <c r="AF550">
        <v>3</v>
      </c>
      <c r="AH550" t="s">
        <v>3223</v>
      </c>
      <c r="AI550" t="s">
        <v>3222</v>
      </c>
      <c r="AK550" t="s">
        <v>3221</v>
      </c>
      <c r="AL550">
        <v>12</v>
      </c>
      <c r="AM550" s="5">
        <f t="shared" si="74"/>
        <v>0.36363636363636365</v>
      </c>
      <c r="AN550" s="4">
        <f t="shared" si="71"/>
        <v>5.5075556779456819E-4</v>
      </c>
      <c r="AO550" s="3"/>
      <c r="AP550">
        <v>0</v>
      </c>
      <c r="AR550" t="s">
        <v>0</v>
      </c>
      <c r="AT550" s="2" t="s">
        <v>19</v>
      </c>
      <c r="AU550" s="1">
        <f t="shared" si="75"/>
        <v>4.4694203472879686</v>
      </c>
      <c r="AV550" s="1">
        <f t="shared" si="76"/>
        <v>3.20817897857125</v>
      </c>
      <c r="AW550" s="1">
        <f t="shared" si="77"/>
        <v>1.9469376098545332</v>
      </c>
    </row>
    <row r="551" spans="1:49" x14ac:dyDescent="0.2">
      <c r="A551">
        <v>549</v>
      </c>
      <c r="B551" t="s">
        <v>3220</v>
      </c>
      <c r="C551" t="s">
        <v>3219</v>
      </c>
      <c r="F551" t="s">
        <v>3218</v>
      </c>
      <c r="G551" t="s">
        <v>15</v>
      </c>
      <c r="H551" t="s">
        <v>14</v>
      </c>
      <c r="I551" t="s">
        <v>3217</v>
      </c>
      <c r="J551">
        <v>60022144</v>
      </c>
      <c r="K551" t="s">
        <v>3216</v>
      </c>
      <c r="L551" t="s">
        <v>3215</v>
      </c>
      <c r="M551" t="s">
        <v>23</v>
      </c>
      <c r="N551">
        <v>3</v>
      </c>
      <c r="O551" t="s">
        <v>3214</v>
      </c>
      <c r="P551" t="s">
        <v>3213</v>
      </c>
      <c r="Q551" t="s">
        <v>3212</v>
      </c>
      <c r="R551" s="7">
        <v>32509</v>
      </c>
      <c r="S551" s="8">
        <f t="shared" si="72"/>
        <v>1989</v>
      </c>
      <c r="T551" s="8">
        <v>1989</v>
      </c>
      <c r="U551" s="8">
        <f t="shared" si="73"/>
        <v>33</v>
      </c>
      <c r="V551" s="7">
        <v>32660</v>
      </c>
      <c r="W551" t="s">
        <v>778</v>
      </c>
      <c r="X551" s="2">
        <v>1.6519999999999999</v>
      </c>
      <c r="Y551" s="6">
        <f t="shared" si="70"/>
        <v>4.409919649769093E-2</v>
      </c>
      <c r="AA551" t="s">
        <v>777</v>
      </c>
      <c r="AB551">
        <v>17337</v>
      </c>
      <c r="AC551">
        <v>15582221</v>
      </c>
      <c r="AD551" t="s">
        <v>5</v>
      </c>
      <c r="AE551">
        <v>37</v>
      </c>
      <c r="AF551">
        <v>6</v>
      </c>
      <c r="AH551" t="s">
        <v>3211</v>
      </c>
      <c r="AI551" t="s">
        <v>3210</v>
      </c>
      <c r="AK551" t="s">
        <v>3209</v>
      </c>
      <c r="AL551">
        <v>0</v>
      </c>
      <c r="AM551" s="5">
        <f t="shared" si="74"/>
        <v>0</v>
      </c>
      <c r="AN551" s="4">
        <f t="shared" si="71"/>
        <v>0</v>
      </c>
      <c r="AO551" s="3"/>
      <c r="AP551">
        <v>0</v>
      </c>
      <c r="AR551" t="s">
        <v>0</v>
      </c>
      <c r="AT551" s="2" t="s">
        <v>19</v>
      </c>
      <c r="AU551" s="1">
        <f t="shared" si="75"/>
        <v>3.0869437548383649</v>
      </c>
      <c r="AV551" s="1">
        <f t="shared" si="76"/>
        <v>2.2049598248845466</v>
      </c>
      <c r="AW551" s="1">
        <f t="shared" si="77"/>
        <v>1.3229758949307278</v>
      </c>
    </row>
    <row r="552" spans="1:49" x14ac:dyDescent="0.2">
      <c r="A552">
        <v>550</v>
      </c>
      <c r="B552" t="s">
        <v>3208</v>
      </c>
      <c r="C552" t="s">
        <v>3207</v>
      </c>
      <c r="F552" t="s">
        <v>3206</v>
      </c>
      <c r="G552" t="s">
        <v>15</v>
      </c>
      <c r="H552" t="s">
        <v>14</v>
      </c>
      <c r="I552" t="s">
        <v>3205</v>
      </c>
      <c r="J552">
        <v>60001881</v>
      </c>
      <c r="K552" t="s">
        <v>2520</v>
      </c>
      <c r="L552" t="s">
        <v>2519</v>
      </c>
      <c r="M552" t="s">
        <v>792</v>
      </c>
      <c r="N552">
        <v>4</v>
      </c>
      <c r="O552" t="s">
        <v>3204</v>
      </c>
      <c r="P552" t="s">
        <v>3203</v>
      </c>
      <c r="Q552" t="s">
        <v>3202</v>
      </c>
      <c r="R552" s="7">
        <v>32509</v>
      </c>
      <c r="S552" s="8">
        <f t="shared" si="72"/>
        <v>1989</v>
      </c>
      <c r="T552" s="8">
        <v>1989</v>
      </c>
      <c r="U552" s="8">
        <f t="shared" si="73"/>
        <v>33</v>
      </c>
      <c r="V552" s="7">
        <v>32660</v>
      </c>
      <c r="W552" t="s">
        <v>778</v>
      </c>
      <c r="X552" s="2">
        <v>1.6519999999999999</v>
      </c>
      <c r="Y552" s="6">
        <f t="shared" si="70"/>
        <v>4.409919649769093E-2</v>
      </c>
      <c r="AA552" t="s">
        <v>777</v>
      </c>
      <c r="AB552">
        <v>17337</v>
      </c>
      <c r="AC552">
        <v>15582221</v>
      </c>
      <c r="AD552" t="s">
        <v>5</v>
      </c>
      <c r="AE552">
        <v>37</v>
      </c>
      <c r="AF552">
        <v>6</v>
      </c>
      <c r="AH552" t="s">
        <v>3201</v>
      </c>
      <c r="AI552" t="s">
        <v>3200</v>
      </c>
      <c r="AK552" t="s">
        <v>3199</v>
      </c>
      <c r="AL552">
        <v>3</v>
      </c>
      <c r="AM552" s="5">
        <f t="shared" si="74"/>
        <v>9.0909090909090912E-2</v>
      </c>
      <c r="AN552" s="4">
        <f t="shared" si="71"/>
        <v>1.3768889194864205E-4</v>
      </c>
      <c r="AO552" s="3"/>
      <c r="AP552">
        <v>0</v>
      </c>
      <c r="AR552" t="s">
        <v>0</v>
      </c>
      <c r="AT552" s="2" t="s">
        <v>19</v>
      </c>
      <c r="AU552" s="1">
        <f t="shared" si="75"/>
        <v>3.0910744215968244</v>
      </c>
      <c r="AV552" s="1">
        <f t="shared" si="76"/>
        <v>2.2118442694819787</v>
      </c>
      <c r="AW552" s="1">
        <f t="shared" si="77"/>
        <v>1.3326141173671326</v>
      </c>
    </row>
    <row r="553" spans="1:49" x14ac:dyDescent="0.2">
      <c r="A553">
        <v>551</v>
      </c>
      <c r="B553" t="s">
        <v>3198</v>
      </c>
      <c r="C553" t="s">
        <v>3197</v>
      </c>
      <c r="F553" t="s">
        <v>3196</v>
      </c>
      <c r="G553" t="s">
        <v>15</v>
      </c>
      <c r="H553" t="s">
        <v>14</v>
      </c>
      <c r="I553" t="s">
        <v>3195</v>
      </c>
      <c r="J553">
        <v>60001439</v>
      </c>
      <c r="K553" t="s">
        <v>3194</v>
      </c>
      <c r="L553" t="s">
        <v>3193</v>
      </c>
      <c r="M553" t="s">
        <v>23</v>
      </c>
      <c r="N553">
        <v>3</v>
      </c>
      <c r="O553" t="s">
        <v>3192</v>
      </c>
      <c r="P553" t="s">
        <v>3191</v>
      </c>
      <c r="Q553" t="s">
        <v>3190</v>
      </c>
      <c r="R553" s="7">
        <v>32509</v>
      </c>
      <c r="S553" s="8">
        <f t="shared" si="72"/>
        <v>1989</v>
      </c>
      <c r="T553" s="8">
        <v>1989</v>
      </c>
      <c r="U553" s="8">
        <f t="shared" si="73"/>
        <v>33</v>
      </c>
      <c r="V553" s="7">
        <v>32660</v>
      </c>
      <c r="W553" t="s">
        <v>2592</v>
      </c>
      <c r="X553" s="2">
        <v>0.82</v>
      </c>
      <c r="Y553" s="6">
        <f t="shared" si="70"/>
        <v>2.1889431675609299E-2</v>
      </c>
      <c r="AA553">
        <v>189456</v>
      </c>
      <c r="AB553">
        <v>15361</v>
      </c>
      <c r="AC553">
        <v>15579662</v>
      </c>
      <c r="AD553" t="s">
        <v>5</v>
      </c>
      <c r="AE553">
        <v>38</v>
      </c>
      <c r="AF553">
        <v>3</v>
      </c>
      <c r="AH553" t="s">
        <v>3189</v>
      </c>
      <c r="AI553" t="s">
        <v>3188</v>
      </c>
      <c r="AK553" t="s">
        <v>3187</v>
      </c>
      <c r="AL553">
        <v>497</v>
      </c>
      <c r="AM553" s="5">
        <f t="shared" si="74"/>
        <v>15.060606060606061</v>
      </c>
      <c r="AN553" s="4">
        <f t="shared" si="71"/>
        <v>2.2810459766158364E-2</v>
      </c>
      <c r="AO553" s="3"/>
      <c r="AP553">
        <v>0</v>
      </c>
      <c r="AR553" t="s">
        <v>0</v>
      </c>
      <c r="AT553" s="2" t="s">
        <v>19</v>
      </c>
      <c r="AU553" s="1">
        <f t="shared" si="75"/>
        <v>2.2165740102774016</v>
      </c>
      <c r="AV553" s="1">
        <f t="shared" si="76"/>
        <v>2.2349945720883833</v>
      </c>
      <c r="AW553" s="1">
        <f t="shared" si="77"/>
        <v>2.253415133899364</v>
      </c>
    </row>
    <row r="554" spans="1:49" x14ac:dyDescent="0.2">
      <c r="A554">
        <v>552</v>
      </c>
      <c r="B554" t="s">
        <v>3186</v>
      </c>
      <c r="C554" t="s">
        <v>3185</v>
      </c>
      <c r="F554" t="s">
        <v>3184</v>
      </c>
      <c r="G554" t="s">
        <v>15</v>
      </c>
      <c r="H554" t="s">
        <v>14</v>
      </c>
      <c r="I554" t="s">
        <v>3183</v>
      </c>
      <c r="J554">
        <v>60016618</v>
      </c>
      <c r="K554" t="s">
        <v>3182</v>
      </c>
      <c r="L554" t="s">
        <v>3181</v>
      </c>
      <c r="M554" t="s">
        <v>3180</v>
      </c>
      <c r="N554">
        <v>3</v>
      </c>
      <c r="O554" t="s">
        <v>3179</v>
      </c>
      <c r="P554" t="s">
        <v>3178</v>
      </c>
      <c r="Q554" t="s">
        <v>3177</v>
      </c>
      <c r="R554" s="7">
        <v>32509</v>
      </c>
      <c r="S554" s="8">
        <f t="shared" si="72"/>
        <v>1989</v>
      </c>
      <c r="T554" s="8">
        <v>1989</v>
      </c>
      <c r="U554" s="8">
        <f t="shared" si="73"/>
        <v>33</v>
      </c>
      <c r="V554" s="7" t="s">
        <v>3164</v>
      </c>
      <c r="W554" s="11" t="s">
        <v>1449</v>
      </c>
      <c r="X554" s="2">
        <v>2.383</v>
      </c>
      <c r="Y554" s="6">
        <f t="shared" si="70"/>
        <v>6.3612824003630442E-2</v>
      </c>
      <c r="AA554" t="s">
        <v>1448</v>
      </c>
      <c r="AB554">
        <v>101151</v>
      </c>
      <c r="AD554" t="s">
        <v>5</v>
      </c>
      <c r="AE554">
        <v>136</v>
      </c>
      <c r="AF554">
        <v>3</v>
      </c>
      <c r="AH554" t="s">
        <v>3176</v>
      </c>
      <c r="AI554" t="s">
        <v>3175</v>
      </c>
      <c r="AK554" t="s">
        <v>3174</v>
      </c>
      <c r="AL554">
        <v>2</v>
      </c>
      <c r="AM554" s="5">
        <f t="shared" si="74"/>
        <v>6.0606060606060608E-2</v>
      </c>
      <c r="AN554" s="4">
        <f t="shared" si="71"/>
        <v>9.1792594632428032E-5</v>
      </c>
      <c r="AO554" s="3"/>
      <c r="AP554">
        <v>0</v>
      </c>
      <c r="AR554" t="s">
        <v>0</v>
      </c>
      <c r="AT554" s="2" t="s">
        <v>19</v>
      </c>
      <c r="AU554" s="1">
        <f t="shared" si="75"/>
        <v>4.4556514580931035</v>
      </c>
      <c r="AV554" s="1">
        <f t="shared" si="76"/>
        <v>3.1852308299131438</v>
      </c>
      <c r="AW554" s="1">
        <f t="shared" si="77"/>
        <v>1.9148102017331832</v>
      </c>
    </row>
    <row r="555" spans="1:49" x14ac:dyDescent="0.2">
      <c r="A555">
        <v>553</v>
      </c>
      <c r="B555" t="s">
        <v>3173</v>
      </c>
      <c r="C555" t="s">
        <v>3172</v>
      </c>
      <c r="F555" t="s">
        <v>3171</v>
      </c>
      <c r="G555" t="s">
        <v>15</v>
      </c>
      <c r="H555" t="s">
        <v>14</v>
      </c>
      <c r="I555" t="s">
        <v>3170</v>
      </c>
      <c r="J555">
        <v>60001490</v>
      </c>
      <c r="K555" t="s">
        <v>3169</v>
      </c>
      <c r="L555" t="s">
        <v>3168</v>
      </c>
      <c r="M555" t="s">
        <v>792</v>
      </c>
      <c r="N555">
        <v>2</v>
      </c>
      <c r="O555" t="s">
        <v>3167</v>
      </c>
      <c r="P555" t="s">
        <v>3166</v>
      </c>
      <c r="Q555" t="s">
        <v>3165</v>
      </c>
      <c r="R555" s="7">
        <v>32509</v>
      </c>
      <c r="S555" s="8">
        <f t="shared" si="72"/>
        <v>1989</v>
      </c>
      <c r="T555" s="8">
        <v>1989</v>
      </c>
      <c r="U555" s="8">
        <f t="shared" si="73"/>
        <v>33</v>
      </c>
      <c r="V555" s="7" t="s">
        <v>3164</v>
      </c>
      <c r="W555" s="11" t="s">
        <v>1449</v>
      </c>
      <c r="X555" s="2">
        <v>2.383</v>
      </c>
      <c r="Y555" s="6">
        <f t="shared" si="70"/>
        <v>6.3612824003630442E-2</v>
      </c>
      <c r="AA555" t="s">
        <v>1448</v>
      </c>
      <c r="AB555">
        <v>101151</v>
      </c>
      <c r="AD555" t="s">
        <v>5</v>
      </c>
      <c r="AE555">
        <v>136</v>
      </c>
      <c r="AF555">
        <v>3</v>
      </c>
      <c r="AH555" t="s">
        <v>3163</v>
      </c>
      <c r="AI555" t="s">
        <v>3162</v>
      </c>
      <c r="AK555" t="s">
        <v>3161</v>
      </c>
      <c r="AL555">
        <v>3</v>
      </c>
      <c r="AM555" s="5">
        <f t="shared" si="74"/>
        <v>9.0909090909090912E-2</v>
      </c>
      <c r="AN555" s="4">
        <f t="shared" si="71"/>
        <v>1.3768889194864205E-4</v>
      </c>
      <c r="AO555" s="3"/>
      <c r="AP555">
        <v>0</v>
      </c>
      <c r="AR555" t="s">
        <v>0</v>
      </c>
      <c r="AT555" s="2" t="s">
        <v>19</v>
      </c>
      <c r="AU555" s="1">
        <f t="shared" si="75"/>
        <v>4.4570283470125895</v>
      </c>
      <c r="AV555" s="1">
        <f t="shared" si="76"/>
        <v>3.1875256447789537</v>
      </c>
      <c r="AW555" s="1">
        <f t="shared" si="77"/>
        <v>1.9180229425453184</v>
      </c>
    </row>
    <row r="556" spans="1:49" x14ac:dyDescent="0.2">
      <c r="A556">
        <v>554</v>
      </c>
      <c r="B556" t="s">
        <v>3160</v>
      </c>
      <c r="C556" t="s">
        <v>3159</v>
      </c>
      <c r="F556" t="s">
        <v>3158</v>
      </c>
      <c r="G556" t="s">
        <v>15</v>
      </c>
      <c r="H556" t="s">
        <v>14</v>
      </c>
      <c r="I556" t="s">
        <v>3157</v>
      </c>
      <c r="J556" t="s">
        <v>3156</v>
      </c>
      <c r="K556" t="s">
        <v>3155</v>
      </c>
      <c r="L556" t="s">
        <v>3154</v>
      </c>
      <c r="M556" t="s">
        <v>86</v>
      </c>
      <c r="N556">
        <v>3</v>
      </c>
      <c r="O556" t="s">
        <v>3153</v>
      </c>
      <c r="P556" t="s">
        <v>3152</v>
      </c>
      <c r="Q556" t="s">
        <v>3151</v>
      </c>
      <c r="R556" s="7">
        <v>32509</v>
      </c>
      <c r="S556" s="8">
        <f t="shared" si="72"/>
        <v>1989</v>
      </c>
      <c r="T556" s="8">
        <v>1989</v>
      </c>
      <c r="U556" s="8">
        <f t="shared" si="73"/>
        <v>33</v>
      </c>
      <c r="V556" s="7">
        <v>32660</v>
      </c>
      <c r="W556" t="s">
        <v>2256</v>
      </c>
      <c r="X556" s="2">
        <v>0.78200000000000003</v>
      </c>
      <c r="Y556" s="6">
        <f t="shared" si="70"/>
        <v>2.0875043378446919E-2</v>
      </c>
      <c r="AA556">
        <v>189316</v>
      </c>
      <c r="AB556">
        <v>19901</v>
      </c>
      <c r="AC556">
        <v>15579611</v>
      </c>
      <c r="AD556" t="s">
        <v>5</v>
      </c>
      <c r="AE556">
        <v>35</v>
      </c>
      <c r="AF556">
        <v>2</v>
      </c>
      <c r="AH556" t="s">
        <v>3150</v>
      </c>
      <c r="AI556" t="s">
        <v>3149</v>
      </c>
      <c r="AK556" t="s">
        <v>3148</v>
      </c>
      <c r="AL556">
        <v>5</v>
      </c>
      <c r="AM556" s="5">
        <f t="shared" si="74"/>
        <v>0.15151515151515152</v>
      </c>
      <c r="AN556" s="4">
        <f t="shared" si="71"/>
        <v>2.2948148658107008E-4</v>
      </c>
      <c r="AO556" s="3"/>
      <c r="AP556">
        <v>0</v>
      </c>
      <c r="AR556" t="s">
        <v>0</v>
      </c>
      <c r="AT556" s="2">
        <v>3.863</v>
      </c>
      <c r="AU556" s="1">
        <f t="shared" si="75"/>
        <v>1.4681374810887162</v>
      </c>
      <c r="AV556" s="1">
        <f t="shared" si="76"/>
        <v>1.0552262432513995</v>
      </c>
      <c r="AW556" s="1">
        <f t="shared" si="77"/>
        <v>0.64231500541408248</v>
      </c>
    </row>
    <row r="557" spans="1:49" x14ac:dyDescent="0.2">
      <c r="A557">
        <v>555</v>
      </c>
      <c r="B557" t="s">
        <v>3147</v>
      </c>
      <c r="C557" t="s">
        <v>3146</v>
      </c>
      <c r="F557" t="s">
        <v>3145</v>
      </c>
      <c r="G557" t="s">
        <v>15</v>
      </c>
      <c r="H557" t="s">
        <v>14</v>
      </c>
      <c r="I557" t="s">
        <v>3144</v>
      </c>
      <c r="J557" t="s">
        <v>3139</v>
      </c>
      <c r="K557" t="s">
        <v>3143</v>
      </c>
      <c r="L557" t="s">
        <v>3142</v>
      </c>
      <c r="M557" t="s">
        <v>86</v>
      </c>
      <c r="N557">
        <v>2</v>
      </c>
      <c r="O557" t="s">
        <v>3141</v>
      </c>
      <c r="P557" t="s">
        <v>3140</v>
      </c>
      <c r="Q557" t="s">
        <v>3139</v>
      </c>
      <c r="R557" s="7">
        <v>32509</v>
      </c>
      <c r="S557" s="8">
        <f t="shared" si="72"/>
        <v>1989</v>
      </c>
      <c r="T557" s="8">
        <v>1989</v>
      </c>
      <c r="U557" s="8">
        <f t="shared" si="73"/>
        <v>33</v>
      </c>
      <c r="V557" s="7">
        <v>32660</v>
      </c>
      <c r="W557" t="s">
        <v>2256</v>
      </c>
      <c r="X557" s="2">
        <v>0.78200000000000003</v>
      </c>
      <c r="Y557" s="6">
        <f t="shared" si="70"/>
        <v>2.0875043378446919E-2</v>
      </c>
      <c r="AA557">
        <v>189316</v>
      </c>
      <c r="AB557">
        <v>19901</v>
      </c>
      <c r="AC557">
        <v>15579611</v>
      </c>
      <c r="AD557" t="s">
        <v>5</v>
      </c>
      <c r="AE557">
        <v>35</v>
      </c>
      <c r="AF557">
        <v>2</v>
      </c>
      <c r="AH557" t="s">
        <v>3138</v>
      </c>
      <c r="AI557" t="s">
        <v>3137</v>
      </c>
      <c r="AK557" t="s">
        <v>3136</v>
      </c>
      <c r="AL557">
        <v>2</v>
      </c>
      <c r="AM557" s="5">
        <f t="shared" si="74"/>
        <v>6.0606060606060608E-2</v>
      </c>
      <c r="AN557" s="4">
        <f t="shared" si="71"/>
        <v>9.1792594632428032E-5</v>
      </c>
      <c r="AO557" s="3"/>
      <c r="AP557">
        <v>0</v>
      </c>
      <c r="AR557" t="s">
        <v>0</v>
      </c>
      <c r="AT557" s="2">
        <v>3.863</v>
      </c>
      <c r="AU557" s="1">
        <f t="shared" si="75"/>
        <v>1.4640068143302569</v>
      </c>
      <c r="AV557" s="1">
        <f t="shared" si="76"/>
        <v>1.0483417986539674</v>
      </c>
      <c r="AW557" s="1">
        <f t="shared" si="77"/>
        <v>0.6326767829776776</v>
      </c>
    </row>
    <row r="558" spans="1:49" x14ac:dyDescent="0.2">
      <c r="A558">
        <v>556</v>
      </c>
      <c r="B558" t="s">
        <v>3135</v>
      </c>
      <c r="C558" t="s">
        <v>3134</v>
      </c>
      <c r="F558" t="s">
        <v>3133</v>
      </c>
      <c r="G558" t="s">
        <v>15</v>
      </c>
      <c r="H558" t="s">
        <v>14</v>
      </c>
      <c r="I558" t="s">
        <v>3132</v>
      </c>
      <c r="J558">
        <v>60075697</v>
      </c>
      <c r="K558" t="s">
        <v>3131</v>
      </c>
      <c r="L558" t="s">
        <v>3130</v>
      </c>
      <c r="M558" t="s">
        <v>259</v>
      </c>
      <c r="N558">
        <v>2</v>
      </c>
      <c r="O558" t="s">
        <v>3129</v>
      </c>
      <c r="P558" t="s">
        <v>3128</v>
      </c>
      <c r="Q558" t="s">
        <v>3127</v>
      </c>
      <c r="R558" s="7">
        <v>32509</v>
      </c>
      <c r="S558" s="8">
        <f t="shared" si="72"/>
        <v>1989</v>
      </c>
      <c r="T558" s="8">
        <v>1989</v>
      </c>
      <c r="U558" s="8">
        <f t="shared" si="73"/>
        <v>33</v>
      </c>
      <c r="V558" s="7">
        <v>32660</v>
      </c>
      <c r="W558" t="s">
        <v>2256</v>
      </c>
      <c r="X558" s="2">
        <v>0.78200000000000003</v>
      </c>
      <c r="Y558" s="6">
        <f t="shared" si="70"/>
        <v>2.0875043378446919E-2</v>
      </c>
      <c r="AA558">
        <v>189316</v>
      </c>
      <c r="AB558">
        <v>19901</v>
      </c>
      <c r="AC558">
        <v>15579611</v>
      </c>
      <c r="AD558" t="s">
        <v>5</v>
      </c>
      <c r="AE558">
        <v>35</v>
      </c>
      <c r="AF558">
        <v>2</v>
      </c>
      <c r="AH558" t="s">
        <v>3126</v>
      </c>
      <c r="AI558" t="s">
        <v>3125</v>
      </c>
      <c r="AK558" t="s">
        <v>3124</v>
      </c>
      <c r="AL558">
        <v>1</v>
      </c>
      <c r="AM558" s="5">
        <f t="shared" si="74"/>
        <v>3.0303030303030304E-2</v>
      </c>
      <c r="AN558" s="4">
        <f t="shared" si="71"/>
        <v>4.5896297316214016E-5</v>
      </c>
      <c r="AO558" s="3"/>
      <c r="AP558">
        <v>0</v>
      </c>
      <c r="AR558" t="s">
        <v>0</v>
      </c>
      <c r="AT558" s="2">
        <v>3.863</v>
      </c>
      <c r="AU558" s="1">
        <f t="shared" si="75"/>
        <v>1.4626299254107706</v>
      </c>
      <c r="AV558" s="1">
        <f t="shared" si="76"/>
        <v>1.0460469837881565</v>
      </c>
      <c r="AW558" s="1">
        <f t="shared" si="77"/>
        <v>0.62946404216554253</v>
      </c>
    </row>
    <row r="559" spans="1:49" x14ac:dyDescent="0.2">
      <c r="A559">
        <v>557</v>
      </c>
      <c r="B559" t="s">
        <v>3123</v>
      </c>
      <c r="C559" t="s">
        <v>3122</v>
      </c>
      <c r="F559" t="s">
        <v>3121</v>
      </c>
      <c r="G559" t="s">
        <v>15</v>
      </c>
      <c r="H559" t="s">
        <v>14</v>
      </c>
      <c r="I559" t="s">
        <v>3120</v>
      </c>
      <c r="N559">
        <v>1</v>
      </c>
      <c r="O559" t="s">
        <v>3119</v>
      </c>
      <c r="P559">
        <v>7103081799</v>
      </c>
      <c r="R559" s="7">
        <v>32509</v>
      </c>
      <c r="S559" s="8">
        <f t="shared" si="72"/>
        <v>1989</v>
      </c>
      <c r="T559" s="8">
        <v>1989</v>
      </c>
      <c r="U559" s="8">
        <f t="shared" si="73"/>
        <v>33</v>
      </c>
      <c r="V559" s="7">
        <v>32660</v>
      </c>
      <c r="W559" t="s">
        <v>2256</v>
      </c>
      <c r="X559" s="2">
        <v>0.78200000000000003</v>
      </c>
      <c r="Y559" s="6">
        <f t="shared" si="70"/>
        <v>2.0875043378446919E-2</v>
      </c>
      <c r="AA559">
        <v>189316</v>
      </c>
      <c r="AB559">
        <v>19901</v>
      </c>
      <c r="AC559">
        <v>15579611</v>
      </c>
      <c r="AD559" t="s">
        <v>5</v>
      </c>
      <c r="AE559">
        <v>35</v>
      </c>
      <c r="AF559">
        <v>2</v>
      </c>
      <c r="AH559" t="s">
        <v>3118</v>
      </c>
      <c r="AI559" t="s">
        <v>3117</v>
      </c>
      <c r="AK559" t="s">
        <v>3116</v>
      </c>
      <c r="AL559">
        <v>2</v>
      </c>
      <c r="AM559" s="5">
        <f t="shared" si="74"/>
        <v>6.0606060606060608E-2</v>
      </c>
      <c r="AN559" s="4">
        <f t="shared" si="71"/>
        <v>9.1792594632428032E-5</v>
      </c>
      <c r="AO559" s="3"/>
      <c r="AP559">
        <v>0</v>
      </c>
      <c r="AR559" t="s">
        <v>0</v>
      </c>
      <c r="AT559" s="2">
        <v>3.863</v>
      </c>
      <c r="AU559" s="1">
        <f t="shared" si="75"/>
        <v>1.4640068143302569</v>
      </c>
      <c r="AV559" s="1">
        <f t="shared" si="76"/>
        <v>1.0483417986539674</v>
      </c>
      <c r="AW559" s="1">
        <f t="shared" si="77"/>
        <v>0.6326767829776776</v>
      </c>
    </row>
    <row r="560" spans="1:49" x14ac:dyDescent="0.2">
      <c r="A560">
        <v>558</v>
      </c>
      <c r="B560" t="s">
        <v>3115</v>
      </c>
      <c r="C560" t="s">
        <v>3114</v>
      </c>
      <c r="F560" t="s">
        <v>3113</v>
      </c>
      <c r="G560" t="s">
        <v>15</v>
      </c>
      <c r="H560" t="s">
        <v>14</v>
      </c>
      <c r="I560" t="s">
        <v>3112</v>
      </c>
      <c r="J560">
        <v>60008293</v>
      </c>
      <c r="K560" t="s">
        <v>2164</v>
      </c>
      <c r="L560" t="s">
        <v>2163</v>
      </c>
      <c r="M560" t="s">
        <v>259</v>
      </c>
      <c r="N560">
        <v>4</v>
      </c>
      <c r="O560" t="s">
        <v>3111</v>
      </c>
      <c r="P560" t="s">
        <v>3110</v>
      </c>
      <c r="Q560" t="s">
        <v>3109</v>
      </c>
      <c r="R560" s="7">
        <v>32509</v>
      </c>
      <c r="S560" s="8">
        <f t="shared" si="72"/>
        <v>1989</v>
      </c>
      <c r="T560" s="8">
        <v>1989</v>
      </c>
      <c r="U560" s="8">
        <f t="shared" si="73"/>
        <v>33</v>
      </c>
      <c r="V560" s="7">
        <v>32660</v>
      </c>
      <c r="W560" t="s">
        <v>778</v>
      </c>
      <c r="X560" s="2">
        <v>1.6519999999999999</v>
      </c>
      <c r="Y560" s="6">
        <f t="shared" si="70"/>
        <v>4.409919649769093E-2</v>
      </c>
      <c r="AA560" t="s">
        <v>777</v>
      </c>
      <c r="AB560">
        <v>17337</v>
      </c>
      <c r="AC560">
        <v>15582221</v>
      </c>
      <c r="AD560" t="s">
        <v>5</v>
      </c>
      <c r="AE560">
        <v>37</v>
      </c>
      <c r="AF560">
        <v>6</v>
      </c>
      <c r="AH560" t="s">
        <v>3108</v>
      </c>
      <c r="AI560" t="s">
        <v>3107</v>
      </c>
      <c r="AK560" t="s">
        <v>3106</v>
      </c>
      <c r="AL560">
        <v>32</v>
      </c>
      <c r="AM560" s="5">
        <f t="shared" si="74"/>
        <v>0.96969696969696972</v>
      </c>
      <c r="AN560" s="4">
        <f t="shared" si="71"/>
        <v>1.4686815141188485E-3</v>
      </c>
      <c r="AO560" s="3"/>
      <c r="AP560">
        <v>0</v>
      </c>
      <c r="AR560" t="s">
        <v>0</v>
      </c>
      <c r="AT560" s="2" t="s">
        <v>19</v>
      </c>
      <c r="AU560" s="1">
        <f t="shared" si="75"/>
        <v>3.1310042002619305</v>
      </c>
      <c r="AV560" s="1">
        <f t="shared" si="76"/>
        <v>2.2783939005904892</v>
      </c>
      <c r="AW560" s="1">
        <f t="shared" si="77"/>
        <v>1.4257836009190472</v>
      </c>
    </row>
    <row r="561" spans="1:49" x14ac:dyDescent="0.2">
      <c r="A561">
        <v>559</v>
      </c>
      <c r="B561" t="s">
        <v>3105</v>
      </c>
      <c r="C561" t="s">
        <v>3104</v>
      </c>
      <c r="F561" t="s">
        <v>3103</v>
      </c>
      <c r="G561" t="s">
        <v>15</v>
      </c>
      <c r="H561" t="s">
        <v>14</v>
      </c>
      <c r="I561" t="s">
        <v>3102</v>
      </c>
      <c r="N561">
        <v>1</v>
      </c>
      <c r="O561" t="s">
        <v>3101</v>
      </c>
      <c r="P561">
        <v>6506292781</v>
      </c>
      <c r="R561" s="7">
        <v>32509</v>
      </c>
      <c r="S561" s="8">
        <f t="shared" si="72"/>
        <v>1989</v>
      </c>
      <c r="T561" s="8">
        <v>1989</v>
      </c>
      <c r="U561" s="8">
        <f t="shared" si="73"/>
        <v>33</v>
      </c>
      <c r="V561" s="7">
        <v>32660</v>
      </c>
      <c r="W561" t="s">
        <v>2256</v>
      </c>
      <c r="X561" s="2">
        <v>0.78200000000000003</v>
      </c>
      <c r="Y561" s="6">
        <f t="shared" si="70"/>
        <v>2.0875043378446919E-2</v>
      </c>
      <c r="AA561">
        <v>189316</v>
      </c>
      <c r="AB561">
        <v>19901</v>
      </c>
      <c r="AC561">
        <v>15579611</v>
      </c>
      <c r="AD561" t="s">
        <v>5</v>
      </c>
      <c r="AE561">
        <v>35</v>
      </c>
      <c r="AF561">
        <v>2</v>
      </c>
      <c r="AH561" t="s">
        <v>3100</v>
      </c>
      <c r="AI561" t="s">
        <v>3099</v>
      </c>
      <c r="AK561" t="s">
        <v>3098</v>
      </c>
      <c r="AL561">
        <v>1</v>
      </c>
      <c r="AM561" s="5">
        <f t="shared" si="74"/>
        <v>3.0303030303030304E-2</v>
      </c>
      <c r="AN561" s="4">
        <f t="shared" si="71"/>
        <v>4.5896297316214016E-5</v>
      </c>
      <c r="AO561" s="3"/>
      <c r="AP561">
        <v>0</v>
      </c>
      <c r="AR561" t="s">
        <v>0</v>
      </c>
      <c r="AT561" s="2">
        <v>3.863</v>
      </c>
      <c r="AU561" s="1">
        <f t="shared" si="75"/>
        <v>1.4626299254107706</v>
      </c>
      <c r="AV561" s="1">
        <f t="shared" si="76"/>
        <v>1.0460469837881565</v>
      </c>
      <c r="AW561" s="1">
        <f t="shared" si="77"/>
        <v>0.62946404216554253</v>
      </c>
    </row>
    <row r="562" spans="1:49" x14ac:dyDescent="0.2">
      <c r="A562">
        <v>560</v>
      </c>
      <c r="B562" t="s">
        <v>3097</v>
      </c>
      <c r="C562" t="s">
        <v>3096</v>
      </c>
      <c r="F562" t="s">
        <v>3095</v>
      </c>
      <c r="G562" t="s">
        <v>15</v>
      </c>
      <c r="H562" t="s">
        <v>14</v>
      </c>
      <c r="I562" t="s">
        <v>3094</v>
      </c>
      <c r="N562">
        <v>1</v>
      </c>
      <c r="O562" t="s">
        <v>3093</v>
      </c>
      <c r="P562">
        <v>57198063798</v>
      </c>
      <c r="R562" s="7">
        <v>32509</v>
      </c>
      <c r="S562" s="8">
        <f t="shared" si="72"/>
        <v>1989</v>
      </c>
      <c r="T562" s="8">
        <v>1989</v>
      </c>
      <c r="U562" s="8">
        <f t="shared" si="73"/>
        <v>33</v>
      </c>
      <c r="V562" s="7">
        <v>32660</v>
      </c>
      <c r="W562" t="s">
        <v>2256</v>
      </c>
      <c r="X562" s="2">
        <v>0.78200000000000003</v>
      </c>
      <c r="Y562" s="6">
        <f t="shared" si="70"/>
        <v>2.0875043378446919E-2</v>
      </c>
      <c r="AA562">
        <v>189316</v>
      </c>
      <c r="AB562">
        <v>19901</v>
      </c>
      <c r="AC562">
        <v>15579611</v>
      </c>
      <c r="AD562" t="s">
        <v>5</v>
      </c>
      <c r="AE562">
        <v>35</v>
      </c>
      <c r="AF562">
        <v>2</v>
      </c>
      <c r="AH562" t="s">
        <v>3092</v>
      </c>
      <c r="AI562" t="s">
        <v>3091</v>
      </c>
      <c r="AK562" t="s">
        <v>3090</v>
      </c>
      <c r="AL562">
        <v>1</v>
      </c>
      <c r="AM562" s="5">
        <f t="shared" si="74"/>
        <v>3.0303030303030304E-2</v>
      </c>
      <c r="AN562" s="4">
        <f t="shared" si="71"/>
        <v>4.5896297316214016E-5</v>
      </c>
      <c r="AO562" s="3"/>
      <c r="AP562">
        <v>0</v>
      </c>
      <c r="AR562" t="s">
        <v>0</v>
      </c>
      <c r="AT562" s="2">
        <v>3.863</v>
      </c>
      <c r="AU562" s="1">
        <f t="shared" si="75"/>
        <v>1.4626299254107706</v>
      </c>
      <c r="AV562" s="1">
        <f t="shared" si="76"/>
        <v>1.0460469837881565</v>
      </c>
      <c r="AW562" s="1">
        <f t="shared" si="77"/>
        <v>0.62946404216554253</v>
      </c>
    </row>
    <row r="563" spans="1:49" x14ac:dyDescent="0.2">
      <c r="A563">
        <v>561</v>
      </c>
      <c r="B563" t="s">
        <v>3089</v>
      </c>
      <c r="C563" t="s">
        <v>3088</v>
      </c>
      <c r="F563" t="s">
        <v>3087</v>
      </c>
      <c r="G563" t="s">
        <v>15</v>
      </c>
      <c r="H563" t="s">
        <v>14</v>
      </c>
      <c r="I563" t="s">
        <v>3086</v>
      </c>
      <c r="J563" t="s">
        <v>3085</v>
      </c>
      <c r="K563" t="s">
        <v>3084</v>
      </c>
      <c r="L563" t="s">
        <v>3083</v>
      </c>
      <c r="M563" t="s">
        <v>3082</v>
      </c>
      <c r="N563">
        <v>2</v>
      </c>
      <c r="O563" t="s">
        <v>3081</v>
      </c>
      <c r="P563" t="s">
        <v>3080</v>
      </c>
      <c r="Q563" t="s">
        <v>3079</v>
      </c>
      <c r="R563" s="7">
        <v>32509</v>
      </c>
      <c r="S563" s="8">
        <f t="shared" si="72"/>
        <v>1989</v>
      </c>
      <c r="T563" s="8">
        <v>1989</v>
      </c>
      <c r="U563" s="8">
        <f t="shared" si="73"/>
        <v>33</v>
      </c>
      <c r="V563" s="7">
        <v>32660</v>
      </c>
      <c r="W563" t="s">
        <v>778</v>
      </c>
      <c r="X563" s="2">
        <v>1.6519999999999999</v>
      </c>
      <c r="Y563" s="6">
        <f t="shared" si="70"/>
        <v>4.409919649769093E-2</v>
      </c>
      <c r="AA563" t="s">
        <v>777</v>
      </c>
      <c r="AB563">
        <v>17337</v>
      </c>
      <c r="AC563">
        <v>15582221</v>
      </c>
      <c r="AD563" t="s">
        <v>5</v>
      </c>
      <c r="AE563">
        <v>37</v>
      </c>
      <c r="AF563">
        <v>6</v>
      </c>
      <c r="AH563" t="s">
        <v>3078</v>
      </c>
      <c r="AI563" t="s">
        <v>3077</v>
      </c>
      <c r="AK563" t="s">
        <v>3076</v>
      </c>
      <c r="AL563">
        <v>2</v>
      </c>
      <c r="AM563" s="5">
        <f t="shared" si="74"/>
        <v>6.0606060606060608E-2</v>
      </c>
      <c r="AN563" s="4">
        <f t="shared" si="71"/>
        <v>9.1792594632428032E-5</v>
      </c>
      <c r="AO563" s="3"/>
      <c r="AP563">
        <v>0</v>
      </c>
      <c r="AR563" t="s">
        <v>0</v>
      </c>
      <c r="AT563" s="2" t="s">
        <v>19</v>
      </c>
      <c r="AU563" s="1">
        <f t="shared" si="75"/>
        <v>3.0896975326773379</v>
      </c>
      <c r="AV563" s="1">
        <f t="shared" si="76"/>
        <v>2.2095494546161678</v>
      </c>
      <c r="AW563" s="1">
        <f t="shared" si="77"/>
        <v>1.3294013765549977</v>
      </c>
    </row>
    <row r="564" spans="1:49" x14ac:dyDescent="0.2">
      <c r="A564">
        <v>562</v>
      </c>
      <c r="B564" t="s">
        <v>3075</v>
      </c>
      <c r="C564" t="s">
        <v>3074</v>
      </c>
      <c r="F564" t="s">
        <v>3073</v>
      </c>
      <c r="G564" t="s">
        <v>15</v>
      </c>
      <c r="H564" t="s">
        <v>14</v>
      </c>
      <c r="I564" t="s">
        <v>3072</v>
      </c>
      <c r="J564">
        <v>60008435</v>
      </c>
      <c r="K564" t="s">
        <v>2805</v>
      </c>
      <c r="L564" t="s">
        <v>2804</v>
      </c>
      <c r="M564" t="s">
        <v>115</v>
      </c>
      <c r="N564">
        <v>2</v>
      </c>
      <c r="O564" t="s">
        <v>3071</v>
      </c>
      <c r="P564" t="s">
        <v>3070</v>
      </c>
      <c r="Q564" t="s">
        <v>3069</v>
      </c>
      <c r="R564" s="7">
        <v>32509</v>
      </c>
      <c r="S564" s="8">
        <f t="shared" si="72"/>
        <v>1989</v>
      </c>
      <c r="T564" s="8">
        <v>1989</v>
      </c>
      <c r="U564" s="8">
        <f t="shared" si="73"/>
        <v>33</v>
      </c>
      <c r="V564" s="7">
        <v>32660</v>
      </c>
      <c r="W564" t="s">
        <v>778</v>
      </c>
      <c r="X564" s="2">
        <v>1.6519999999999999</v>
      </c>
      <c r="Y564" s="6">
        <f t="shared" si="70"/>
        <v>4.409919649769093E-2</v>
      </c>
      <c r="AA564" t="s">
        <v>777</v>
      </c>
      <c r="AB564">
        <v>17337</v>
      </c>
      <c r="AC564">
        <v>15582221</v>
      </c>
      <c r="AD564" t="s">
        <v>5</v>
      </c>
      <c r="AE564">
        <v>37</v>
      </c>
      <c r="AF564">
        <v>6</v>
      </c>
      <c r="AH564" t="s">
        <v>3068</v>
      </c>
      <c r="AI564" t="s">
        <v>3067</v>
      </c>
      <c r="AK564" t="s">
        <v>3066</v>
      </c>
      <c r="AL564">
        <v>13</v>
      </c>
      <c r="AM564" s="5">
        <f t="shared" si="74"/>
        <v>0.39393939393939392</v>
      </c>
      <c r="AN564" s="4">
        <f t="shared" si="71"/>
        <v>5.9665186511078218E-4</v>
      </c>
      <c r="AO564" s="3"/>
      <c r="AP564">
        <v>0</v>
      </c>
      <c r="AR564" t="s">
        <v>0</v>
      </c>
      <c r="AT564" s="2" t="s">
        <v>19</v>
      </c>
      <c r="AU564" s="1">
        <f t="shared" si="75"/>
        <v>3.1048433107916882</v>
      </c>
      <c r="AV564" s="1">
        <f t="shared" si="76"/>
        <v>2.2347924181400858</v>
      </c>
      <c r="AW564" s="1">
        <f t="shared" si="77"/>
        <v>1.3647415254884827</v>
      </c>
    </row>
    <row r="565" spans="1:49" x14ac:dyDescent="0.2">
      <c r="A565">
        <v>563</v>
      </c>
      <c r="B565" t="s">
        <v>3065</v>
      </c>
      <c r="C565" t="s">
        <v>3064</v>
      </c>
      <c r="F565" t="s">
        <v>3063</v>
      </c>
      <c r="G565" t="s">
        <v>15</v>
      </c>
      <c r="H565" t="s">
        <v>14</v>
      </c>
      <c r="I565" t="s">
        <v>3062</v>
      </c>
      <c r="J565">
        <v>60022403</v>
      </c>
      <c r="K565" t="s">
        <v>3061</v>
      </c>
      <c r="L565" t="s">
        <v>3060</v>
      </c>
      <c r="M565" t="s">
        <v>1940</v>
      </c>
      <c r="N565">
        <v>3</v>
      </c>
      <c r="O565" t="s">
        <v>3059</v>
      </c>
      <c r="P565" t="s">
        <v>3058</v>
      </c>
      <c r="Q565" t="s">
        <v>3057</v>
      </c>
      <c r="R565" s="7">
        <v>32509</v>
      </c>
      <c r="S565" s="8">
        <f t="shared" si="72"/>
        <v>1989</v>
      </c>
      <c r="T565" s="8">
        <v>1989</v>
      </c>
      <c r="U565" s="8">
        <f t="shared" si="73"/>
        <v>33</v>
      </c>
      <c r="V565" s="7">
        <v>32660</v>
      </c>
      <c r="W565" t="s">
        <v>943</v>
      </c>
      <c r="X565" s="2">
        <v>0.30399999999999999</v>
      </c>
      <c r="Y565" s="6">
        <f t="shared" si="70"/>
        <v>8.115106377299057E-3</v>
      </c>
      <c r="AA565">
        <v>8952477</v>
      </c>
      <c r="AB565">
        <v>12250</v>
      </c>
      <c r="AC565">
        <v>10982760</v>
      </c>
      <c r="AD565" t="s">
        <v>5</v>
      </c>
      <c r="AE565">
        <v>2</v>
      </c>
      <c r="AF565">
        <v>6</v>
      </c>
      <c r="AH565" t="s">
        <v>3056</v>
      </c>
      <c r="AI565" t="s">
        <v>3055</v>
      </c>
      <c r="AJ565" t="s">
        <v>3054</v>
      </c>
      <c r="AK565" t="s">
        <v>3053</v>
      </c>
      <c r="AL565">
        <v>3</v>
      </c>
      <c r="AM565" s="5">
        <f t="shared" si="74"/>
        <v>9.0909090909090912E-2</v>
      </c>
      <c r="AN565" s="4">
        <f t="shared" si="71"/>
        <v>1.3768889194864205E-4</v>
      </c>
      <c r="AO565" s="3"/>
      <c r="AP565">
        <v>0</v>
      </c>
      <c r="AR565" t="s">
        <v>0</v>
      </c>
      <c r="AT565" s="2" t="s">
        <v>19</v>
      </c>
      <c r="AU565" s="1">
        <f t="shared" si="75"/>
        <v>0.57218811316939311</v>
      </c>
      <c r="AV565" s="1">
        <f t="shared" si="76"/>
        <v>0.41263976346238496</v>
      </c>
      <c r="AW565" s="1">
        <f t="shared" si="77"/>
        <v>0.25309141375537664</v>
      </c>
    </row>
    <row r="566" spans="1:49" x14ac:dyDescent="0.2">
      <c r="A566">
        <v>564</v>
      </c>
      <c r="B566" t="s">
        <v>3052</v>
      </c>
      <c r="C566" t="s">
        <v>3051</v>
      </c>
      <c r="F566" t="s">
        <v>3050</v>
      </c>
      <c r="G566" t="s">
        <v>15</v>
      </c>
      <c r="H566" t="s">
        <v>14</v>
      </c>
      <c r="I566" t="s">
        <v>3049</v>
      </c>
      <c r="J566">
        <v>60021902</v>
      </c>
      <c r="K566" t="s">
        <v>1817</v>
      </c>
      <c r="L566" t="s">
        <v>1816</v>
      </c>
      <c r="M566" t="s">
        <v>1815</v>
      </c>
      <c r="N566">
        <v>1</v>
      </c>
      <c r="O566" t="s">
        <v>3048</v>
      </c>
      <c r="P566">
        <v>57203176700</v>
      </c>
      <c r="Q566">
        <v>60021902</v>
      </c>
      <c r="R566" s="7">
        <v>32509</v>
      </c>
      <c r="S566" s="8">
        <f t="shared" si="72"/>
        <v>1989</v>
      </c>
      <c r="T566" s="8">
        <v>1989</v>
      </c>
      <c r="U566" s="8">
        <f t="shared" si="73"/>
        <v>33</v>
      </c>
      <c r="V566" s="7">
        <v>32660</v>
      </c>
      <c r="W566" t="s">
        <v>943</v>
      </c>
      <c r="X566" s="2">
        <v>0.30399999999999999</v>
      </c>
      <c r="Y566" s="6">
        <f t="shared" si="70"/>
        <v>8.115106377299057E-3</v>
      </c>
      <c r="AA566">
        <v>8952477</v>
      </c>
      <c r="AB566">
        <v>12250</v>
      </c>
      <c r="AC566">
        <v>10982760</v>
      </c>
      <c r="AD566" t="s">
        <v>5</v>
      </c>
      <c r="AE566">
        <v>2</v>
      </c>
      <c r="AF566">
        <v>6</v>
      </c>
      <c r="AH566" t="s">
        <v>3047</v>
      </c>
      <c r="AI566" t="s">
        <v>3046</v>
      </c>
      <c r="AJ566" t="s">
        <v>3045</v>
      </c>
      <c r="AK566" t="s">
        <v>3044</v>
      </c>
      <c r="AL566">
        <v>0</v>
      </c>
      <c r="AM566" s="5">
        <f t="shared" si="74"/>
        <v>0</v>
      </c>
      <c r="AN566" s="4">
        <f t="shared" si="71"/>
        <v>0</v>
      </c>
      <c r="AO566" s="3"/>
      <c r="AP566">
        <v>0</v>
      </c>
      <c r="AR566" t="s">
        <v>0</v>
      </c>
      <c r="AT566" s="2" t="s">
        <v>19</v>
      </c>
      <c r="AU566" s="1">
        <f t="shared" si="75"/>
        <v>0.56805744641093392</v>
      </c>
      <c r="AV566" s="1">
        <f t="shared" si="76"/>
        <v>0.40575531886495286</v>
      </c>
      <c r="AW566" s="1">
        <f t="shared" si="77"/>
        <v>0.24345319131897172</v>
      </c>
    </row>
    <row r="567" spans="1:49" x14ac:dyDescent="0.2">
      <c r="A567">
        <v>565</v>
      </c>
      <c r="B567" t="s">
        <v>3043</v>
      </c>
      <c r="C567" t="s">
        <v>3042</v>
      </c>
      <c r="F567" t="s">
        <v>3041</v>
      </c>
      <c r="G567" t="s">
        <v>15</v>
      </c>
      <c r="H567" t="s">
        <v>14</v>
      </c>
      <c r="I567" t="s">
        <v>3040</v>
      </c>
      <c r="J567" t="s">
        <v>3039</v>
      </c>
      <c r="K567" t="s">
        <v>3038</v>
      </c>
      <c r="L567" t="s">
        <v>3037</v>
      </c>
      <c r="M567" t="s">
        <v>86</v>
      </c>
      <c r="N567">
        <v>4</v>
      </c>
      <c r="O567" t="s">
        <v>3036</v>
      </c>
      <c r="P567" t="s">
        <v>3035</v>
      </c>
      <c r="Q567" t="s">
        <v>3034</v>
      </c>
      <c r="R567" s="7">
        <v>32509</v>
      </c>
      <c r="S567" s="8">
        <f t="shared" si="72"/>
        <v>1989</v>
      </c>
      <c r="T567" s="8">
        <v>1989</v>
      </c>
      <c r="U567" s="8">
        <f t="shared" si="73"/>
        <v>33</v>
      </c>
      <c r="V567" s="7">
        <v>32660</v>
      </c>
      <c r="W567" t="s">
        <v>3033</v>
      </c>
      <c r="X567" s="2">
        <v>0.82799999999999996</v>
      </c>
      <c r="Y567" s="6">
        <f t="shared" si="70"/>
        <v>2.2102987106590855E-2</v>
      </c>
      <c r="AA567">
        <v>11452</v>
      </c>
      <c r="AB567">
        <v>29964</v>
      </c>
      <c r="AD567" t="s">
        <v>5</v>
      </c>
      <c r="AE567">
        <v>27</v>
      </c>
      <c r="AF567">
        <v>6</v>
      </c>
      <c r="AH567" t="s">
        <v>3032</v>
      </c>
      <c r="AI567" t="s">
        <v>3031</v>
      </c>
      <c r="AK567" t="s">
        <v>3030</v>
      </c>
      <c r="AL567">
        <v>22</v>
      </c>
      <c r="AM567" s="5">
        <f t="shared" si="74"/>
        <v>0.66666666666666663</v>
      </c>
      <c r="AN567" s="4">
        <f t="shared" si="71"/>
        <v>1.0097185409567082E-3</v>
      </c>
      <c r="AO567" s="3"/>
      <c r="AP567">
        <v>0</v>
      </c>
      <c r="AR567" t="s">
        <v>0</v>
      </c>
      <c r="AT567" s="2">
        <v>2.1269999999999998</v>
      </c>
      <c r="AU567" s="1">
        <f t="shared" si="75"/>
        <v>1.5775006536900609</v>
      </c>
      <c r="AV567" s="1">
        <f t="shared" si="76"/>
        <v>1.1556352823773783</v>
      </c>
      <c r="AW567" s="1">
        <f t="shared" si="77"/>
        <v>0.73376991106469525</v>
      </c>
    </row>
    <row r="568" spans="1:49" x14ac:dyDescent="0.2">
      <c r="A568">
        <v>566</v>
      </c>
      <c r="B568" t="s">
        <v>3029</v>
      </c>
      <c r="C568" t="s">
        <v>3028</v>
      </c>
      <c r="E568">
        <v>2535516</v>
      </c>
      <c r="F568" t="s">
        <v>3027</v>
      </c>
      <c r="G568" t="s">
        <v>15</v>
      </c>
      <c r="H568" t="s">
        <v>14</v>
      </c>
      <c r="I568" t="s">
        <v>3026</v>
      </c>
      <c r="J568">
        <v>60025038</v>
      </c>
      <c r="K568" t="s">
        <v>404</v>
      </c>
      <c r="L568" t="s">
        <v>403</v>
      </c>
      <c r="M568" t="s">
        <v>23</v>
      </c>
      <c r="N568">
        <v>5</v>
      </c>
      <c r="O568" t="s">
        <v>3025</v>
      </c>
      <c r="P568" t="s">
        <v>3024</v>
      </c>
      <c r="Q568" t="s">
        <v>3023</v>
      </c>
      <c r="R568" s="7">
        <v>32509</v>
      </c>
      <c r="S568" s="8">
        <f t="shared" si="72"/>
        <v>1989</v>
      </c>
      <c r="T568" s="8">
        <v>1989</v>
      </c>
      <c r="U568" s="8">
        <f t="shared" si="73"/>
        <v>33</v>
      </c>
      <c r="V568" s="7">
        <v>32660</v>
      </c>
      <c r="W568" t="s">
        <v>3022</v>
      </c>
      <c r="X568" s="2">
        <v>0.70699999999999996</v>
      </c>
      <c r="Y568" s="6">
        <f t="shared" si="70"/>
        <v>1.8872961212994848E-2</v>
      </c>
      <c r="AA568">
        <v>10404651</v>
      </c>
      <c r="AB568">
        <v>16594</v>
      </c>
      <c r="AD568" t="s">
        <v>5</v>
      </c>
      <c r="AE568">
        <v>1</v>
      </c>
      <c r="AF568">
        <v>6</v>
      </c>
      <c r="AH568" t="s">
        <v>3021</v>
      </c>
      <c r="AI568" t="s">
        <v>3020</v>
      </c>
      <c r="AK568" t="s">
        <v>3019</v>
      </c>
      <c r="AL568">
        <v>41</v>
      </c>
      <c r="AM568" s="5">
        <f t="shared" si="74"/>
        <v>1.2424242424242424</v>
      </c>
      <c r="AN568" s="4">
        <f t="shared" si="71"/>
        <v>1.8817481899647745E-3</v>
      </c>
      <c r="AO568" s="3"/>
      <c r="AP568">
        <v>0</v>
      </c>
      <c r="AQ568" t="s">
        <v>3018</v>
      </c>
      <c r="AR568" t="s">
        <v>3017</v>
      </c>
      <c r="AS568" t="s">
        <v>3016</v>
      </c>
      <c r="AT568" s="2" t="s">
        <v>19</v>
      </c>
      <c r="AU568" s="1">
        <f t="shared" si="75"/>
        <v>1.3775597306085825</v>
      </c>
      <c r="AV568" s="1">
        <f t="shared" si="76"/>
        <v>1.0377354701479813</v>
      </c>
      <c r="AW568" s="1">
        <f t="shared" si="77"/>
        <v>0.69791120968737963</v>
      </c>
    </row>
    <row r="569" spans="1:49" x14ac:dyDescent="0.2">
      <c r="A569">
        <v>567</v>
      </c>
      <c r="B569" t="s">
        <v>3015</v>
      </c>
      <c r="C569" t="s">
        <v>3014</v>
      </c>
      <c r="F569" t="s">
        <v>3013</v>
      </c>
      <c r="G569" t="s">
        <v>15</v>
      </c>
      <c r="H569" t="s">
        <v>14</v>
      </c>
      <c r="I569" t="s">
        <v>3012</v>
      </c>
      <c r="J569">
        <v>60023345</v>
      </c>
      <c r="K569" t="s">
        <v>3011</v>
      </c>
      <c r="L569" t="s">
        <v>3010</v>
      </c>
      <c r="M569" t="s">
        <v>885</v>
      </c>
      <c r="N569">
        <v>2</v>
      </c>
      <c r="O569" t="s">
        <v>3009</v>
      </c>
      <c r="P569" t="s">
        <v>3008</v>
      </c>
      <c r="Q569" t="s">
        <v>3007</v>
      </c>
      <c r="R569" s="7">
        <v>32509</v>
      </c>
      <c r="S569" s="8">
        <f t="shared" si="72"/>
        <v>1989</v>
      </c>
      <c r="T569" s="8">
        <v>1989</v>
      </c>
      <c r="U569" s="8">
        <f t="shared" si="73"/>
        <v>33</v>
      </c>
      <c r="V569" s="7" t="s">
        <v>3006</v>
      </c>
      <c r="W569" t="s">
        <v>880</v>
      </c>
      <c r="X569" s="2">
        <v>0.218</v>
      </c>
      <c r="Y569" s="6">
        <f t="shared" si="70"/>
        <v>5.8193854942473512E-3</v>
      </c>
      <c r="AA569">
        <v>3772063</v>
      </c>
      <c r="AB569">
        <v>130012</v>
      </c>
      <c r="AD569" t="s">
        <v>5</v>
      </c>
      <c r="AE569">
        <v>35</v>
      </c>
      <c r="AF569">
        <v>3</v>
      </c>
      <c r="AH569" t="s">
        <v>3005</v>
      </c>
      <c r="AI569" t="s">
        <v>3004</v>
      </c>
      <c r="AK569" t="s">
        <v>3003</v>
      </c>
      <c r="AL569">
        <v>0</v>
      </c>
      <c r="AM569" s="5">
        <f t="shared" si="74"/>
        <v>0</v>
      </c>
      <c r="AN569" s="4">
        <f t="shared" si="71"/>
        <v>0</v>
      </c>
      <c r="AO569" s="3"/>
      <c r="AP569">
        <v>0</v>
      </c>
      <c r="AR569" t="s">
        <v>0</v>
      </c>
      <c r="AT569" s="2">
        <v>2.3330000000000002</v>
      </c>
      <c r="AU569" s="1">
        <f t="shared" si="75"/>
        <v>0.40735698459731456</v>
      </c>
      <c r="AV569" s="1">
        <f t="shared" si="76"/>
        <v>0.29096927471236755</v>
      </c>
      <c r="AW569" s="1">
        <f t="shared" si="77"/>
        <v>0.17458156482742054</v>
      </c>
    </row>
    <row r="570" spans="1:49" x14ac:dyDescent="0.2">
      <c r="A570">
        <v>568</v>
      </c>
      <c r="B570" t="s">
        <v>3002</v>
      </c>
      <c r="C570" t="s">
        <v>3001</v>
      </c>
      <c r="F570" t="s">
        <v>3000</v>
      </c>
      <c r="G570" t="s">
        <v>15</v>
      </c>
      <c r="H570" t="s">
        <v>14</v>
      </c>
      <c r="I570" t="s">
        <v>2999</v>
      </c>
      <c r="J570" t="s">
        <v>2998</v>
      </c>
      <c r="K570" t="s">
        <v>2997</v>
      </c>
      <c r="L570" t="s">
        <v>1603</v>
      </c>
      <c r="M570" t="s">
        <v>554</v>
      </c>
      <c r="N570">
        <v>5</v>
      </c>
      <c r="O570" t="s">
        <v>2996</v>
      </c>
      <c r="P570" t="s">
        <v>2995</v>
      </c>
      <c r="Q570" t="s">
        <v>2994</v>
      </c>
      <c r="R570" s="7">
        <v>32509</v>
      </c>
      <c r="S570" s="8">
        <f t="shared" si="72"/>
        <v>1989</v>
      </c>
      <c r="T570" s="8">
        <v>1989</v>
      </c>
      <c r="U570" s="8">
        <f t="shared" si="73"/>
        <v>33</v>
      </c>
      <c r="V570" s="7">
        <v>1989</v>
      </c>
      <c r="W570" t="s">
        <v>2993</v>
      </c>
      <c r="X570" s="2">
        <v>0.10299999999999999</v>
      </c>
      <c r="Y570" s="6">
        <f t="shared" si="70"/>
        <v>2.7495261738875098E-3</v>
      </c>
      <c r="AA570">
        <v>10420967</v>
      </c>
      <c r="AB570">
        <v>24908</v>
      </c>
      <c r="AC570">
        <v>15206440</v>
      </c>
      <c r="AD570" t="s">
        <v>5</v>
      </c>
      <c r="AE570">
        <v>72</v>
      </c>
      <c r="AF570">
        <v>5</v>
      </c>
      <c r="AH570" t="s">
        <v>2992</v>
      </c>
      <c r="AI570" t="s">
        <v>2991</v>
      </c>
      <c r="AK570" t="s">
        <v>2990</v>
      </c>
      <c r="AL570">
        <v>0</v>
      </c>
      <c r="AM570" s="5">
        <f t="shared" si="74"/>
        <v>0</v>
      </c>
      <c r="AN570" s="4">
        <f t="shared" si="71"/>
        <v>0</v>
      </c>
      <c r="AO570" s="3"/>
      <c r="AP570">
        <v>0</v>
      </c>
      <c r="AR570" t="s">
        <v>0</v>
      </c>
      <c r="AT570" s="2" t="s">
        <v>19</v>
      </c>
      <c r="AU570" s="1">
        <f t="shared" si="75"/>
        <v>0.19246683217212568</v>
      </c>
      <c r="AV570" s="1">
        <f t="shared" si="76"/>
        <v>0.13747630869437549</v>
      </c>
      <c r="AW570" s="1">
        <f t="shared" si="77"/>
        <v>8.2485785216625293E-2</v>
      </c>
    </row>
    <row r="571" spans="1:49" x14ac:dyDescent="0.2">
      <c r="A571">
        <v>569</v>
      </c>
      <c r="B571" t="s">
        <v>2989</v>
      </c>
      <c r="C571" t="s">
        <v>2988</v>
      </c>
      <c r="F571" t="s">
        <v>2987</v>
      </c>
      <c r="G571" t="s">
        <v>15</v>
      </c>
      <c r="H571" t="s">
        <v>14</v>
      </c>
      <c r="I571" t="s">
        <v>2986</v>
      </c>
      <c r="J571">
        <v>60103907</v>
      </c>
      <c r="K571" t="s">
        <v>2269</v>
      </c>
      <c r="L571" t="s">
        <v>1496</v>
      </c>
      <c r="M571" t="s">
        <v>115</v>
      </c>
      <c r="N571">
        <v>2</v>
      </c>
      <c r="O571" t="s">
        <v>2985</v>
      </c>
      <c r="P571" t="s">
        <v>2984</v>
      </c>
      <c r="Q571" t="s">
        <v>2266</v>
      </c>
      <c r="R571" s="7">
        <v>32509</v>
      </c>
      <c r="S571" s="8">
        <f t="shared" si="72"/>
        <v>1989</v>
      </c>
      <c r="T571" s="8">
        <v>1989</v>
      </c>
      <c r="U571" s="8">
        <f t="shared" si="73"/>
        <v>33</v>
      </c>
      <c r="V571" s="7" t="s">
        <v>2983</v>
      </c>
      <c r="W571" t="s">
        <v>2982</v>
      </c>
      <c r="X571" s="2" t="s">
        <v>19</v>
      </c>
      <c r="Y571" s="6" t="e">
        <f t="shared" si="70"/>
        <v>#VALUE!</v>
      </c>
      <c r="AA571">
        <v>4247760</v>
      </c>
      <c r="AB571">
        <v>16066</v>
      </c>
      <c r="AC571">
        <v>15206416</v>
      </c>
      <c r="AD571" t="s">
        <v>5</v>
      </c>
      <c r="AE571">
        <v>109</v>
      </c>
      <c r="AF571">
        <v>3</v>
      </c>
      <c r="AH571" t="s">
        <v>2981</v>
      </c>
      <c r="AL571">
        <v>0</v>
      </c>
      <c r="AM571" s="5">
        <f t="shared" si="74"/>
        <v>0</v>
      </c>
      <c r="AN571" s="4">
        <f t="shared" si="71"/>
        <v>0</v>
      </c>
      <c r="AO571" s="3"/>
      <c r="AP571">
        <v>0</v>
      </c>
      <c r="AR571" t="s">
        <v>0</v>
      </c>
      <c r="AT571" s="2">
        <v>0.22500000000000001</v>
      </c>
      <c r="AU571" s="1" t="e">
        <f t="shared" si="75"/>
        <v>#VALUE!</v>
      </c>
      <c r="AV571" s="1" t="e">
        <f t="shared" si="76"/>
        <v>#VALUE!</v>
      </c>
      <c r="AW571" s="1" t="e">
        <f t="shared" si="77"/>
        <v>#VALUE!</v>
      </c>
    </row>
    <row r="572" spans="1:49" x14ac:dyDescent="0.2">
      <c r="A572">
        <v>570</v>
      </c>
      <c r="B572" t="s">
        <v>2980</v>
      </c>
      <c r="C572" t="s">
        <v>2979</v>
      </c>
      <c r="F572" t="s">
        <v>2978</v>
      </c>
      <c r="G572" t="s">
        <v>15</v>
      </c>
      <c r="H572" t="s">
        <v>14</v>
      </c>
      <c r="I572" t="s">
        <v>2977</v>
      </c>
      <c r="J572" t="s">
        <v>2976</v>
      </c>
      <c r="K572" t="s">
        <v>2975</v>
      </c>
      <c r="L572" t="s">
        <v>2974</v>
      </c>
      <c r="M572" t="s">
        <v>86</v>
      </c>
      <c r="N572">
        <v>3</v>
      </c>
      <c r="O572" t="s">
        <v>2973</v>
      </c>
      <c r="P572" t="s">
        <v>2972</v>
      </c>
      <c r="Q572" t="s">
        <v>2971</v>
      </c>
      <c r="R572" s="7">
        <v>32509</v>
      </c>
      <c r="S572" s="8">
        <f t="shared" si="72"/>
        <v>1989</v>
      </c>
      <c r="T572" s="8">
        <v>1989</v>
      </c>
      <c r="U572" s="8">
        <f t="shared" si="73"/>
        <v>33</v>
      </c>
      <c r="V572" s="7">
        <v>32629</v>
      </c>
      <c r="W572" t="s">
        <v>1599</v>
      </c>
      <c r="X572" s="2">
        <v>1.365</v>
      </c>
      <c r="Y572" s="6">
        <f t="shared" si="70"/>
        <v>3.6437895411227675E-2</v>
      </c>
      <c r="AA572">
        <v>189545</v>
      </c>
      <c r="AB572">
        <v>17393</v>
      </c>
      <c r="AC572">
        <v>19399359</v>
      </c>
      <c r="AD572" t="s">
        <v>5</v>
      </c>
      <c r="AE572">
        <v>38</v>
      </c>
      <c r="AF572">
        <v>2</v>
      </c>
      <c r="AH572" t="s">
        <v>2970</v>
      </c>
      <c r="AI572" t="s">
        <v>2969</v>
      </c>
      <c r="AK572" t="s">
        <v>2968</v>
      </c>
      <c r="AL572">
        <v>12</v>
      </c>
      <c r="AM572" s="5">
        <f t="shared" si="74"/>
        <v>0.36363636363636365</v>
      </c>
      <c r="AN572" s="4">
        <f t="shared" si="71"/>
        <v>5.5075556779456819E-4</v>
      </c>
      <c r="AO572" s="3"/>
      <c r="AP572">
        <v>0</v>
      </c>
      <c r="AQ572" t="s">
        <v>746</v>
      </c>
      <c r="AR572" t="s">
        <v>0</v>
      </c>
      <c r="AS572" t="s">
        <v>744</v>
      </c>
      <c r="AT572" s="2" t="s">
        <v>19</v>
      </c>
      <c r="AU572" s="1">
        <f t="shared" si="75"/>
        <v>2.5671753458197739</v>
      </c>
      <c r="AV572" s="1">
        <f t="shared" si="76"/>
        <v>1.8494325489511121</v>
      </c>
      <c r="AW572" s="1">
        <f t="shared" si="77"/>
        <v>1.1316897520824498</v>
      </c>
    </row>
    <row r="573" spans="1:49" x14ac:dyDescent="0.2">
      <c r="A573">
        <v>571</v>
      </c>
      <c r="B573" t="s">
        <v>2967</v>
      </c>
      <c r="C573" t="s">
        <v>2966</v>
      </c>
      <c r="F573" t="s">
        <v>2965</v>
      </c>
      <c r="G573" t="s">
        <v>15</v>
      </c>
      <c r="H573" t="s">
        <v>14</v>
      </c>
      <c r="I573" t="s">
        <v>2964</v>
      </c>
      <c r="J573">
        <v>60011001</v>
      </c>
      <c r="K573" t="s">
        <v>2963</v>
      </c>
      <c r="L573" t="s">
        <v>844</v>
      </c>
      <c r="M573" t="s">
        <v>115</v>
      </c>
      <c r="N573">
        <v>1</v>
      </c>
      <c r="O573" t="s">
        <v>2962</v>
      </c>
      <c r="P573">
        <v>7102188996</v>
      </c>
      <c r="Q573">
        <v>60011001</v>
      </c>
      <c r="R573" s="7">
        <v>32509</v>
      </c>
      <c r="S573" s="8">
        <f t="shared" si="72"/>
        <v>1989</v>
      </c>
      <c r="T573" s="8">
        <v>1989</v>
      </c>
      <c r="U573" s="8">
        <f t="shared" si="73"/>
        <v>33</v>
      </c>
      <c r="V573" s="7">
        <v>32629</v>
      </c>
      <c r="W573" t="s">
        <v>2247</v>
      </c>
      <c r="X573" s="2">
        <v>0.111</v>
      </c>
      <c r="Y573" s="6">
        <f t="shared" si="70"/>
        <v>2.9630816048690639E-3</v>
      </c>
      <c r="AA573">
        <v>87566621</v>
      </c>
      <c r="AB573">
        <v>24890</v>
      </c>
      <c r="AC573">
        <v>15206424</v>
      </c>
      <c r="AD573" t="s">
        <v>5</v>
      </c>
      <c r="AE573">
        <v>72</v>
      </c>
      <c r="AF573">
        <v>5</v>
      </c>
      <c r="AH573" t="s">
        <v>2961</v>
      </c>
      <c r="AI573" t="s">
        <v>2960</v>
      </c>
      <c r="AK573" t="s">
        <v>2959</v>
      </c>
      <c r="AL573">
        <v>0</v>
      </c>
      <c r="AM573" s="5">
        <f t="shared" si="74"/>
        <v>0</v>
      </c>
      <c r="AN573" s="4">
        <f t="shared" si="71"/>
        <v>0</v>
      </c>
      <c r="AO573" s="3"/>
      <c r="AP573">
        <v>0</v>
      </c>
      <c r="AR573" t="s">
        <v>0</v>
      </c>
      <c r="AT573" s="2" t="s">
        <v>19</v>
      </c>
      <c r="AU573" s="1">
        <f t="shared" si="75"/>
        <v>0.20741571234083445</v>
      </c>
      <c r="AV573" s="1">
        <f t="shared" si="76"/>
        <v>0.1481540802434532</v>
      </c>
      <c r="AW573" s="1">
        <f t="shared" si="77"/>
        <v>8.8892448146071903E-2</v>
      </c>
    </row>
    <row r="574" spans="1:49" x14ac:dyDescent="0.2">
      <c r="A574">
        <v>572</v>
      </c>
      <c r="B574" t="s">
        <v>2958</v>
      </c>
      <c r="C574" t="s">
        <v>2957</v>
      </c>
      <c r="F574" t="s">
        <v>2956</v>
      </c>
      <c r="G574" t="s">
        <v>15</v>
      </c>
      <c r="H574" t="s">
        <v>14</v>
      </c>
      <c r="I574" t="s">
        <v>2955</v>
      </c>
      <c r="J574">
        <v>60015763</v>
      </c>
      <c r="K574" t="s">
        <v>2954</v>
      </c>
      <c r="L574" t="s">
        <v>900</v>
      </c>
      <c r="M574" t="s">
        <v>899</v>
      </c>
      <c r="N574">
        <v>2</v>
      </c>
      <c r="O574" t="s">
        <v>2953</v>
      </c>
      <c r="P574" t="s">
        <v>2952</v>
      </c>
      <c r="Q574" t="s">
        <v>2951</v>
      </c>
      <c r="R574" s="7">
        <v>32509</v>
      </c>
      <c r="S574" s="8">
        <f t="shared" si="72"/>
        <v>1989</v>
      </c>
      <c r="T574" s="8">
        <v>1989</v>
      </c>
      <c r="U574" s="8">
        <f t="shared" si="73"/>
        <v>33</v>
      </c>
      <c r="V574" s="7">
        <v>32599</v>
      </c>
      <c r="W574" t="s">
        <v>1004</v>
      </c>
      <c r="X574" s="2">
        <v>0.26400000000000001</v>
      </c>
      <c r="Y574" s="6">
        <f t="shared" si="70"/>
        <v>7.0473292223912874E-3</v>
      </c>
      <c r="AA574">
        <v>2533839</v>
      </c>
      <c r="AB574">
        <v>15157</v>
      </c>
      <c r="AC574">
        <v>21587299</v>
      </c>
      <c r="AD574" t="s">
        <v>5</v>
      </c>
      <c r="AE574">
        <v>12</v>
      </c>
      <c r="AF574">
        <v>3</v>
      </c>
      <c r="AH574" t="s">
        <v>2950</v>
      </c>
      <c r="AI574" t="s">
        <v>2949</v>
      </c>
      <c r="AJ574" t="s">
        <v>2948</v>
      </c>
      <c r="AK574" t="s">
        <v>2947</v>
      </c>
      <c r="AL574">
        <v>1</v>
      </c>
      <c r="AM574" s="5">
        <f t="shared" si="74"/>
        <v>3.0303030303030304E-2</v>
      </c>
      <c r="AN574" s="4">
        <f t="shared" si="71"/>
        <v>4.5896297316214016E-5</v>
      </c>
      <c r="AO574" s="3"/>
      <c r="AP574">
        <v>0</v>
      </c>
      <c r="AQ574" t="s">
        <v>2946</v>
      </c>
      <c r="AR574" t="s">
        <v>0</v>
      </c>
      <c r="AS574" t="s">
        <v>2945</v>
      </c>
      <c r="AT574" s="2" t="s">
        <v>19</v>
      </c>
      <c r="AU574" s="1">
        <f t="shared" si="75"/>
        <v>0.49468993448687648</v>
      </c>
      <c r="AV574" s="1">
        <f t="shared" si="76"/>
        <v>0.35466127598537511</v>
      </c>
      <c r="AW574" s="1">
        <f t="shared" si="77"/>
        <v>0.21463261748387361</v>
      </c>
    </row>
    <row r="575" spans="1:49" x14ac:dyDescent="0.2">
      <c r="A575">
        <v>573</v>
      </c>
      <c r="B575" t="s">
        <v>2944</v>
      </c>
      <c r="C575" t="s">
        <v>2943</v>
      </c>
      <c r="F575" t="s">
        <v>2942</v>
      </c>
      <c r="G575" t="s">
        <v>15</v>
      </c>
      <c r="H575" t="s">
        <v>14</v>
      </c>
      <c r="I575" t="s">
        <v>2941</v>
      </c>
      <c r="J575">
        <v>60006448</v>
      </c>
      <c r="K575" t="s">
        <v>2940</v>
      </c>
      <c r="L575" t="s">
        <v>2939</v>
      </c>
      <c r="M575" t="s">
        <v>2938</v>
      </c>
      <c r="N575">
        <v>2</v>
      </c>
      <c r="O575" t="s">
        <v>2937</v>
      </c>
      <c r="P575" t="s">
        <v>2936</v>
      </c>
      <c r="Q575" t="s">
        <v>2935</v>
      </c>
      <c r="R575" s="7">
        <v>32509</v>
      </c>
      <c r="S575" s="8">
        <f t="shared" si="72"/>
        <v>1989</v>
      </c>
      <c r="T575" s="8">
        <v>1989</v>
      </c>
      <c r="U575" s="8">
        <f t="shared" si="73"/>
        <v>33</v>
      </c>
      <c r="V575" s="7">
        <v>32629</v>
      </c>
      <c r="W575" t="s">
        <v>1436</v>
      </c>
      <c r="X575" s="2">
        <v>0.251</v>
      </c>
      <c r="Y575" s="6">
        <f t="shared" si="70"/>
        <v>6.7003016470462617E-3</v>
      </c>
      <c r="AA575">
        <v>207217</v>
      </c>
      <c r="AB575">
        <v>26145</v>
      </c>
      <c r="AC575">
        <v>13623060</v>
      </c>
      <c r="AD575" t="s">
        <v>5</v>
      </c>
      <c r="AE575">
        <v>66</v>
      </c>
      <c r="AF575">
        <v>5</v>
      </c>
      <c r="AH575" t="s">
        <v>2934</v>
      </c>
      <c r="AI575" t="s">
        <v>2933</v>
      </c>
      <c r="AK575" t="s">
        <v>2932</v>
      </c>
      <c r="AL575">
        <v>8</v>
      </c>
      <c r="AM575" s="5">
        <f t="shared" si="74"/>
        <v>0.24242424242424243</v>
      </c>
      <c r="AN575" s="4">
        <f t="shared" si="71"/>
        <v>3.6717037852971213E-4</v>
      </c>
      <c r="AO575" s="3"/>
      <c r="AP575">
        <v>0</v>
      </c>
      <c r="AR575" t="s">
        <v>0</v>
      </c>
      <c r="AT575" s="2">
        <v>1.3360000000000001</v>
      </c>
      <c r="AU575" s="1">
        <f t="shared" si="75"/>
        <v>0.48003622664912959</v>
      </c>
      <c r="AV575" s="1">
        <f t="shared" si="76"/>
        <v>0.35337360127879869</v>
      </c>
      <c r="AW575" s="1">
        <f t="shared" si="77"/>
        <v>0.22671097590846767</v>
      </c>
    </row>
    <row r="576" spans="1:49" x14ac:dyDescent="0.2">
      <c r="A576">
        <v>574</v>
      </c>
      <c r="B576" t="s">
        <v>2931</v>
      </c>
      <c r="C576" t="s">
        <v>2930</v>
      </c>
      <c r="F576" t="s">
        <v>2929</v>
      </c>
      <c r="G576" t="s">
        <v>15</v>
      </c>
      <c r="H576" t="s">
        <v>14</v>
      </c>
      <c r="I576" t="s">
        <v>2928</v>
      </c>
      <c r="J576">
        <v>60030480</v>
      </c>
      <c r="K576" t="s">
        <v>2927</v>
      </c>
      <c r="L576" t="s">
        <v>2926</v>
      </c>
      <c r="M576" t="s">
        <v>792</v>
      </c>
      <c r="N576">
        <v>2</v>
      </c>
      <c r="O576" t="s">
        <v>2925</v>
      </c>
      <c r="P576" t="s">
        <v>2924</v>
      </c>
      <c r="Q576" t="s">
        <v>2923</v>
      </c>
      <c r="R576" s="7">
        <v>32509</v>
      </c>
      <c r="S576" s="8">
        <f t="shared" si="72"/>
        <v>1989</v>
      </c>
      <c r="T576" s="8">
        <v>1989</v>
      </c>
      <c r="U576" s="8">
        <f t="shared" si="73"/>
        <v>33</v>
      </c>
      <c r="V576" s="7">
        <v>32629</v>
      </c>
      <c r="W576" t="s">
        <v>360</v>
      </c>
      <c r="X576" s="2">
        <v>1.3720000000000001</v>
      </c>
      <c r="Y576" s="6">
        <f t="shared" si="70"/>
        <v>3.662475641333654E-2</v>
      </c>
      <c r="AA576">
        <v>189480</v>
      </c>
      <c r="AB576">
        <v>17366</v>
      </c>
      <c r="AC576">
        <v>15579670</v>
      </c>
      <c r="AD576" t="s">
        <v>5</v>
      </c>
      <c r="AE576">
        <v>37</v>
      </c>
      <c r="AF576">
        <v>5</v>
      </c>
      <c r="AH576" t="s">
        <v>2922</v>
      </c>
      <c r="AI576" t="s">
        <v>2921</v>
      </c>
      <c r="AK576" t="s">
        <v>2920</v>
      </c>
      <c r="AL576">
        <v>6</v>
      </c>
      <c r="AM576" s="5">
        <f t="shared" si="74"/>
        <v>0.18181818181818182</v>
      </c>
      <c r="AN576" s="4">
        <f t="shared" si="71"/>
        <v>2.753777838972841E-4</v>
      </c>
      <c r="AO576" s="3"/>
      <c r="AP576">
        <v>0</v>
      </c>
      <c r="AR576" t="s">
        <v>0</v>
      </c>
      <c r="AT576" s="2" t="s">
        <v>19</v>
      </c>
      <c r="AU576" s="1">
        <f t="shared" si="75"/>
        <v>2.571994282450476</v>
      </c>
      <c r="AV576" s="1">
        <f t="shared" si="76"/>
        <v>1.8450067098616911</v>
      </c>
      <c r="AW576" s="1">
        <f t="shared" si="77"/>
        <v>1.1180191372729062</v>
      </c>
    </row>
    <row r="577" spans="1:49" x14ac:dyDescent="0.2">
      <c r="A577">
        <v>575</v>
      </c>
      <c r="B577" t="s">
        <v>2919</v>
      </c>
      <c r="C577" t="s">
        <v>2918</v>
      </c>
      <c r="F577" t="s">
        <v>2917</v>
      </c>
      <c r="G577" t="s">
        <v>15</v>
      </c>
      <c r="H577" t="s">
        <v>14</v>
      </c>
      <c r="I577" t="s">
        <v>2916</v>
      </c>
      <c r="N577">
        <v>1</v>
      </c>
      <c r="O577" t="s">
        <v>2915</v>
      </c>
      <c r="P577">
        <v>24512080300</v>
      </c>
      <c r="R577" s="7">
        <v>32509</v>
      </c>
      <c r="S577" s="8">
        <f t="shared" si="72"/>
        <v>1989</v>
      </c>
      <c r="T577" s="8">
        <v>1989</v>
      </c>
      <c r="U577" s="8">
        <f t="shared" si="73"/>
        <v>33</v>
      </c>
      <c r="V577" s="7">
        <v>32629</v>
      </c>
      <c r="W577" t="s">
        <v>2914</v>
      </c>
      <c r="X577" s="2">
        <v>2.383</v>
      </c>
      <c r="Y577" s="6">
        <f t="shared" si="70"/>
        <v>6.3612824003630442E-2</v>
      </c>
      <c r="AA577">
        <v>189219</v>
      </c>
      <c r="AB577">
        <v>17915</v>
      </c>
      <c r="AC577">
        <v>15582256</v>
      </c>
      <c r="AD577" t="s">
        <v>5</v>
      </c>
      <c r="AE577">
        <v>77</v>
      </c>
      <c r="AF577">
        <v>5</v>
      </c>
      <c r="AH577" t="s">
        <v>2913</v>
      </c>
      <c r="AL577">
        <v>157</v>
      </c>
      <c r="AM577" s="5">
        <f t="shared" si="74"/>
        <v>4.7575757575757578</v>
      </c>
      <c r="AN577" s="4">
        <f t="shared" si="71"/>
        <v>7.2057186786456005E-3</v>
      </c>
      <c r="AO577" s="3"/>
      <c r="AP577">
        <v>0</v>
      </c>
      <c r="AR577" t="s">
        <v>0</v>
      </c>
      <c r="AT577" s="2">
        <v>10.961</v>
      </c>
      <c r="AU577" s="1">
        <f t="shared" si="75"/>
        <v>4.6690692406134993</v>
      </c>
      <c r="AV577" s="1">
        <f t="shared" si="76"/>
        <v>3.5409271341138018</v>
      </c>
      <c r="AW577" s="1">
        <f t="shared" si="77"/>
        <v>2.4127850276141052</v>
      </c>
    </row>
    <row r="578" spans="1:49" x14ac:dyDescent="0.2">
      <c r="A578">
        <v>576</v>
      </c>
      <c r="B578" t="s">
        <v>2912</v>
      </c>
      <c r="C578" t="s">
        <v>2911</v>
      </c>
      <c r="F578" t="s">
        <v>2910</v>
      </c>
      <c r="G578" t="s">
        <v>15</v>
      </c>
      <c r="H578" t="s">
        <v>14</v>
      </c>
      <c r="I578" t="s">
        <v>2909</v>
      </c>
      <c r="J578">
        <v>60027550</v>
      </c>
      <c r="K578" t="s">
        <v>482</v>
      </c>
      <c r="L578" t="s">
        <v>481</v>
      </c>
      <c r="M578" t="s">
        <v>23</v>
      </c>
      <c r="N578">
        <v>1</v>
      </c>
      <c r="O578" t="s">
        <v>2908</v>
      </c>
      <c r="P578">
        <v>56219429900</v>
      </c>
      <c r="Q578">
        <v>60027550</v>
      </c>
      <c r="R578" s="7">
        <v>32509</v>
      </c>
      <c r="S578" s="8">
        <f t="shared" si="72"/>
        <v>1989</v>
      </c>
      <c r="T578" s="8">
        <v>1989</v>
      </c>
      <c r="U578" s="8">
        <f t="shared" si="73"/>
        <v>33</v>
      </c>
      <c r="V578" s="7">
        <v>32629</v>
      </c>
      <c r="W578" t="s">
        <v>360</v>
      </c>
      <c r="X578" s="2">
        <v>1.3720000000000001</v>
      </c>
      <c r="Y578" s="6">
        <f t="shared" ref="Y578:Y641" si="78">(X578-$Z$4)/($Z$3-$Z$4)</f>
        <v>3.662475641333654E-2</v>
      </c>
      <c r="AA578">
        <v>189480</v>
      </c>
      <c r="AB578">
        <v>17366</v>
      </c>
      <c r="AC578">
        <v>15579670</v>
      </c>
      <c r="AD578" t="s">
        <v>5</v>
      </c>
      <c r="AE578">
        <v>37</v>
      </c>
      <c r="AF578">
        <v>5</v>
      </c>
      <c r="AH578" t="s">
        <v>2907</v>
      </c>
      <c r="AI578" t="s">
        <v>2906</v>
      </c>
      <c r="AK578" t="s">
        <v>2905</v>
      </c>
      <c r="AL578">
        <v>86</v>
      </c>
      <c r="AM578" s="5">
        <f t="shared" si="74"/>
        <v>2.606060606060606</v>
      </c>
      <c r="AN578" s="4">
        <f t="shared" ref="AN578:AN641" si="79">(AM578-$AO$4)/($AO$3-$AO$4)</f>
        <v>3.947081569194405E-3</v>
      </c>
      <c r="AO578" s="3"/>
      <c r="AP578">
        <v>0</v>
      </c>
      <c r="AQ578" t="s">
        <v>2904</v>
      </c>
      <c r="AR578" t="s">
        <v>0</v>
      </c>
      <c r="AS578" t="s">
        <v>2903</v>
      </c>
      <c r="AT578" s="2" t="s">
        <v>19</v>
      </c>
      <c r="AU578" s="1">
        <f t="shared" si="75"/>
        <v>2.6821453960093899</v>
      </c>
      <c r="AV578" s="1">
        <f t="shared" si="76"/>
        <v>2.028591899126547</v>
      </c>
      <c r="AW578" s="1">
        <f t="shared" si="77"/>
        <v>1.3750384022437045</v>
      </c>
    </row>
    <row r="579" spans="1:49" x14ac:dyDescent="0.2">
      <c r="A579">
        <v>577</v>
      </c>
      <c r="B579" t="s">
        <v>2902</v>
      </c>
      <c r="C579" t="s">
        <v>2901</v>
      </c>
      <c r="F579" t="s">
        <v>2900</v>
      </c>
      <c r="G579" t="s">
        <v>15</v>
      </c>
      <c r="H579" t="s">
        <v>14</v>
      </c>
      <c r="I579" t="s">
        <v>2899</v>
      </c>
      <c r="J579" t="s">
        <v>2898</v>
      </c>
      <c r="K579" t="s">
        <v>2897</v>
      </c>
      <c r="L579" t="s">
        <v>2896</v>
      </c>
      <c r="M579" t="s">
        <v>225</v>
      </c>
      <c r="N579">
        <v>3</v>
      </c>
      <c r="O579" t="s">
        <v>2895</v>
      </c>
      <c r="P579" t="s">
        <v>2894</v>
      </c>
      <c r="Q579" t="s">
        <v>2893</v>
      </c>
      <c r="R579" s="7">
        <v>32509</v>
      </c>
      <c r="S579" s="8">
        <f t="shared" si="72"/>
        <v>1989</v>
      </c>
      <c r="T579" s="8">
        <v>1989</v>
      </c>
      <c r="U579" s="8">
        <f t="shared" si="73"/>
        <v>33</v>
      </c>
      <c r="V579" s="7">
        <v>32629</v>
      </c>
      <c r="W579" t="s">
        <v>2866</v>
      </c>
      <c r="X579" s="2">
        <v>1.137</v>
      </c>
      <c r="Y579" s="6">
        <f t="shared" si="78"/>
        <v>3.0351565628253384E-2</v>
      </c>
      <c r="AA579">
        <v>189251</v>
      </c>
      <c r="AB579">
        <v>17336</v>
      </c>
      <c r="AD579" t="s">
        <v>5</v>
      </c>
      <c r="AE579">
        <v>25</v>
      </c>
      <c r="AF579">
        <v>3</v>
      </c>
      <c r="AH579" t="s">
        <v>2892</v>
      </c>
      <c r="AI579" t="s">
        <v>2891</v>
      </c>
      <c r="AK579" t="s">
        <v>2890</v>
      </c>
      <c r="AL579">
        <v>14</v>
      </c>
      <c r="AM579" s="5">
        <f t="shared" si="74"/>
        <v>0.42424242424242425</v>
      </c>
      <c r="AN579" s="4">
        <f t="shared" si="79"/>
        <v>6.4254816242699617E-4</v>
      </c>
      <c r="AO579" s="3"/>
      <c r="AP579">
        <v>0</v>
      </c>
      <c r="AR579" t="s">
        <v>0</v>
      </c>
      <c r="AT579" s="2" t="s">
        <v>19</v>
      </c>
      <c r="AU579" s="1">
        <f t="shared" si="75"/>
        <v>2.1438860388505465</v>
      </c>
      <c r="AV579" s="1">
        <f t="shared" si="76"/>
        <v>1.5497056895340189</v>
      </c>
      <c r="AW579" s="1">
        <f t="shared" si="77"/>
        <v>0.95552534021749125</v>
      </c>
    </row>
    <row r="580" spans="1:49" x14ac:dyDescent="0.2">
      <c r="A580">
        <v>578</v>
      </c>
      <c r="B580" t="s">
        <v>2889</v>
      </c>
      <c r="C580" t="s">
        <v>2888</v>
      </c>
      <c r="F580" t="s">
        <v>2887</v>
      </c>
      <c r="G580" t="s">
        <v>15</v>
      </c>
      <c r="H580" t="s">
        <v>14</v>
      </c>
      <c r="I580" t="s">
        <v>2886</v>
      </c>
      <c r="J580">
        <v>60010818</v>
      </c>
      <c r="K580" t="s">
        <v>2885</v>
      </c>
      <c r="L580" t="s">
        <v>2884</v>
      </c>
      <c r="M580" t="s">
        <v>792</v>
      </c>
      <c r="N580">
        <v>2</v>
      </c>
      <c r="O580" t="s">
        <v>2883</v>
      </c>
      <c r="P580" t="s">
        <v>2882</v>
      </c>
      <c r="Q580" t="s">
        <v>2881</v>
      </c>
      <c r="R580" s="7">
        <v>32509</v>
      </c>
      <c r="S580" s="8">
        <f t="shared" si="72"/>
        <v>1989</v>
      </c>
      <c r="T580" s="8">
        <v>1989</v>
      </c>
      <c r="U580" s="8">
        <f t="shared" si="73"/>
        <v>33</v>
      </c>
      <c r="V580" s="7">
        <v>1989</v>
      </c>
      <c r="W580" t="s">
        <v>2469</v>
      </c>
      <c r="X580" s="2">
        <v>0.375</v>
      </c>
      <c r="Y580" s="6">
        <f t="shared" si="78"/>
        <v>1.0010410827260351E-2</v>
      </c>
      <c r="AA580">
        <v>135194</v>
      </c>
      <c r="AB580">
        <v>24918</v>
      </c>
      <c r="AD580" t="s">
        <v>5</v>
      </c>
      <c r="AE580">
        <v>25</v>
      </c>
      <c r="AF580">
        <v>10</v>
      </c>
      <c r="AH580" t="s">
        <v>2880</v>
      </c>
      <c r="AI580" t="s">
        <v>2879</v>
      </c>
      <c r="AJ580" t="s">
        <v>2878</v>
      </c>
      <c r="AK580" t="s">
        <v>2877</v>
      </c>
      <c r="AL580">
        <v>4</v>
      </c>
      <c r="AM580" s="5">
        <f t="shared" si="74"/>
        <v>0.12121212121212122</v>
      </c>
      <c r="AN580" s="4">
        <f t="shared" si="79"/>
        <v>1.8358518926485606E-4</v>
      </c>
      <c r="AO580" s="3"/>
      <c r="AP580">
        <v>0</v>
      </c>
      <c r="AR580" t="s">
        <v>0</v>
      </c>
      <c r="AT580" s="2">
        <v>1.3140000000000001</v>
      </c>
      <c r="AU580" s="1">
        <f t="shared" si="75"/>
        <v>0.70623631358617023</v>
      </c>
      <c r="AV580" s="1">
        <f t="shared" si="76"/>
        <v>0.50969980082626032</v>
      </c>
      <c r="AW580" s="1">
        <f t="shared" si="77"/>
        <v>0.31316328806635046</v>
      </c>
    </row>
    <row r="581" spans="1:49" x14ac:dyDescent="0.2">
      <c r="A581">
        <v>579</v>
      </c>
      <c r="B581" t="s">
        <v>2876</v>
      </c>
      <c r="C581" t="s">
        <v>2875</v>
      </c>
      <c r="F581" t="s">
        <v>2874</v>
      </c>
      <c r="G581" t="s">
        <v>15</v>
      </c>
      <c r="H581" t="s">
        <v>14</v>
      </c>
      <c r="I581" t="s">
        <v>2873</v>
      </c>
      <c r="J581" t="s">
        <v>2872</v>
      </c>
      <c r="K581" t="s">
        <v>2871</v>
      </c>
      <c r="L581" t="s">
        <v>2870</v>
      </c>
      <c r="M581" t="s">
        <v>1008</v>
      </c>
      <c r="N581">
        <v>3</v>
      </c>
      <c r="O581" t="s">
        <v>2869</v>
      </c>
      <c r="P581" t="s">
        <v>2868</v>
      </c>
      <c r="Q581" t="s">
        <v>2867</v>
      </c>
      <c r="R581" s="7">
        <v>32509</v>
      </c>
      <c r="S581" s="8">
        <f t="shared" si="72"/>
        <v>1989</v>
      </c>
      <c r="T581" s="8">
        <v>1989</v>
      </c>
      <c r="U581" s="8">
        <f t="shared" si="73"/>
        <v>33</v>
      </c>
      <c r="V581" s="7">
        <v>32629</v>
      </c>
      <c r="W581" t="s">
        <v>2866</v>
      </c>
      <c r="X581" s="2">
        <v>1.137</v>
      </c>
      <c r="Y581" s="6">
        <f t="shared" si="78"/>
        <v>3.0351565628253384E-2</v>
      </c>
      <c r="AA581">
        <v>189251</v>
      </c>
      <c r="AB581">
        <v>17336</v>
      </c>
      <c r="AD581" t="s">
        <v>5</v>
      </c>
      <c r="AE581">
        <v>25</v>
      </c>
      <c r="AF581">
        <v>3</v>
      </c>
      <c r="AH581" t="s">
        <v>2865</v>
      </c>
      <c r="AI581" t="s">
        <v>2864</v>
      </c>
      <c r="AK581" t="s">
        <v>2863</v>
      </c>
      <c r="AL581">
        <v>3</v>
      </c>
      <c r="AM581" s="5">
        <f t="shared" si="74"/>
        <v>9.0909090909090912E-2</v>
      </c>
      <c r="AN581" s="4">
        <f t="shared" si="79"/>
        <v>1.3768889194864205E-4</v>
      </c>
      <c r="AO581" s="3"/>
      <c r="AP581">
        <v>0</v>
      </c>
      <c r="AR581" t="s">
        <v>0</v>
      </c>
      <c r="AT581" s="2" t="s">
        <v>19</v>
      </c>
      <c r="AU581" s="1">
        <f t="shared" si="75"/>
        <v>2.1287402607361958</v>
      </c>
      <c r="AV581" s="1">
        <f t="shared" si="76"/>
        <v>1.5244627260101011</v>
      </c>
      <c r="AW581" s="1">
        <f t="shared" si="77"/>
        <v>0.92018519128400644</v>
      </c>
    </row>
    <row r="582" spans="1:49" x14ac:dyDescent="0.2">
      <c r="A582">
        <v>580</v>
      </c>
      <c r="B582" t="s">
        <v>2862</v>
      </c>
      <c r="C582" t="s">
        <v>2861</v>
      </c>
      <c r="F582" t="s">
        <v>2860</v>
      </c>
      <c r="G582" t="s">
        <v>15</v>
      </c>
      <c r="H582" t="s">
        <v>14</v>
      </c>
      <c r="I582" t="s">
        <v>2859</v>
      </c>
      <c r="J582">
        <v>60025555</v>
      </c>
      <c r="K582" t="s">
        <v>2757</v>
      </c>
      <c r="L582" t="s">
        <v>1496</v>
      </c>
      <c r="M582" t="s">
        <v>115</v>
      </c>
      <c r="N582">
        <v>3</v>
      </c>
      <c r="O582" t="s">
        <v>2858</v>
      </c>
      <c r="P582" t="s">
        <v>2857</v>
      </c>
      <c r="Q582" t="s">
        <v>2856</v>
      </c>
      <c r="R582" s="7">
        <v>32509</v>
      </c>
      <c r="S582" s="8">
        <f t="shared" si="72"/>
        <v>1989</v>
      </c>
      <c r="T582" s="8">
        <v>1989</v>
      </c>
      <c r="U582" s="8">
        <f t="shared" si="73"/>
        <v>33</v>
      </c>
      <c r="V582" s="7">
        <v>32629</v>
      </c>
      <c r="W582" t="s">
        <v>2827</v>
      </c>
      <c r="X582" s="2">
        <v>0.75800000000000001</v>
      </c>
      <c r="Y582" s="6">
        <f t="shared" si="78"/>
        <v>2.0234377085502256E-2</v>
      </c>
      <c r="AA582">
        <v>224650</v>
      </c>
      <c r="AB582">
        <v>29589</v>
      </c>
      <c r="AD582" t="s">
        <v>5</v>
      </c>
      <c r="AE582">
        <v>26</v>
      </c>
      <c r="AF582">
        <v>3</v>
      </c>
      <c r="AH582" t="s">
        <v>2855</v>
      </c>
      <c r="AI582" t="s">
        <v>2854</v>
      </c>
      <c r="AK582" t="s">
        <v>2853</v>
      </c>
      <c r="AL582">
        <v>21</v>
      </c>
      <c r="AM582" s="5">
        <f t="shared" si="74"/>
        <v>0.63636363636363635</v>
      </c>
      <c r="AN582" s="4">
        <f t="shared" si="79"/>
        <v>9.6382224364049431E-4</v>
      </c>
      <c r="AO582" s="3"/>
      <c r="AP582">
        <v>0</v>
      </c>
      <c r="AR582" t="s">
        <v>0</v>
      </c>
      <c r="AT582" s="2">
        <v>1.282</v>
      </c>
      <c r="AU582" s="1">
        <f t="shared" si="75"/>
        <v>1.4453210632943727</v>
      </c>
      <c r="AV582" s="1">
        <f t="shared" si="76"/>
        <v>1.0599099664571374</v>
      </c>
      <c r="AW582" s="1">
        <f t="shared" si="77"/>
        <v>0.67449886961990224</v>
      </c>
    </row>
    <row r="583" spans="1:49" x14ac:dyDescent="0.2">
      <c r="A583">
        <v>581</v>
      </c>
      <c r="B583" t="s">
        <v>2852</v>
      </c>
      <c r="C583" t="s">
        <v>2851</v>
      </c>
      <c r="F583" t="s">
        <v>2850</v>
      </c>
      <c r="G583" t="s">
        <v>15</v>
      </c>
      <c r="H583" t="s">
        <v>14</v>
      </c>
      <c r="I583" t="s">
        <v>2849</v>
      </c>
      <c r="J583" t="s">
        <v>2848</v>
      </c>
      <c r="K583" t="s">
        <v>2847</v>
      </c>
      <c r="L583" t="s">
        <v>2846</v>
      </c>
      <c r="M583" t="s">
        <v>2845</v>
      </c>
      <c r="N583">
        <v>2</v>
      </c>
      <c r="O583" t="s">
        <v>2844</v>
      </c>
      <c r="P583" t="s">
        <v>2843</v>
      </c>
      <c r="Q583" t="s">
        <v>2842</v>
      </c>
      <c r="R583" s="7">
        <v>32509</v>
      </c>
      <c r="S583" s="8">
        <f t="shared" si="72"/>
        <v>1989</v>
      </c>
      <c r="T583" s="8">
        <v>1989</v>
      </c>
      <c r="U583" s="8">
        <f t="shared" si="73"/>
        <v>33</v>
      </c>
      <c r="V583" s="7">
        <v>32629</v>
      </c>
      <c r="W583" t="s">
        <v>895</v>
      </c>
      <c r="X583" s="2">
        <v>1.6379999999999999</v>
      </c>
      <c r="Y583" s="6">
        <f t="shared" si="78"/>
        <v>4.3725474493473214E-2</v>
      </c>
      <c r="AA583">
        <v>963518</v>
      </c>
      <c r="AB583">
        <v>31560</v>
      </c>
      <c r="AD583" t="s">
        <v>5</v>
      </c>
      <c r="AE583">
        <v>37</v>
      </c>
      <c r="AF583">
        <v>5</v>
      </c>
      <c r="AH583" t="s">
        <v>2841</v>
      </c>
      <c r="AI583" t="s">
        <v>2840</v>
      </c>
      <c r="AK583" t="s">
        <v>2839</v>
      </c>
      <c r="AL583">
        <v>1996</v>
      </c>
      <c r="AM583" s="5">
        <f t="shared" si="74"/>
        <v>60.484848484848484</v>
      </c>
      <c r="AN583" s="4">
        <f t="shared" si="79"/>
        <v>9.1609009443163178E-2</v>
      </c>
      <c r="AO583" s="3"/>
      <c r="AP583">
        <v>0</v>
      </c>
      <c r="AR583" t="s">
        <v>2838</v>
      </c>
      <c r="AT583" s="2" t="s">
        <v>19</v>
      </c>
      <c r="AU583" s="1">
        <f t="shared" si="75"/>
        <v>5.8090534978380202</v>
      </c>
      <c r="AV583" s="1">
        <f t="shared" si="76"/>
        <v>6.7667241968318192</v>
      </c>
      <c r="AW583" s="1">
        <f t="shared" si="77"/>
        <v>7.7243948958256192</v>
      </c>
    </row>
    <row r="584" spans="1:49" x14ac:dyDescent="0.2">
      <c r="A584">
        <v>582</v>
      </c>
      <c r="B584" t="s">
        <v>2837</v>
      </c>
      <c r="C584" t="s">
        <v>2836</v>
      </c>
      <c r="F584" t="s">
        <v>2835</v>
      </c>
      <c r="G584" t="s">
        <v>15</v>
      </c>
      <c r="H584" t="s">
        <v>14</v>
      </c>
      <c r="I584" t="s">
        <v>2834</v>
      </c>
      <c r="J584" t="s">
        <v>2833</v>
      </c>
      <c r="K584" t="s">
        <v>2832</v>
      </c>
      <c r="L584" t="s">
        <v>2831</v>
      </c>
      <c r="M584" t="s">
        <v>1346</v>
      </c>
      <c r="N584">
        <v>3</v>
      </c>
      <c r="O584" t="s">
        <v>2830</v>
      </c>
      <c r="P584" t="s">
        <v>2829</v>
      </c>
      <c r="Q584" t="s">
        <v>2828</v>
      </c>
      <c r="R584" s="7">
        <v>32509</v>
      </c>
      <c r="S584" s="8">
        <f t="shared" si="72"/>
        <v>1989</v>
      </c>
      <c r="T584" s="8">
        <v>1989</v>
      </c>
      <c r="U584" s="8">
        <f t="shared" si="73"/>
        <v>33</v>
      </c>
      <c r="V584" s="7">
        <v>32629</v>
      </c>
      <c r="W584" t="s">
        <v>2827</v>
      </c>
      <c r="X584" s="2">
        <v>0.75800000000000001</v>
      </c>
      <c r="Y584" s="6">
        <f t="shared" si="78"/>
        <v>2.0234377085502256E-2</v>
      </c>
      <c r="AA584">
        <v>224650</v>
      </c>
      <c r="AB584">
        <v>29589</v>
      </c>
      <c r="AD584" t="s">
        <v>5</v>
      </c>
      <c r="AE584">
        <v>26</v>
      </c>
      <c r="AF584">
        <v>3</v>
      </c>
      <c r="AH584" t="s">
        <v>2826</v>
      </c>
      <c r="AI584" t="s">
        <v>2825</v>
      </c>
      <c r="AK584" t="s">
        <v>2824</v>
      </c>
      <c r="AL584">
        <v>25</v>
      </c>
      <c r="AM584" s="5">
        <f t="shared" si="74"/>
        <v>0.75757575757575757</v>
      </c>
      <c r="AN584" s="4">
        <f t="shared" si="79"/>
        <v>1.1474074329053503E-3</v>
      </c>
      <c r="AO584" s="3"/>
      <c r="AP584">
        <v>0</v>
      </c>
      <c r="AR584" t="s">
        <v>0</v>
      </c>
      <c r="AT584" s="2">
        <v>1.282</v>
      </c>
      <c r="AU584" s="1">
        <f t="shared" si="75"/>
        <v>1.4508286189723183</v>
      </c>
      <c r="AV584" s="1">
        <f t="shared" si="76"/>
        <v>1.0690892259203804</v>
      </c>
      <c r="AW584" s="1">
        <f t="shared" si="77"/>
        <v>0.68734983286844209</v>
      </c>
    </row>
    <row r="585" spans="1:49" x14ac:dyDescent="0.2">
      <c r="A585">
        <v>583</v>
      </c>
      <c r="B585" t="s">
        <v>2823</v>
      </c>
      <c r="C585" t="s">
        <v>2822</v>
      </c>
      <c r="F585" t="s">
        <v>2821</v>
      </c>
      <c r="G585" t="s">
        <v>15</v>
      </c>
      <c r="H585" t="s">
        <v>14</v>
      </c>
      <c r="I585" t="s">
        <v>2820</v>
      </c>
      <c r="J585" t="s">
        <v>2819</v>
      </c>
      <c r="K585" t="s">
        <v>2818</v>
      </c>
      <c r="L585" t="s">
        <v>2817</v>
      </c>
      <c r="M585" t="s">
        <v>2816</v>
      </c>
      <c r="N585">
        <v>3</v>
      </c>
      <c r="O585" t="s">
        <v>2815</v>
      </c>
      <c r="P585" t="s">
        <v>2814</v>
      </c>
      <c r="Q585" t="s">
        <v>2813</v>
      </c>
      <c r="R585" s="7">
        <v>32509</v>
      </c>
      <c r="S585" s="8">
        <f t="shared" si="72"/>
        <v>1989</v>
      </c>
      <c r="T585" s="8">
        <v>1989</v>
      </c>
      <c r="U585" s="8">
        <f t="shared" si="73"/>
        <v>33</v>
      </c>
      <c r="V585" s="7">
        <v>32629</v>
      </c>
      <c r="W585" t="s">
        <v>538</v>
      </c>
      <c r="X585" s="2">
        <v>1.774</v>
      </c>
      <c r="Y585" s="6">
        <f t="shared" si="78"/>
        <v>4.7355916820159633E-2</v>
      </c>
      <c r="AA585">
        <v>295515</v>
      </c>
      <c r="AB585">
        <v>29066</v>
      </c>
      <c r="AC585">
        <v>17414326</v>
      </c>
      <c r="AD585" t="s">
        <v>5</v>
      </c>
      <c r="AE585">
        <v>29</v>
      </c>
      <c r="AF585">
        <v>5</v>
      </c>
      <c r="AH585" t="s">
        <v>2812</v>
      </c>
      <c r="AI585" t="s">
        <v>2811</v>
      </c>
      <c r="AK585" t="s">
        <v>2810</v>
      </c>
      <c r="AL585">
        <v>37</v>
      </c>
      <c r="AM585" s="5">
        <f t="shared" si="74"/>
        <v>1.1212121212121211</v>
      </c>
      <c r="AN585" s="4">
        <f t="shared" si="79"/>
        <v>1.6981630006999184E-3</v>
      </c>
      <c r="AO585" s="3"/>
      <c r="AP585">
        <v>0</v>
      </c>
      <c r="AR585" t="s">
        <v>0</v>
      </c>
      <c r="AT585" s="2">
        <v>3.1789999999999998</v>
      </c>
      <c r="AU585" s="1">
        <f t="shared" si="75"/>
        <v>3.3658590674321718</v>
      </c>
      <c r="AV585" s="1">
        <f t="shared" si="76"/>
        <v>2.4527039910429775</v>
      </c>
      <c r="AW585" s="1">
        <f t="shared" si="77"/>
        <v>1.5395489146537833</v>
      </c>
    </row>
    <row r="586" spans="1:49" x14ac:dyDescent="0.2">
      <c r="A586">
        <v>584</v>
      </c>
      <c r="B586" t="s">
        <v>2809</v>
      </c>
      <c r="C586" t="s">
        <v>2808</v>
      </c>
      <c r="F586" t="s">
        <v>2807</v>
      </c>
      <c r="G586" t="s">
        <v>15</v>
      </c>
      <c r="H586" t="s">
        <v>14</v>
      </c>
      <c r="I586" t="s">
        <v>2806</v>
      </c>
      <c r="J586">
        <v>60008435</v>
      </c>
      <c r="K586" t="s">
        <v>2805</v>
      </c>
      <c r="L586" t="s">
        <v>2804</v>
      </c>
      <c r="M586" t="s">
        <v>115</v>
      </c>
      <c r="N586">
        <v>3</v>
      </c>
      <c r="O586" t="s">
        <v>2803</v>
      </c>
      <c r="P586" t="s">
        <v>2802</v>
      </c>
      <c r="Q586" t="s">
        <v>2801</v>
      </c>
      <c r="R586" s="7">
        <v>32509</v>
      </c>
      <c r="S586" s="8">
        <f t="shared" si="72"/>
        <v>1989</v>
      </c>
      <c r="T586" s="8">
        <v>1989</v>
      </c>
      <c r="U586" s="8">
        <f t="shared" si="73"/>
        <v>33</v>
      </c>
      <c r="V586" s="7">
        <v>32629</v>
      </c>
      <c r="W586" t="s">
        <v>2800</v>
      </c>
      <c r="X586" s="2">
        <v>1.3460000000000001</v>
      </c>
      <c r="Y586" s="6">
        <f t="shared" si="78"/>
        <v>3.593070126264649E-2</v>
      </c>
      <c r="AA586">
        <v>7338724</v>
      </c>
      <c r="AB586">
        <v>12178</v>
      </c>
      <c r="AC586">
        <v>15582213</v>
      </c>
      <c r="AD586" t="s">
        <v>5</v>
      </c>
      <c r="AE586">
        <v>7</v>
      </c>
      <c r="AF586">
        <v>5</v>
      </c>
      <c r="AG586">
        <v>19110</v>
      </c>
      <c r="AH586" t="s">
        <v>2799</v>
      </c>
      <c r="AI586" t="s">
        <v>2798</v>
      </c>
      <c r="AK586" t="s">
        <v>2797</v>
      </c>
      <c r="AL586">
        <v>25</v>
      </c>
      <c r="AM586" s="5">
        <f t="shared" si="74"/>
        <v>0.75757575757575757</v>
      </c>
      <c r="AN586" s="4">
        <f t="shared" si="79"/>
        <v>1.1474074329053503E-3</v>
      </c>
      <c r="AO586" s="3"/>
      <c r="AP586">
        <v>0</v>
      </c>
      <c r="AQ586" t="s">
        <v>427</v>
      </c>
      <c r="AR586" t="s">
        <v>0</v>
      </c>
      <c r="AS586" t="s">
        <v>426</v>
      </c>
      <c r="AT586" s="2">
        <v>4.1420000000000003</v>
      </c>
      <c r="AU586" s="1">
        <f t="shared" si="75"/>
        <v>2.5495713113724148</v>
      </c>
      <c r="AV586" s="1">
        <f t="shared" si="76"/>
        <v>1.8539054347775923</v>
      </c>
      <c r="AW586" s="1">
        <f t="shared" si="77"/>
        <v>1.1582395581827694</v>
      </c>
    </row>
    <row r="587" spans="1:49" x14ac:dyDescent="0.2">
      <c r="A587">
        <v>585</v>
      </c>
      <c r="B587" t="s">
        <v>2796</v>
      </c>
      <c r="C587" t="s">
        <v>2795</v>
      </c>
      <c r="F587" t="s">
        <v>2794</v>
      </c>
      <c r="G587" t="s">
        <v>15</v>
      </c>
      <c r="H587" t="s">
        <v>14</v>
      </c>
      <c r="I587" t="s">
        <v>2793</v>
      </c>
      <c r="N587">
        <v>1</v>
      </c>
      <c r="O587" t="s">
        <v>2792</v>
      </c>
      <c r="P587">
        <v>57197387591</v>
      </c>
      <c r="R587" s="7">
        <v>32509</v>
      </c>
      <c r="S587" s="8">
        <f t="shared" si="72"/>
        <v>1989</v>
      </c>
      <c r="T587" s="8">
        <v>1989</v>
      </c>
      <c r="U587" s="8">
        <f t="shared" si="73"/>
        <v>33</v>
      </c>
      <c r="V587" s="7">
        <v>32629</v>
      </c>
      <c r="W587" t="s">
        <v>2791</v>
      </c>
      <c r="X587" s="2">
        <v>0.14899999999999999</v>
      </c>
      <c r="Y587" s="6">
        <f t="shared" si="78"/>
        <v>3.977469902031446E-3</v>
      </c>
      <c r="AA587">
        <v>281425</v>
      </c>
      <c r="AB587">
        <v>21100416801</v>
      </c>
      <c r="AC587">
        <v>15593584</v>
      </c>
      <c r="AD587" t="s">
        <v>5</v>
      </c>
      <c r="AE587">
        <v>101</v>
      </c>
      <c r="AF587">
        <v>3</v>
      </c>
      <c r="AH587" t="s">
        <v>2790</v>
      </c>
      <c r="AI587" t="s">
        <v>2789</v>
      </c>
      <c r="AK587" t="s">
        <v>2788</v>
      </c>
      <c r="AL587">
        <v>1</v>
      </c>
      <c r="AM587" s="5">
        <f t="shared" si="74"/>
        <v>3.0303030303030304E-2</v>
      </c>
      <c r="AN587" s="4">
        <f t="shared" si="79"/>
        <v>4.5896297316214016E-5</v>
      </c>
      <c r="AO587" s="3"/>
      <c r="AP587">
        <v>0</v>
      </c>
      <c r="AR587" t="s">
        <v>0</v>
      </c>
      <c r="AT587" s="2">
        <v>0.24299999999999999</v>
      </c>
      <c r="AU587" s="1">
        <f t="shared" si="75"/>
        <v>0.27979978206168765</v>
      </c>
      <c r="AV587" s="1">
        <f t="shared" si="76"/>
        <v>0.20116830996738302</v>
      </c>
      <c r="AW587" s="1">
        <f t="shared" si="77"/>
        <v>0.12253683787307834</v>
      </c>
    </row>
    <row r="588" spans="1:49" x14ac:dyDescent="0.2">
      <c r="A588">
        <v>586</v>
      </c>
      <c r="B588" t="s">
        <v>2787</v>
      </c>
      <c r="C588" t="s">
        <v>2786</v>
      </c>
      <c r="F588" t="s">
        <v>2785</v>
      </c>
      <c r="G588" t="s">
        <v>15</v>
      </c>
      <c r="H588" t="s">
        <v>14</v>
      </c>
      <c r="I588" t="s">
        <v>2784</v>
      </c>
      <c r="J588">
        <v>60009455</v>
      </c>
      <c r="K588" t="s">
        <v>2783</v>
      </c>
      <c r="L588" t="s">
        <v>2782</v>
      </c>
      <c r="M588" t="s">
        <v>2781</v>
      </c>
      <c r="N588">
        <v>2</v>
      </c>
      <c r="O588" t="s">
        <v>2780</v>
      </c>
      <c r="P588" t="s">
        <v>2779</v>
      </c>
      <c r="Q588" t="s">
        <v>2778</v>
      </c>
      <c r="R588" s="7">
        <v>32509</v>
      </c>
      <c r="S588" s="8">
        <f t="shared" si="72"/>
        <v>1989</v>
      </c>
      <c r="T588" s="8">
        <v>1989</v>
      </c>
      <c r="U588" s="8">
        <f t="shared" si="73"/>
        <v>33</v>
      </c>
      <c r="V588" s="7">
        <v>32629</v>
      </c>
      <c r="W588" t="s">
        <v>943</v>
      </c>
      <c r="X588" s="2">
        <v>0.30399999999999999</v>
      </c>
      <c r="Y588" s="6">
        <f t="shared" si="78"/>
        <v>8.115106377299057E-3</v>
      </c>
      <c r="AA588">
        <v>8952477</v>
      </c>
      <c r="AB588">
        <v>12250</v>
      </c>
      <c r="AC588">
        <v>10982760</v>
      </c>
      <c r="AD588" t="s">
        <v>5</v>
      </c>
      <c r="AE588">
        <v>2</v>
      </c>
      <c r="AF588">
        <v>5</v>
      </c>
      <c r="AH588" t="s">
        <v>2777</v>
      </c>
      <c r="AI588" t="s">
        <v>2776</v>
      </c>
      <c r="AJ588" t="s">
        <v>2775</v>
      </c>
      <c r="AK588" t="s">
        <v>2774</v>
      </c>
      <c r="AL588">
        <v>0</v>
      </c>
      <c r="AM588" s="5">
        <f t="shared" si="74"/>
        <v>0</v>
      </c>
      <c r="AN588" s="4">
        <f t="shared" si="79"/>
        <v>0</v>
      </c>
      <c r="AO588" s="3"/>
      <c r="AP588">
        <v>0</v>
      </c>
      <c r="AR588" t="s">
        <v>0</v>
      </c>
      <c r="AT588" s="2" t="s">
        <v>19</v>
      </c>
      <c r="AU588" s="1">
        <f t="shared" si="75"/>
        <v>0.56805744641093392</v>
      </c>
      <c r="AV588" s="1">
        <f t="shared" si="76"/>
        <v>0.40575531886495286</v>
      </c>
      <c r="AW588" s="1">
        <f t="shared" si="77"/>
        <v>0.24345319131897172</v>
      </c>
    </row>
    <row r="589" spans="1:49" x14ac:dyDescent="0.2">
      <c r="A589">
        <v>587</v>
      </c>
      <c r="B589" t="s">
        <v>2773</v>
      </c>
      <c r="C589" t="s">
        <v>2772</v>
      </c>
      <c r="E589">
        <v>2495276</v>
      </c>
      <c r="F589" t="s">
        <v>2771</v>
      </c>
      <c r="G589" t="s">
        <v>15</v>
      </c>
      <c r="H589" t="s">
        <v>14</v>
      </c>
      <c r="I589" t="s">
        <v>2770</v>
      </c>
      <c r="J589">
        <v>60030398</v>
      </c>
      <c r="K589" t="s">
        <v>2769</v>
      </c>
      <c r="L589" t="s">
        <v>782</v>
      </c>
      <c r="M589" t="s">
        <v>23</v>
      </c>
      <c r="N589">
        <v>2</v>
      </c>
      <c r="O589" t="s">
        <v>2768</v>
      </c>
      <c r="P589" t="s">
        <v>2767</v>
      </c>
      <c r="Q589" t="s">
        <v>2766</v>
      </c>
      <c r="R589" s="7">
        <v>32509</v>
      </c>
      <c r="S589" s="8">
        <f t="shared" si="72"/>
        <v>1989</v>
      </c>
      <c r="T589" s="8">
        <v>1989</v>
      </c>
      <c r="U589" s="8">
        <f t="shared" si="73"/>
        <v>33</v>
      </c>
      <c r="V589" s="7">
        <v>32599</v>
      </c>
      <c r="W589" t="s">
        <v>2765</v>
      </c>
      <c r="X589" s="2" t="s">
        <v>19</v>
      </c>
      <c r="Y589" s="6" t="e">
        <f t="shared" si="78"/>
        <v>#VALUE!</v>
      </c>
      <c r="AA589">
        <v>219193</v>
      </c>
      <c r="AB589">
        <v>20220</v>
      </c>
      <c r="AD589" t="s">
        <v>5</v>
      </c>
      <c r="AE589">
        <v>171</v>
      </c>
      <c r="AF589">
        <v>4</v>
      </c>
      <c r="AH589" t="s">
        <v>2764</v>
      </c>
      <c r="AI589" t="s">
        <v>2763</v>
      </c>
      <c r="AK589" t="s">
        <v>2762</v>
      </c>
      <c r="AL589">
        <v>1</v>
      </c>
      <c r="AM589" s="5">
        <f t="shared" si="74"/>
        <v>3.0303030303030304E-2</v>
      </c>
      <c r="AN589" s="4">
        <f t="shared" si="79"/>
        <v>4.5896297316214016E-5</v>
      </c>
      <c r="AO589" s="3"/>
      <c r="AP589">
        <v>1</v>
      </c>
      <c r="AR589" t="s">
        <v>0</v>
      </c>
      <c r="AT589" s="2">
        <v>3.49</v>
      </c>
      <c r="AU589" s="1" t="e">
        <f t="shared" si="75"/>
        <v>#VALUE!</v>
      </c>
      <c r="AV589" s="1" t="e">
        <f t="shared" si="76"/>
        <v>#VALUE!</v>
      </c>
      <c r="AW589" s="1" t="e">
        <f t="shared" si="77"/>
        <v>#VALUE!</v>
      </c>
    </row>
    <row r="590" spans="1:49" x14ac:dyDescent="0.2">
      <c r="A590">
        <v>588</v>
      </c>
      <c r="B590" t="s">
        <v>2761</v>
      </c>
      <c r="C590" t="s">
        <v>2760</v>
      </c>
      <c r="F590" t="s">
        <v>2759</v>
      </c>
      <c r="G590" t="s">
        <v>15</v>
      </c>
      <c r="H590" t="s">
        <v>14</v>
      </c>
      <c r="I590" t="s">
        <v>2758</v>
      </c>
      <c r="J590">
        <v>60025555</v>
      </c>
      <c r="K590" t="s">
        <v>2757</v>
      </c>
      <c r="L590" t="s">
        <v>1496</v>
      </c>
      <c r="M590" t="s">
        <v>115</v>
      </c>
      <c r="N590">
        <v>1</v>
      </c>
      <c r="O590" t="s">
        <v>2756</v>
      </c>
      <c r="P590">
        <v>7102487623</v>
      </c>
      <c r="Q590">
        <v>60025555</v>
      </c>
      <c r="R590" s="7">
        <v>32509</v>
      </c>
      <c r="S590" s="8">
        <f t="shared" si="72"/>
        <v>1989</v>
      </c>
      <c r="T590" s="8">
        <v>1989</v>
      </c>
      <c r="U590" s="8">
        <f t="shared" si="73"/>
        <v>33</v>
      </c>
      <c r="V590" s="7">
        <v>32599</v>
      </c>
      <c r="W590" t="s">
        <v>2247</v>
      </c>
      <c r="X590" s="2">
        <v>0.111</v>
      </c>
      <c r="Y590" s="6">
        <f t="shared" si="78"/>
        <v>2.9630816048690639E-3</v>
      </c>
      <c r="AA590">
        <v>87566621</v>
      </c>
      <c r="AB590">
        <v>24890</v>
      </c>
      <c r="AC590">
        <v>15206424</v>
      </c>
      <c r="AD590" t="s">
        <v>5</v>
      </c>
      <c r="AE590">
        <v>72</v>
      </c>
      <c r="AF590">
        <v>4</v>
      </c>
      <c r="AH590" t="s">
        <v>2755</v>
      </c>
      <c r="AI590" t="s">
        <v>2754</v>
      </c>
      <c r="AK590" t="s">
        <v>2753</v>
      </c>
      <c r="AL590">
        <v>1</v>
      </c>
      <c r="AM590" s="5">
        <f t="shared" si="74"/>
        <v>3.0303030303030304E-2</v>
      </c>
      <c r="AN590" s="4">
        <f t="shared" si="79"/>
        <v>4.5896297316214016E-5</v>
      </c>
      <c r="AO590" s="3"/>
      <c r="AP590">
        <v>0</v>
      </c>
      <c r="AR590" t="s">
        <v>0</v>
      </c>
      <c r="AT590" s="2" t="s">
        <v>19</v>
      </c>
      <c r="AU590" s="1">
        <f t="shared" si="75"/>
        <v>0.20879260126032087</v>
      </c>
      <c r="AV590" s="1">
        <f t="shared" si="76"/>
        <v>0.1504488951092639</v>
      </c>
      <c r="AW590" s="1">
        <f t="shared" si="77"/>
        <v>9.2105188958206893E-2</v>
      </c>
    </row>
    <row r="591" spans="1:49" x14ac:dyDescent="0.2">
      <c r="A591">
        <v>589</v>
      </c>
      <c r="B591" t="s">
        <v>2752</v>
      </c>
      <c r="C591" t="s">
        <v>2751</v>
      </c>
      <c r="F591" t="s">
        <v>2750</v>
      </c>
      <c r="G591" t="s">
        <v>15</v>
      </c>
      <c r="H591" t="s">
        <v>14</v>
      </c>
      <c r="I591" t="s">
        <v>2749</v>
      </c>
      <c r="J591">
        <v>60031701</v>
      </c>
      <c r="K591" t="s">
        <v>2748</v>
      </c>
      <c r="L591" t="s">
        <v>2747</v>
      </c>
      <c r="M591" t="s">
        <v>115</v>
      </c>
      <c r="N591">
        <v>1</v>
      </c>
      <c r="O591" t="s">
        <v>2746</v>
      </c>
      <c r="P591">
        <v>7404437743</v>
      </c>
      <c r="Q591">
        <v>60031701</v>
      </c>
      <c r="R591" s="7">
        <v>32509</v>
      </c>
      <c r="S591" s="8">
        <f t="shared" si="72"/>
        <v>1989</v>
      </c>
      <c r="T591" s="8">
        <v>1989</v>
      </c>
      <c r="U591" s="8">
        <f t="shared" si="73"/>
        <v>33</v>
      </c>
      <c r="V591" s="7">
        <v>32599</v>
      </c>
      <c r="W591" t="s">
        <v>2592</v>
      </c>
      <c r="X591" s="2">
        <v>0.82</v>
      </c>
      <c r="Y591" s="6">
        <f t="shared" si="78"/>
        <v>2.1889431675609299E-2</v>
      </c>
      <c r="AA591">
        <v>189456</v>
      </c>
      <c r="AB591">
        <v>15361</v>
      </c>
      <c r="AC591">
        <v>15579662</v>
      </c>
      <c r="AD591" t="s">
        <v>5</v>
      </c>
      <c r="AE591">
        <v>38</v>
      </c>
      <c r="AF591">
        <v>2</v>
      </c>
      <c r="AH591" t="s">
        <v>2745</v>
      </c>
      <c r="AI591" t="s">
        <v>2744</v>
      </c>
      <c r="AK591" t="s">
        <v>2743</v>
      </c>
      <c r="AL591">
        <v>1</v>
      </c>
      <c r="AM591" s="5">
        <f t="shared" si="74"/>
        <v>3.0303030303030304E-2</v>
      </c>
      <c r="AN591" s="4">
        <f t="shared" si="79"/>
        <v>4.5896297316214016E-5</v>
      </c>
      <c r="AO591" s="3"/>
      <c r="AP591">
        <v>0</v>
      </c>
      <c r="AR591" t="s">
        <v>0</v>
      </c>
      <c r="AT591" s="2" t="s">
        <v>19</v>
      </c>
      <c r="AU591" s="1">
        <f t="shared" si="75"/>
        <v>1.5336371062121372</v>
      </c>
      <c r="AV591" s="1">
        <f t="shared" si="76"/>
        <v>1.0967663986462757</v>
      </c>
      <c r="AW591" s="1">
        <f t="shared" si="77"/>
        <v>0.6598956910804139</v>
      </c>
    </row>
    <row r="592" spans="1:49" x14ac:dyDescent="0.2">
      <c r="A592">
        <v>590</v>
      </c>
      <c r="B592" t="s">
        <v>2742</v>
      </c>
      <c r="C592" t="s">
        <v>2741</v>
      </c>
      <c r="F592" t="s">
        <v>2740</v>
      </c>
      <c r="G592" t="s">
        <v>15</v>
      </c>
      <c r="H592" t="s">
        <v>14</v>
      </c>
      <c r="I592" t="s">
        <v>2739</v>
      </c>
      <c r="J592">
        <v>60072501</v>
      </c>
      <c r="K592" t="s">
        <v>2738</v>
      </c>
      <c r="L592" t="s">
        <v>2737</v>
      </c>
      <c r="M592" t="s">
        <v>259</v>
      </c>
      <c r="N592">
        <v>1</v>
      </c>
      <c r="O592" t="s">
        <v>2736</v>
      </c>
      <c r="P592">
        <v>7003566978</v>
      </c>
      <c r="Q592">
        <v>60072501</v>
      </c>
      <c r="R592" s="7">
        <v>32509</v>
      </c>
      <c r="S592" s="8">
        <f t="shared" si="72"/>
        <v>1989</v>
      </c>
      <c r="T592" s="8">
        <v>1989</v>
      </c>
      <c r="U592" s="8">
        <f t="shared" si="73"/>
        <v>33</v>
      </c>
      <c r="V592" s="7">
        <v>32599</v>
      </c>
      <c r="W592" t="s">
        <v>2592</v>
      </c>
      <c r="X592" s="2">
        <v>0.82</v>
      </c>
      <c r="Y592" s="6">
        <f t="shared" si="78"/>
        <v>2.1889431675609299E-2</v>
      </c>
      <c r="AA592">
        <v>189456</v>
      </c>
      <c r="AB592">
        <v>15361</v>
      </c>
      <c r="AC592">
        <v>15579662</v>
      </c>
      <c r="AD592" t="s">
        <v>5</v>
      </c>
      <c r="AE592">
        <v>38</v>
      </c>
      <c r="AF592">
        <v>2</v>
      </c>
      <c r="AH592" t="s">
        <v>2735</v>
      </c>
      <c r="AI592" t="s">
        <v>2734</v>
      </c>
      <c r="AK592" t="s">
        <v>2733</v>
      </c>
      <c r="AL592">
        <v>10</v>
      </c>
      <c r="AM592" s="5">
        <f t="shared" si="74"/>
        <v>0.30303030303030304</v>
      </c>
      <c r="AN592" s="4">
        <f t="shared" si="79"/>
        <v>4.5896297316214016E-4</v>
      </c>
      <c r="AO592" s="3"/>
      <c r="AP592">
        <v>0</v>
      </c>
      <c r="AR592" t="s">
        <v>0</v>
      </c>
      <c r="AT592" s="2" t="s">
        <v>19</v>
      </c>
      <c r="AU592" s="1">
        <f t="shared" si="75"/>
        <v>1.5460291064875149</v>
      </c>
      <c r="AV592" s="1">
        <f t="shared" si="76"/>
        <v>1.117419732438572</v>
      </c>
      <c r="AW592" s="1">
        <f t="shared" si="77"/>
        <v>0.68881035838962879</v>
      </c>
    </row>
    <row r="593" spans="1:49" x14ac:dyDescent="0.2">
      <c r="A593">
        <v>591</v>
      </c>
      <c r="B593" t="s">
        <v>2732</v>
      </c>
      <c r="C593" t="s">
        <v>2731</v>
      </c>
      <c r="F593" t="s">
        <v>2730</v>
      </c>
      <c r="G593" t="s">
        <v>15</v>
      </c>
      <c r="H593" t="s">
        <v>14</v>
      </c>
      <c r="I593" t="s">
        <v>2729</v>
      </c>
      <c r="J593" t="s">
        <v>2728</v>
      </c>
      <c r="K593" t="s">
        <v>2727</v>
      </c>
      <c r="L593" t="s">
        <v>2726</v>
      </c>
      <c r="M593" t="s">
        <v>554</v>
      </c>
      <c r="N593">
        <v>2</v>
      </c>
      <c r="O593" t="s">
        <v>2725</v>
      </c>
      <c r="P593" t="s">
        <v>2724</v>
      </c>
      <c r="Q593" t="s">
        <v>2723</v>
      </c>
      <c r="R593" s="7">
        <v>32509</v>
      </c>
      <c r="S593" s="8">
        <f t="shared" si="72"/>
        <v>1989</v>
      </c>
      <c r="T593" s="8">
        <v>1989</v>
      </c>
      <c r="U593" s="8">
        <f t="shared" si="73"/>
        <v>33</v>
      </c>
      <c r="V593" s="7">
        <v>32599</v>
      </c>
      <c r="W593" t="s">
        <v>2592</v>
      </c>
      <c r="X593" s="2">
        <v>0.82</v>
      </c>
      <c r="Y593" s="6">
        <f t="shared" si="78"/>
        <v>2.1889431675609299E-2</v>
      </c>
      <c r="AA593">
        <v>189456</v>
      </c>
      <c r="AB593">
        <v>15361</v>
      </c>
      <c r="AC593">
        <v>15579662</v>
      </c>
      <c r="AD593" t="s">
        <v>5</v>
      </c>
      <c r="AE593">
        <v>38</v>
      </c>
      <c r="AF593">
        <v>2</v>
      </c>
      <c r="AH593" t="s">
        <v>2722</v>
      </c>
      <c r="AI593" t="s">
        <v>2721</v>
      </c>
      <c r="AK593" t="s">
        <v>2720</v>
      </c>
      <c r="AL593">
        <v>0</v>
      </c>
      <c r="AM593" s="5">
        <f t="shared" si="74"/>
        <v>0</v>
      </c>
      <c r="AN593" s="4">
        <f t="shared" si="79"/>
        <v>0</v>
      </c>
      <c r="AO593" s="3"/>
      <c r="AP593">
        <v>0</v>
      </c>
      <c r="AR593" t="s">
        <v>0</v>
      </c>
      <c r="AT593" s="2" t="s">
        <v>19</v>
      </c>
      <c r="AU593" s="1">
        <f t="shared" si="75"/>
        <v>1.5322602172926507</v>
      </c>
      <c r="AV593" s="1">
        <f t="shared" si="76"/>
        <v>1.0944715837804648</v>
      </c>
      <c r="AW593" s="1">
        <f t="shared" si="77"/>
        <v>0.65668295026827894</v>
      </c>
    </row>
    <row r="594" spans="1:49" x14ac:dyDescent="0.2">
      <c r="A594">
        <v>592</v>
      </c>
      <c r="B594" t="s">
        <v>2719</v>
      </c>
      <c r="C594" t="s">
        <v>2718</v>
      </c>
      <c r="F594" t="s">
        <v>2717</v>
      </c>
      <c r="G594" t="s">
        <v>15</v>
      </c>
      <c r="H594" t="s">
        <v>14</v>
      </c>
      <c r="I594" t="s">
        <v>1756</v>
      </c>
      <c r="J594">
        <v>60009982</v>
      </c>
      <c r="K594" t="s">
        <v>325</v>
      </c>
      <c r="L594" t="s">
        <v>324</v>
      </c>
      <c r="M594" t="s">
        <v>23</v>
      </c>
      <c r="N594">
        <v>1</v>
      </c>
      <c r="O594" t="s">
        <v>1755</v>
      </c>
      <c r="P594">
        <v>35586046100</v>
      </c>
      <c r="Q594">
        <v>60009982</v>
      </c>
      <c r="R594" s="7">
        <v>32509</v>
      </c>
      <c r="S594" s="8">
        <f t="shared" si="72"/>
        <v>1989</v>
      </c>
      <c r="T594" s="8">
        <v>1989</v>
      </c>
      <c r="U594" s="8">
        <f t="shared" si="73"/>
        <v>33</v>
      </c>
      <c r="V594" s="7">
        <v>32599</v>
      </c>
      <c r="W594" t="s">
        <v>360</v>
      </c>
      <c r="X594" s="2">
        <v>1.3720000000000001</v>
      </c>
      <c r="Y594" s="6">
        <f t="shared" si="78"/>
        <v>3.662475641333654E-2</v>
      </c>
      <c r="AA594">
        <v>189480</v>
      </c>
      <c r="AB594">
        <v>17366</v>
      </c>
      <c r="AC594">
        <v>15579670</v>
      </c>
      <c r="AD594" t="s">
        <v>5</v>
      </c>
      <c r="AE594">
        <v>37</v>
      </c>
      <c r="AF594">
        <v>4</v>
      </c>
      <c r="AH594" t="s">
        <v>2716</v>
      </c>
      <c r="AI594" t="s">
        <v>2715</v>
      </c>
      <c r="AK594" t="s">
        <v>2714</v>
      </c>
      <c r="AL594">
        <v>5</v>
      </c>
      <c r="AM594" s="5">
        <f t="shared" si="74"/>
        <v>0.15151515151515152</v>
      </c>
      <c r="AN594" s="4">
        <f t="shared" si="79"/>
        <v>2.2948148658107008E-4</v>
      </c>
      <c r="AO594" s="3"/>
      <c r="AP594">
        <v>0</v>
      </c>
      <c r="AR594" t="s">
        <v>2713</v>
      </c>
      <c r="AS594" t="s">
        <v>325</v>
      </c>
      <c r="AT594" s="2" t="s">
        <v>19</v>
      </c>
      <c r="AU594" s="1">
        <f t="shared" si="75"/>
        <v>2.5706173935309899</v>
      </c>
      <c r="AV594" s="1">
        <f t="shared" si="76"/>
        <v>1.8427118949958805</v>
      </c>
      <c r="AW594" s="1">
        <f t="shared" si="77"/>
        <v>1.1148063964607711</v>
      </c>
    </row>
    <row r="595" spans="1:49" x14ac:dyDescent="0.2">
      <c r="A595">
        <v>593</v>
      </c>
      <c r="B595" t="s">
        <v>2712</v>
      </c>
      <c r="C595" t="s">
        <v>2711</v>
      </c>
      <c r="F595" t="s">
        <v>2710</v>
      </c>
      <c r="G595" t="s">
        <v>15</v>
      </c>
      <c r="H595" t="s">
        <v>14</v>
      </c>
      <c r="I595" t="s">
        <v>2709</v>
      </c>
      <c r="J595">
        <v>60003500</v>
      </c>
      <c r="K595" t="s">
        <v>2708</v>
      </c>
      <c r="L595" t="s">
        <v>2707</v>
      </c>
      <c r="M595" t="s">
        <v>23</v>
      </c>
      <c r="N595">
        <v>3</v>
      </c>
      <c r="O595" t="s">
        <v>2706</v>
      </c>
      <c r="P595" t="s">
        <v>2705</v>
      </c>
      <c r="Q595" t="s">
        <v>2704</v>
      </c>
      <c r="R595" s="7">
        <v>32509</v>
      </c>
      <c r="S595" s="8">
        <f t="shared" si="72"/>
        <v>1989</v>
      </c>
      <c r="T595" s="8">
        <v>1989</v>
      </c>
      <c r="U595" s="8">
        <f t="shared" si="73"/>
        <v>33</v>
      </c>
      <c r="V595" s="7">
        <v>32599</v>
      </c>
      <c r="W595" t="s">
        <v>360</v>
      </c>
      <c r="X595" s="2">
        <v>1.3720000000000001</v>
      </c>
      <c r="Y595" s="6">
        <f t="shared" si="78"/>
        <v>3.662475641333654E-2</v>
      </c>
      <c r="AA595">
        <v>189480</v>
      </c>
      <c r="AB595">
        <v>17366</v>
      </c>
      <c r="AC595">
        <v>15579670</v>
      </c>
      <c r="AD595" t="s">
        <v>5</v>
      </c>
      <c r="AE595">
        <v>37</v>
      </c>
      <c r="AF595">
        <v>4</v>
      </c>
      <c r="AH595" t="s">
        <v>2703</v>
      </c>
      <c r="AI595" t="s">
        <v>2702</v>
      </c>
      <c r="AK595" t="s">
        <v>2701</v>
      </c>
      <c r="AL595">
        <v>40</v>
      </c>
      <c r="AM595" s="5">
        <f t="shared" si="74"/>
        <v>1.2121212121212122</v>
      </c>
      <c r="AN595" s="4">
        <f t="shared" si="79"/>
        <v>1.8358518926485606E-3</v>
      </c>
      <c r="AO595" s="3"/>
      <c r="AP595">
        <v>0</v>
      </c>
      <c r="AR595" t="s">
        <v>2700</v>
      </c>
      <c r="AT595" s="2" t="s">
        <v>19</v>
      </c>
      <c r="AU595" s="1">
        <f t="shared" si="75"/>
        <v>2.6188085057130146</v>
      </c>
      <c r="AV595" s="1">
        <f t="shared" si="76"/>
        <v>1.923030415299255</v>
      </c>
      <c r="AW595" s="1">
        <f t="shared" si="77"/>
        <v>1.2272523248854954</v>
      </c>
    </row>
    <row r="596" spans="1:49" x14ac:dyDescent="0.2">
      <c r="A596">
        <v>594</v>
      </c>
      <c r="B596" t="s">
        <v>2699</v>
      </c>
      <c r="C596" t="s">
        <v>2698</v>
      </c>
      <c r="F596" t="s">
        <v>2697</v>
      </c>
      <c r="G596" t="s">
        <v>15</v>
      </c>
      <c r="H596" t="s">
        <v>14</v>
      </c>
      <c r="I596" t="s">
        <v>2696</v>
      </c>
      <c r="J596">
        <v>60027509</v>
      </c>
      <c r="K596" t="s">
        <v>2695</v>
      </c>
      <c r="L596" t="s">
        <v>102</v>
      </c>
      <c r="M596" t="s">
        <v>101</v>
      </c>
      <c r="N596">
        <v>3</v>
      </c>
      <c r="O596" t="s">
        <v>2694</v>
      </c>
      <c r="P596" t="s">
        <v>2693</v>
      </c>
      <c r="Q596" t="s">
        <v>2692</v>
      </c>
      <c r="R596" s="7">
        <v>32509</v>
      </c>
      <c r="S596" s="8">
        <f t="shared" si="72"/>
        <v>1989</v>
      </c>
      <c r="T596" s="8">
        <v>1989</v>
      </c>
      <c r="U596" s="8">
        <f t="shared" si="73"/>
        <v>33</v>
      </c>
      <c r="V596" s="7" t="s">
        <v>2691</v>
      </c>
      <c r="W596" t="s">
        <v>518</v>
      </c>
      <c r="X596" s="2">
        <v>0.33800000000000002</v>
      </c>
      <c r="Y596" s="6">
        <f t="shared" si="78"/>
        <v>9.0227169589706634E-3</v>
      </c>
      <c r="AA596">
        <v>7372884</v>
      </c>
      <c r="AB596">
        <v>70506</v>
      </c>
      <c r="AC596">
        <v>10991247</v>
      </c>
      <c r="AD596" t="s">
        <v>5</v>
      </c>
      <c r="AE596">
        <v>7</v>
      </c>
      <c r="AF596">
        <v>2</v>
      </c>
      <c r="AH596" t="s">
        <v>2690</v>
      </c>
      <c r="AI596" t="s">
        <v>2689</v>
      </c>
      <c r="AJ596" t="s">
        <v>2688</v>
      </c>
      <c r="AK596" t="s">
        <v>2687</v>
      </c>
      <c r="AL596">
        <v>0</v>
      </c>
      <c r="AM596" s="5">
        <f t="shared" si="74"/>
        <v>0</v>
      </c>
      <c r="AN596" s="4">
        <f t="shared" si="79"/>
        <v>0</v>
      </c>
      <c r="AO596" s="3"/>
      <c r="AP596">
        <v>0</v>
      </c>
      <c r="AR596" t="s">
        <v>0</v>
      </c>
      <c r="AT596" s="2" t="s">
        <v>19</v>
      </c>
      <c r="AU596" s="1">
        <f t="shared" si="75"/>
        <v>0.63159018712794635</v>
      </c>
      <c r="AV596" s="1">
        <f t="shared" si="76"/>
        <v>0.45113584794853318</v>
      </c>
      <c r="AW596" s="1">
        <f t="shared" si="77"/>
        <v>0.27068150876911989</v>
      </c>
    </row>
    <row r="597" spans="1:49" x14ac:dyDescent="0.2">
      <c r="A597">
        <v>595</v>
      </c>
      <c r="B597" t="s">
        <v>2686</v>
      </c>
      <c r="C597" t="s">
        <v>2685</v>
      </c>
      <c r="F597" t="s">
        <v>2684</v>
      </c>
      <c r="G597" t="s">
        <v>15</v>
      </c>
      <c r="H597" t="s">
        <v>14</v>
      </c>
      <c r="I597" t="s">
        <v>2461</v>
      </c>
      <c r="J597">
        <v>60014313</v>
      </c>
      <c r="K597" t="s">
        <v>2683</v>
      </c>
      <c r="L597" t="s">
        <v>2682</v>
      </c>
      <c r="M597" t="s">
        <v>23</v>
      </c>
      <c r="N597">
        <v>2</v>
      </c>
      <c r="O597" t="s">
        <v>2458</v>
      </c>
      <c r="P597" t="s">
        <v>2457</v>
      </c>
      <c r="Q597" t="s">
        <v>2681</v>
      </c>
      <c r="R597" s="7">
        <v>32509</v>
      </c>
      <c r="S597" s="8">
        <f t="shared" si="72"/>
        <v>1989</v>
      </c>
      <c r="T597" s="8">
        <v>1989</v>
      </c>
      <c r="U597" s="8">
        <f t="shared" si="73"/>
        <v>33</v>
      </c>
      <c r="V597" s="7">
        <v>32599</v>
      </c>
      <c r="W597" t="s">
        <v>943</v>
      </c>
      <c r="X597" s="2">
        <v>0.30399999999999999</v>
      </c>
      <c r="Y597" s="6">
        <f t="shared" si="78"/>
        <v>8.115106377299057E-3</v>
      </c>
      <c r="AA597">
        <v>8952477</v>
      </c>
      <c r="AB597">
        <v>12250</v>
      </c>
      <c r="AC597">
        <v>10982760</v>
      </c>
      <c r="AD597" t="s">
        <v>5</v>
      </c>
      <c r="AE597">
        <v>2</v>
      </c>
      <c r="AF597">
        <v>4</v>
      </c>
      <c r="AH597" t="s">
        <v>2396</v>
      </c>
      <c r="AI597" t="s">
        <v>2680</v>
      </c>
      <c r="AJ597" t="s">
        <v>2679</v>
      </c>
      <c r="AK597" t="s">
        <v>2678</v>
      </c>
      <c r="AL597">
        <v>1</v>
      </c>
      <c r="AM597" s="5">
        <f t="shared" si="74"/>
        <v>3.0303030303030304E-2</v>
      </c>
      <c r="AN597" s="4">
        <f t="shared" si="79"/>
        <v>4.5896297316214016E-5</v>
      </c>
      <c r="AO597" s="3"/>
      <c r="AP597">
        <v>0</v>
      </c>
      <c r="AR597" t="s">
        <v>0</v>
      </c>
      <c r="AT597" s="2" t="s">
        <v>19</v>
      </c>
      <c r="AU597" s="1">
        <f t="shared" si="75"/>
        <v>0.56943433533042043</v>
      </c>
      <c r="AV597" s="1">
        <f t="shared" si="76"/>
        <v>0.40805013373076354</v>
      </c>
      <c r="AW597" s="1">
        <f t="shared" si="77"/>
        <v>0.24666593213110671</v>
      </c>
    </row>
    <row r="598" spans="1:49" x14ac:dyDescent="0.2">
      <c r="A598">
        <v>596</v>
      </c>
      <c r="B598" t="s">
        <v>2677</v>
      </c>
      <c r="C598" t="s">
        <v>2676</v>
      </c>
      <c r="F598" t="s">
        <v>2675</v>
      </c>
      <c r="G598" t="s">
        <v>15</v>
      </c>
      <c r="H598" t="s">
        <v>14</v>
      </c>
      <c r="I598" t="s">
        <v>2674</v>
      </c>
      <c r="J598">
        <v>60012564</v>
      </c>
      <c r="K598" t="s">
        <v>2673</v>
      </c>
      <c r="L598" t="s">
        <v>2672</v>
      </c>
      <c r="M598" t="s">
        <v>23</v>
      </c>
      <c r="N598">
        <v>1</v>
      </c>
      <c r="O598" t="s">
        <v>2671</v>
      </c>
      <c r="P598">
        <v>57197510815</v>
      </c>
      <c r="Q598">
        <v>60012564</v>
      </c>
      <c r="R598" s="7">
        <v>32509</v>
      </c>
      <c r="S598" s="8">
        <f t="shared" si="72"/>
        <v>1989</v>
      </c>
      <c r="T598" s="8">
        <v>1989</v>
      </c>
      <c r="U598" s="8">
        <f t="shared" si="73"/>
        <v>33</v>
      </c>
      <c r="V598" s="7">
        <v>32599</v>
      </c>
      <c r="W598" t="s">
        <v>1019</v>
      </c>
      <c r="X598" s="2">
        <v>1.468</v>
      </c>
      <c r="Y598" s="6">
        <f t="shared" si="78"/>
        <v>3.9187421585115186E-2</v>
      </c>
      <c r="AA598">
        <v>906778</v>
      </c>
      <c r="AB598">
        <v>18931</v>
      </c>
      <c r="AD598" t="s">
        <v>5</v>
      </c>
      <c r="AE598">
        <v>37</v>
      </c>
      <c r="AF598">
        <v>4</v>
      </c>
      <c r="AH598" t="s">
        <v>2670</v>
      </c>
      <c r="AI598" t="s">
        <v>2669</v>
      </c>
      <c r="AK598" t="s">
        <v>2668</v>
      </c>
      <c r="AL598">
        <v>3</v>
      </c>
      <c r="AM598" s="5">
        <f t="shared" si="74"/>
        <v>9.0909090909090912E-2</v>
      </c>
      <c r="AN598" s="4">
        <f t="shared" si="79"/>
        <v>1.3768889194864205E-4</v>
      </c>
      <c r="AO598" s="3"/>
      <c r="AP598">
        <v>0</v>
      </c>
      <c r="AR598" t="s">
        <v>0</v>
      </c>
      <c r="AT598" s="2">
        <v>5.0830000000000002</v>
      </c>
      <c r="AU598" s="1">
        <f t="shared" si="75"/>
        <v>2.7472501777165221</v>
      </c>
      <c r="AV598" s="1">
        <f t="shared" si="76"/>
        <v>1.9662555238531914</v>
      </c>
      <c r="AW598" s="1">
        <f t="shared" si="77"/>
        <v>1.1852608699898606</v>
      </c>
    </row>
    <row r="599" spans="1:49" x14ac:dyDescent="0.2">
      <c r="A599">
        <v>597</v>
      </c>
      <c r="B599" t="s">
        <v>2667</v>
      </c>
      <c r="C599" t="s">
        <v>2666</v>
      </c>
      <c r="F599" t="s">
        <v>2665</v>
      </c>
      <c r="G599" t="s">
        <v>15</v>
      </c>
      <c r="H599" t="s">
        <v>14</v>
      </c>
      <c r="I599" t="s">
        <v>2664</v>
      </c>
      <c r="J599">
        <v>60028112</v>
      </c>
      <c r="K599" t="s">
        <v>2663</v>
      </c>
      <c r="L599" t="s">
        <v>2662</v>
      </c>
      <c r="M599" t="s">
        <v>72</v>
      </c>
      <c r="N599">
        <v>4</v>
      </c>
      <c r="O599" t="s">
        <v>2661</v>
      </c>
      <c r="P599" t="s">
        <v>2660</v>
      </c>
      <c r="Q599" t="s">
        <v>2659</v>
      </c>
      <c r="R599" s="7">
        <v>32509</v>
      </c>
      <c r="S599" s="8">
        <f t="shared" si="72"/>
        <v>1989</v>
      </c>
      <c r="T599" s="8">
        <v>1989</v>
      </c>
      <c r="U599" s="8">
        <f t="shared" si="73"/>
        <v>33</v>
      </c>
      <c r="V599" s="7">
        <v>32599</v>
      </c>
      <c r="W599" t="s">
        <v>360</v>
      </c>
      <c r="X599" s="2">
        <v>1.3720000000000001</v>
      </c>
      <c r="Y599" s="6">
        <f t="shared" si="78"/>
        <v>3.662475641333654E-2</v>
      </c>
      <c r="AA599">
        <v>189480</v>
      </c>
      <c r="AB599">
        <v>17366</v>
      </c>
      <c r="AC599">
        <v>15579670</v>
      </c>
      <c r="AD599" t="s">
        <v>5</v>
      </c>
      <c r="AE599">
        <v>37</v>
      </c>
      <c r="AF599">
        <v>4</v>
      </c>
      <c r="AH599" t="s">
        <v>2658</v>
      </c>
      <c r="AI599" t="s">
        <v>2657</v>
      </c>
      <c r="AK599" t="s">
        <v>2656</v>
      </c>
      <c r="AL599">
        <v>20</v>
      </c>
      <c r="AM599" s="5">
        <f t="shared" si="74"/>
        <v>0.60606060606060608</v>
      </c>
      <c r="AN599" s="4">
        <f t="shared" si="79"/>
        <v>9.1792594632428032E-4</v>
      </c>
      <c r="AO599" s="3"/>
      <c r="AP599">
        <v>0</v>
      </c>
      <c r="AR599" t="s">
        <v>0</v>
      </c>
      <c r="AT599" s="2" t="s">
        <v>19</v>
      </c>
      <c r="AU599" s="1">
        <f t="shared" si="75"/>
        <v>2.5912707273232858</v>
      </c>
      <c r="AV599" s="1">
        <f t="shared" si="76"/>
        <v>1.8771341179830412</v>
      </c>
      <c r="AW599" s="1">
        <f t="shared" si="77"/>
        <v>1.1629975086427959</v>
      </c>
    </row>
    <row r="600" spans="1:49" x14ac:dyDescent="0.2">
      <c r="A600">
        <v>598</v>
      </c>
      <c r="B600" t="s">
        <v>2655</v>
      </c>
      <c r="C600" t="s">
        <v>2654</v>
      </c>
      <c r="F600" t="s">
        <v>2653</v>
      </c>
      <c r="G600" t="s">
        <v>15</v>
      </c>
      <c r="H600" t="s">
        <v>14</v>
      </c>
      <c r="I600" t="s">
        <v>2652</v>
      </c>
      <c r="J600">
        <v>60009037</v>
      </c>
      <c r="K600" t="s">
        <v>1694</v>
      </c>
      <c r="L600" t="s">
        <v>1693</v>
      </c>
      <c r="M600" t="s">
        <v>23</v>
      </c>
      <c r="N600">
        <v>7</v>
      </c>
      <c r="O600" t="s">
        <v>2651</v>
      </c>
      <c r="P600" t="s">
        <v>2650</v>
      </c>
      <c r="Q600" t="s">
        <v>1997</v>
      </c>
      <c r="R600" s="7">
        <v>32509</v>
      </c>
      <c r="S600" s="8">
        <f t="shared" si="72"/>
        <v>1989</v>
      </c>
      <c r="T600" s="8">
        <v>1989</v>
      </c>
      <c r="U600" s="8">
        <f t="shared" si="73"/>
        <v>33</v>
      </c>
      <c r="V600" s="7">
        <v>32599</v>
      </c>
      <c r="W600" t="s">
        <v>2592</v>
      </c>
      <c r="X600" s="2">
        <v>0.82</v>
      </c>
      <c r="Y600" s="6">
        <f t="shared" si="78"/>
        <v>2.1889431675609299E-2</v>
      </c>
      <c r="AA600">
        <v>189456</v>
      </c>
      <c r="AB600">
        <v>15361</v>
      </c>
      <c r="AC600">
        <v>15579662</v>
      </c>
      <c r="AD600" t="s">
        <v>5</v>
      </c>
      <c r="AE600">
        <v>38</v>
      </c>
      <c r="AF600">
        <v>2</v>
      </c>
      <c r="AH600" t="s">
        <v>2649</v>
      </c>
      <c r="AI600" t="s">
        <v>2648</v>
      </c>
      <c r="AK600" t="s">
        <v>2647</v>
      </c>
      <c r="AL600">
        <v>6</v>
      </c>
      <c r="AM600" s="5">
        <f t="shared" si="74"/>
        <v>0.18181818181818182</v>
      </c>
      <c r="AN600" s="4">
        <f t="shared" si="79"/>
        <v>2.753777838972841E-4</v>
      </c>
      <c r="AO600" s="3"/>
      <c r="AP600">
        <v>0</v>
      </c>
      <c r="AR600" t="s">
        <v>0</v>
      </c>
      <c r="AS600" t="s">
        <v>744</v>
      </c>
      <c r="AT600" s="2" t="s">
        <v>19</v>
      </c>
      <c r="AU600" s="1">
        <f t="shared" si="75"/>
        <v>1.5405215508095693</v>
      </c>
      <c r="AV600" s="1">
        <f t="shared" si="76"/>
        <v>1.1082404729753292</v>
      </c>
      <c r="AW600" s="1">
        <f t="shared" si="77"/>
        <v>0.67595939514108883</v>
      </c>
    </row>
    <row r="601" spans="1:49" x14ac:dyDescent="0.2">
      <c r="A601">
        <v>599</v>
      </c>
      <c r="B601" t="s">
        <v>2646</v>
      </c>
      <c r="C601" t="s">
        <v>2645</v>
      </c>
      <c r="F601" t="s">
        <v>2644</v>
      </c>
      <c r="G601" t="s">
        <v>15</v>
      </c>
      <c r="H601" t="s">
        <v>14</v>
      </c>
      <c r="I601" t="s">
        <v>2643</v>
      </c>
      <c r="J601">
        <v>60012213</v>
      </c>
      <c r="K601" t="s">
        <v>2642</v>
      </c>
      <c r="L601" t="s">
        <v>2641</v>
      </c>
      <c r="M601" t="s">
        <v>23</v>
      </c>
      <c r="N601">
        <v>1</v>
      </c>
      <c r="O601" t="s">
        <v>2640</v>
      </c>
      <c r="P601">
        <v>7801516832</v>
      </c>
      <c r="Q601">
        <v>60012213</v>
      </c>
      <c r="R601" s="7">
        <v>32509</v>
      </c>
      <c r="S601" s="8">
        <f t="shared" si="72"/>
        <v>1989</v>
      </c>
      <c r="T601" s="8">
        <v>1989</v>
      </c>
      <c r="U601" s="8">
        <f t="shared" si="73"/>
        <v>33</v>
      </c>
      <c r="V601" s="7">
        <v>32599</v>
      </c>
      <c r="W601" t="s">
        <v>2639</v>
      </c>
      <c r="X601" s="2">
        <v>0.752</v>
      </c>
      <c r="Y601" s="6">
        <f t="shared" si="78"/>
        <v>2.0074210512266089E-2</v>
      </c>
      <c r="AA601">
        <v>3649059</v>
      </c>
      <c r="AB601">
        <v>17277</v>
      </c>
      <c r="AC601">
        <v>15581691</v>
      </c>
      <c r="AD601" t="s">
        <v>5</v>
      </c>
      <c r="AE601">
        <v>14</v>
      </c>
      <c r="AF601">
        <v>2</v>
      </c>
      <c r="AH601" t="s">
        <v>2638</v>
      </c>
      <c r="AI601" t="s">
        <v>2637</v>
      </c>
      <c r="AK601" t="s">
        <v>2636</v>
      </c>
      <c r="AL601">
        <v>7</v>
      </c>
      <c r="AM601" s="5">
        <f t="shared" si="74"/>
        <v>0.21212121212121213</v>
      </c>
      <c r="AN601" s="4">
        <f t="shared" si="79"/>
        <v>3.2127408121349809E-4</v>
      </c>
      <c r="AO601" s="3"/>
      <c r="AP601">
        <v>0</v>
      </c>
      <c r="AR601" t="s">
        <v>0</v>
      </c>
      <c r="AT601" s="2">
        <v>3.5539999999999998</v>
      </c>
      <c r="AU601" s="1">
        <f t="shared" si="75"/>
        <v>1.414832958295031</v>
      </c>
      <c r="AV601" s="1">
        <f t="shared" si="76"/>
        <v>1.0197742296739793</v>
      </c>
      <c r="AW601" s="1">
        <f t="shared" si="77"/>
        <v>0.6247155010529275</v>
      </c>
    </row>
    <row r="602" spans="1:49" x14ac:dyDescent="0.2">
      <c r="A602">
        <v>600</v>
      </c>
      <c r="B602" t="s">
        <v>2635</v>
      </c>
      <c r="C602" t="s">
        <v>2634</v>
      </c>
      <c r="F602" t="s">
        <v>2633</v>
      </c>
      <c r="G602" t="s">
        <v>15</v>
      </c>
      <c r="H602" t="s">
        <v>14</v>
      </c>
      <c r="I602" t="s">
        <v>2632</v>
      </c>
      <c r="J602">
        <v>60032325</v>
      </c>
      <c r="K602" t="s">
        <v>2631</v>
      </c>
      <c r="L602" t="s">
        <v>2630</v>
      </c>
      <c r="M602" t="s">
        <v>115</v>
      </c>
      <c r="N602">
        <v>3</v>
      </c>
      <c r="O602" t="s">
        <v>2629</v>
      </c>
      <c r="P602" t="s">
        <v>2628</v>
      </c>
      <c r="Q602" t="s">
        <v>2627</v>
      </c>
      <c r="R602" s="7">
        <v>32509</v>
      </c>
      <c r="S602" s="8">
        <f t="shared" si="72"/>
        <v>1989</v>
      </c>
      <c r="T602" s="8">
        <v>1989</v>
      </c>
      <c r="U602" s="8">
        <f t="shared" si="73"/>
        <v>33</v>
      </c>
      <c r="V602" s="7">
        <v>32599</v>
      </c>
      <c r="W602" t="s">
        <v>2592</v>
      </c>
      <c r="X602" s="2">
        <v>0.82</v>
      </c>
      <c r="Y602" s="6">
        <f t="shared" si="78"/>
        <v>2.1889431675609299E-2</v>
      </c>
      <c r="AA602">
        <v>189456</v>
      </c>
      <c r="AB602">
        <v>15361</v>
      </c>
      <c r="AC602">
        <v>15579662</v>
      </c>
      <c r="AD602" t="s">
        <v>5</v>
      </c>
      <c r="AE602">
        <v>38</v>
      </c>
      <c r="AF602">
        <v>2</v>
      </c>
      <c r="AH602" t="s">
        <v>2626</v>
      </c>
      <c r="AI602" t="s">
        <v>2625</v>
      </c>
      <c r="AK602" t="s">
        <v>2624</v>
      </c>
      <c r="AL602">
        <v>6</v>
      </c>
      <c r="AM602" s="5">
        <f t="shared" si="74"/>
        <v>0.18181818181818182</v>
      </c>
      <c r="AN602" s="4">
        <f t="shared" si="79"/>
        <v>2.753777838972841E-4</v>
      </c>
      <c r="AO602" s="3"/>
      <c r="AP602">
        <v>0</v>
      </c>
      <c r="AR602" t="s">
        <v>0</v>
      </c>
      <c r="AT602" s="2" t="s">
        <v>19</v>
      </c>
      <c r="AU602" s="1">
        <f t="shared" si="75"/>
        <v>1.5405215508095693</v>
      </c>
      <c r="AV602" s="1">
        <f t="shared" si="76"/>
        <v>1.1082404729753292</v>
      </c>
      <c r="AW602" s="1">
        <f t="shared" si="77"/>
        <v>0.67595939514108883</v>
      </c>
    </row>
    <row r="603" spans="1:49" x14ac:dyDescent="0.2">
      <c r="A603">
        <v>601</v>
      </c>
      <c r="B603" t="s">
        <v>2623</v>
      </c>
      <c r="C603" t="s">
        <v>2622</v>
      </c>
      <c r="F603" t="s">
        <v>2621</v>
      </c>
      <c r="G603" t="s">
        <v>15</v>
      </c>
      <c r="H603" t="s">
        <v>14</v>
      </c>
      <c r="I603" t="s">
        <v>2620</v>
      </c>
      <c r="J603">
        <v>60018020</v>
      </c>
      <c r="K603" t="s">
        <v>128</v>
      </c>
      <c r="L603" t="s">
        <v>127</v>
      </c>
      <c r="M603" t="s">
        <v>23</v>
      </c>
      <c r="N603">
        <v>1</v>
      </c>
      <c r="O603" t="s">
        <v>2619</v>
      </c>
      <c r="P603">
        <v>22976701400</v>
      </c>
      <c r="Q603">
        <v>60018020</v>
      </c>
      <c r="R603" s="7">
        <v>32509</v>
      </c>
      <c r="S603" s="8">
        <f t="shared" si="72"/>
        <v>1989</v>
      </c>
      <c r="T603" s="8">
        <v>1989</v>
      </c>
      <c r="U603" s="8">
        <f t="shared" si="73"/>
        <v>33</v>
      </c>
      <c r="V603" s="7">
        <v>32599</v>
      </c>
      <c r="W603" t="s">
        <v>538</v>
      </c>
      <c r="X603" s="2">
        <v>1.774</v>
      </c>
      <c r="Y603" s="6">
        <f t="shared" si="78"/>
        <v>4.7355916820159633E-2</v>
      </c>
      <c r="AA603">
        <v>295515</v>
      </c>
      <c r="AB603">
        <v>29066</v>
      </c>
      <c r="AC603">
        <v>17414326</v>
      </c>
      <c r="AD603" t="s">
        <v>5</v>
      </c>
      <c r="AE603">
        <v>29</v>
      </c>
      <c r="AF603">
        <v>4</v>
      </c>
      <c r="AH603" t="s">
        <v>2618</v>
      </c>
      <c r="AI603" t="s">
        <v>2617</v>
      </c>
      <c r="AK603" t="s">
        <v>2616</v>
      </c>
      <c r="AL603">
        <v>147</v>
      </c>
      <c r="AM603" s="5">
        <f t="shared" si="74"/>
        <v>4.4545454545454541</v>
      </c>
      <c r="AN603" s="4">
        <f t="shared" si="79"/>
        <v>6.7467557054834591E-3</v>
      </c>
      <c r="AO603" s="3"/>
      <c r="AP603">
        <v>0</v>
      </c>
      <c r="AR603" t="s">
        <v>0</v>
      </c>
      <c r="AT603" s="2">
        <v>3.1789999999999998</v>
      </c>
      <c r="AU603" s="1">
        <f t="shared" si="75"/>
        <v>3.5173168485756778</v>
      </c>
      <c r="AV603" s="1">
        <f t="shared" si="76"/>
        <v>2.7051336262821546</v>
      </c>
      <c r="AW603" s="1">
        <f t="shared" si="77"/>
        <v>1.8929504039886309</v>
      </c>
    </row>
    <row r="604" spans="1:49" x14ac:dyDescent="0.2">
      <c r="A604">
        <v>602</v>
      </c>
      <c r="B604" t="s">
        <v>2615</v>
      </c>
      <c r="C604" t="s">
        <v>2614</v>
      </c>
      <c r="F604" t="s">
        <v>2613</v>
      </c>
      <c r="G604" t="s">
        <v>15</v>
      </c>
      <c r="H604" t="s">
        <v>14</v>
      </c>
      <c r="I604" t="s">
        <v>2612</v>
      </c>
      <c r="J604" t="s">
        <v>2611</v>
      </c>
      <c r="K604" t="s">
        <v>2610</v>
      </c>
      <c r="L604" t="s">
        <v>2609</v>
      </c>
      <c r="M604" t="s">
        <v>554</v>
      </c>
      <c r="N604">
        <v>3</v>
      </c>
      <c r="O604" t="s">
        <v>2608</v>
      </c>
      <c r="P604" t="s">
        <v>2607</v>
      </c>
      <c r="Q604" t="s">
        <v>2606</v>
      </c>
      <c r="R604" s="7">
        <v>32509</v>
      </c>
      <c r="S604" s="8">
        <f t="shared" si="72"/>
        <v>1989</v>
      </c>
      <c r="T604" s="8">
        <v>1989</v>
      </c>
      <c r="U604" s="8">
        <f t="shared" si="73"/>
        <v>33</v>
      </c>
      <c r="V604" s="7">
        <v>32599</v>
      </c>
      <c r="W604" t="s">
        <v>2592</v>
      </c>
      <c r="X604" s="2">
        <v>0.82</v>
      </c>
      <c r="Y604" s="6">
        <f t="shared" si="78"/>
        <v>2.1889431675609299E-2</v>
      </c>
      <c r="AA604">
        <v>189456</v>
      </c>
      <c r="AB604">
        <v>15361</v>
      </c>
      <c r="AC604">
        <v>15579662</v>
      </c>
      <c r="AD604" t="s">
        <v>5</v>
      </c>
      <c r="AE604">
        <v>38</v>
      </c>
      <c r="AF604">
        <v>2</v>
      </c>
      <c r="AH604" t="s">
        <v>2605</v>
      </c>
      <c r="AI604" t="s">
        <v>2604</v>
      </c>
      <c r="AK604" t="s">
        <v>2603</v>
      </c>
      <c r="AL604">
        <v>1</v>
      </c>
      <c r="AM604" s="5">
        <f t="shared" si="74"/>
        <v>3.0303030303030304E-2</v>
      </c>
      <c r="AN604" s="4">
        <f t="shared" si="79"/>
        <v>4.5896297316214016E-5</v>
      </c>
      <c r="AO604" s="3"/>
      <c r="AP604">
        <v>0</v>
      </c>
      <c r="AR604" t="s">
        <v>0</v>
      </c>
      <c r="AT604" s="2" t="s">
        <v>19</v>
      </c>
      <c r="AU604" s="1">
        <f t="shared" si="75"/>
        <v>1.5336371062121372</v>
      </c>
      <c r="AV604" s="1">
        <f t="shared" si="76"/>
        <v>1.0967663986462757</v>
      </c>
      <c r="AW604" s="1">
        <f t="shared" si="77"/>
        <v>0.6598956910804139</v>
      </c>
    </row>
    <row r="605" spans="1:49" x14ac:dyDescent="0.2">
      <c r="A605">
        <v>603</v>
      </c>
      <c r="B605" t="s">
        <v>2602</v>
      </c>
      <c r="C605" t="s">
        <v>2601</v>
      </c>
      <c r="F605" t="s">
        <v>2600</v>
      </c>
      <c r="G605" t="s">
        <v>15</v>
      </c>
      <c r="H605" t="s">
        <v>14</v>
      </c>
      <c r="I605" t="s">
        <v>2599</v>
      </c>
      <c r="J605" t="s">
        <v>2598</v>
      </c>
      <c r="K605" t="s">
        <v>2597</v>
      </c>
      <c r="L605" t="s">
        <v>2596</v>
      </c>
      <c r="M605" t="s">
        <v>554</v>
      </c>
      <c r="N605">
        <v>6</v>
      </c>
      <c r="O605" t="s">
        <v>2595</v>
      </c>
      <c r="P605" t="s">
        <v>2594</v>
      </c>
      <c r="Q605" t="s">
        <v>2593</v>
      </c>
      <c r="R605" s="7">
        <v>32509</v>
      </c>
      <c r="S605" s="8">
        <f t="shared" si="72"/>
        <v>1989</v>
      </c>
      <c r="T605" s="8">
        <v>1989</v>
      </c>
      <c r="U605" s="8">
        <f t="shared" si="73"/>
        <v>33</v>
      </c>
      <c r="V605" s="7">
        <v>32599</v>
      </c>
      <c r="W605" t="s">
        <v>2592</v>
      </c>
      <c r="X605" s="2">
        <v>0.82</v>
      </c>
      <c r="Y605" s="6">
        <f t="shared" si="78"/>
        <v>2.1889431675609299E-2</v>
      </c>
      <c r="AA605">
        <v>189456</v>
      </c>
      <c r="AB605">
        <v>15361</v>
      </c>
      <c r="AC605">
        <v>15579662</v>
      </c>
      <c r="AD605" t="s">
        <v>5</v>
      </c>
      <c r="AE605">
        <v>38</v>
      </c>
      <c r="AF605">
        <v>2</v>
      </c>
      <c r="AH605" t="s">
        <v>2591</v>
      </c>
      <c r="AI605" t="s">
        <v>2590</v>
      </c>
      <c r="AK605" t="s">
        <v>2589</v>
      </c>
      <c r="AL605">
        <v>6</v>
      </c>
      <c r="AM605" s="5">
        <f t="shared" si="74"/>
        <v>0.18181818181818182</v>
      </c>
      <c r="AN605" s="4">
        <f t="shared" si="79"/>
        <v>2.753777838972841E-4</v>
      </c>
      <c r="AO605" s="3"/>
      <c r="AP605">
        <v>0</v>
      </c>
      <c r="AR605" t="s">
        <v>0</v>
      </c>
      <c r="AT605" s="2" t="s">
        <v>19</v>
      </c>
      <c r="AU605" s="1">
        <f t="shared" si="75"/>
        <v>1.5405215508095693</v>
      </c>
      <c r="AV605" s="1">
        <f t="shared" si="76"/>
        <v>1.1082404729753292</v>
      </c>
      <c r="AW605" s="1">
        <f t="shared" si="77"/>
        <v>0.67595939514108883</v>
      </c>
    </row>
    <row r="606" spans="1:49" x14ac:dyDescent="0.2">
      <c r="A606">
        <v>604</v>
      </c>
      <c r="B606" t="s">
        <v>2588</v>
      </c>
      <c r="C606" t="s">
        <v>2587</v>
      </c>
      <c r="F606" t="s">
        <v>2586</v>
      </c>
      <c r="G606" t="s">
        <v>15</v>
      </c>
      <c r="H606" t="s">
        <v>14</v>
      </c>
      <c r="I606" t="s">
        <v>2585</v>
      </c>
      <c r="J606">
        <v>60009697</v>
      </c>
      <c r="K606" t="s">
        <v>2584</v>
      </c>
      <c r="L606" t="s">
        <v>2583</v>
      </c>
      <c r="M606" t="s">
        <v>283</v>
      </c>
      <c r="N606">
        <v>2</v>
      </c>
      <c r="O606" t="s">
        <v>2582</v>
      </c>
      <c r="P606" t="s">
        <v>2581</v>
      </c>
      <c r="Q606" t="s">
        <v>2580</v>
      </c>
      <c r="R606" s="7">
        <v>32509</v>
      </c>
      <c r="S606" s="8">
        <f t="shared" si="72"/>
        <v>1989</v>
      </c>
      <c r="T606" s="8">
        <v>1989</v>
      </c>
      <c r="U606" s="8">
        <f t="shared" si="73"/>
        <v>33</v>
      </c>
      <c r="V606" s="7" t="s">
        <v>2420</v>
      </c>
      <c r="W606" s="11" t="s">
        <v>1449</v>
      </c>
      <c r="X606" s="2">
        <v>2.383</v>
      </c>
      <c r="Y606" s="6">
        <f t="shared" si="78"/>
        <v>6.3612824003630442E-2</v>
      </c>
      <c r="AA606" t="s">
        <v>1448</v>
      </c>
      <c r="AB606">
        <v>101151</v>
      </c>
      <c r="AD606" t="s">
        <v>5</v>
      </c>
      <c r="AE606">
        <v>136</v>
      </c>
      <c r="AF606">
        <v>2</v>
      </c>
      <c r="AH606" t="s">
        <v>594</v>
      </c>
      <c r="AI606" t="s">
        <v>2579</v>
      </c>
      <c r="AK606" t="s">
        <v>2578</v>
      </c>
      <c r="AL606">
        <v>35</v>
      </c>
      <c r="AM606" s="5">
        <f t="shared" si="74"/>
        <v>1.0606060606060606</v>
      </c>
      <c r="AN606" s="4">
        <f t="shared" si="79"/>
        <v>1.6063704060674904E-3</v>
      </c>
      <c r="AO606" s="3"/>
      <c r="AP606">
        <v>0</v>
      </c>
      <c r="AR606" t="s">
        <v>0</v>
      </c>
      <c r="AT606" s="2" t="s">
        <v>19</v>
      </c>
      <c r="AU606" s="1">
        <f t="shared" si="75"/>
        <v>4.501088792436156</v>
      </c>
      <c r="AV606" s="1">
        <f t="shared" si="76"/>
        <v>3.2609597204848968</v>
      </c>
      <c r="AW606" s="1">
        <f t="shared" si="77"/>
        <v>2.0208306485336376</v>
      </c>
    </row>
    <row r="607" spans="1:49" x14ac:dyDescent="0.2">
      <c r="A607">
        <v>605</v>
      </c>
      <c r="B607" t="s">
        <v>2577</v>
      </c>
      <c r="C607" t="s">
        <v>2576</v>
      </c>
      <c r="F607" t="s">
        <v>2575</v>
      </c>
      <c r="G607" t="s">
        <v>15</v>
      </c>
      <c r="H607" t="s">
        <v>14</v>
      </c>
      <c r="I607" t="s">
        <v>2574</v>
      </c>
      <c r="J607">
        <v>60014652</v>
      </c>
      <c r="K607" t="s">
        <v>1473</v>
      </c>
      <c r="L607" t="s">
        <v>1472</v>
      </c>
      <c r="M607" t="s">
        <v>115</v>
      </c>
      <c r="N607">
        <v>3</v>
      </c>
      <c r="O607" t="s">
        <v>2573</v>
      </c>
      <c r="P607" t="s">
        <v>2572</v>
      </c>
      <c r="Q607" t="s">
        <v>2571</v>
      </c>
      <c r="R607" s="7">
        <v>32509</v>
      </c>
      <c r="S607" s="8">
        <f t="shared" si="72"/>
        <v>1989</v>
      </c>
      <c r="T607" s="8">
        <v>1989</v>
      </c>
      <c r="U607" s="8">
        <f t="shared" si="73"/>
        <v>33</v>
      </c>
      <c r="V607" s="7">
        <v>1989</v>
      </c>
      <c r="W607" t="s">
        <v>2469</v>
      </c>
      <c r="X607" s="2">
        <v>0.375</v>
      </c>
      <c r="Y607" s="6">
        <f t="shared" si="78"/>
        <v>1.0010410827260351E-2</v>
      </c>
      <c r="AA607">
        <v>135194</v>
      </c>
      <c r="AB607">
        <v>24918</v>
      </c>
      <c r="AD607" t="s">
        <v>5</v>
      </c>
      <c r="AE607">
        <v>25</v>
      </c>
      <c r="AF607">
        <v>9</v>
      </c>
      <c r="AH607" t="s">
        <v>2570</v>
      </c>
      <c r="AI607" t="s">
        <v>2569</v>
      </c>
      <c r="AJ607" t="s">
        <v>2568</v>
      </c>
      <c r="AK607" t="s">
        <v>2567</v>
      </c>
      <c r="AL607">
        <v>2</v>
      </c>
      <c r="AM607" s="5">
        <f t="shared" si="74"/>
        <v>6.0606060606060608E-2</v>
      </c>
      <c r="AN607" s="4">
        <f t="shared" si="79"/>
        <v>9.1792594632428032E-5</v>
      </c>
      <c r="AO607" s="3"/>
      <c r="AP607">
        <v>0</v>
      </c>
      <c r="AR607" t="s">
        <v>0</v>
      </c>
      <c r="AT607" s="2">
        <v>1.3140000000000001</v>
      </c>
      <c r="AU607" s="1">
        <f t="shared" si="75"/>
        <v>0.70348253574719743</v>
      </c>
      <c r="AV607" s="1">
        <f t="shared" si="76"/>
        <v>0.50511017109463896</v>
      </c>
      <c r="AW607" s="1">
        <f t="shared" si="77"/>
        <v>0.30673780644208049</v>
      </c>
    </row>
    <row r="608" spans="1:49" x14ac:dyDescent="0.2">
      <c r="A608">
        <v>606</v>
      </c>
      <c r="B608" t="s">
        <v>2566</v>
      </c>
      <c r="C608" t="s">
        <v>2565</v>
      </c>
      <c r="F608" t="s">
        <v>2564</v>
      </c>
      <c r="G608" t="s">
        <v>15</v>
      </c>
      <c r="H608" t="s">
        <v>14</v>
      </c>
      <c r="I608" t="s">
        <v>2563</v>
      </c>
      <c r="J608">
        <v>60010491</v>
      </c>
      <c r="K608" t="s">
        <v>2562</v>
      </c>
      <c r="L608" t="s">
        <v>2561</v>
      </c>
      <c r="M608" t="s">
        <v>23</v>
      </c>
      <c r="N608">
        <v>1</v>
      </c>
      <c r="O608" t="s">
        <v>2560</v>
      </c>
      <c r="P608">
        <v>7004922524</v>
      </c>
      <c r="Q608">
        <v>60010491</v>
      </c>
      <c r="R608" s="7">
        <v>32509</v>
      </c>
      <c r="S608" s="8">
        <f t="shared" si="72"/>
        <v>1989</v>
      </c>
      <c r="T608" s="8">
        <v>1989</v>
      </c>
      <c r="U608" s="8">
        <f t="shared" si="73"/>
        <v>33</v>
      </c>
      <c r="V608" s="7" t="s">
        <v>2420</v>
      </c>
      <c r="W608" s="11" t="s">
        <v>1449</v>
      </c>
      <c r="X608" s="2">
        <v>2.383</v>
      </c>
      <c r="Y608" s="6">
        <f t="shared" si="78"/>
        <v>6.3612824003630442E-2</v>
      </c>
      <c r="AA608" t="s">
        <v>1448</v>
      </c>
      <c r="AB608">
        <v>101151</v>
      </c>
      <c r="AD608" t="s">
        <v>5</v>
      </c>
      <c r="AE608">
        <v>136</v>
      </c>
      <c r="AF608">
        <v>2</v>
      </c>
      <c r="AH608" t="s">
        <v>2559</v>
      </c>
      <c r="AI608" t="s">
        <v>2558</v>
      </c>
      <c r="AK608" t="s">
        <v>2557</v>
      </c>
      <c r="AL608">
        <v>13</v>
      </c>
      <c r="AM608" s="5">
        <f t="shared" si="74"/>
        <v>0.39393939393939392</v>
      </c>
      <c r="AN608" s="4">
        <f t="shared" si="79"/>
        <v>5.9665186511078218E-4</v>
      </c>
      <c r="AO608" s="3"/>
      <c r="AP608">
        <v>0</v>
      </c>
      <c r="AR608" t="s">
        <v>0</v>
      </c>
      <c r="AT608" s="2" t="s">
        <v>19</v>
      </c>
      <c r="AU608" s="1">
        <f t="shared" si="75"/>
        <v>4.4707972362074546</v>
      </c>
      <c r="AV608" s="1">
        <f t="shared" si="76"/>
        <v>3.2104737934370609</v>
      </c>
      <c r="AW608" s="1">
        <f t="shared" si="77"/>
        <v>1.950150350666668</v>
      </c>
    </row>
    <row r="609" spans="1:49" x14ac:dyDescent="0.2">
      <c r="A609">
        <v>607</v>
      </c>
      <c r="B609" t="s">
        <v>2556</v>
      </c>
      <c r="C609" t="s">
        <v>2555</v>
      </c>
      <c r="F609" t="s">
        <v>2554</v>
      </c>
      <c r="G609" t="s">
        <v>15</v>
      </c>
      <c r="H609" t="s">
        <v>14</v>
      </c>
      <c r="I609" t="s">
        <v>2553</v>
      </c>
      <c r="J609">
        <v>60019647</v>
      </c>
      <c r="K609" t="s">
        <v>2552</v>
      </c>
      <c r="L609" t="s">
        <v>2551</v>
      </c>
      <c r="M609" t="s">
        <v>23</v>
      </c>
      <c r="N609">
        <v>3</v>
      </c>
      <c r="O609" t="s">
        <v>2550</v>
      </c>
      <c r="P609" t="s">
        <v>2549</v>
      </c>
      <c r="Q609" t="s">
        <v>2548</v>
      </c>
      <c r="R609" s="7">
        <v>32509</v>
      </c>
      <c r="S609" s="8">
        <f t="shared" si="72"/>
        <v>1989</v>
      </c>
      <c r="T609" s="8">
        <v>1989</v>
      </c>
      <c r="U609" s="8">
        <f t="shared" si="73"/>
        <v>33</v>
      </c>
      <c r="V609" s="7" t="s">
        <v>2420</v>
      </c>
      <c r="W609" s="11" t="s">
        <v>1449</v>
      </c>
      <c r="X609" s="2">
        <v>2.383</v>
      </c>
      <c r="Y609" s="6">
        <f t="shared" si="78"/>
        <v>6.3612824003630442E-2</v>
      </c>
      <c r="AA609" t="s">
        <v>1448</v>
      </c>
      <c r="AB609">
        <v>101151</v>
      </c>
      <c r="AD609" t="s">
        <v>5</v>
      </c>
      <c r="AE609">
        <v>136</v>
      </c>
      <c r="AF609">
        <v>2</v>
      </c>
      <c r="AH609" t="s">
        <v>2547</v>
      </c>
      <c r="AI609" t="s">
        <v>2546</v>
      </c>
      <c r="AK609" t="s">
        <v>2545</v>
      </c>
      <c r="AL609">
        <v>2</v>
      </c>
      <c r="AM609" s="5">
        <f t="shared" si="74"/>
        <v>6.0606060606060608E-2</v>
      </c>
      <c r="AN609" s="4">
        <f t="shared" si="79"/>
        <v>9.1792594632428032E-5</v>
      </c>
      <c r="AO609" s="3"/>
      <c r="AP609">
        <v>0</v>
      </c>
      <c r="AR609" t="s">
        <v>0</v>
      </c>
      <c r="AT609" s="2" t="s">
        <v>19</v>
      </c>
      <c r="AU609" s="1">
        <f t="shared" si="75"/>
        <v>4.4556514580931035</v>
      </c>
      <c r="AV609" s="1">
        <f t="shared" si="76"/>
        <v>3.1852308299131438</v>
      </c>
      <c r="AW609" s="1">
        <f t="shared" si="77"/>
        <v>1.9148102017331832</v>
      </c>
    </row>
    <row r="610" spans="1:49" x14ac:dyDescent="0.2">
      <c r="A610">
        <v>608</v>
      </c>
      <c r="B610" t="s">
        <v>2544</v>
      </c>
      <c r="C610" t="s">
        <v>2543</v>
      </c>
      <c r="F610" t="s">
        <v>2542</v>
      </c>
      <c r="G610" t="s">
        <v>15</v>
      </c>
      <c r="H610" t="s">
        <v>14</v>
      </c>
      <c r="I610" t="s">
        <v>2541</v>
      </c>
      <c r="J610">
        <v>60024751</v>
      </c>
      <c r="K610" t="s">
        <v>2540</v>
      </c>
      <c r="L610" t="s">
        <v>2539</v>
      </c>
      <c r="M610" t="s">
        <v>115</v>
      </c>
      <c r="N610">
        <v>2</v>
      </c>
      <c r="O610" t="s">
        <v>2538</v>
      </c>
      <c r="P610" t="s">
        <v>2537</v>
      </c>
      <c r="Q610" t="s">
        <v>2536</v>
      </c>
      <c r="R610" s="7">
        <v>32509</v>
      </c>
      <c r="S610" s="8">
        <f t="shared" si="72"/>
        <v>1989</v>
      </c>
      <c r="T610" s="8">
        <v>1989</v>
      </c>
      <c r="U610" s="8">
        <f t="shared" si="73"/>
        <v>33</v>
      </c>
      <c r="V610" s="7" t="s">
        <v>2420</v>
      </c>
      <c r="W610" s="11" t="s">
        <v>1449</v>
      </c>
      <c r="X610" s="2">
        <v>2.383</v>
      </c>
      <c r="Y610" s="6">
        <f t="shared" si="78"/>
        <v>6.3612824003630442E-2</v>
      </c>
      <c r="AA610" t="s">
        <v>1448</v>
      </c>
      <c r="AB610">
        <v>101151</v>
      </c>
      <c r="AD610" t="s">
        <v>5</v>
      </c>
      <c r="AE610">
        <v>136</v>
      </c>
      <c r="AF610">
        <v>2</v>
      </c>
      <c r="AH610" t="s">
        <v>2535</v>
      </c>
      <c r="AI610" t="s">
        <v>2534</v>
      </c>
      <c r="AK610" t="s">
        <v>2533</v>
      </c>
      <c r="AL610">
        <v>14</v>
      </c>
      <c r="AM610" s="5">
        <f t="shared" si="74"/>
        <v>0.42424242424242425</v>
      </c>
      <c r="AN610" s="4">
        <f t="shared" si="79"/>
        <v>6.4254816242699617E-4</v>
      </c>
      <c r="AO610" s="3"/>
      <c r="AP610">
        <v>0</v>
      </c>
      <c r="AR610" t="s">
        <v>0</v>
      </c>
      <c r="AT610" s="2" t="s">
        <v>19</v>
      </c>
      <c r="AU610" s="1">
        <f t="shared" si="75"/>
        <v>4.4721741251269407</v>
      </c>
      <c r="AV610" s="1">
        <f t="shared" si="76"/>
        <v>3.2127686083028717</v>
      </c>
      <c r="AW610" s="1">
        <f t="shared" si="77"/>
        <v>1.9533630914788029</v>
      </c>
    </row>
    <row r="611" spans="1:49" x14ac:dyDescent="0.2">
      <c r="A611">
        <v>609</v>
      </c>
      <c r="B611" t="s">
        <v>2532</v>
      </c>
      <c r="C611" t="s">
        <v>2531</v>
      </c>
      <c r="F611" t="s">
        <v>2530</v>
      </c>
      <c r="G611" t="s">
        <v>15</v>
      </c>
      <c r="H611" t="s">
        <v>14</v>
      </c>
      <c r="I611" t="s">
        <v>2529</v>
      </c>
      <c r="J611">
        <v>60030127</v>
      </c>
      <c r="K611" t="s">
        <v>794</v>
      </c>
      <c r="L611" t="s">
        <v>793</v>
      </c>
      <c r="M611" t="s">
        <v>792</v>
      </c>
      <c r="N611">
        <v>1</v>
      </c>
      <c r="O611" t="s">
        <v>2528</v>
      </c>
      <c r="P611">
        <v>57225757818</v>
      </c>
      <c r="Q611">
        <v>60030127</v>
      </c>
      <c r="R611" s="7">
        <v>32509</v>
      </c>
      <c r="S611" s="8">
        <f t="shared" si="72"/>
        <v>1989</v>
      </c>
      <c r="T611" s="8">
        <v>1989</v>
      </c>
      <c r="U611" s="8">
        <f t="shared" si="73"/>
        <v>33</v>
      </c>
      <c r="V611" s="7" t="s">
        <v>2420</v>
      </c>
      <c r="W611" s="11" t="s">
        <v>1449</v>
      </c>
      <c r="X611" s="2">
        <v>2.383</v>
      </c>
      <c r="Y611" s="6">
        <f t="shared" si="78"/>
        <v>6.3612824003630442E-2</v>
      </c>
      <c r="AA611" t="s">
        <v>1448</v>
      </c>
      <c r="AB611">
        <v>101151</v>
      </c>
      <c r="AD611" t="s">
        <v>5</v>
      </c>
      <c r="AE611">
        <v>136</v>
      </c>
      <c r="AF611">
        <v>2</v>
      </c>
      <c r="AH611" t="s">
        <v>2527</v>
      </c>
      <c r="AI611" t="s">
        <v>2526</v>
      </c>
      <c r="AK611" t="s">
        <v>2525</v>
      </c>
      <c r="AL611">
        <v>18</v>
      </c>
      <c r="AM611" s="5">
        <f t="shared" si="74"/>
        <v>0.54545454545454541</v>
      </c>
      <c r="AN611" s="4">
        <f t="shared" si="79"/>
        <v>8.2613335169185224E-4</v>
      </c>
      <c r="AO611" s="3"/>
      <c r="AP611">
        <v>0</v>
      </c>
      <c r="AR611" t="s">
        <v>0</v>
      </c>
      <c r="AT611" s="2" t="s">
        <v>19</v>
      </c>
      <c r="AU611" s="1">
        <f t="shared" si="75"/>
        <v>4.4776816808048867</v>
      </c>
      <c r="AV611" s="1">
        <f t="shared" si="76"/>
        <v>3.2219478677661146</v>
      </c>
      <c r="AW611" s="1">
        <f t="shared" si="77"/>
        <v>1.966214054727343</v>
      </c>
    </row>
    <row r="612" spans="1:49" x14ac:dyDescent="0.2">
      <c r="A612">
        <v>610</v>
      </c>
      <c r="B612" t="s">
        <v>2524</v>
      </c>
      <c r="C612" t="s">
        <v>2523</v>
      </c>
      <c r="F612" t="s">
        <v>2522</v>
      </c>
      <c r="G612" t="s">
        <v>15</v>
      </c>
      <c r="H612" t="s">
        <v>14</v>
      </c>
      <c r="I612" t="s">
        <v>2521</v>
      </c>
      <c r="J612">
        <v>60001881</v>
      </c>
      <c r="K612" t="s">
        <v>2520</v>
      </c>
      <c r="L612" t="s">
        <v>2519</v>
      </c>
      <c r="M612" t="s">
        <v>792</v>
      </c>
      <c r="N612">
        <v>3</v>
      </c>
      <c r="O612" t="s">
        <v>2518</v>
      </c>
      <c r="P612" t="s">
        <v>2517</v>
      </c>
      <c r="Q612" t="s">
        <v>2516</v>
      </c>
      <c r="R612" s="7">
        <v>32509</v>
      </c>
      <c r="S612" s="8">
        <f t="shared" ref="S612:S675" si="80">YEAR(R612)</f>
        <v>1989</v>
      </c>
      <c r="T612" s="8">
        <v>1989</v>
      </c>
      <c r="U612" s="8">
        <f t="shared" ref="U612:U675" si="81">2022-T612</f>
        <v>33</v>
      </c>
      <c r="V612" s="7">
        <v>1989</v>
      </c>
      <c r="W612" t="s">
        <v>2469</v>
      </c>
      <c r="X612" s="2">
        <v>0.375</v>
      </c>
      <c r="Y612" s="6">
        <f t="shared" si="78"/>
        <v>1.0010410827260351E-2</v>
      </c>
      <c r="AA612">
        <v>135194</v>
      </c>
      <c r="AB612">
        <v>24918</v>
      </c>
      <c r="AD612" t="s">
        <v>5</v>
      </c>
      <c r="AE612">
        <v>25</v>
      </c>
      <c r="AF612">
        <v>8</v>
      </c>
      <c r="AH612" t="s">
        <v>2515</v>
      </c>
      <c r="AI612" t="s">
        <v>2514</v>
      </c>
      <c r="AJ612" t="s">
        <v>2513</v>
      </c>
      <c r="AK612" t="s">
        <v>2512</v>
      </c>
      <c r="AL612">
        <v>3</v>
      </c>
      <c r="AM612" s="5">
        <f t="shared" ref="AM612:AM675" si="82">AL612/U612</f>
        <v>9.0909090909090912E-2</v>
      </c>
      <c r="AN612" s="4">
        <f t="shared" si="79"/>
        <v>1.3768889194864205E-4</v>
      </c>
      <c r="AO612" s="3"/>
      <c r="AP612">
        <v>0</v>
      </c>
      <c r="AR612" t="s">
        <v>0</v>
      </c>
      <c r="AT612" s="2">
        <v>1.3140000000000001</v>
      </c>
      <c r="AU612" s="1">
        <f t="shared" ref="AU612:AU675" si="83">(Y612*0.7+AN612*0.3)*100</f>
        <v>0.70485942466668383</v>
      </c>
      <c r="AV612" s="1">
        <f t="shared" ref="AV612:AV675" si="84">(Y612*0.5+AN612*0.5)*100</f>
        <v>0.50740498596044969</v>
      </c>
      <c r="AW612" s="1">
        <f t="shared" ref="AW612:AW675" si="85">(Y612*0.3+AN612*0.7)*100</f>
        <v>0.30995054725421545</v>
      </c>
    </row>
    <row r="613" spans="1:49" x14ac:dyDescent="0.2">
      <c r="A613">
        <v>611</v>
      </c>
      <c r="B613" t="s">
        <v>2511</v>
      </c>
      <c r="C613" t="s">
        <v>2510</v>
      </c>
      <c r="F613" t="s">
        <v>2509</v>
      </c>
      <c r="G613" t="s">
        <v>15</v>
      </c>
      <c r="H613" t="s">
        <v>14</v>
      </c>
      <c r="I613" t="s">
        <v>2508</v>
      </c>
      <c r="J613">
        <v>60030526</v>
      </c>
      <c r="K613" t="s">
        <v>2507</v>
      </c>
      <c r="L613" t="s">
        <v>1496</v>
      </c>
      <c r="M613" t="s">
        <v>115</v>
      </c>
      <c r="N613">
        <v>5</v>
      </c>
      <c r="O613" t="s">
        <v>2506</v>
      </c>
      <c r="P613" t="s">
        <v>2505</v>
      </c>
      <c r="Q613" t="s">
        <v>2504</v>
      </c>
      <c r="R613" s="7">
        <v>32509</v>
      </c>
      <c r="S613" s="8">
        <f t="shared" si="80"/>
        <v>1989</v>
      </c>
      <c r="T613" s="8">
        <v>1989</v>
      </c>
      <c r="U613" s="8">
        <f t="shared" si="81"/>
        <v>33</v>
      </c>
      <c r="V613" s="7" t="s">
        <v>2420</v>
      </c>
      <c r="W613" s="11" t="s">
        <v>1449</v>
      </c>
      <c r="X613" s="2">
        <v>2.383</v>
      </c>
      <c r="Y613" s="6">
        <f t="shared" si="78"/>
        <v>6.3612824003630442E-2</v>
      </c>
      <c r="AA613" t="s">
        <v>1448</v>
      </c>
      <c r="AB613">
        <v>101151</v>
      </c>
      <c r="AD613" t="s">
        <v>5</v>
      </c>
      <c r="AE613">
        <v>136</v>
      </c>
      <c r="AF613">
        <v>2</v>
      </c>
      <c r="AH613" t="s">
        <v>2503</v>
      </c>
      <c r="AI613" t="s">
        <v>2502</v>
      </c>
      <c r="AK613" t="s">
        <v>2501</v>
      </c>
      <c r="AL613">
        <v>24</v>
      </c>
      <c r="AM613" s="5">
        <f t="shared" si="82"/>
        <v>0.72727272727272729</v>
      </c>
      <c r="AN613" s="4">
        <f t="shared" si="79"/>
        <v>1.1015111355891364E-3</v>
      </c>
      <c r="AO613" s="3"/>
      <c r="AP613">
        <v>0</v>
      </c>
      <c r="AR613" t="s">
        <v>0</v>
      </c>
      <c r="AT613" s="2" t="s">
        <v>19</v>
      </c>
      <c r="AU613" s="1">
        <f t="shared" si="83"/>
        <v>4.4859430143218049</v>
      </c>
      <c r="AV613" s="1">
        <f t="shared" si="84"/>
        <v>3.2357167569609788</v>
      </c>
      <c r="AW613" s="1">
        <f t="shared" si="85"/>
        <v>1.9854904996001528</v>
      </c>
    </row>
    <row r="614" spans="1:49" x14ac:dyDescent="0.2">
      <c r="A614">
        <v>612</v>
      </c>
      <c r="B614" t="s">
        <v>2500</v>
      </c>
      <c r="C614" t="s">
        <v>2499</v>
      </c>
      <c r="F614" t="s">
        <v>2498</v>
      </c>
      <c r="G614" t="s">
        <v>15</v>
      </c>
      <c r="H614" t="s">
        <v>14</v>
      </c>
      <c r="I614" t="s">
        <v>2497</v>
      </c>
      <c r="J614">
        <v>60018829</v>
      </c>
      <c r="K614" t="s">
        <v>2496</v>
      </c>
      <c r="L614" t="s">
        <v>2495</v>
      </c>
      <c r="M614" t="s">
        <v>792</v>
      </c>
      <c r="N614">
        <v>1</v>
      </c>
      <c r="O614" t="s">
        <v>2494</v>
      </c>
      <c r="P614">
        <v>7003622841</v>
      </c>
      <c r="Q614">
        <v>60018829</v>
      </c>
      <c r="R614" s="7">
        <v>32509</v>
      </c>
      <c r="S614" s="8">
        <f t="shared" si="80"/>
        <v>1989</v>
      </c>
      <c r="T614" s="8">
        <v>1989</v>
      </c>
      <c r="U614" s="8">
        <f t="shared" si="81"/>
        <v>33</v>
      </c>
      <c r="V614" s="7" t="s">
        <v>2420</v>
      </c>
      <c r="W614" s="11" t="s">
        <v>1449</v>
      </c>
      <c r="X614" s="2">
        <v>2.383</v>
      </c>
      <c r="Y614" s="6">
        <f t="shared" si="78"/>
        <v>6.3612824003630442E-2</v>
      </c>
      <c r="AA614" t="s">
        <v>1448</v>
      </c>
      <c r="AB614">
        <v>101151</v>
      </c>
      <c r="AD614" t="s">
        <v>5</v>
      </c>
      <c r="AE614">
        <v>136</v>
      </c>
      <c r="AF614">
        <v>2</v>
      </c>
      <c r="AH614" t="s">
        <v>2493</v>
      </c>
      <c r="AI614" t="s">
        <v>2492</v>
      </c>
      <c r="AK614" t="s">
        <v>2491</v>
      </c>
      <c r="AL614">
        <v>1</v>
      </c>
      <c r="AM614" s="5">
        <f t="shared" si="82"/>
        <v>3.0303030303030304E-2</v>
      </c>
      <c r="AN614" s="4">
        <f t="shared" si="79"/>
        <v>4.5896297316214016E-5</v>
      </c>
      <c r="AO614" s="3"/>
      <c r="AP614">
        <v>0</v>
      </c>
      <c r="AR614" t="s">
        <v>0</v>
      </c>
      <c r="AT614" s="2" t="s">
        <v>19</v>
      </c>
      <c r="AU614" s="1">
        <f t="shared" si="83"/>
        <v>4.4542745691736174</v>
      </c>
      <c r="AV614" s="1">
        <f t="shared" si="84"/>
        <v>3.1829360150473329</v>
      </c>
      <c r="AW614" s="1">
        <f t="shared" si="85"/>
        <v>1.9115974609210482</v>
      </c>
    </row>
    <row r="615" spans="1:49" x14ac:dyDescent="0.2">
      <c r="A615">
        <v>613</v>
      </c>
      <c r="B615" t="s">
        <v>2490</v>
      </c>
      <c r="C615" t="s">
        <v>2489</v>
      </c>
      <c r="F615" t="s">
        <v>2488</v>
      </c>
      <c r="G615" t="s">
        <v>15</v>
      </c>
      <c r="H615" t="s">
        <v>14</v>
      </c>
      <c r="I615" t="s">
        <v>2487</v>
      </c>
      <c r="J615">
        <v>60028333</v>
      </c>
      <c r="K615" t="s">
        <v>2486</v>
      </c>
      <c r="L615" t="s">
        <v>2485</v>
      </c>
      <c r="M615" t="s">
        <v>857</v>
      </c>
      <c r="N615">
        <v>2</v>
      </c>
      <c r="O615" t="s">
        <v>2484</v>
      </c>
      <c r="P615" t="s">
        <v>2483</v>
      </c>
      <c r="Q615" t="s">
        <v>2482</v>
      </c>
      <c r="R615" s="7">
        <v>32509</v>
      </c>
      <c r="S615" s="8">
        <f t="shared" si="80"/>
        <v>1989</v>
      </c>
      <c r="T615" s="8">
        <v>1989</v>
      </c>
      <c r="U615" s="8">
        <f t="shared" si="81"/>
        <v>33</v>
      </c>
      <c r="V615" s="7" t="s">
        <v>2420</v>
      </c>
      <c r="W615" s="11" t="s">
        <v>1449</v>
      </c>
      <c r="X615" s="2">
        <v>2.383</v>
      </c>
      <c r="Y615" s="6">
        <f t="shared" si="78"/>
        <v>6.3612824003630442E-2</v>
      </c>
      <c r="AA615" t="s">
        <v>1448</v>
      </c>
      <c r="AB615">
        <v>101151</v>
      </c>
      <c r="AD615" t="s">
        <v>5</v>
      </c>
      <c r="AE615">
        <v>136</v>
      </c>
      <c r="AF615">
        <v>2</v>
      </c>
      <c r="AH615" t="s">
        <v>2481</v>
      </c>
      <c r="AI615" t="s">
        <v>2480</v>
      </c>
      <c r="AK615" t="s">
        <v>2479</v>
      </c>
      <c r="AL615">
        <v>8</v>
      </c>
      <c r="AM615" s="5">
        <f t="shared" si="82"/>
        <v>0.24242424242424243</v>
      </c>
      <c r="AN615" s="4">
        <f t="shared" si="79"/>
        <v>3.6717037852971213E-4</v>
      </c>
      <c r="AO615" s="3"/>
      <c r="AP615">
        <v>0</v>
      </c>
      <c r="AR615" t="s">
        <v>0</v>
      </c>
      <c r="AT615" s="2" t="s">
        <v>19</v>
      </c>
      <c r="AU615" s="1">
        <f t="shared" si="83"/>
        <v>4.4639127916100225</v>
      </c>
      <c r="AV615" s="1">
        <f t="shared" si="84"/>
        <v>3.1989997191080075</v>
      </c>
      <c r="AW615" s="1">
        <f t="shared" si="85"/>
        <v>1.9340866466059932</v>
      </c>
    </row>
    <row r="616" spans="1:49" x14ac:dyDescent="0.2">
      <c r="A616">
        <v>614</v>
      </c>
      <c r="B616" t="s">
        <v>2478</v>
      </c>
      <c r="C616" t="s">
        <v>2477</v>
      </c>
      <c r="F616" t="s">
        <v>2476</v>
      </c>
      <c r="G616" t="s">
        <v>15</v>
      </c>
      <c r="H616" t="s">
        <v>14</v>
      </c>
      <c r="I616" t="s">
        <v>2475</v>
      </c>
      <c r="J616">
        <v>60017366</v>
      </c>
      <c r="K616" t="s">
        <v>2474</v>
      </c>
      <c r="L616" t="s">
        <v>2473</v>
      </c>
      <c r="M616" t="s">
        <v>23</v>
      </c>
      <c r="N616">
        <v>4</v>
      </c>
      <c r="O616" t="s">
        <v>2472</v>
      </c>
      <c r="P616" t="s">
        <v>2471</v>
      </c>
      <c r="Q616" t="s">
        <v>2470</v>
      </c>
      <c r="R616" s="7">
        <v>32509</v>
      </c>
      <c r="S616" s="8">
        <f t="shared" si="80"/>
        <v>1989</v>
      </c>
      <c r="T616" s="8">
        <v>1989</v>
      </c>
      <c r="U616" s="8">
        <f t="shared" si="81"/>
        <v>33</v>
      </c>
      <c r="V616" s="7">
        <v>1989</v>
      </c>
      <c r="W616" t="s">
        <v>2469</v>
      </c>
      <c r="X616" s="2">
        <v>0.375</v>
      </c>
      <c r="Y616" s="6">
        <f t="shared" si="78"/>
        <v>1.0010410827260351E-2</v>
      </c>
      <c r="AA616">
        <v>135194</v>
      </c>
      <c r="AB616">
        <v>24918</v>
      </c>
      <c r="AD616" t="s">
        <v>5</v>
      </c>
      <c r="AE616">
        <v>25</v>
      </c>
      <c r="AF616">
        <v>8</v>
      </c>
      <c r="AH616" t="s">
        <v>2468</v>
      </c>
      <c r="AI616" t="s">
        <v>2467</v>
      </c>
      <c r="AJ616" t="s">
        <v>2466</v>
      </c>
      <c r="AK616" t="s">
        <v>2465</v>
      </c>
      <c r="AL616">
        <v>22</v>
      </c>
      <c r="AM616" s="5">
        <f t="shared" si="82"/>
        <v>0.66666666666666663</v>
      </c>
      <c r="AN616" s="4">
        <f t="shared" si="79"/>
        <v>1.0097185409567082E-3</v>
      </c>
      <c r="AO616" s="3"/>
      <c r="AP616">
        <v>0</v>
      </c>
      <c r="AR616" t="s">
        <v>0</v>
      </c>
      <c r="AT616" s="2">
        <v>1.3140000000000001</v>
      </c>
      <c r="AU616" s="1">
        <f t="shared" si="83"/>
        <v>0.73102031413692581</v>
      </c>
      <c r="AV616" s="1">
        <f t="shared" si="84"/>
        <v>0.55100646841085299</v>
      </c>
      <c r="AW616" s="1">
        <f t="shared" si="85"/>
        <v>0.37099262268478006</v>
      </c>
    </row>
    <row r="617" spans="1:49" x14ac:dyDescent="0.2">
      <c r="A617">
        <v>615</v>
      </c>
      <c r="B617" t="s">
        <v>2464</v>
      </c>
      <c r="C617" t="s">
        <v>2463</v>
      </c>
      <c r="F617" t="s">
        <v>2462</v>
      </c>
      <c r="G617" t="s">
        <v>15</v>
      </c>
      <c r="H617" t="s">
        <v>14</v>
      </c>
      <c r="I617" t="s">
        <v>2461</v>
      </c>
      <c r="J617">
        <v>60013894</v>
      </c>
      <c r="K617" t="s">
        <v>2460</v>
      </c>
      <c r="L617" t="s">
        <v>2459</v>
      </c>
      <c r="M617" t="s">
        <v>23</v>
      </c>
      <c r="N617">
        <v>2</v>
      </c>
      <c r="O617" t="s">
        <v>2458</v>
      </c>
      <c r="P617" t="s">
        <v>2457</v>
      </c>
      <c r="Q617" t="s">
        <v>2456</v>
      </c>
      <c r="R617" s="7">
        <v>32509</v>
      </c>
      <c r="S617" s="8">
        <f t="shared" si="80"/>
        <v>1989</v>
      </c>
      <c r="T617" s="8">
        <v>1989</v>
      </c>
      <c r="U617" s="8">
        <f t="shared" si="81"/>
        <v>33</v>
      </c>
      <c r="V617" s="7" t="s">
        <v>2420</v>
      </c>
      <c r="W617" s="11" t="s">
        <v>1449</v>
      </c>
      <c r="X617" s="2">
        <v>2.383</v>
      </c>
      <c r="Y617" s="6">
        <f t="shared" si="78"/>
        <v>6.3612824003630442E-2</v>
      </c>
      <c r="AA617" t="s">
        <v>1448</v>
      </c>
      <c r="AB617">
        <v>101151</v>
      </c>
      <c r="AD617" t="s">
        <v>5</v>
      </c>
      <c r="AE617">
        <v>136</v>
      </c>
      <c r="AF617">
        <v>2</v>
      </c>
      <c r="AH617" t="s">
        <v>2455</v>
      </c>
      <c r="AI617" t="s">
        <v>2454</v>
      </c>
      <c r="AK617" t="s">
        <v>2453</v>
      </c>
      <c r="AL617">
        <v>73</v>
      </c>
      <c r="AM617" s="5">
        <f t="shared" si="82"/>
        <v>2.2121212121212119</v>
      </c>
      <c r="AN617" s="4">
        <f t="shared" si="79"/>
        <v>3.3504297040836228E-3</v>
      </c>
      <c r="AO617" s="3"/>
      <c r="AP617">
        <v>0</v>
      </c>
      <c r="AR617" t="s">
        <v>0</v>
      </c>
      <c r="AT617" s="2" t="s">
        <v>19</v>
      </c>
      <c r="AU617" s="1">
        <f t="shared" si="83"/>
        <v>4.5534105713766397</v>
      </c>
      <c r="AV617" s="1">
        <f t="shared" si="84"/>
        <v>3.3481626853857036</v>
      </c>
      <c r="AW617" s="1">
        <f t="shared" si="85"/>
        <v>2.142914799394767</v>
      </c>
    </row>
    <row r="618" spans="1:49" x14ac:dyDescent="0.2">
      <c r="A618">
        <v>616</v>
      </c>
      <c r="B618" t="s">
        <v>2452</v>
      </c>
      <c r="C618" t="s">
        <v>2451</v>
      </c>
      <c r="F618" t="s">
        <v>2450</v>
      </c>
      <c r="G618" t="s">
        <v>15</v>
      </c>
      <c r="H618" t="s">
        <v>14</v>
      </c>
      <c r="I618" t="s">
        <v>2449</v>
      </c>
      <c r="J618">
        <v>60027161</v>
      </c>
      <c r="K618" t="s">
        <v>2448</v>
      </c>
      <c r="L618" t="s">
        <v>2447</v>
      </c>
      <c r="M618" t="s">
        <v>1940</v>
      </c>
      <c r="N618">
        <v>2</v>
      </c>
      <c r="O618" t="s">
        <v>2446</v>
      </c>
      <c r="P618" t="s">
        <v>2445</v>
      </c>
      <c r="Q618" t="s">
        <v>2444</v>
      </c>
      <c r="R618" s="7">
        <v>32509</v>
      </c>
      <c r="S618" s="8">
        <f t="shared" si="80"/>
        <v>1989</v>
      </c>
      <c r="T618" s="8">
        <v>1989</v>
      </c>
      <c r="U618" s="8">
        <f t="shared" si="81"/>
        <v>33</v>
      </c>
      <c r="V618" s="7">
        <v>32599</v>
      </c>
      <c r="W618" t="s">
        <v>2443</v>
      </c>
      <c r="X618" s="2">
        <v>0.36399999999999999</v>
      </c>
      <c r="Y618" s="6">
        <f t="shared" si="78"/>
        <v>9.7167721096607148E-3</v>
      </c>
      <c r="AA618">
        <v>989886</v>
      </c>
      <c r="AB618">
        <v>17963</v>
      </c>
      <c r="AC618" t="s">
        <v>2442</v>
      </c>
      <c r="AD618" t="s">
        <v>5</v>
      </c>
      <c r="AE618">
        <v>17</v>
      </c>
      <c r="AF618">
        <v>2</v>
      </c>
      <c r="AH618" t="s">
        <v>2441</v>
      </c>
      <c r="AI618" t="s">
        <v>2440</v>
      </c>
      <c r="AK618" t="s">
        <v>2439</v>
      </c>
      <c r="AL618">
        <v>9</v>
      </c>
      <c r="AM618" s="5">
        <f t="shared" si="82"/>
        <v>0.27272727272727271</v>
      </c>
      <c r="AN618" s="4">
        <f t="shared" si="79"/>
        <v>4.1306667584592612E-4</v>
      </c>
      <c r="AO618" s="3"/>
      <c r="AP618">
        <v>0</v>
      </c>
      <c r="AR618" t="s">
        <v>0</v>
      </c>
      <c r="AT618" s="2" t="s">
        <v>19</v>
      </c>
      <c r="AU618" s="1">
        <f t="shared" si="83"/>
        <v>0.69256604795162779</v>
      </c>
      <c r="AV618" s="1">
        <f t="shared" si="84"/>
        <v>0.50649193927533209</v>
      </c>
      <c r="AW618" s="1">
        <f t="shared" si="85"/>
        <v>0.32041783059903628</v>
      </c>
    </row>
    <row r="619" spans="1:49" x14ac:dyDescent="0.2">
      <c r="A619">
        <v>617</v>
      </c>
      <c r="B619" t="s">
        <v>2438</v>
      </c>
      <c r="C619" t="s">
        <v>2437</v>
      </c>
      <c r="F619" t="s">
        <v>2436</v>
      </c>
      <c r="G619" t="s">
        <v>15</v>
      </c>
      <c r="H619" t="s">
        <v>14</v>
      </c>
      <c r="I619" t="s">
        <v>2435</v>
      </c>
      <c r="J619">
        <v>60026242</v>
      </c>
      <c r="K619" t="s">
        <v>2434</v>
      </c>
      <c r="L619" t="s">
        <v>2433</v>
      </c>
      <c r="M619" t="s">
        <v>792</v>
      </c>
      <c r="N619">
        <v>2</v>
      </c>
      <c r="O619" t="s">
        <v>2432</v>
      </c>
      <c r="P619" t="s">
        <v>2431</v>
      </c>
      <c r="Q619" t="s">
        <v>2430</v>
      </c>
      <c r="R619" s="7">
        <v>32509</v>
      </c>
      <c r="S619" s="8">
        <f t="shared" si="80"/>
        <v>1989</v>
      </c>
      <c r="T619" s="8">
        <v>1989</v>
      </c>
      <c r="U619" s="8">
        <f t="shared" si="81"/>
        <v>33</v>
      </c>
      <c r="V619" s="7" t="s">
        <v>2420</v>
      </c>
      <c r="W619" s="11" t="s">
        <v>2429</v>
      </c>
      <c r="X619" s="2">
        <v>2.383</v>
      </c>
      <c r="Y619" s="6">
        <f t="shared" si="78"/>
        <v>6.3612824003630442E-2</v>
      </c>
      <c r="AA619">
        <v>1437070</v>
      </c>
      <c r="AB619">
        <v>39742</v>
      </c>
      <c r="AD619" t="s">
        <v>5</v>
      </c>
      <c r="AE619">
        <v>136</v>
      </c>
      <c r="AF619">
        <v>2</v>
      </c>
      <c r="AH619" t="s">
        <v>2428</v>
      </c>
      <c r="AL619">
        <v>55</v>
      </c>
      <c r="AM619" s="5">
        <f t="shared" si="82"/>
        <v>1.6666666666666667</v>
      </c>
      <c r="AN619" s="4">
        <f t="shared" si="79"/>
        <v>2.5242963523917708E-3</v>
      </c>
      <c r="AO619" s="3"/>
      <c r="AP619">
        <v>0</v>
      </c>
      <c r="AR619" t="s">
        <v>0</v>
      </c>
      <c r="AT619" s="2" t="s">
        <v>19</v>
      </c>
      <c r="AU619" s="1">
        <f t="shared" si="83"/>
        <v>4.5286265708258844</v>
      </c>
      <c r="AV619" s="1">
        <f t="shared" si="84"/>
        <v>3.3068560178011102</v>
      </c>
      <c r="AW619" s="1">
        <f t="shared" si="85"/>
        <v>2.0850854647763373</v>
      </c>
    </row>
    <row r="620" spans="1:49" x14ac:dyDescent="0.2">
      <c r="A620">
        <v>618</v>
      </c>
      <c r="B620" t="s">
        <v>2427</v>
      </c>
      <c r="C620" t="s">
        <v>2426</v>
      </c>
      <c r="F620" t="s">
        <v>2425</v>
      </c>
      <c r="G620" t="s">
        <v>15</v>
      </c>
      <c r="H620" t="s">
        <v>14</v>
      </c>
      <c r="I620" t="s">
        <v>2424</v>
      </c>
      <c r="J620">
        <v>60022148</v>
      </c>
      <c r="K620" t="s">
        <v>1481</v>
      </c>
      <c r="L620" t="s">
        <v>1480</v>
      </c>
      <c r="M620" t="s">
        <v>792</v>
      </c>
      <c r="N620">
        <v>2</v>
      </c>
      <c r="O620" t="s">
        <v>2423</v>
      </c>
      <c r="P620" t="s">
        <v>2422</v>
      </c>
      <c r="Q620" t="s">
        <v>2421</v>
      </c>
      <c r="R620" s="7">
        <v>32509</v>
      </c>
      <c r="S620" s="8">
        <f t="shared" si="80"/>
        <v>1989</v>
      </c>
      <c r="T620" s="8">
        <v>1989</v>
      </c>
      <c r="U620" s="8">
        <f t="shared" si="81"/>
        <v>33</v>
      </c>
      <c r="V620" s="7" t="s">
        <v>2420</v>
      </c>
      <c r="W620" s="11" t="s">
        <v>1449</v>
      </c>
      <c r="X620" s="2">
        <v>2.383</v>
      </c>
      <c r="Y620" s="6">
        <f t="shared" si="78"/>
        <v>6.3612824003630442E-2</v>
      </c>
      <c r="AA620" t="s">
        <v>1448</v>
      </c>
      <c r="AB620">
        <v>101151</v>
      </c>
      <c r="AD620" t="s">
        <v>5</v>
      </c>
      <c r="AE620">
        <v>136</v>
      </c>
      <c r="AF620">
        <v>2</v>
      </c>
      <c r="AH620" t="s">
        <v>2419</v>
      </c>
      <c r="AI620" t="s">
        <v>2418</v>
      </c>
      <c r="AK620" t="s">
        <v>2417</v>
      </c>
      <c r="AL620">
        <v>21</v>
      </c>
      <c r="AM620" s="5">
        <f t="shared" si="82"/>
        <v>0.63636363636363635</v>
      </c>
      <c r="AN620" s="4">
        <f t="shared" si="79"/>
        <v>9.6382224364049431E-4</v>
      </c>
      <c r="AO620" s="3"/>
      <c r="AP620">
        <v>0</v>
      </c>
      <c r="AR620" t="s">
        <v>0</v>
      </c>
      <c r="AT620" s="2" t="s">
        <v>19</v>
      </c>
      <c r="AU620" s="1">
        <f t="shared" si="83"/>
        <v>4.4818123475633458</v>
      </c>
      <c r="AV620" s="1">
        <f t="shared" si="84"/>
        <v>3.2288323123635472</v>
      </c>
      <c r="AW620" s="1">
        <f t="shared" si="85"/>
        <v>1.9758522771637477</v>
      </c>
    </row>
    <row r="621" spans="1:49" x14ac:dyDescent="0.2">
      <c r="A621">
        <v>619</v>
      </c>
      <c r="B621" t="s">
        <v>2416</v>
      </c>
      <c r="C621" t="s">
        <v>2415</v>
      </c>
      <c r="E621">
        <v>2519658</v>
      </c>
      <c r="F621" t="s">
        <v>2414</v>
      </c>
      <c r="G621" t="s">
        <v>15</v>
      </c>
      <c r="H621" t="s">
        <v>14</v>
      </c>
      <c r="I621" t="s">
        <v>2413</v>
      </c>
      <c r="J621">
        <v>60020650</v>
      </c>
      <c r="K621" t="s">
        <v>1102</v>
      </c>
      <c r="L621" t="s">
        <v>1101</v>
      </c>
      <c r="M621" t="s">
        <v>792</v>
      </c>
      <c r="N621">
        <v>1</v>
      </c>
      <c r="O621" t="s">
        <v>2412</v>
      </c>
      <c r="P621">
        <v>7201619376</v>
      </c>
      <c r="Q621">
        <v>60020650</v>
      </c>
      <c r="R621" s="7">
        <v>32509</v>
      </c>
      <c r="S621" s="8">
        <f t="shared" si="80"/>
        <v>1989</v>
      </c>
      <c r="T621" s="8">
        <v>1989</v>
      </c>
      <c r="U621" s="8">
        <f t="shared" si="81"/>
        <v>33</v>
      </c>
      <c r="V621" s="7">
        <v>32599</v>
      </c>
      <c r="W621" t="s">
        <v>2411</v>
      </c>
      <c r="X621" s="2">
        <v>1.028</v>
      </c>
      <c r="Y621" s="6">
        <f t="shared" si="78"/>
        <v>2.744187288112971E-2</v>
      </c>
      <c r="AA621" t="s">
        <v>2410</v>
      </c>
      <c r="AB621">
        <v>17778</v>
      </c>
      <c r="AC621">
        <v>13652915</v>
      </c>
      <c r="AD621" t="s">
        <v>5</v>
      </c>
      <c r="AE621">
        <v>3</v>
      </c>
      <c r="AF621">
        <v>2</v>
      </c>
      <c r="AH621" t="s">
        <v>2409</v>
      </c>
      <c r="AI621" t="s">
        <v>2408</v>
      </c>
      <c r="AJ621" t="s">
        <v>2407</v>
      </c>
      <c r="AK621" t="s">
        <v>2406</v>
      </c>
      <c r="AL621">
        <v>12</v>
      </c>
      <c r="AM621" s="5">
        <f t="shared" si="82"/>
        <v>0.36363636363636365</v>
      </c>
      <c r="AN621" s="4">
        <f t="shared" si="79"/>
        <v>5.5075556779456819E-4</v>
      </c>
      <c r="AO621" s="3"/>
      <c r="AP621">
        <v>0</v>
      </c>
      <c r="AR621" t="s">
        <v>0</v>
      </c>
      <c r="AT621" s="2">
        <v>2.7389999999999999</v>
      </c>
      <c r="AU621" s="1">
        <f t="shared" si="83"/>
        <v>1.9374537687129163</v>
      </c>
      <c r="AV621" s="1">
        <f t="shared" si="84"/>
        <v>1.3996314224462139</v>
      </c>
      <c r="AW621" s="1">
        <f t="shared" si="85"/>
        <v>0.86180907617951097</v>
      </c>
    </row>
    <row r="622" spans="1:49" x14ac:dyDescent="0.2">
      <c r="A622">
        <v>620</v>
      </c>
      <c r="B622" t="s">
        <v>2405</v>
      </c>
      <c r="C622" t="s">
        <v>2404</v>
      </c>
      <c r="D622">
        <v>141542589901222</v>
      </c>
      <c r="E622">
        <v>2704213</v>
      </c>
      <c r="F622" t="s">
        <v>2403</v>
      </c>
      <c r="G622" t="s">
        <v>15</v>
      </c>
      <c r="H622" t="s">
        <v>14</v>
      </c>
      <c r="I622" t="s">
        <v>648</v>
      </c>
      <c r="J622" t="s">
        <v>2398</v>
      </c>
      <c r="K622" t="s">
        <v>2402</v>
      </c>
      <c r="L622" t="s">
        <v>2401</v>
      </c>
      <c r="M622" t="s">
        <v>86</v>
      </c>
      <c r="N622">
        <v>2</v>
      </c>
      <c r="O622" t="s">
        <v>2400</v>
      </c>
      <c r="P622" t="s">
        <v>2399</v>
      </c>
      <c r="Q622" t="s">
        <v>2398</v>
      </c>
      <c r="R622" s="7">
        <v>32509</v>
      </c>
      <c r="S622" s="8">
        <f t="shared" si="80"/>
        <v>1989</v>
      </c>
      <c r="T622" s="8">
        <v>1989</v>
      </c>
      <c r="U622" s="8">
        <f t="shared" si="81"/>
        <v>33</v>
      </c>
      <c r="V622" s="7">
        <v>32568</v>
      </c>
      <c r="W622" t="s">
        <v>2397</v>
      </c>
      <c r="X622" s="2" t="s">
        <v>19</v>
      </c>
      <c r="Y622" s="6" t="e">
        <f t="shared" si="78"/>
        <v>#VALUE!</v>
      </c>
      <c r="AA622">
        <v>1415425</v>
      </c>
      <c r="AB622">
        <v>37667</v>
      </c>
      <c r="AD622" t="s">
        <v>5</v>
      </c>
      <c r="AE622">
        <v>11</v>
      </c>
      <c r="AF622">
        <v>2</v>
      </c>
      <c r="AH622" t="s">
        <v>2396</v>
      </c>
      <c r="AI622" t="s">
        <v>2395</v>
      </c>
      <c r="AJ622" t="s">
        <v>2394</v>
      </c>
      <c r="AK622" t="s">
        <v>2393</v>
      </c>
      <c r="AL622">
        <v>10</v>
      </c>
      <c r="AM622" s="5">
        <f t="shared" si="82"/>
        <v>0.30303030303030304</v>
      </c>
      <c r="AN622" s="4">
        <f t="shared" si="79"/>
        <v>4.5896297316214016E-4</v>
      </c>
      <c r="AO622" s="3"/>
      <c r="AP622">
        <v>0</v>
      </c>
      <c r="AR622">
        <v>23594</v>
      </c>
      <c r="AT622" s="2" t="s">
        <v>19</v>
      </c>
      <c r="AU622" s="1" t="e">
        <f t="shared" si="83"/>
        <v>#VALUE!</v>
      </c>
      <c r="AV622" s="1" t="e">
        <f t="shared" si="84"/>
        <v>#VALUE!</v>
      </c>
      <c r="AW622" s="1" t="e">
        <f t="shared" si="85"/>
        <v>#VALUE!</v>
      </c>
    </row>
    <row r="623" spans="1:49" x14ac:dyDescent="0.2">
      <c r="A623">
        <v>621</v>
      </c>
      <c r="B623" t="s">
        <v>2392</v>
      </c>
      <c r="C623" t="s">
        <v>2391</v>
      </c>
      <c r="F623" t="s">
        <v>2390</v>
      </c>
      <c r="G623" t="s">
        <v>15</v>
      </c>
      <c r="H623" t="s">
        <v>14</v>
      </c>
      <c r="I623" t="s">
        <v>2389</v>
      </c>
      <c r="N623">
        <v>6</v>
      </c>
      <c r="O623" t="s">
        <v>2388</v>
      </c>
      <c r="P623" t="s">
        <v>2387</v>
      </c>
      <c r="Q623" t="s">
        <v>2386</v>
      </c>
      <c r="R623" s="7">
        <v>32509</v>
      </c>
      <c r="S623" s="8">
        <f t="shared" si="80"/>
        <v>1989</v>
      </c>
      <c r="T623" s="8">
        <v>1989</v>
      </c>
      <c r="U623" s="8">
        <f t="shared" si="81"/>
        <v>33</v>
      </c>
      <c r="V623" s="7" t="s">
        <v>1951</v>
      </c>
      <c r="W623" t="s">
        <v>334</v>
      </c>
      <c r="X623" s="2">
        <v>0.371</v>
      </c>
      <c r="Y623" s="6">
        <f t="shared" si="78"/>
        <v>9.9036331117695747E-3</v>
      </c>
      <c r="AA623">
        <v>486604</v>
      </c>
      <c r="AB623">
        <v>28580</v>
      </c>
      <c r="AC623" t="s">
        <v>333</v>
      </c>
      <c r="AD623" t="s">
        <v>5</v>
      </c>
      <c r="AE623">
        <v>24</v>
      </c>
      <c r="AF623">
        <v>2</v>
      </c>
      <c r="AH623" t="s">
        <v>2385</v>
      </c>
      <c r="AI623" t="s">
        <v>2384</v>
      </c>
      <c r="AK623" t="s">
        <v>2383</v>
      </c>
      <c r="AL623">
        <v>10</v>
      </c>
      <c r="AM623" s="5">
        <f t="shared" si="82"/>
        <v>0.30303030303030304</v>
      </c>
      <c r="AN623" s="4">
        <f t="shared" si="79"/>
        <v>4.5896297316214016E-4</v>
      </c>
      <c r="AO623" s="3"/>
      <c r="AP623">
        <v>0</v>
      </c>
      <c r="AR623" t="s">
        <v>0</v>
      </c>
      <c r="AT623" s="2">
        <v>1.431</v>
      </c>
      <c r="AU623" s="1">
        <f t="shared" si="83"/>
        <v>0.70702320701873433</v>
      </c>
      <c r="AV623" s="1">
        <f t="shared" si="84"/>
        <v>0.51812980424658572</v>
      </c>
      <c r="AW623" s="1">
        <f t="shared" si="85"/>
        <v>0.32923640147443706</v>
      </c>
    </row>
    <row r="624" spans="1:49" x14ac:dyDescent="0.2">
      <c r="A624">
        <v>622</v>
      </c>
      <c r="B624" t="s">
        <v>2382</v>
      </c>
      <c r="C624" t="s">
        <v>2381</v>
      </c>
      <c r="F624" t="s">
        <v>2380</v>
      </c>
      <c r="G624" t="s">
        <v>15</v>
      </c>
      <c r="H624" t="s">
        <v>14</v>
      </c>
      <c r="I624" t="s">
        <v>2379</v>
      </c>
      <c r="J624">
        <v>105496348</v>
      </c>
      <c r="K624" t="s">
        <v>2378</v>
      </c>
      <c r="M624" t="s">
        <v>885</v>
      </c>
      <c r="N624">
        <v>2</v>
      </c>
      <c r="O624" t="s">
        <v>2377</v>
      </c>
      <c r="P624" t="s">
        <v>2376</v>
      </c>
      <c r="Q624" t="s">
        <v>2375</v>
      </c>
      <c r="R624" s="7">
        <v>32509</v>
      </c>
      <c r="S624" s="8">
        <f t="shared" si="80"/>
        <v>1989</v>
      </c>
      <c r="T624" s="8">
        <v>1989</v>
      </c>
      <c r="U624" s="8">
        <f t="shared" si="81"/>
        <v>33</v>
      </c>
      <c r="V624" s="7" t="s">
        <v>2321</v>
      </c>
      <c r="W624" t="s">
        <v>2320</v>
      </c>
      <c r="X624" s="2">
        <v>0.34899999999999998</v>
      </c>
      <c r="Y624" s="6">
        <f t="shared" si="78"/>
        <v>9.3163556765702999E-3</v>
      </c>
      <c r="AA624">
        <v>2564602</v>
      </c>
      <c r="AB624">
        <v>18958</v>
      </c>
      <c r="AD624" t="s">
        <v>5</v>
      </c>
      <c r="AE624">
        <v>6</v>
      </c>
      <c r="AF624">
        <v>2</v>
      </c>
      <c r="AH624" t="s">
        <v>2374</v>
      </c>
      <c r="AI624" t="s">
        <v>2373</v>
      </c>
      <c r="AK624" t="s">
        <v>2372</v>
      </c>
      <c r="AL624">
        <v>0</v>
      </c>
      <c r="AM624" s="5">
        <f t="shared" si="82"/>
        <v>0</v>
      </c>
      <c r="AN624" s="4">
        <f t="shared" si="79"/>
        <v>0</v>
      </c>
      <c r="AO624" s="3"/>
      <c r="AP624">
        <v>0</v>
      </c>
      <c r="AR624" t="s">
        <v>0</v>
      </c>
      <c r="AT624" s="2" t="s">
        <v>19</v>
      </c>
      <c r="AU624" s="1">
        <f t="shared" si="83"/>
        <v>0.65214489735992098</v>
      </c>
      <c r="AV624" s="1">
        <f t="shared" si="84"/>
        <v>0.46581778382851502</v>
      </c>
      <c r="AW624" s="1">
        <f t="shared" si="85"/>
        <v>0.279490670297109</v>
      </c>
    </row>
    <row r="625" spans="1:49" x14ac:dyDescent="0.2">
      <c r="A625">
        <v>623</v>
      </c>
      <c r="B625" t="s">
        <v>2371</v>
      </c>
      <c r="C625" t="s">
        <v>2370</v>
      </c>
      <c r="F625" t="s">
        <v>2369</v>
      </c>
      <c r="G625" t="s">
        <v>15</v>
      </c>
      <c r="H625" t="s">
        <v>14</v>
      </c>
      <c r="I625" t="s">
        <v>2368</v>
      </c>
      <c r="N625">
        <v>1</v>
      </c>
      <c r="O625" t="s">
        <v>2006</v>
      </c>
      <c r="P625">
        <v>7004624580</v>
      </c>
      <c r="R625" s="7">
        <v>32509</v>
      </c>
      <c r="S625" s="8">
        <f t="shared" si="80"/>
        <v>1989</v>
      </c>
      <c r="T625" s="8">
        <v>1989</v>
      </c>
      <c r="U625" s="8">
        <f t="shared" si="81"/>
        <v>33</v>
      </c>
      <c r="V625" s="7" t="s">
        <v>1951</v>
      </c>
      <c r="W625" t="s">
        <v>334</v>
      </c>
      <c r="X625" s="2">
        <v>0.371</v>
      </c>
      <c r="Y625" s="6">
        <f t="shared" si="78"/>
        <v>9.9036331117695747E-3</v>
      </c>
      <c r="AA625">
        <v>486604</v>
      </c>
      <c r="AB625">
        <v>28580</v>
      </c>
      <c r="AC625" t="s">
        <v>333</v>
      </c>
      <c r="AD625" t="s">
        <v>5</v>
      </c>
      <c r="AE625">
        <v>24</v>
      </c>
      <c r="AF625">
        <v>2</v>
      </c>
      <c r="AH625" t="s">
        <v>2367</v>
      </c>
      <c r="AI625" t="s">
        <v>2366</v>
      </c>
      <c r="AK625" t="s">
        <v>2365</v>
      </c>
      <c r="AL625">
        <v>9</v>
      </c>
      <c r="AM625" s="5">
        <f t="shared" si="82"/>
        <v>0.27272727272727271</v>
      </c>
      <c r="AN625" s="4">
        <f t="shared" si="79"/>
        <v>4.1306667584592612E-4</v>
      </c>
      <c r="AO625" s="3"/>
      <c r="AP625">
        <v>0</v>
      </c>
      <c r="AR625" t="s">
        <v>0</v>
      </c>
      <c r="AT625" s="2">
        <v>1.431</v>
      </c>
      <c r="AU625" s="1">
        <f t="shared" si="83"/>
        <v>0.70564631809924794</v>
      </c>
      <c r="AV625" s="1">
        <f t="shared" si="84"/>
        <v>0.5158349893807751</v>
      </c>
      <c r="AW625" s="1">
        <f t="shared" si="85"/>
        <v>0.32602366066230204</v>
      </c>
    </row>
    <row r="626" spans="1:49" x14ac:dyDescent="0.2">
      <c r="A626">
        <v>624</v>
      </c>
      <c r="B626" t="s">
        <v>2364</v>
      </c>
      <c r="C626" t="s">
        <v>2363</v>
      </c>
      <c r="F626" t="s">
        <v>2362</v>
      </c>
      <c r="G626" t="s">
        <v>15</v>
      </c>
      <c r="H626" t="s">
        <v>14</v>
      </c>
      <c r="I626" t="s">
        <v>2062</v>
      </c>
      <c r="N626">
        <v>1</v>
      </c>
      <c r="O626" t="s">
        <v>2361</v>
      </c>
      <c r="P626">
        <v>56918333100</v>
      </c>
      <c r="R626" s="7">
        <v>32509</v>
      </c>
      <c r="S626" s="8">
        <f t="shared" si="80"/>
        <v>1989</v>
      </c>
      <c r="T626" s="8">
        <v>1989</v>
      </c>
      <c r="U626" s="8">
        <f t="shared" si="81"/>
        <v>33</v>
      </c>
      <c r="V626" s="7" t="s">
        <v>1951</v>
      </c>
      <c r="W626" t="s">
        <v>334</v>
      </c>
      <c r="X626" s="2">
        <v>0.371</v>
      </c>
      <c r="Y626" s="6">
        <f t="shared" si="78"/>
        <v>9.9036331117695747E-3</v>
      </c>
      <c r="AA626">
        <v>486604</v>
      </c>
      <c r="AB626">
        <v>28580</v>
      </c>
      <c r="AC626" t="s">
        <v>333</v>
      </c>
      <c r="AD626" t="s">
        <v>5</v>
      </c>
      <c r="AE626">
        <v>24</v>
      </c>
      <c r="AF626">
        <v>2</v>
      </c>
      <c r="AH626" t="s">
        <v>2360</v>
      </c>
      <c r="AI626" t="s">
        <v>2359</v>
      </c>
      <c r="AK626" t="s">
        <v>2358</v>
      </c>
      <c r="AL626">
        <v>5</v>
      </c>
      <c r="AM626" s="5">
        <f t="shared" si="82"/>
        <v>0.15151515151515152</v>
      </c>
      <c r="AN626" s="4">
        <f t="shared" si="79"/>
        <v>2.2948148658107008E-4</v>
      </c>
      <c r="AO626" s="3"/>
      <c r="AP626">
        <v>0</v>
      </c>
      <c r="AR626" t="s">
        <v>0</v>
      </c>
      <c r="AT626" s="2">
        <v>1.431</v>
      </c>
      <c r="AU626" s="1">
        <f t="shared" si="83"/>
        <v>0.70013876242130224</v>
      </c>
      <c r="AV626" s="1">
        <f t="shared" si="84"/>
        <v>0.50665572991753227</v>
      </c>
      <c r="AW626" s="1">
        <f t="shared" si="85"/>
        <v>0.31317269741376219</v>
      </c>
    </row>
    <row r="627" spans="1:49" x14ac:dyDescent="0.2">
      <c r="A627">
        <v>625</v>
      </c>
      <c r="B627" t="s">
        <v>2357</v>
      </c>
      <c r="C627" t="s">
        <v>2356</v>
      </c>
      <c r="F627" t="s">
        <v>2355</v>
      </c>
      <c r="G627" t="s">
        <v>15</v>
      </c>
      <c r="H627" t="s">
        <v>14</v>
      </c>
      <c r="I627" t="s">
        <v>2354</v>
      </c>
      <c r="N627">
        <v>2</v>
      </c>
      <c r="O627" t="s">
        <v>2353</v>
      </c>
      <c r="P627" t="s">
        <v>2352</v>
      </c>
      <c r="Q627" t="s">
        <v>1071</v>
      </c>
      <c r="R627" s="7">
        <v>32509</v>
      </c>
      <c r="S627" s="8">
        <f t="shared" si="80"/>
        <v>1989</v>
      </c>
      <c r="T627" s="8">
        <v>1989</v>
      </c>
      <c r="U627" s="8">
        <f t="shared" si="81"/>
        <v>33</v>
      </c>
      <c r="V627" s="7" t="s">
        <v>1951</v>
      </c>
      <c r="W627" t="s">
        <v>334</v>
      </c>
      <c r="X627" s="2">
        <v>0.371</v>
      </c>
      <c r="Y627" s="6">
        <f t="shared" si="78"/>
        <v>9.9036331117695747E-3</v>
      </c>
      <c r="AA627">
        <v>486604</v>
      </c>
      <c r="AB627">
        <v>28580</v>
      </c>
      <c r="AC627" t="s">
        <v>333</v>
      </c>
      <c r="AD627" t="s">
        <v>5</v>
      </c>
      <c r="AE627">
        <v>24</v>
      </c>
      <c r="AF627">
        <v>2</v>
      </c>
      <c r="AH627" t="s">
        <v>2351</v>
      </c>
      <c r="AI627" t="s">
        <v>2350</v>
      </c>
      <c r="AK627" t="s">
        <v>2349</v>
      </c>
      <c r="AL627">
        <v>1</v>
      </c>
      <c r="AM627" s="5">
        <f t="shared" si="82"/>
        <v>3.0303030303030304E-2</v>
      </c>
      <c r="AN627" s="4">
        <f t="shared" si="79"/>
        <v>4.5896297316214016E-5</v>
      </c>
      <c r="AO627" s="3"/>
      <c r="AP627">
        <v>0</v>
      </c>
      <c r="AR627" t="s">
        <v>0</v>
      </c>
      <c r="AT627" s="2">
        <v>1.431</v>
      </c>
      <c r="AU627" s="1">
        <f t="shared" si="83"/>
        <v>0.69463120674335666</v>
      </c>
      <c r="AV627" s="1">
        <f t="shared" si="84"/>
        <v>0.49747647045428939</v>
      </c>
      <c r="AW627" s="1">
        <f t="shared" si="85"/>
        <v>0.30032173416522223</v>
      </c>
    </row>
    <row r="628" spans="1:49" x14ac:dyDescent="0.2">
      <c r="A628">
        <v>626</v>
      </c>
      <c r="B628" t="s">
        <v>2348</v>
      </c>
      <c r="C628" t="s">
        <v>2347</v>
      </c>
      <c r="F628" t="s">
        <v>2346</v>
      </c>
      <c r="G628" t="s">
        <v>15</v>
      </c>
      <c r="H628" t="s">
        <v>14</v>
      </c>
      <c r="I628" t="s">
        <v>2345</v>
      </c>
      <c r="N628">
        <v>2</v>
      </c>
      <c r="O628" t="s">
        <v>2344</v>
      </c>
      <c r="P628" t="s">
        <v>2343</v>
      </c>
      <c r="Q628" t="s">
        <v>1071</v>
      </c>
      <c r="R628" s="7">
        <v>32509</v>
      </c>
      <c r="S628" s="8">
        <f t="shared" si="80"/>
        <v>1989</v>
      </c>
      <c r="T628" s="8">
        <v>1989</v>
      </c>
      <c r="U628" s="8">
        <f t="shared" si="81"/>
        <v>33</v>
      </c>
      <c r="V628" s="7" t="s">
        <v>1951</v>
      </c>
      <c r="W628" t="s">
        <v>334</v>
      </c>
      <c r="X628" s="2">
        <v>0.371</v>
      </c>
      <c r="Y628" s="6">
        <f t="shared" si="78"/>
        <v>9.9036331117695747E-3</v>
      </c>
      <c r="AA628">
        <v>486604</v>
      </c>
      <c r="AB628">
        <v>28580</v>
      </c>
      <c r="AC628" t="s">
        <v>333</v>
      </c>
      <c r="AD628" t="s">
        <v>5</v>
      </c>
      <c r="AE628">
        <v>24</v>
      </c>
      <c r="AF628">
        <v>2</v>
      </c>
      <c r="AH628" t="s">
        <v>2342</v>
      </c>
      <c r="AI628" t="s">
        <v>2341</v>
      </c>
      <c r="AK628" t="s">
        <v>2340</v>
      </c>
      <c r="AL628">
        <v>74</v>
      </c>
      <c r="AM628" s="5">
        <f t="shared" si="82"/>
        <v>2.2424242424242422</v>
      </c>
      <c r="AN628" s="4">
        <f t="shared" si="79"/>
        <v>3.3963260013998367E-3</v>
      </c>
      <c r="AO628" s="3"/>
      <c r="AP628">
        <v>0</v>
      </c>
      <c r="AR628" t="s">
        <v>0</v>
      </c>
      <c r="AT628" s="2">
        <v>1.431</v>
      </c>
      <c r="AU628" s="1">
        <f t="shared" si="83"/>
        <v>0.79514409786586526</v>
      </c>
      <c r="AV628" s="1">
        <f t="shared" si="84"/>
        <v>0.66499795565847053</v>
      </c>
      <c r="AW628" s="1">
        <f t="shared" si="85"/>
        <v>0.5348518134510758</v>
      </c>
    </row>
    <row r="629" spans="1:49" x14ac:dyDescent="0.2">
      <c r="A629">
        <v>627</v>
      </c>
      <c r="B629" t="s">
        <v>2339</v>
      </c>
      <c r="C629" t="s">
        <v>2338</v>
      </c>
      <c r="F629" t="s">
        <v>2337</v>
      </c>
      <c r="G629" t="s">
        <v>15</v>
      </c>
      <c r="H629" t="s">
        <v>14</v>
      </c>
      <c r="I629" t="s">
        <v>2336</v>
      </c>
      <c r="N629">
        <v>3</v>
      </c>
      <c r="O629" t="s">
        <v>2335</v>
      </c>
      <c r="P629" t="s">
        <v>2334</v>
      </c>
      <c r="Q629" t="s">
        <v>296</v>
      </c>
      <c r="R629" s="7">
        <v>32509</v>
      </c>
      <c r="S629" s="8">
        <f t="shared" si="80"/>
        <v>1989</v>
      </c>
      <c r="T629" s="8">
        <v>1989</v>
      </c>
      <c r="U629" s="8">
        <f t="shared" si="81"/>
        <v>33</v>
      </c>
      <c r="V629" s="7" t="s">
        <v>1951</v>
      </c>
      <c r="W629" t="s">
        <v>334</v>
      </c>
      <c r="X629" s="2">
        <v>0.371</v>
      </c>
      <c r="Y629" s="6">
        <f t="shared" si="78"/>
        <v>9.9036331117695747E-3</v>
      </c>
      <c r="AA629">
        <v>486604</v>
      </c>
      <c r="AB629">
        <v>28580</v>
      </c>
      <c r="AC629" t="s">
        <v>333</v>
      </c>
      <c r="AD629" t="s">
        <v>5</v>
      </c>
      <c r="AE629">
        <v>24</v>
      </c>
      <c r="AF629">
        <v>2</v>
      </c>
      <c r="AH629" t="s">
        <v>2333</v>
      </c>
      <c r="AI629" t="s">
        <v>2332</v>
      </c>
      <c r="AK629" t="s">
        <v>2331</v>
      </c>
      <c r="AL629">
        <v>16</v>
      </c>
      <c r="AM629" s="5">
        <f t="shared" si="82"/>
        <v>0.48484848484848486</v>
      </c>
      <c r="AN629" s="4">
        <f t="shared" si="79"/>
        <v>7.3434075705942426E-4</v>
      </c>
      <c r="AO629" s="3"/>
      <c r="AP629">
        <v>0</v>
      </c>
      <c r="AR629" t="s">
        <v>0</v>
      </c>
      <c r="AT629" s="2">
        <v>1.431</v>
      </c>
      <c r="AU629" s="1">
        <f t="shared" si="83"/>
        <v>0.71528454053565294</v>
      </c>
      <c r="AV629" s="1">
        <f t="shared" si="84"/>
        <v>0.53189869344144991</v>
      </c>
      <c r="AW629" s="1">
        <f t="shared" si="85"/>
        <v>0.34851284634724694</v>
      </c>
    </row>
    <row r="630" spans="1:49" x14ac:dyDescent="0.2">
      <c r="A630">
        <v>628</v>
      </c>
      <c r="B630" t="s">
        <v>2330</v>
      </c>
      <c r="C630" t="s">
        <v>2329</v>
      </c>
      <c r="F630" t="s">
        <v>2328</v>
      </c>
      <c r="G630" t="s">
        <v>15</v>
      </c>
      <c r="H630" t="s">
        <v>14</v>
      </c>
      <c r="I630" t="s">
        <v>2327</v>
      </c>
      <c r="J630">
        <v>118782112</v>
      </c>
      <c r="K630" t="s">
        <v>2326</v>
      </c>
      <c r="L630" t="s">
        <v>2325</v>
      </c>
      <c r="M630" t="s">
        <v>885</v>
      </c>
      <c r="N630">
        <v>3</v>
      </c>
      <c r="O630" t="s">
        <v>2324</v>
      </c>
      <c r="P630" t="s">
        <v>2323</v>
      </c>
      <c r="Q630" t="s">
        <v>2322</v>
      </c>
      <c r="R630" s="7">
        <v>32509</v>
      </c>
      <c r="S630" s="8">
        <f t="shared" si="80"/>
        <v>1989</v>
      </c>
      <c r="T630" s="8">
        <v>1989</v>
      </c>
      <c r="U630" s="8">
        <f t="shared" si="81"/>
        <v>33</v>
      </c>
      <c r="V630" s="7" t="s">
        <v>2321</v>
      </c>
      <c r="W630" t="s">
        <v>2320</v>
      </c>
      <c r="X630" s="2">
        <v>0.34899999999999998</v>
      </c>
      <c r="Y630" s="6">
        <f t="shared" si="78"/>
        <v>9.3163556765702999E-3</v>
      </c>
      <c r="AA630">
        <v>2564602</v>
      </c>
      <c r="AB630">
        <v>18958</v>
      </c>
      <c r="AD630" t="s">
        <v>5</v>
      </c>
      <c r="AE630">
        <v>6</v>
      </c>
      <c r="AF630">
        <v>2</v>
      </c>
      <c r="AH630" t="s">
        <v>2319</v>
      </c>
      <c r="AI630" t="s">
        <v>2318</v>
      </c>
      <c r="AK630" t="s">
        <v>2317</v>
      </c>
      <c r="AL630">
        <v>2</v>
      </c>
      <c r="AM630" s="5">
        <f t="shared" si="82"/>
        <v>6.0606060606060608E-2</v>
      </c>
      <c r="AN630" s="4">
        <f t="shared" si="79"/>
        <v>9.1792594632428032E-5</v>
      </c>
      <c r="AO630" s="3"/>
      <c r="AP630">
        <v>0</v>
      </c>
      <c r="AR630" t="s">
        <v>0</v>
      </c>
      <c r="AT630" s="2" t="s">
        <v>19</v>
      </c>
      <c r="AU630" s="1">
        <f t="shared" si="83"/>
        <v>0.65489867519889389</v>
      </c>
      <c r="AV630" s="1">
        <f t="shared" si="84"/>
        <v>0.47040741356013643</v>
      </c>
      <c r="AW630" s="1">
        <f t="shared" si="85"/>
        <v>0.28591615192137892</v>
      </c>
    </row>
    <row r="631" spans="1:49" x14ac:dyDescent="0.2">
      <c r="A631">
        <v>629</v>
      </c>
      <c r="B631" t="s">
        <v>2316</v>
      </c>
      <c r="C631" t="s">
        <v>2315</v>
      </c>
      <c r="F631" t="s">
        <v>2314</v>
      </c>
      <c r="G631" t="s">
        <v>15</v>
      </c>
      <c r="H631" t="s">
        <v>14</v>
      </c>
      <c r="I631" t="s">
        <v>2313</v>
      </c>
      <c r="J631">
        <v>60017293</v>
      </c>
      <c r="K631" t="s">
        <v>2312</v>
      </c>
      <c r="L631" t="s">
        <v>2311</v>
      </c>
      <c r="M631" t="s">
        <v>101</v>
      </c>
      <c r="N631">
        <v>1</v>
      </c>
      <c r="O631" t="s">
        <v>2310</v>
      </c>
      <c r="P631">
        <v>7006097620</v>
      </c>
      <c r="Q631">
        <v>60017293</v>
      </c>
      <c r="R631" s="7">
        <v>32509</v>
      </c>
      <c r="S631" s="8">
        <f t="shared" si="80"/>
        <v>1989</v>
      </c>
      <c r="T631" s="8">
        <v>1989</v>
      </c>
      <c r="U631" s="8">
        <f t="shared" si="81"/>
        <v>33</v>
      </c>
      <c r="V631" s="7">
        <v>32568</v>
      </c>
      <c r="W631" t="s">
        <v>778</v>
      </c>
      <c r="X631" s="2">
        <v>1.6519999999999999</v>
      </c>
      <c r="Y631" s="6">
        <f t="shared" si="78"/>
        <v>4.409919649769093E-2</v>
      </c>
      <c r="AA631" t="s">
        <v>777</v>
      </c>
      <c r="AB631">
        <v>17337</v>
      </c>
      <c r="AC631">
        <v>15582221</v>
      </c>
      <c r="AD631" t="s">
        <v>5</v>
      </c>
      <c r="AE631">
        <v>37</v>
      </c>
      <c r="AF631">
        <v>3</v>
      </c>
      <c r="AH631" t="s">
        <v>2309</v>
      </c>
      <c r="AI631" t="s">
        <v>2308</v>
      </c>
      <c r="AK631" t="s">
        <v>2307</v>
      </c>
      <c r="AL631">
        <v>7</v>
      </c>
      <c r="AM631" s="5">
        <f t="shared" si="82"/>
        <v>0.21212121212121213</v>
      </c>
      <c r="AN631" s="4">
        <f t="shared" si="79"/>
        <v>3.2127408121349809E-4</v>
      </c>
      <c r="AO631" s="3"/>
      <c r="AP631">
        <v>0</v>
      </c>
      <c r="AR631" t="s">
        <v>0</v>
      </c>
      <c r="AT631" s="2" t="s">
        <v>19</v>
      </c>
      <c r="AU631" s="1">
        <f t="shared" si="83"/>
        <v>3.09658197727477</v>
      </c>
      <c r="AV631" s="1">
        <f t="shared" si="84"/>
        <v>2.2210235289452216</v>
      </c>
      <c r="AW631" s="1">
        <f t="shared" si="85"/>
        <v>1.3454650806156727</v>
      </c>
    </row>
    <row r="632" spans="1:49" x14ac:dyDescent="0.2">
      <c r="A632">
        <v>630</v>
      </c>
      <c r="B632" t="s">
        <v>2306</v>
      </c>
      <c r="C632" t="s">
        <v>2305</v>
      </c>
      <c r="F632" t="s">
        <v>2304</v>
      </c>
      <c r="G632" t="s">
        <v>15</v>
      </c>
      <c r="H632" t="s">
        <v>14</v>
      </c>
      <c r="I632" t="s">
        <v>2303</v>
      </c>
      <c r="J632">
        <v>60016082</v>
      </c>
      <c r="K632" t="s">
        <v>2302</v>
      </c>
      <c r="L632" t="s">
        <v>2301</v>
      </c>
      <c r="M632" t="s">
        <v>259</v>
      </c>
      <c r="N632">
        <v>4</v>
      </c>
      <c r="O632" t="s">
        <v>2300</v>
      </c>
      <c r="P632" t="s">
        <v>2299</v>
      </c>
      <c r="Q632" t="s">
        <v>2298</v>
      </c>
      <c r="R632" s="7">
        <v>32509</v>
      </c>
      <c r="S632" s="8">
        <f t="shared" si="80"/>
        <v>1989</v>
      </c>
      <c r="T632" s="8">
        <v>1989</v>
      </c>
      <c r="U632" s="8">
        <f t="shared" si="81"/>
        <v>33</v>
      </c>
      <c r="V632" s="7" t="s">
        <v>1889</v>
      </c>
      <c r="W632" t="s">
        <v>2235</v>
      </c>
      <c r="X632" s="2" t="s">
        <v>19</v>
      </c>
      <c r="Y632" s="6" t="e">
        <f t="shared" si="78"/>
        <v>#VALUE!</v>
      </c>
      <c r="AA632">
        <v>59021</v>
      </c>
      <c r="AB632">
        <v>37764</v>
      </c>
      <c r="AD632" t="s">
        <v>5</v>
      </c>
      <c r="AE632">
        <v>93</v>
      </c>
      <c r="AF632">
        <v>3</v>
      </c>
      <c r="AH632" t="s">
        <v>2297</v>
      </c>
      <c r="AI632" t="s">
        <v>2296</v>
      </c>
      <c r="AK632" t="s">
        <v>2295</v>
      </c>
      <c r="AL632">
        <v>2</v>
      </c>
      <c r="AM632" s="5">
        <f t="shared" si="82"/>
        <v>6.0606060606060608E-2</v>
      </c>
      <c r="AN632" s="4">
        <f t="shared" si="79"/>
        <v>9.1792594632428032E-5</v>
      </c>
      <c r="AO632" s="3"/>
      <c r="AP632">
        <v>0</v>
      </c>
      <c r="AR632" t="s">
        <v>0</v>
      </c>
      <c r="AT632" s="2" t="s">
        <v>19</v>
      </c>
      <c r="AU632" s="1" t="e">
        <f t="shared" si="83"/>
        <v>#VALUE!</v>
      </c>
      <c r="AV632" s="1" t="e">
        <f t="shared" si="84"/>
        <v>#VALUE!</v>
      </c>
      <c r="AW632" s="1" t="e">
        <f t="shared" si="85"/>
        <v>#VALUE!</v>
      </c>
    </row>
    <row r="633" spans="1:49" x14ac:dyDescent="0.2">
      <c r="A633">
        <v>631</v>
      </c>
      <c r="B633" t="s">
        <v>2294</v>
      </c>
      <c r="C633" t="s">
        <v>2293</v>
      </c>
      <c r="F633" t="s">
        <v>2292</v>
      </c>
      <c r="G633" t="s">
        <v>15</v>
      </c>
      <c r="H633" t="s">
        <v>14</v>
      </c>
      <c r="I633" t="s">
        <v>2291</v>
      </c>
      <c r="J633">
        <v>60027550</v>
      </c>
      <c r="K633" t="s">
        <v>482</v>
      </c>
      <c r="L633" t="s">
        <v>481</v>
      </c>
      <c r="M633" t="s">
        <v>23</v>
      </c>
      <c r="N633">
        <v>2</v>
      </c>
      <c r="O633" t="s">
        <v>2290</v>
      </c>
      <c r="P633" t="s">
        <v>2289</v>
      </c>
      <c r="Q633" t="s">
        <v>2288</v>
      </c>
      <c r="R633" s="7">
        <v>32509</v>
      </c>
      <c r="S633" s="8">
        <f t="shared" si="80"/>
        <v>1989</v>
      </c>
      <c r="T633" s="8">
        <v>1989</v>
      </c>
      <c r="U633" s="8">
        <f t="shared" si="81"/>
        <v>33</v>
      </c>
      <c r="V633" s="7">
        <v>32568</v>
      </c>
      <c r="W633" t="s">
        <v>360</v>
      </c>
      <c r="X633" s="2">
        <v>1.3720000000000001</v>
      </c>
      <c r="Y633" s="6">
        <f t="shared" si="78"/>
        <v>3.662475641333654E-2</v>
      </c>
      <c r="AA633">
        <v>189480</v>
      </c>
      <c r="AB633">
        <v>17366</v>
      </c>
      <c r="AC633">
        <v>15579670</v>
      </c>
      <c r="AD633" t="s">
        <v>5</v>
      </c>
      <c r="AE633">
        <v>37</v>
      </c>
      <c r="AF633">
        <v>3</v>
      </c>
      <c r="AH633" t="s">
        <v>2287</v>
      </c>
      <c r="AI633" t="s">
        <v>2286</v>
      </c>
      <c r="AK633" t="s">
        <v>2285</v>
      </c>
      <c r="AL633">
        <v>13</v>
      </c>
      <c r="AM633" s="5">
        <f t="shared" si="82"/>
        <v>0.39393939393939392</v>
      </c>
      <c r="AN633" s="4">
        <f t="shared" si="79"/>
        <v>5.9665186511078218E-4</v>
      </c>
      <c r="AO633" s="3"/>
      <c r="AP633">
        <v>0</v>
      </c>
      <c r="AQ633" t="s">
        <v>2284</v>
      </c>
      <c r="AR633" t="s">
        <v>0</v>
      </c>
      <c r="AS633" t="s">
        <v>2283</v>
      </c>
      <c r="AT633" s="2" t="s">
        <v>19</v>
      </c>
      <c r="AU633" s="1">
        <f t="shared" si="83"/>
        <v>2.5816325048868811</v>
      </c>
      <c r="AV633" s="1">
        <f t="shared" si="84"/>
        <v>1.8610704139223662</v>
      </c>
      <c r="AW633" s="1">
        <f t="shared" si="85"/>
        <v>1.140508322957851</v>
      </c>
    </row>
    <row r="634" spans="1:49" x14ac:dyDescent="0.2">
      <c r="A634">
        <v>632</v>
      </c>
      <c r="B634" t="s">
        <v>2282</v>
      </c>
      <c r="C634" t="s">
        <v>2281</v>
      </c>
      <c r="F634" t="s">
        <v>2280</v>
      </c>
      <c r="G634" t="s">
        <v>15</v>
      </c>
      <c r="H634" t="s">
        <v>14</v>
      </c>
      <c r="I634" t="s">
        <v>2279</v>
      </c>
      <c r="J634">
        <v>60027271</v>
      </c>
      <c r="K634" t="s">
        <v>2278</v>
      </c>
      <c r="L634" t="s">
        <v>24</v>
      </c>
      <c r="M634" t="s">
        <v>23</v>
      </c>
      <c r="N634">
        <v>1</v>
      </c>
      <c r="O634" t="s">
        <v>2277</v>
      </c>
      <c r="P634">
        <v>7202493986</v>
      </c>
      <c r="Q634">
        <v>60027271</v>
      </c>
      <c r="R634" s="7">
        <v>32509</v>
      </c>
      <c r="S634" s="8">
        <f t="shared" si="80"/>
        <v>1989</v>
      </c>
      <c r="T634" s="8">
        <v>1989</v>
      </c>
      <c r="U634" s="8">
        <f t="shared" si="81"/>
        <v>33</v>
      </c>
      <c r="V634" s="7">
        <v>32568</v>
      </c>
      <c r="W634" t="s">
        <v>778</v>
      </c>
      <c r="X634" s="2">
        <v>1.6519999999999999</v>
      </c>
      <c r="Y634" s="6">
        <f t="shared" si="78"/>
        <v>4.409919649769093E-2</v>
      </c>
      <c r="AA634" t="s">
        <v>777</v>
      </c>
      <c r="AB634">
        <v>17337</v>
      </c>
      <c r="AC634">
        <v>15582221</v>
      </c>
      <c r="AD634" t="s">
        <v>5</v>
      </c>
      <c r="AE634">
        <v>37</v>
      </c>
      <c r="AF634">
        <v>3</v>
      </c>
      <c r="AH634" t="s">
        <v>2276</v>
      </c>
      <c r="AI634" t="s">
        <v>2275</v>
      </c>
      <c r="AK634" t="s">
        <v>2274</v>
      </c>
      <c r="AL634">
        <v>11</v>
      </c>
      <c r="AM634" s="5">
        <f t="shared" si="82"/>
        <v>0.33333333333333331</v>
      </c>
      <c r="AN634" s="4">
        <f t="shared" si="79"/>
        <v>5.048592704783541E-4</v>
      </c>
      <c r="AO634" s="3"/>
      <c r="AP634">
        <v>0</v>
      </c>
      <c r="AR634" t="s">
        <v>0</v>
      </c>
      <c r="AT634" s="2" t="s">
        <v>19</v>
      </c>
      <c r="AU634" s="1">
        <f t="shared" si="83"/>
        <v>3.1020895329527156</v>
      </c>
      <c r="AV634" s="1">
        <f t="shared" si="84"/>
        <v>2.2302027884084641</v>
      </c>
      <c r="AW634" s="1">
        <f t="shared" si="85"/>
        <v>1.3583160438642126</v>
      </c>
    </row>
    <row r="635" spans="1:49" x14ac:dyDescent="0.2">
      <c r="A635">
        <v>633</v>
      </c>
      <c r="B635" t="s">
        <v>2273</v>
      </c>
      <c r="C635" t="s">
        <v>2272</v>
      </c>
      <c r="F635" t="s">
        <v>2271</v>
      </c>
      <c r="G635" t="s">
        <v>15</v>
      </c>
      <c r="H635" t="s">
        <v>14</v>
      </c>
      <c r="I635" t="s">
        <v>2270</v>
      </c>
      <c r="J635">
        <v>60103907</v>
      </c>
      <c r="K635" t="s">
        <v>2269</v>
      </c>
      <c r="L635" t="s">
        <v>1496</v>
      </c>
      <c r="M635" t="s">
        <v>115</v>
      </c>
      <c r="N635">
        <v>2</v>
      </c>
      <c r="O635" t="s">
        <v>2268</v>
      </c>
      <c r="P635" t="s">
        <v>2267</v>
      </c>
      <c r="Q635" t="s">
        <v>2266</v>
      </c>
      <c r="R635" s="7">
        <v>32509</v>
      </c>
      <c r="S635" s="8">
        <f t="shared" si="80"/>
        <v>1989</v>
      </c>
      <c r="T635" s="8">
        <v>1989</v>
      </c>
      <c r="U635" s="8">
        <f t="shared" si="81"/>
        <v>33</v>
      </c>
      <c r="V635" s="7">
        <v>32568</v>
      </c>
      <c r="W635" t="s">
        <v>2256</v>
      </c>
      <c r="X635" s="2">
        <v>0.78200000000000003</v>
      </c>
      <c r="Y635" s="6">
        <f t="shared" si="78"/>
        <v>2.0875043378446919E-2</v>
      </c>
      <c r="AA635">
        <v>189316</v>
      </c>
      <c r="AB635">
        <v>19901</v>
      </c>
      <c r="AC635">
        <v>15579611</v>
      </c>
      <c r="AD635" t="s">
        <v>5</v>
      </c>
      <c r="AE635">
        <v>35</v>
      </c>
      <c r="AF635">
        <v>1</v>
      </c>
      <c r="AH635" t="s">
        <v>2265</v>
      </c>
      <c r="AI635" t="s">
        <v>2264</v>
      </c>
      <c r="AK635" t="s">
        <v>2263</v>
      </c>
      <c r="AL635">
        <v>20</v>
      </c>
      <c r="AM635" s="5">
        <f t="shared" si="82"/>
        <v>0.60606060606060608</v>
      </c>
      <c r="AN635" s="4">
        <f t="shared" si="79"/>
        <v>9.1792594632428032E-4</v>
      </c>
      <c r="AO635" s="3"/>
      <c r="AP635">
        <v>0</v>
      </c>
      <c r="AR635" t="s">
        <v>0</v>
      </c>
      <c r="AT635" s="2">
        <v>3.863</v>
      </c>
      <c r="AU635" s="1">
        <f t="shared" si="83"/>
        <v>1.4887908148810125</v>
      </c>
      <c r="AV635" s="1">
        <f t="shared" si="84"/>
        <v>1.0896484662385599</v>
      </c>
      <c r="AW635" s="1">
        <f t="shared" si="85"/>
        <v>0.69050611759610714</v>
      </c>
    </row>
    <row r="636" spans="1:49" x14ac:dyDescent="0.2">
      <c r="A636">
        <v>634</v>
      </c>
      <c r="B636" t="s">
        <v>2262</v>
      </c>
      <c r="C636" t="s">
        <v>2261</v>
      </c>
      <c r="F636" t="s">
        <v>2260</v>
      </c>
      <c r="G636" t="s">
        <v>15</v>
      </c>
      <c r="H636" t="s">
        <v>14</v>
      </c>
      <c r="I636" t="s">
        <v>2259</v>
      </c>
      <c r="N636">
        <v>2</v>
      </c>
      <c r="O636" t="s">
        <v>2258</v>
      </c>
      <c r="P636" t="s">
        <v>2257</v>
      </c>
      <c r="Q636" t="s">
        <v>1071</v>
      </c>
      <c r="R636" s="7">
        <v>32509</v>
      </c>
      <c r="S636" s="8">
        <f t="shared" si="80"/>
        <v>1989</v>
      </c>
      <c r="T636" s="8">
        <v>1989</v>
      </c>
      <c r="U636" s="8">
        <f t="shared" si="81"/>
        <v>33</v>
      </c>
      <c r="V636" s="7">
        <v>32568</v>
      </c>
      <c r="W636" t="s">
        <v>2256</v>
      </c>
      <c r="X636" s="2">
        <v>0.78200000000000003</v>
      </c>
      <c r="Y636" s="6">
        <f t="shared" si="78"/>
        <v>2.0875043378446919E-2</v>
      </c>
      <c r="AA636">
        <v>189316</v>
      </c>
      <c r="AB636">
        <v>19901</v>
      </c>
      <c r="AC636">
        <v>15579611</v>
      </c>
      <c r="AD636" t="s">
        <v>5</v>
      </c>
      <c r="AE636">
        <v>35</v>
      </c>
      <c r="AF636">
        <v>1</v>
      </c>
      <c r="AH636" s="10">
        <v>44774</v>
      </c>
      <c r="AL636">
        <v>3</v>
      </c>
      <c r="AM636" s="5">
        <f t="shared" si="82"/>
        <v>9.0909090909090912E-2</v>
      </c>
      <c r="AN636" s="4">
        <f t="shared" si="79"/>
        <v>1.3768889194864205E-4</v>
      </c>
      <c r="AO636" s="3"/>
      <c r="AP636">
        <v>0</v>
      </c>
      <c r="AR636" t="s">
        <v>0</v>
      </c>
      <c r="AT636" s="2">
        <v>3.863</v>
      </c>
      <c r="AU636" s="1">
        <f t="shared" si="83"/>
        <v>1.4653837032497434</v>
      </c>
      <c r="AV636" s="1">
        <f t="shared" si="84"/>
        <v>1.050636613519778</v>
      </c>
      <c r="AW636" s="1">
        <f t="shared" si="85"/>
        <v>0.63588952378981256</v>
      </c>
    </row>
    <row r="637" spans="1:49" x14ac:dyDescent="0.2">
      <c r="A637">
        <v>635</v>
      </c>
      <c r="B637" t="s">
        <v>2255</v>
      </c>
      <c r="C637" t="s">
        <v>2254</v>
      </c>
      <c r="F637" t="s">
        <v>2253</v>
      </c>
      <c r="G637" t="s">
        <v>15</v>
      </c>
      <c r="H637" t="s">
        <v>14</v>
      </c>
      <c r="I637" t="s">
        <v>2252</v>
      </c>
      <c r="J637">
        <v>60025997</v>
      </c>
      <c r="K637" t="s">
        <v>2251</v>
      </c>
      <c r="L637" t="s">
        <v>1496</v>
      </c>
      <c r="M637" t="s">
        <v>115</v>
      </c>
      <c r="N637">
        <v>2</v>
      </c>
      <c r="O637" t="s">
        <v>2250</v>
      </c>
      <c r="P637" t="s">
        <v>2249</v>
      </c>
      <c r="Q637" t="s">
        <v>2248</v>
      </c>
      <c r="R637" s="7">
        <v>32509</v>
      </c>
      <c r="S637" s="8">
        <f t="shared" si="80"/>
        <v>1989</v>
      </c>
      <c r="T637" s="8">
        <v>1989</v>
      </c>
      <c r="U637" s="8">
        <f t="shared" si="81"/>
        <v>33</v>
      </c>
      <c r="V637" s="7">
        <v>32568</v>
      </c>
      <c r="W637" t="s">
        <v>2247</v>
      </c>
      <c r="X637" s="2">
        <v>0.111</v>
      </c>
      <c r="Y637" s="6">
        <f t="shared" si="78"/>
        <v>2.9630816048690639E-3</v>
      </c>
      <c r="AA637">
        <v>87566621</v>
      </c>
      <c r="AB637">
        <v>24890</v>
      </c>
      <c r="AC637">
        <v>15206424</v>
      </c>
      <c r="AD637" t="s">
        <v>5</v>
      </c>
      <c r="AE637">
        <v>72</v>
      </c>
      <c r="AF637">
        <v>3</v>
      </c>
      <c r="AH637" t="s">
        <v>2246</v>
      </c>
      <c r="AI637" t="s">
        <v>2245</v>
      </c>
      <c r="AK637" t="s">
        <v>2244</v>
      </c>
      <c r="AL637">
        <v>0</v>
      </c>
      <c r="AM637" s="5">
        <f t="shared" si="82"/>
        <v>0</v>
      </c>
      <c r="AN637" s="4">
        <f t="shared" si="79"/>
        <v>0</v>
      </c>
      <c r="AO637" s="3"/>
      <c r="AP637">
        <v>0</v>
      </c>
      <c r="AR637" t="s">
        <v>0</v>
      </c>
      <c r="AT637" s="2" t="s">
        <v>19</v>
      </c>
      <c r="AU637" s="1">
        <f t="shared" si="83"/>
        <v>0.20741571234083445</v>
      </c>
      <c r="AV637" s="1">
        <f t="shared" si="84"/>
        <v>0.1481540802434532</v>
      </c>
      <c r="AW637" s="1">
        <f t="shared" si="85"/>
        <v>8.8892448146071903E-2</v>
      </c>
    </row>
    <row r="638" spans="1:49" x14ac:dyDescent="0.2">
      <c r="A638">
        <v>636</v>
      </c>
      <c r="B638" t="s">
        <v>2243</v>
      </c>
      <c r="C638" t="s">
        <v>2242</v>
      </c>
      <c r="F638" t="s">
        <v>2241</v>
      </c>
      <c r="G638" t="s">
        <v>15</v>
      </c>
      <c r="H638" t="s">
        <v>14</v>
      </c>
      <c r="I638" t="s">
        <v>2240</v>
      </c>
      <c r="J638">
        <v>60019722</v>
      </c>
      <c r="K638" t="s">
        <v>2239</v>
      </c>
      <c r="L638" t="s">
        <v>493</v>
      </c>
      <c r="M638" t="s">
        <v>259</v>
      </c>
      <c r="N638">
        <v>6</v>
      </c>
      <c r="O638" t="s">
        <v>2238</v>
      </c>
      <c r="P638" t="s">
        <v>2237</v>
      </c>
      <c r="Q638" t="s">
        <v>2236</v>
      </c>
      <c r="R638" s="7">
        <v>32509</v>
      </c>
      <c r="S638" s="8">
        <f t="shared" si="80"/>
        <v>1989</v>
      </c>
      <c r="T638" s="8">
        <v>1989</v>
      </c>
      <c r="U638" s="8">
        <f t="shared" si="81"/>
        <v>33</v>
      </c>
      <c r="V638" s="7" t="s">
        <v>1889</v>
      </c>
      <c r="W638" t="s">
        <v>2235</v>
      </c>
      <c r="X638" s="2" t="s">
        <v>19</v>
      </c>
      <c r="Y638" s="6" t="e">
        <f t="shared" si="78"/>
        <v>#VALUE!</v>
      </c>
      <c r="AA638">
        <v>59021</v>
      </c>
      <c r="AB638">
        <v>37764</v>
      </c>
      <c r="AD638" t="s">
        <v>5</v>
      </c>
      <c r="AE638">
        <v>93</v>
      </c>
      <c r="AF638">
        <v>3</v>
      </c>
      <c r="AH638" t="s">
        <v>2234</v>
      </c>
      <c r="AI638" t="s">
        <v>2233</v>
      </c>
      <c r="AK638" t="s">
        <v>2232</v>
      </c>
      <c r="AL638">
        <v>1</v>
      </c>
      <c r="AM638" s="5">
        <f t="shared" si="82"/>
        <v>3.0303030303030304E-2</v>
      </c>
      <c r="AN638" s="4">
        <f t="shared" si="79"/>
        <v>4.5896297316214016E-5</v>
      </c>
      <c r="AO638" s="3"/>
      <c r="AP638">
        <v>0</v>
      </c>
      <c r="AR638" t="s">
        <v>0</v>
      </c>
      <c r="AT638" s="2" t="s">
        <v>19</v>
      </c>
      <c r="AU638" s="1" t="e">
        <f t="shared" si="83"/>
        <v>#VALUE!</v>
      </c>
      <c r="AV638" s="1" t="e">
        <f t="shared" si="84"/>
        <v>#VALUE!</v>
      </c>
      <c r="AW638" s="1" t="e">
        <f t="shared" si="85"/>
        <v>#VALUE!</v>
      </c>
    </row>
    <row r="639" spans="1:49" x14ac:dyDescent="0.2">
      <c r="A639">
        <v>637</v>
      </c>
      <c r="B639" t="s">
        <v>2231</v>
      </c>
      <c r="C639" t="s">
        <v>2230</v>
      </c>
      <c r="F639" t="s">
        <v>2229</v>
      </c>
      <c r="G639" t="s">
        <v>15</v>
      </c>
      <c r="H639" t="s">
        <v>14</v>
      </c>
      <c r="I639" t="s">
        <v>2228</v>
      </c>
      <c r="J639">
        <v>60007843</v>
      </c>
      <c r="K639" t="s">
        <v>2227</v>
      </c>
      <c r="L639" t="s">
        <v>2226</v>
      </c>
      <c r="M639" t="s">
        <v>23</v>
      </c>
      <c r="N639">
        <v>1</v>
      </c>
      <c r="O639" t="s">
        <v>2225</v>
      </c>
      <c r="P639">
        <v>7402919773</v>
      </c>
      <c r="Q639">
        <v>60007843</v>
      </c>
      <c r="R639" s="7">
        <v>32509</v>
      </c>
      <c r="S639" s="8">
        <f t="shared" si="80"/>
        <v>1989</v>
      </c>
      <c r="T639" s="8">
        <v>1989</v>
      </c>
      <c r="U639" s="8">
        <f t="shared" si="81"/>
        <v>33</v>
      </c>
      <c r="V639" s="7">
        <v>32568</v>
      </c>
      <c r="W639" t="s">
        <v>778</v>
      </c>
      <c r="X639" s="2">
        <v>1.6519999999999999</v>
      </c>
      <c r="Y639" s="6">
        <f t="shared" si="78"/>
        <v>4.409919649769093E-2</v>
      </c>
      <c r="AA639" t="s">
        <v>777</v>
      </c>
      <c r="AB639">
        <v>17337</v>
      </c>
      <c r="AC639">
        <v>15582221</v>
      </c>
      <c r="AD639" t="s">
        <v>5</v>
      </c>
      <c r="AE639">
        <v>37</v>
      </c>
      <c r="AF639">
        <v>3</v>
      </c>
      <c r="AH639" t="s">
        <v>2224</v>
      </c>
      <c r="AI639" t="s">
        <v>2223</v>
      </c>
      <c r="AK639" t="s">
        <v>2222</v>
      </c>
      <c r="AL639">
        <v>0</v>
      </c>
      <c r="AM639" s="5">
        <f t="shared" si="82"/>
        <v>0</v>
      </c>
      <c r="AN639" s="4">
        <f t="shared" si="79"/>
        <v>0</v>
      </c>
      <c r="AO639" s="3"/>
      <c r="AP639">
        <v>0</v>
      </c>
      <c r="AR639" t="s">
        <v>0</v>
      </c>
      <c r="AT639" s="2" t="s">
        <v>19</v>
      </c>
      <c r="AU639" s="1">
        <f t="shared" si="83"/>
        <v>3.0869437548383649</v>
      </c>
      <c r="AV639" s="1">
        <f t="shared" si="84"/>
        <v>2.2049598248845466</v>
      </c>
      <c r="AW639" s="1">
        <f t="shared" si="85"/>
        <v>1.3229758949307278</v>
      </c>
    </row>
    <row r="640" spans="1:49" x14ac:dyDescent="0.2">
      <c r="A640">
        <v>638</v>
      </c>
      <c r="B640" t="s">
        <v>2221</v>
      </c>
      <c r="C640" t="s">
        <v>2220</v>
      </c>
      <c r="F640" t="s">
        <v>2219</v>
      </c>
      <c r="G640" t="s">
        <v>15</v>
      </c>
      <c r="H640" t="s">
        <v>14</v>
      </c>
      <c r="I640" t="s">
        <v>2218</v>
      </c>
      <c r="J640">
        <v>60005837</v>
      </c>
      <c r="K640" t="s">
        <v>1654</v>
      </c>
      <c r="L640" t="s">
        <v>1165</v>
      </c>
      <c r="M640" t="s">
        <v>23</v>
      </c>
      <c r="N640">
        <v>3</v>
      </c>
      <c r="O640" t="s">
        <v>2217</v>
      </c>
      <c r="P640" t="s">
        <v>2216</v>
      </c>
      <c r="Q640" t="s">
        <v>1651</v>
      </c>
      <c r="R640" s="7">
        <v>32509</v>
      </c>
      <c r="S640" s="8">
        <f t="shared" si="80"/>
        <v>1989</v>
      </c>
      <c r="T640" s="8">
        <v>1989</v>
      </c>
      <c r="U640" s="8">
        <f t="shared" si="81"/>
        <v>33</v>
      </c>
      <c r="V640" s="7">
        <v>32568</v>
      </c>
      <c r="W640" t="s">
        <v>778</v>
      </c>
      <c r="X640" s="2">
        <v>1.6519999999999999</v>
      </c>
      <c r="Y640" s="6">
        <f t="shared" si="78"/>
        <v>4.409919649769093E-2</v>
      </c>
      <c r="AA640" t="s">
        <v>777</v>
      </c>
      <c r="AB640">
        <v>17337</v>
      </c>
      <c r="AC640">
        <v>15582221</v>
      </c>
      <c r="AD640" t="s">
        <v>5</v>
      </c>
      <c r="AE640">
        <v>37</v>
      </c>
      <c r="AF640">
        <v>3</v>
      </c>
      <c r="AH640" t="s">
        <v>2215</v>
      </c>
      <c r="AI640" t="s">
        <v>2214</v>
      </c>
      <c r="AK640" t="s">
        <v>2213</v>
      </c>
      <c r="AL640">
        <v>26</v>
      </c>
      <c r="AM640" s="5">
        <f t="shared" si="82"/>
        <v>0.78787878787878785</v>
      </c>
      <c r="AN640" s="4">
        <f t="shared" si="79"/>
        <v>1.1933037302215644E-3</v>
      </c>
      <c r="AO640" s="3"/>
      <c r="AP640">
        <v>0</v>
      </c>
      <c r="AR640" t="s">
        <v>0</v>
      </c>
      <c r="AT640" s="2" t="s">
        <v>19</v>
      </c>
      <c r="AU640" s="1">
        <f t="shared" si="83"/>
        <v>3.1227428667450119</v>
      </c>
      <c r="AV640" s="1">
        <f t="shared" si="84"/>
        <v>2.2646250113956246</v>
      </c>
      <c r="AW640" s="1">
        <f t="shared" si="85"/>
        <v>1.4065071560462372</v>
      </c>
    </row>
    <row r="641" spans="1:49" x14ac:dyDescent="0.2">
      <c r="A641">
        <v>639</v>
      </c>
      <c r="B641" t="s">
        <v>2212</v>
      </c>
      <c r="C641" t="s">
        <v>2211</v>
      </c>
      <c r="F641" t="s">
        <v>2210</v>
      </c>
      <c r="G641" t="s">
        <v>15</v>
      </c>
      <c r="H641" t="s">
        <v>14</v>
      </c>
      <c r="I641" t="s">
        <v>2209</v>
      </c>
      <c r="J641">
        <v>60021080</v>
      </c>
      <c r="K641" t="s">
        <v>2208</v>
      </c>
      <c r="L641" t="s">
        <v>2207</v>
      </c>
      <c r="M641" t="s">
        <v>23</v>
      </c>
      <c r="N641">
        <v>1</v>
      </c>
      <c r="O641" t="s">
        <v>2206</v>
      </c>
      <c r="P641">
        <v>35859587300</v>
      </c>
      <c r="Q641">
        <v>60021080</v>
      </c>
      <c r="R641" s="7">
        <v>32509</v>
      </c>
      <c r="S641" s="8">
        <f t="shared" si="80"/>
        <v>1989</v>
      </c>
      <c r="T641" s="8">
        <v>1989</v>
      </c>
      <c r="U641" s="8">
        <f t="shared" si="81"/>
        <v>33</v>
      </c>
      <c r="V641" s="7">
        <v>32568</v>
      </c>
      <c r="W641" t="s">
        <v>778</v>
      </c>
      <c r="X641" s="2">
        <v>1.6519999999999999</v>
      </c>
      <c r="Y641" s="6">
        <f t="shared" si="78"/>
        <v>4.409919649769093E-2</v>
      </c>
      <c r="AA641" t="s">
        <v>777</v>
      </c>
      <c r="AB641">
        <v>17337</v>
      </c>
      <c r="AC641">
        <v>15582221</v>
      </c>
      <c r="AD641" t="s">
        <v>5</v>
      </c>
      <c r="AE641">
        <v>37</v>
      </c>
      <c r="AF641">
        <v>3</v>
      </c>
      <c r="AH641" t="s">
        <v>2205</v>
      </c>
      <c r="AI641" t="s">
        <v>2204</v>
      </c>
      <c r="AK641" t="s">
        <v>2203</v>
      </c>
      <c r="AL641">
        <v>30</v>
      </c>
      <c r="AM641" s="5">
        <f t="shared" si="82"/>
        <v>0.90909090909090906</v>
      </c>
      <c r="AN641" s="4">
        <f t="shared" si="79"/>
        <v>1.3768889194864203E-3</v>
      </c>
      <c r="AO641" s="3"/>
      <c r="AP641">
        <v>0</v>
      </c>
      <c r="AR641" t="s">
        <v>0</v>
      </c>
      <c r="AT641" s="2" t="s">
        <v>19</v>
      </c>
      <c r="AU641" s="1">
        <f t="shared" si="83"/>
        <v>3.1282504224229575</v>
      </c>
      <c r="AV641" s="1">
        <f t="shared" si="84"/>
        <v>2.2738042708588675</v>
      </c>
      <c r="AW641" s="1">
        <f t="shared" si="85"/>
        <v>1.4193581192947773</v>
      </c>
    </row>
    <row r="642" spans="1:49" x14ac:dyDescent="0.2">
      <c r="A642">
        <v>640</v>
      </c>
      <c r="B642" t="s">
        <v>2202</v>
      </c>
      <c r="C642" t="s">
        <v>2201</v>
      </c>
      <c r="F642" t="s">
        <v>2200</v>
      </c>
      <c r="G642" t="s">
        <v>15</v>
      </c>
      <c r="H642" t="s">
        <v>14</v>
      </c>
      <c r="I642" t="s">
        <v>2199</v>
      </c>
      <c r="J642" t="s">
        <v>2198</v>
      </c>
      <c r="K642" t="s">
        <v>2197</v>
      </c>
      <c r="L642" t="s">
        <v>2196</v>
      </c>
      <c r="M642" t="s">
        <v>435</v>
      </c>
      <c r="N642">
        <v>4</v>
      </c>
      <c r="O642" t="s">
        <v>2195</v>
      </c>
      <c r="P642" t="s">
        <v>2194</v>
      </c>
      <c r="Q642" t="s">
        <v>2193</v>
      </c>
      <c r="R642" s="7">
        <v>32509</v>
      </c>
      <c r="S642" s="8">
        <f t="shared" si="80"/>
        <v>1989</v>
      </c>
      <c r="T642" s="8">
        <v>1989</v>
      </c>
      <c r="U642" s="8">
        <f t="shared" si="81"/>
        <v>33</v>
      </c>
      <c r="V642" s="7">
        <v>1989</v>
      </c>
      <c r="W642" t="s">
        <v>2192</v>
      </c>
      <c r="X642" s="2">
        <v>0.13900000000000001</v>
      </c>
      <c r="Y642" s="6">
        <f t="shared" ref="Y642:Y705" si="86">(X642-$Z$4)/($Z$3-$Z$4)</f>
        <v>3.7105256133045036E-3</v>
      </c>
      <c r="AA642" t="s">
        <v>2191</v>
      </c>
      <c r="AB642">
        <v>24891</v>
      </c>
      <c r="AC642">
        <v>15206432</v>
      </c>
      <c r="AD642" t="s">
        <v>5</v>
      </c>
      <c r="AE642">
        <v>72</v>
      </c>
      <c r="AF642">
        <v>3</v>
      </c>
      <c r="AH642" t="s">
        <v>2190</v>
      </c>
      <c r="AI642" t="s">
        <v>2189</v>
      </c>
      <c r="AK642" t="s">
        <v>2188</v>
      </c>
      <c r="AL642">
        <v>0</v>
      </c>
      <c r="AM642" s="5">
        <f t="shared" si="82"/>
        <v>0</v>
      </c>
      <c r="AN642" s="4">
        <f t="shared" ref="AN642:AN705" si="87">(AM642-$AO$4)/($AO$3-$AO$4)</f>
        <v>0</v>
      </c>
      <c r="AO642" s="3"/>
      <c r="AP642">
        <v>0</v>
      </c>
      <c r="AR642" t="s">
        <v>0</v>
      </c>
      <c r="AT642" s="2" t="s">
        <v>19</v>
      </c>
      <c r="AU642" s="1">
        <f t="shared" si="83"/>
        <v>0.25973679293131524</v>
      </c>
      <c r="AV642" s="1">
        <f t="shared" si="84"/>
        <v>0.1855262806652252</v>
      </c>
      <c r="AW642" s="1">
        <f t="shared" si="85"/>
        <v>0.1113157683991351</v>
      </c>
    </row>
    <row r="643" spans="1:49" x14ac:dyDescent="0.2">
      <c r="A643">
        <v>641</v>
      </c>
      <c r="B643" t="s">
        <v>2187</v>
      </c>
      <c r="C643" t="s">
        <v>2186</v>
      </c>
      <c r="F643" t="s">
        <v>2185</v>
      </c>
      <c r="G643" t="s">
        <v>15</v>
      </c>
      <c r="H643" t="s">
        <v>14</v>
      </c>
      <c r="I643" t="s">
        <v>2184</v>
      </c>
      <c r="J643">
        <v>60000745</v>
      </c>
      <c r="K643" t="s">
        <v>769</v>
      </c>
      <c r="L643" t="s">
        <v>768</v>
      </c>
      <c r="M643" t="s">
        <v>23</v>
      </c>
      <c r="N643">
        <v>2</v>
      </c>
      <c r="O643" t="s">
        <v>2183</v>
      </c>
      <c r="P643" t="s">
        <v>2182</v>
      </c>
      <c r="Q643" t="s">
        <v>765</v>
      </c>
      <c r="R643" s="7">
        <v>32509</v>
      </c>
      <c r="S643" s="8">
        <f t="shared" si="80"/>
        <v>1989</v>
      </c>
      <c r="T643" s="8">
        <v>1989</v>
      </c>
      <c r="U643" s="8">
        <f t="shared" si="81"/>
        <v>33</v>
      </c>
      <c r="V643" s="7">
        <v>32568</v>
      </c>
      <c r="W643" t="s">
        <v>778</v>
      </c>
      <c r="X643" s="2">
        <v>1.6519999999999999</v>
      </c>
      <c r="Y643" s="6">
        <f t="shared" si="86"/>
        <v>4.409919649769093E-2</v>
      </c>
      <c r="AA643" t="s">
        <v>777</v>
      </c>
      <c r="AB643">
        <v>17337</v>
      </c>
      <c r="AC643">
        <v>15582221</v>
      </c>
      <c r="AD643" t="s">
        <v>5</v>
      </c>
      <c r="AE643">
        <v>37</v>
      </c>
      <c r="AF643">
        <v>3</v>
      </c>
      <c r="AH643" t="s">
        <v>2181</v>
      </c>
      <c r="AI643" t="s">
        <v>2180</v>
      </c>
      <c r="AK643" t="s">
        <v>2179</v>
      </c>
      <c r="AL643">
        <v>19</v>
      </c>
      <c r="AM643" s="5">
        <f t="shared" si="82"/>
        <v>0.5757575757575758</v>
      </c>
      <c r="AN643" s="4">
        <f t="shared" si="87"/>
        <v>8.7202964900806633E-4</v>
      </c>
      <c r="AO643" s="3"/>
      <c r="AP643">
        <v>0</v>
      </c>
      <c r="AR643" t="s">
        <v>0</v>
      </c>
      <c r="AT643" s="2" t="s">
        <v>19</v>
      </c>
      <c r="AU643" s="1">
        <f t="shared" si="83"/>
        <v>3.1131046443086072</v>
      </c>
      <c r="AV643" s="1">
        <f t="shared" si="84"/>
        <v>2.24856130733495</v>
      </c>
      <c r="AW643" s="1">
        <f t="shared" si="85"/>
        <v>1.3840179703612925</v>
      </c>
    </row>
    <row r="644" spans="1:49" x14ac:dyDescent="0.2">
      <c r="A644">
        <v>642</v>
      </c>
      <c r="B644" t="s">
        <v>2178</v>
      </c>
      <c r="C644" t="s">
        <v>2177</v>
      </c>
      <c r="F644" t="s">
        <v>2176</v>
      </c>
      <c r="G644" t="s">
        <v>15</v>
      </c>
      <c r="H644" t="s">
        <v>14</v>
      </c>
      <c r="I644" t="s">
        <v>2175</v>
      </c>
      <c r="J644">
        <v>60000990</v>
      </c>
      <c r="K644" t="s">
        <v>2174</v>
      </c>
      <c r="L644" t="s">
        <v>2173</v>
      </c>
      <c r="M644" t="s">
        <v>10</v>
      </c>
      <c r="N644">
        <v>1</v>
      </c>
      <c r="O644" t="s">
        <v>2172</v>
      </c>
      <c r="P644">
        <v>56838509400</v>
      </c>
      <c r="Q644">
        <v>60000990</v>
      </c>
      <c r="R644" s="7">
        <v>32509</v>
      </c>
      <c r="S644" s="8">
        <f t="shared" si="80"/>
        <v>1989</v>
      </c>
      <c r="T644" s="8">
        <v>1989</v>
      </c>
      <c r="U644" s="8">
        <f t="shared" si="81"/>
        <v>33</v>
      </c>
      <c r="V644" s="7">
        <v>32568</v>
      </c>
      <c r="W644" t="s">
        <v>778</v>
      </c>
      <c r="X644" s="2">
        <v>1.6519999999999999</v>
      </c>
      <c r="Y644" s="6">
        <f t="shared" si="86"/>
        <v>4.409919649769093E-2</v>
      </c>
      <c r="AA644" t="s">
        <v>777</v>
      </c>
      <c r="AB644">
        <v>17337</v>
      </c>
      <c r="AC644">
        <v>15582221</v>
      </c>
      <c r="AD644" t="s">
        <v>5</v>
      </c>
      <c r="AE644">
        <v>37</v>
      </c>
      <c r="AF644">
        <v>3</v>
      </c>
      <c r="AH644" t="s">
        <v>2171</v>
      </c>
      <c r="AI644" t="s">
        <v>2170</v>
      </c>
      <c r="AK644" t="s">
        <v>2169</v>
      </c>
      <c r="AL644">
        <v>1</v>
      </c>
      <c r="AM644" s="5">
        <f t="shared" si="82"/>
        <v>3.0303030303030304E-2</v>
      </c>
      <c r="AN644" s="4">
        <f t="shared" si="87"/>
        <v>4.5896297316214016E-5</v>
      </c>
      <c r="AO644" s="3"/>
      <c r="AP644">
        <v>0</v>
      </c>
      <c r="AR644" t="s">
        <v>0</v>
      </c>
      <c r="AT644" s="2" t="s">
        <v>19</v>
      </c>
      <c r="AU644" s="1">
        <f t="shared" si="83"/>
        <v>3.0883206437578514</v>
      </c>
      <c r="AV644" s="1">
        <f t="shared" si="84"/>
        <v>2.2072546397503574</v>
      </c>
      <c r="AW644" s="1">
        <f t="shared" si="85"/>
        <v>1.3261886357428627</v>
      </c>
    </row>
    <row r="645" spans="1:49" x14ac:dyDescent="0.2">
      <c r="A645">
        <v>643</v>
      </c>
      <c r="B645" t="s">
        <v>2168</v>
      </c>
      <c r="C645" t="s">
        <v>2167</v>
      </c>
      <c r="F645" t="s">
        <v>2166</v>
      </c>
      <c r="G645" t="s">
        <v>15</v>
      </c>
      <c r="H645" t="s">
        <v>14</v>
      </c>
      <c r="I645" t="s">
        <v>2165</v>
      </c>
      <c r="J645">
        <v>60008293</v>
      </c>
      <c r="K645" t="s">
        <v>2164</v>
      </c>
      <c r="L645" t="s">
        <v>2163</v>
      </c>
      <c r="M645" t="s">
        <v>259</v>
      </c>
      <c r="N645">
        <v>7</v>
      </c>
      <c r="O645" t="s">
        <v>2162</v>
      </c>
      <c r="P645" t="s">
        <v>2161</v>
      </c>
      <c r="Q645" t="s">
        <v>2160</v>
      </c>
      <c r="R645" s="7">
        <v>32509</v>
      </c>
      <c r="S645" s="8">
        <f t="shared" si="80"/>
        <v>1989</v>
      </c>
      <c r="T645" s="8">
        <v>1989</v>
      </c>
      <c r="U645" s="8">
        <f t="shared" si="81"/>
        <v>33</v>
      </c>
      <c r="V645" s="7">
        <v>32568</v>
      </c>
      <c r="W645" t="s">
        <v>778</v>
      </c>
      <c r="X645" s="2">
        <v>1.6519999999999999</v>
      </c>
      <c r="Y645" s="6">
        <f t="shared" si="86"/>
        <v>4.409919649769093E-2</v>
      </c>
      <c r="AA645" t="s">
        <v>777</v>
      </c>
      <c r="AB645">
        <v>17337</v>
      </c>
      <c r="AC645">
        <v>15582221</v>
      </c>
      <c r="AD645" t="s">
        <v>5</v>
      </c>
      <c r="AE645">
        <v>37</v>
      </c>
      <c r="AF645">
        <v>3</v>
      </c>
      <c r="AH645" t="s">
        <v>2159</v>
      </c>
      <c r="AI645" t="s">
        <v>2158</v>
      </c>
      <c r="AK645" t="s">
        <v>2157</v>
      </c>
      <c r="AL645">
        <v>15</v>
      </c>
      <c r="AM645" s="5">
        <f t="shared" si="82"/>
        <v>0.45454545454545453</v>
      </c>
      <c r="AN645" s="4">
        <f t="shared" si="87"/>
        <v>6.8844445974321016E-4</v>
      </c>
      <c r="AO645" s="3"/>
      <c r="AP645">
        <v>0</v>
      </c>
      <c r="AR645" t="s">
        <v>0</v>
      </c>
      <c r="AT645" s="2" t="s">
        <v>19</v>
      </c>
      <c r="AU645" s="1">
        <f t="shared" si="83"/>
        <v>3.1075970886306612</v>
      </c>
      <c r="AV645" s="1">
        <f t="shared" si="84"/>
        <v>2.239382047871707</v>
      </c>
      <c r="AW645" s="1">
        <f t="shared" si="85"/>
        <v>1.3711670071127524</v>
      </c>
    </row>
    <row r="646" spans="1:49" x14ac:dyDescent="0.2">
      <c r="A646">
        <v>644</v>
      </c>
      <c r="B646" t="s">
        <v>2156</v>
      </c>
      <c r="C646" t="s">
        <v>2155</v>
      </c>
      <c r="F646" t="s">
        <v>2154</v>
      </c>
      <c r="G646" t="s">
        <v>15</v>
      </c>
      <c r="H646" t="s">
        <v>14</v>
      </c>
      <c r="I646" t="s">
        <v>2153</v>
      </c>
      <c r="J646" t="s">
        <v>2152</v>
      </c>
      <c r="K646" t="s">
        <v>2151</v>
      </c>
      <c r="L646" t="s">
        <v>2150</v>
      </c>
      <c r="M646" t="s">
        <v>2149</v>
      </c>
      <c r="N646">
        <v>1</v>
      </c>
      <c r="O646" t="s">
        <v>2148</v>
      </c>
      <c r="P646">
        <v>55952532900</v>
      </c>
      <c r="Q646" t="s">
        <v>2147</v>
      </c>
      <c r="R646" s="7">
        <v>32509</v>
      </c>
      <c r="S646" s="8">
        <f t="shared" si="80"/>
        <v>1989</v>
      </c>
      <c r="T646" s="8">
        <v>1989</v>
      </c>
      <c r="U646" s="8">
        <f t="shared" si="81"/>
        <v>33</v>
      </c>
      <c r="V646" s="7">
        <v>32568</v>
      </c>
      <c r="W646" t="s">
        <v>778</v>
      </c>
      <c r="X646" s="2">
        <v>1.6519999999999999</v>
      </c>
      <c r="Y646" s="6">
        <f t="shared" si="86"/>
        <v>4.409919649769093E-2</v>
      </c>
      <c r="AA646" t="s">
        <v>777</v>
      </c>
      <c r="AB646">
        <v>17337</v>
      </c>
      <c r="AC646">
        <v>15582221</v>
      </c>
      <c r="AD646" t="s">
        <v>5</v>
      </c>
      <c r="AE646">
        <v>37</v>
      </c>
      <c r="AF646">
        <v>3</v>
      </c>
      <c r="AH646" t="s">
        <v>2146</v>
      </c>
      <c r="AI646" t="s">
        <v>2145</v>
      </c>
      <c r="AK646" t="s">
        <v>2144</v>
      </c>
      <c r="AL646">
        <v>20</v>
      </c>
      <c r="AM646" s="5">
        <f t="shared" si="82"/>
        <v>0.60606060606060608</v>
      </c>
      <c r="AN646" s="4">
        <f t="shared" si="87"/>
        <v>9.1792594632428032E-4</v>
      </c>
      <c r="AO646" s="3"/>
      <c r="AP646">
        <v>0</v>
      </c>
      <c r="AR646" t="s">
        <v>0</v>
      </c>
      <c r="AT646" s="2" t="s">
        <v>19</v>
      </c>
      <c r="AU646" s="1">
        <f t="shared" si="83"/>
        <v>3.1144815332280933</v>
      </c>
      <c r="AV646" s="1">
        <f t="shared" si="84"/>
        <v>2.2508561222007608</v>
      </c>
      <c r="AW646" s="1">
        <f t="shared" si="85"/>
        <v>1.3872307111734274</v>
      </c>
    </row>
    <row r="647" spans="1:49" x14ac:dyDescent="0.2">
      <c r="A647">
        <v>645</v>
      </c>
      <c r="B647" t="s">
        <v>2143</v>
      </c>
      <c r="C647" t="s">
        <v>2142</v>
      </c>
      <c r="F647" t="s">
        <v>2141</v>
      </c>
      <c r="G647" t="s">
        <v>15</v>
      </c>
      <c r="H647" t="s">
        <v>14</v>
      </c>
      <c r="I647" t="s">
        <v>2140</v>
      </c>
      <c r="J647" t="s">
        <v>2139</v>
      </c>
      <c r="K647" t="s">
        <v>2138</v>
      </c>
      <c r="L647" t="s">
        <v>2137</v>
      </c>
      <c r="M647" t="s">
        <v>86</v>
      </c>
      <c r="N647">
        <v>4</v>
      </c>
      <c r="O647" t="s">
        <v>2136</v>
      </c>
      <c r="P647" t="s">
        <v>2135</v>
      </c>
      <c r="Q647" t="s">
        <v>2134</v>
      </c>
      <c r="R647" s="7">
        <v>32509</v>
      </c>
      <c r="S647" s="8">
        <f t="shared" si="80"/>
        <v>1989</v>
      </c>
      <c r="T647" s="8">
        <v>1989</v>
      </c>
      <c r="U647" s="8">
        <f t="shared" si="81"/>
        <v>33</v>
      </c>
      <c r="V647" s="7">
        <v>32568</v>
      </c>
      <c r="W647" t="s">
        <v>1996</v>
      </c>
      <c r="X647" s="2">
        <v>0.62</v>
      </c>
      <c r="Y647" s="6">
        <f t="shared" si="86"/>
        <v>1.6550545901070447E-2</v>
      </c>
      <c r="AA647">
        <v>189464</v>
      </c>
      <c r="AB647">
        <v>17364</v>
      </c>
      <c r="AC647">
        <v>19410069</v>
      </c>
      <c r="AD647" t="s">
        <v>5</v>
      </c>
      <c r="AE647">
        <v>25</v>
      </c>
      <c r="AF647">
        <v>2</v>
      </c>
      <c r="AH647" t="s">
        <v>2133</v>
      </c>
      <c r="AI647" t="s">
        <v>2132</v>
      </c>
      <c r="AK647" t="s">
        <v>2131</v>
      </c>
      <c r="AL647">
        <v>19</v>
      </c>
      <c r="AM647" s="5">
        <f t="shared" si="82"/>
        <v>0.5757575757575758</v>
      </c>
      <c r="AN647" s="4">
        <f t="shared" si="87"/>
        <v>8.7202964900806633E-4</v>
      </c>
      <c r="AO647" s="3"/>
      <c r="AP647">
        <v>0</v>
      </c>
      <c r="AQ647" t="s">
        <v>2130</v>
      </c>
      <c r="AR647" t="s">
        <v>0</v>
      </c>
      <c r="AS647" t="s">
        <v>2129</v>
      </c>
      <c r="AT647" s="2">
        <v>1.7</v>
      </c>
      <c r="AU647" s="1">
        <f t="shared" si="83"/>
        <v>1.1846991025451732</v>
      </c>
      <c r="AV647" s="1">
        <f t="shared" si="84"/>
        <v>0.8711287775039257</v>
      </c>
      <c r="AW647" s="1">
        <f t="shared" si="85"/>
        <v>0.55755845246267799</v>
      </c>
    </row>
    <row r="648" spans="1:49" x14ac:dyDescent="0.2">
      <c r="A648">
        <v>646</v>
      </c>
      <c r="B648" t="s">
        <v>2128</v>
      </c>
      <c r="C648" t="s">
        <v>2127</v>
      </c>
      <c r="F648" t="s">
        <v>2126</v>
      </c>
      <c r="G648" t="s">
        <v>15</v>
      </c>
      <c r="H648" t="s">
        <v>14</v>
      </c>
      <c r="I648" t="s">
        <v>2125</v>
      </c>
      <c r="J648" t="s">
        <v>2124</v>
      </c>
      <c r="K648" t="s">
        <v>2123</v>
      </c>
      <c r="L648" t="s">
        <v>2122</v>
      </c>
      <c r="M648" t="s">
        <v>169</v>
      </c>
      <c r="N648">
        <v>3</v>
      </c>
      <c r="O648" t="s">
        <v>2121</v>
      </c>
      <c r="P648" t="s">
        <v>2120</v>
      </c>
      <c r="Q648" t="s">
        <v>2119</v>
      </c>
      <c r="R648" s="7">
        <v>32509</v>
      </c>
      <c r="S648" s="8">
        <f t="shared" si="80"/>
        <v>1989</v>
      </c>
      <c r="T648" s="8">
        <v>1989</v>
      </c>
      <c r="U648" s="8">
        <f t="shared" si="81"/>
        <v>33</v>
      </c>
      <c r="V648" s="7">
        <v>32568</v>
      </c>
      <c r="W648" t="s">
        <v>1996</v>
      </c>
      <c r="X648" s="2">
        <v>0.62</v>
      </c>
      <c r="Y648" s="6">
        <f t="shared" si="86"/>
        <v>1.6550545901070447E-2</v>
      </c>
      <c r="AA648">
        <v>189464</v>
      </c>
      <c r="AB648">
        <v>17364</v>
      </c>
      <c r="AC648">
        <v>19410069</v>
      </c>
      <c r="AD648" t="s">
        <v>5</v>
      </c>
      <c r="AE648">
        <v>25</v>
      </c>
      <c r="AF648">
        <v>2</v>
      </c>
      <c r="AH648" t="s">
        <v>2118</v>
      </c>
      <c r="AI648" t="s">
        <v>2117</v>
      </c>
      <c r="AK648" t="s">
        <v>2116</v>
      </c>
      <c r="AL648">
        <v>10</v>
      </c>
      <c r="AM648" s="5">
        <f t="shared" si="82"/>
        <v>0.30303030303030304</v>
      </c>
      <c r="AN648" s="4">
        <f t="shared" si="87"/>
        <v>4.5896297316214016E-4</v>
      </c>
      <c r="AO648" s="3"/>
      <c r="AP648">
        <v>0</v>
      </c>
      <c r="AR648" t="s">
        <v>0</v>
      </c>
      <c r="AT648" s="2">
        <v>1.7</v>
      </c>
      <c r="AU648" s="1">
        <f t="shared" si="83"/>
        <v>1.1723071022697955</v>
      </c>
      <c r="AV648" s="1">
        <f t="shared" si="84"/>
        <v>0.85047544371162942</v>
      </c>
      <c r="AW648" s="1">
        <f t="shared" si="85"/>
        <v>0.52864378515346322</v>
      </c>
    </row>
    <row r="649" spans="1:49" x14ac:dyDescent="0.2">
      <c r="A649">
        <v>647</v>
      </c>
      <c r="B649" t="s">
        <v>2115</v>
      </c>
      <c r="C649" t="s">
        <v>2114</v>
      </c>
      <c r="F649" t="s">
        <v>2113</v>
      </c>
      <c r="G649" t="s">
        <v>15</v>
      </c>
      <c r="H649" t="s">
        <v>14</v>
      </c>
      <c r="I649" t="s">
        <v>2112</v>
      </c>
      <c r="J649" t="s">
        <v>2111</v>
      </c>
      <c r="K649" t="s">
        <v>2110</v>
      </c>
      <c r="L649" t="s">
        <v>2109</v>
      </c>
      <c r="M649" t="s">
        <v>2108</v>
      </c>
      <c r="N649">
        <v>2</v>
      </c>
      <c r="O649" t="s">
        <v>2107</v>
      </c>
      <c r="P649" t="s">
        <v>2106</v>
      </c>
      <c r="Q649" t="s">
        <v>2105</v>
      </c>
      <c r="R649" s="7">
        <v>32509</v>
      </c>
      <c r="S649" s="8">
        <f t="shared" si="80"/>
        <v>1989</v>
      </c>
      <c r="T649" s="8">
        <v>1989</v>
      </c>
      <c r="U649" s="8">
        <f t="shared" si="81"/>
        <v>33</v>
      </c>
      <c r="V649" s="7">
        <v>32568</v>
      </c>
      <c r="W649" t="s">
        <v>778</v>
      </c>
      <c r="X649" s="2">
        <v>1.6519999999999999</v>
      </c>
      <c r="Y649" s="6">
        <f t="shared" si="86"/>
        <v>4.409919649769093E-2</v>
      </c>
      <c r="AA649" t="s">
        <v>777</v>
      </c>
      <c r="AB649">
        <v>17337</v>
      </c>
      <c r="AC649">
        <v>15582221</v>
      </c>
      <c r="AD649" t="s">
        <v>5</v>
      </c>
      <c r="AE649">
        <v>37</v>
      </c>
      <c r="AF649">
        <v>3</v>
      </c>
      <c r="AH649" t="s">
        <v>2104</v>
      </c>
      <c r="AI649" t="s">
        <v>2103</v>
      </c>
      <c r="AK649" t="s">
        <v>2102</v>
      </c>
      <c r="AL649">
        <v>10</v>
      </c>
      <c r="AM649" s="5">
        <f t="shared" si="82"/>
        <v>0.30303030303030304</v>
      </c>
      <c r="AN649" s="4">
        <f t="shared" si="87"/>
        <v>4.5896297316214016E-4</v>
      </c>
      <c r="AO649" s="3"/>
      <c r="AP649">
        <v>0</v>
      </c>
      <c r="AR649" t="s">
        <v>0</v>
      </c>
      <c r="AT649" s="2" t="s">
        <v>19</v>
      </c>
      <c r="AU649" s="1">
        <f t="shared" si="83"/>
        <v>3.1007126440332291</v>
      </c>
      <c r="AV649" s="1">
        <f t="shared" si="84"/>
        <v>2.2279079735426537</v>
      </c>
      <c r="AW649" s="1">
        <f t="shared" si="85"/>
        <v>1.3551033030520776</v>
      </c>
    </row>
    <row r="650" spans="1:49" x14ac:dyDescent="0.2">
      <c r="A650">
        <v>648</v>
      </c>
      <c r="B650" t="s">
        <v>2101</v>
      </c>
      <c r="C650" t="s">
        <v>2100</v>
      </c>
      <c r="F650" t="s">
        <v>2099</v>
      </c>
      <c r="G650" t="s">
        <v>15</v>
      </c>
      <c r="H650" t="s">
        <v>14</v>
      </c>
      <c r="I650" t="s">
        <v>2098</v>
      </c>
      <c r="J650" t="s">
        <v>2092</v>
      </c>
      <c r="K650" t="s">
        <v>2097</v>
      </c>
      <c r="L650" t="s">
        <v>2096</v>
      </c>
      <c r="M650" t="s">
        <v>2095</v>
      </c>
      <c r="N650">
        <v>2</v>
      </c>
      <c r="O650" t="s">
        <v>2094</v>
      </c>
      <c r="P650" t="s">
        <v>2093</v>
      </c>
      <c r="Q650" t="s">
        <v>2092</v>
      </c>
      <c r="R650" s="7">
        <v>32509</v>
      </c>
      <c r="S650" s="8">
        <f t="shared" si="80"/>
        <v>1989</v>
      </c>
      <c r="T650" s="8">
        <v>1989</v>
      </c>
      <c r="U650" s="8">
        <f t="shared" si="81"/>
        <v>33</v>
      </c>
      <c r="V650" s="7">
        <v>32568</v>
      </c>
      <c r="W650" t="s">
        <v>1019</v>
      </c>
      <c r="X650" s="2">
        <v>1.468</v>
      </c>
      <c r="Y650" s="6">
        <f t="shared" si="86"/>
        <v>3.9187421585115186E-2</v>
      </c>
      <c r="AA650">
        <v>906778</v>
      </c>
      <c r="AB650">
        <v>18931</v>
      </c>
      <c r="AD650" t="s">
        <v>5</v>
      </c>
      <c r="AE650">
        <v>37</v>
      </c>
      <c r="AF650">
        <v>3</v>
      </c>
      <c r="AH650" t="s">
        <v>2091</v>
      </c>
      <c r="AI650" t="s">
        <v>2090</v>
      </c>
      <c r="AK650" t="s">
        <v>2089</v>
      </c>
      <c r="AL650">
        <v>36</v>
      </c>
      <c r="AM650" s="5">
        <f t="shared" si="82"/>
        <v>1.0909090909090908</v>
      </c>
      <c r="AN650" s="4">
        <f t="shared" si="87"/>
        <v>1.6522667033837045E-3</v>
      </c>
      <c r="AO650" s="3"/>
      <c r="AP650">
        <v>0</v>
      </c>
      <c r="AR650" t="s">
        <v>0</v>
      </c>
      <c r="AT650" s="2">
        <v>5.0830000000000002</v>
      </c>
      <c r="AU650" s="1">
        <f t="shared" si="83"/>
        <v>2.7926875120595738</v>
      </c>
      <c r="AV650" s="1">
        <f t="shared" si="84"/>
        <v>2.0419844144249444</v>
      </c>
      <c r="AW650" s="1">
        <f t="shared" si="85"/>
        <v>1.2912813167903148</v>
      </c>
    </row>
    <row r="651" spans="1:49" x14ac:dyDescent="0.2">
      <c r="A651">
        <v>649</v>
      </c>
      <c r="B651" t="s">
        <v>2088</v>
      </c>
      <c r="C651" t="s">
        <v>2087</v>
      </c>
      <c r="F651" t="s">
        <v>2086</v>
      </c>
      <c r="G651" t="s">
        <v>15</v>
      </c>
      <c r="H651" t="s">
        <v>14</v>
      </c>
      <c r="I651" t="s">
        <v>2085</v>
      </c>
      <c r="J651" t="s">
        <v>2079</v>
      </c>
      <c r="K651" t="s">
        <v>2084</v>
      </c>
      <c r="L651" t="s">
        <v>2083</v>
      </c>
      <c r="M651" t="s">
        <v>2082</v>
      </c>
      <c r="N651">
        <v>3</v>
      </c>
      <c r="O651" t="s">
        <v>2081</v>
      </c>
      <c r="P651" t="s">
        <v>2080</v>
      </c>
      <c r="Q651" t="s">
        <v>2079</v>
      </c>
      <c r="R651" s="7">
        <v>32509</v>
      </c>
      <c r="S651" s="8">
        <f t="shared" si="80"/>
        <v>1989</v>
      </c>
      <c r="T651" s="8">
        <v>1989</v>
      </c>
      <c r="U651" s="8">
        <f t="shared" si="81"/>
        <v>33</v>
      </c>
      <c r="V651" s="7">
        <v>32568</v>
      </c>
      <c r="W651" t="s">
        <v>1996</v>
      </c>
      <c r="X651" s="2">
        <v>0.62</v>
      </c>
      <c r="Y651" s="6">
        <f t="shared" si="86"/>
        <v>1.6550545901070447E-2</v>
      </c>
      <c r="AA651">
        <v>189464</v>
      </c>
      <c r="AB651">
        <v>17364</v>
      </c>
      <c r="AC651">
        <v>19410069</v>
      </c>
      <c r="AD651" t="s">
        <v>5</v>
      </c>
      <c r="AE651">
        <v>25</v>
      </c>
      <c r="AF651">
        <v>2</v>
      </c>
      <c r="AH651" t="s">
        <v>2078</v>
      </c>
      <c r="AI651" t="s">
        <v>2077</v>
      </c>
      <c r="AK651" t="s">
        <v>2076</v>
      </c>
      <c r="AL651">
        <v>7</v>
      </c>
      <c r="AM651" s="5">
        <f t="shared" si="82"/>
        <v>0.21212121212121213</v>
      </c>
      <c r="AN651" s="4">
        <f t="shared" si="87"/>
        <v>3.2127408121349809E-4</v>
      </c>
      <c r="AO651" s="3"/>
      <c r="AP651">
        <v>0</v>
      </c>
      <c r="AQ651" t="s">
        <v>618</v>
      </c>
      <c r="AR651" t="s">
        <v>0</v>
      </c>
      <c r="AS651" t="s">
        <v>616</v>
      </c>
      <c r="AT651" s="2">
        <v>1.7</v>
      </c>
      <c r="AU651" s="1">
        <f t="shared" si="83"/>
        <v>1.1681764355113362</v>
      </c>
      <c r="AV651" s="1">
        <f t="shared" si="84"/>
        <v>0.84359099911419722</v>
      </c>
      <c r="AW651" s="1">
        <f t="shared" si="85"/>
        <v>0.51900556271705822</v>
      </c>
    </row>
    <row r="652" spans="1:49" x14ac:dyDescent="0.2">
      <c r="A652">
        <v>650</v>
      </c>
      <c r="B652" t="s">
        <v>2075</v>
      </c>
      <c r="C652" t="s">
        <v>2074</v>
      </c>
      <c r="F652" t="s">
        <v>2073</v>
      </c>
      <c r="G652" t="s">
        <v>15</v>
      </c>
      <c r="H652" t="s">
        <v>14</v>
      </c>
      <c r="I652" t="s">
        <v>2072</v>
      </c>
      <c r="J652" t="s">
        <v>1828</v>
      </c>
      <c r="K652" t="s">
        <v>1827</v>
      </c>
      <c r="L652" t="s">
        <v>1826</v>
      </c>
      <c r="M652" t="s">
        <v>86</v>
      </c>
      <c r="N652">
        <v>2</v>
      </c>
      <c r="O652" t="s">
        <v>2071</v>
      </c>
      <c r="P652" t="s">
        <v>2070</v>
      </c>
      <c r="Q652" t="s">
        <v>1828</v>
      </c>
      <c r="R652" s="7">
        <v>32509</v>
      </c>
      <c r="S652" s="8">
        <f t="shared" si="80"/>
        <v>1989</v>
      </c>
      <c r="T652" s="8">
        <v>1989</v>
      </c>
      <c r="U652" s="8">
        <f t="shared" si="81"/>
        <v>33</v>
      </c>
      <c r="V652" s="7">
        <v>32568</v>
      </c>
      <c r="W652" t="s">
        <v>1019</v>
      </c>
      <c r="X652" s="2">
        <v>1.468</v>
      </c>
      <c r="Y652" s="6">
        <f t="shared" si="86"/>
        <v>3.9187421585115186E-2</v>
      </c>
      <c r="AA652">
        <v>906778</v>
      </c>
      <c r="AB652">
        <v>18931</v>
      </c>
      <c r="AD652" t="s">
        <v>5</v>
      </c>
      <c r="AE652">
        <v>37</v>
      </c>
      <c r="AF652">
        <v>3</v>
      </c>
      <c r="AH652" t="s">
        <v>2069</v>
      </c>
      <c r="AI652" t="s">
        <v>2068</v>
      </c>
      <c r="AK652" t="s">
        <v>2067</v>
      </c>
      <c r="AL652">
        <v>145</v>
      </c>
      <c r="AM652" s="5">
        <f t="shared" si="82"/>
        <v>4.3939393939393936</v>
      </c>
      <c r="AN652" s="4">
        <f t="shared" si="87"/>
        <v>6.6549631108510313E-3</v>
      </c>
      <c r="AO652" s="3"/>
      <c r="AP652">
        <v>0</v>
      </c>
      <c r="AQ652" t="s">
        <v>746</v>
      </c>
      <c r="AR652" t="s">
        <v>2066</v>
      </c>
      <c r="AS652" t="s">
        <v>744</v>
      </c>
      <c r="AT652" s="2">
        <v>5.0830000000000002</v>
      </c>
      <c r="AU652" s="1">
        <f t="shared" si="83"/>
        <v>2.9427684042835938</v>
      </c>
      <c r="AV652" s="1">
        <f t="shared" si="84"/>
        <v>2.2921192347983106</v>
      </c>
      <c r="AW652" s="1">
        <f t="shared" si="85"/>
        <v>1.6414700653130276</v>
      </c>
    </row>
    <row r="653" spans="1:49" x14ac:dyDescent="0.2">
      <c r="A653">
        <v>651</v>
      </c>
      <c r="B653" t="s">
        <v>2065</v>
      </c>
      <c r="C653" t="s">
        <v>2064</v>
      </c>
      <c r="F653" t="s">
        <v>2063</v>
      </c>
      <c r="G653" t="s">
        <v>15</v>
      </c>
      <c r="H653" t="s">
        <v>14</v>
      </c>
      <c r="I653" t="s">
        <v>2062</v>
      </c>
      <c r="J653">
        <v>60005304</v>
      </c>
      <c r="K653" t="s">
        <v>2061</v>
      </c>
      <c r="L653" t="s">
        <v>2060</v>
      </c>
      <c r="M653" t="s">
        <v>23</v>
      </c>
      <c r="N653">
        <v>2</v>
      </c>
      <c r="O653" t="s">
        <v>2059</v>
      </c>
      <c r="P653" t="s">
        <v>2058</v>
      </c>
      <c r="Q653" t="s">
        <v>2057</v>
      </c>
      <c r="R653" s="7">
        <v>32509</v>
      </c>
      <c r="S653" s="8">
        <f t="shared" si="80"/>
        <v>1989</v>
      </c>
      <c r="T653" s="8">
        <v>1989</v>
      </c>
      <c r="U653" s="8">
        <f t="shared" si="81"/>
        <v>33</v>
      </c>
      <c r="V653" s="7">
        <v>32568</v>
      </c>
      <c r="W653" t="s">
        <v>778</v>
      </c>
      <c r="X653" s="2">
        <v>1.6519999999999999</v>
      </c>
      <c r="Y653" s="6">
        <f t="shared" si="86"/>
        <v>4.409919649769093E-2</v>
      </c>
      <c r="AA653" t="s">
        <v>777</v>
      </c>
      <c r="AB653">
        <v>17337</v>
      </c>
      <c r="AC653">
        <v>15582221</v>
      </c>
      <c r="AD653" t="s">
        <v>5</v>
      </c>
      <c r="AE653">
        <v>37</v>
      </c>
      <c r="AF653">
        <v>3</v>
      </c>
      <c r="AH653" t="s">
        <v>2056</v>
      </c>
      <c r="AI653" t="s">
        <v>2055</v>
      </c>
      <c r="AK653" t="s">
        <v>2054</v>
      </c>
      <c r="AL653">
        <v>15</v>
      </c>
      <c r="AM653" s="5">
        <f t="shared" si="82"/>
        <v>0.45454545454545453</v>
      </c>
      <c r="AN653" s="4">
        <f t="shared" si="87"/>
        <v>6.8844445974321016E-4</v>
      </c>
      <c r="AO653" s="3"/>
      <c r="AP653">
        <v>0</v>
      </c>
      <c r="AR653" t="s">
        <v>0</v>
      </c>
      <c r="AT653" s="2" t="s">
        <v>19</v>
      </c>
      <c r="AU653" s="1">
        <f t="shared" si="83"/>
        <v>3.1075970886306612</v>
      </c>
      <c r="AV653" s="1">
        <f t="shared" si="84"/>
        <v>2.239382047871707</v>
      </c>
      <c r="AW653" s="1">
        <f t="shared" si="85"/>
        <v>1.3711670071127524</v>
      </c>
    </row>
    <row r="654" spans="1:49" x14ac:dyDescent="0.2">
      <c r="A654">
        <v>652</v>
      </c>
      <c r="B654" t="s">
        <v>2053</v>
      </c>
      <c r="C654" t="s">
        <v>2052</v>
      </c>
      <c r="F654" t="s">
        <v>2051</v>
      </c>
      <c r="G654" t="s">
        <v>15</v>
      </c>
      <c r="H654" t="s">
        <v>14</v>
      </c>
      <c r="I654" t="s">
        <v>2050</v>
      </c>
      <c r="J654" t="s">
        <v>2049</v>
      </c>
      <c r="K654" t="s">
        <v>2048</v>
      </c>
      <c r="L654" t="s">
        <v>2047</v>
      </c>
      <c r="M654" t="s">
        <v>86</v>
      </c>
      <c r="N654">
        <v>1</v>
      </c>
      <c r="O654" t="s">
        <v>2046</v>
      </c>
      <c r="P654">
        <v>7801652124</v>
      </c>
      <c r="Q654" t="s">
        <v>2045</v>
      </c>
      <c r="R654" s="7">
        <v>32509</v>
      </c>
      <c r="S654" s="8">
        <f t="shared" si="80"/>
        <v>1989</v>
      </c>
      <c r="T654" s="8">
        <v>1989</v>
      </c>
      <c r="U654" s="8">
        <f t="shared" si="81"/>
        <v>33</v>
      </c>
      <c r="V654" s="7">
        <v>32568</v>
      </c>
      <c r="W654" t="s">
        <v>778</v>
      </c>
      <c r="X654" s="2">
        <v>1.6519999999999999</v>
      </c>
      <c r="Y654" s="6">
        <f t="shared" si="86"/>
        <v>4.409919649769093E-2</v>
      </c>
      <c r="AA654" t="s">
        <v>777</v>
      </c>
      <c r="AB654">
        <v>17337</v>
      </c>
      <c r="AC654">
        <v>15582221</v>
      </c>
      <c r="AD654" t="s">
        <v>5</v>
      </c>
      <c r="AE654">
        <v>37</v>
      </c>
      <c r="AF654">
        <v>3</v>
      </c>
      <c r="AH654" t="s">
        <v>2044</v>
      </c>
      <c r="AI654" t="s">
        <v>2043</v>
      </c>
      <c r="AK654" t="s">
        <v>2042</v>
      </c>
      <c r="AL654">
        <v>62</v>
      </c>
      <c r="AM654" s="5">
        <f t="shared" si="82"/>
        <v>1.8787878787878789</v>
      </c>
      <c r="AN654" s="4">
        <f t="shared" si="87"/>
        <v>2.8455704336052693E-3</v>
      </c>
      <c r="AO654" s="3"/>
      <c r="AP654">
        <v>0</v>
      </c>
      <c r="AR654" t="s">
        <v>0</v>
      </c>
      <c r="AT654" s="2" t="s">
        <v>19</v>
      </c>
      <c r="AU654" s="1">
        <f t="shared" si="83"/>
        <v>3.1723108678465231</v>
      </c>
      <c r="AV654" s="1">
        <f t="shared" si="84"/>
        <v>2.3472383465648101</v>
      </c>
      <c r="AW654" s="1">
        <f t="shared" si="85"/>
        <v>1.5221658252830967</v>
      </c>
    </row>
    <row r="655" spans="1:49" x14ac:dyDescent="0.2">
      <c r="A655">
        <v>653</v>
      </c>
      <c r="B655" t="s">
        <v>2041</v>
      </c>
      <c r="C655" t="s">
        <v>2040</v>
      </c>
      <c r="F655" t="s">
        <v>2039</v>
      </c>
      <c r="G655" t="s">
        <v>15</v>
      </c>
      <c r="H655" t="s">
        <v>14</v>
      </c>
      <c r="I655" t="s">
        <v>2038</v>
      </c>
      <c r="J655">
        <v>60025038</v>
      </c>
      <c r="K655" t="s">
        <v>404</v>
      </c>
      <c r="L655" t="s">
        <v>403</v>
      </c>
      <c r="M655" t="s">
        <v>23</v>
      </c>
      <c r="N655">
        <v>3</v>
      </c>
      <c r="O655" t="s">
        <v>2037</v>
      </c>
      <c r="P655" t="s">
        <v>2036</v>
      </c>
      <c r="Q655" t="s">
        <v>2035</v>
      </c>
      <c r="R655" s="7">
        <v>32509</v>
      </c>
      <c r="S655" s="8">
        <f t="shared" si="80"/>
        <v>1989</v>
      </c>
      <c r="T655" s="8">
        <v>1989</v>
      </c>
      <c r="U655" s="8">
        <f t="shared" si="81"/>
        <v>33</v>
      </c>
      <c r="V655" s="7">
        <v>32568</v>
      </c>
      <c r="W655" t="s">
        <v>1996</v>
      </c>
      <c r="X655" s="2">
        <v>0.62</v>
      </c>
      <c r="Y655" s="6">
        <f t="shared" si="86"/>
        <v>1.6550545901070447E-2</v>
      </c>
      <c r="AA655">
        <v>189464</v>
      </c>
      <c r="AB655">
        <v>17364</v>
      </c>
      <c r="AC655">
        <v>19410069</v>
      </c>
      <c r="AD655" t="s">
        <v>5</v>
      </c>
      <c r="AE655">
        <v>25</v>
      </c>
      <c r="AF655">
        <v>2</v>
      </c>
      <c r="AH655" t="s">
        <v>2034</v>
      </c>
      <c r="AI655" t="s">
        <v>2033</v>
      </c>
      <c r="AK655" t="s">
        <v>2032</v>
      </c>
      <c r="AL655">
        <v>12</v>
      </c>
      <c r="AM655" s="5">
        <f t="shared" si="82"/>
        <v>0.36363636363636365</v>
      </c>
      <c r="AN655" s="4">
        <f t="shared" si="87"/>
        <v>5.5075556779456819E-4</v>
      </c>
      <c r="AO655" s="3"/>
      <c r="AP655">
        <v>0</v>
      </c>
      <c r="AR655" t="s">
        <v>0</v>
      </c>
      <c r="AT655" s="2">
        <v>1.7</v>
      </c>
      <c r="AU655" s="1">
        <f t="shared" si="83"/>
        <v>1.1750608801087683</v>
      </c>
      <c r="AV655" s="1">
        <f t="shared" si="84"/>
        <v>0.85506507344325078</v>
      </c>
      <c r="AW655" s="1">
        <f t="shared" si="85"/>
        <v>0.53506926677773314</v>
      </c>
    </row>
    <row r="656" spans="1:49" x14ac:dyDescent="0.2">
      <c r="A656">
        <v>654</v>
      </c>
      <c r="B656" t="s">
        <v>2031</v>
      </c>
      <c r="C656" t="s">
        <v>2030</v>
      </c>
      <c r="F656" t="s">
        <v>2029</v>
      </c>
      <c r="G656" t="s">
        <v>15</v>
      </c>
      <c r="H656" t="s">
        <v>14</v>
      </c>
      <c r="I656" t="s">
        <v>2028</v>
      </c>
      <c r="J656">
        <v>60002947</v>
      </c>
      <c r="K656" t="s">
        <v>2027</v>
      </c>
      <c r="L656" t="s">
        <v>2026</v>
      </c>
      <c r="M656" t="s">
        <v>2025</v>
      </c>
      <c r="N656">
        <v>1</v>
      </c>
      <c r="O656" t="s">
        <v>2024</v>
      </c>
      <c r="P656">
        <v>7004716169</v>
      </c>
      <c r="Q656">
        <v>60002947</v>
      </c>
      <c r="R656" s="7">
        <v>32509</v>
      </c>
      <c r="S656" s="8">
        <f t="shared" si="80"/>
        <v>1989</v>
      </c>
      <c r="T656" s="8">
        <v>1989</v>
      </c>
      <c r="U656" s="8">
        <f t="shared" si="81"/>
        <v>33</v>
      </c>
      <c r="V656" s="7">
        <v>32568</v>
      </c>
      <c r="W656" t="s">
        <v>778</v>
      </c>
      <c r="X656" s="2">
        <v>1.6519999999999999</v>
      </c>
      <c r="Y656" s="6">
        <f t="shared" si="86"/>
        <v>4.409919649769093E-2</v>
      </c>
      <c r="AA656" t="s">
        <v>777</v>
      </c>
      <c r="AB656">
        <v>17337</v>
      </c>
      <c r="AC656">
        <v>15582221</v>
      </c>
      <c r="AD656" t="s">
        <v>5</v>
      </c>
      <c r="AE656">
        <v>37</v>
      </c>
      <c r="AF656">
        <v>3</v>
      </c>
      <c r="AH656" t="s">
        <v>2023</v>
      </c>
      <c r="AI656" t="s">
        <v>2022</v>
      </c>
      <c r="AK656" t="s">
        <v>2021</v>
      </c>
      <c r="AL656">
        <v>36</v>
      </c>
      <c r="AM656" s="5">
        <f t="shared" si="82"/>
        <v>1.0909090909090908</v>
      </c>
      <c r="AN656" s="4">
        <f t="shared" si="87"/>
        <v>1.6522667033837045E-3</v>
      </c>
      <c r="AO656" s="3"/>
      <c r="AP656">
        <v>0</v>
      </c>
      <c r="AR656" t="s">
        <v>0</v>
      </c>
      <c r="AT656" s="2" t="s">
        <v>19</v>
      </c>
      <c r="AU656" s="1">
        <f t="shared" si="83"/>
        <v>3.1365117559398761</v>
      </c>
      <c r="AV656" s="1">
        <f t="shared" si="84"/>
        <v>2.2875731600537317</v>
      </c>
      <c r="AW656" s="1">
        <f t="shared" si="85"/>
        <v>1.4386345641675871</v>
      </c>
    </row>
    <row r="657" spans="1:49" x14ac:dyDescent="0.2">
      <c r="A657">
        <v>655</v>
      </c>
      <c r="B657" t="s">
        <v>2020</v>
      </c>
      <c r="C657" t="s">
        <v>2019</v>
      </c>
      <c r="F657" t="s">
        <v>2018</v>
      </c>
      <c r="G657" t="s">
        <v>15</v>
      </c>
      <c r="H657" t="s">
        <v>14</v>
      </c>
      <c r="I657" t="s">
        <v>2017</v>
      </c>
      <c r="J657">
        <v>60021378</v>
      </c>
      <c r="K657" t="s">
        <v>978</v>
      </c>
      <c r="L657" t="s">
        <v>977</v>
      </c>
      <c r="M657" t="s">
        <v>23</v>
      </c>
      <c r="N657">
        <v>2</v>
      </c>
      <c r="O657" t="s">
        <v>2016</v>
      </c>
      <c r="P657" t="s">
        <v>2015</v>
      </c>
      <c r="Q657" t="s">
        <v>974</v>
      </c>
      <c r="R657" s="7">
        <v>32509</v>
      </c>
      <c r="S657" s="8">
        <f t="shared" si="80"/>
        <v>1989</v>
      </c>
      <c r="T657" s="8">
        <v>1989</v>
      </c>
      <c r="U657" s="8">
        <f t="shared" si="81"/>
        <v>33</v>
      </c>
      <c r="V657" s="7">
        <v>32568</v>
      </c>
      <c r="W657" t="s">
        <v>2014</v>
      </c>
      <c r="X657" s="2">
        <v>3.8109999999999999</v>
      </c>
      <c r="Y657" s="6">
        <f t="shared" si="86"/>
        <v>0.10173246843383786</v>
      </c>
      <c r="AA657">
        <v>1628828</v>
      </c>
      <c r="AB657">
        <v>24254</v>
      </c>
      <c r="AD657" t="s">
        <v>5</v>
      </c>
      <c r="AE657">
        <v>11</v>
      </c>
      <c r="AF657">
        <v>3</v>
      </c>
      <c r="AH657" t="s">
        <v>2013</v>
      </c>
      <c r="AI657" t="s">
        <v>2012</v>
      </c>
      <c r="AK657" t="s">
        <v>2011</v>
      </c>
      <c r="AL657">
        <v>12</v>
      </c>
      <c r="AM657" s="5">
        <f t="shared" si="82"/>
        <v>0.36363636363636365</v>
      </c>
      <c r="AN657" s="4">
        <f t="shared" si="87"/>
        <v>5.5075556779456819E-4</v>
      </c>
      <c r="AO657" s="3"/>
      <c r="AP657">
        <v>0</v>
      </c>
      <c r="AR657" t="s">
        <v>0</v>
      </c>
      <c r="AT657" s="2" t="s">
        <v>19</v>
      </c>
      <c r="AU657" s="1">
        <f t="shared" si="83"/>
        <v>7.137795457402488</v>
      </c>
      <c r="AV657" s="1">
        <f t="shared" si="84"/>
        <v>5.1141612000816208</v>
      </c>
      <c r="AW657" s="1">
        <f t="shared" si="85"/>
        <v>3.0905269427607558</v>
      </c>
    </row>
    <row r="658" spans="1:49" x14ac:dyDescent="0.2">
      <c r="A658">
        <v>656</v>
      </c>
      <c r="B658" t="s">
        <v>2010</v>
      </c>
      <c r="C658" t="s">
        <v>2009</v>
      </c>
      <c r="F658" t="s">
        <v>2008</v>
      </c>
      <c r="G658" t="s">
        <v>15</v>
      </c>
      <c r="H658" t="s">
        <v>14</v>
      </c>
      <c r="I658" t="s">
        <v>2007</v>
      </c>
      <c r="J658">
        <v>60025778</v>
      </c>
      <c r="K658" t="s">
        <v>1726</v>
      </c>
      <c r="L658" t="s">
        <v>1142</v>
      </c>
      <c r="M658" t="s">
        <v>23</v>
      </c>
      <c r="N658">
        <v>1</v>
      </c>
      <c r="O658" t="s">
        <v>2006</v>
      </c>
      <c r="P658">
        <v>7004624580</v>
      </c>
      <c r="Q658">
        <v>60025778</v>
      </c>
      <c r="R658" s="7">
        <v>32509</v>
      </c>
      <c r="S658" s="8">
        <f t="shared" si="80"/>
        <v>1989</v>
      </c>
      <c r="T658" s="8">
        <v>1989</v>
      </c>
      <c r="U658" s="8">
        <f t="shared" si="81"/>
        <v>33</v>
      </c>
      <c r="V658" s="7">
        <v>32568</v>
      </c>
      <c r="W658" t="s">
        <v>778</v>
      </c>
      <c r="X658" s="2">
        <v>1.6519999999999999</v>
      </c>
      <c r="Y658" s="6">
        <f t="shared" si="86"/>
        <v>4.409919649769093E-2</v>
      </c>
      <c r="AA658" t="s">
        <v>777</v>
      </c>
      <c r="AB658">
        <v>17337</v>
      </c>
      <c r="AC658">
        <v>15582221</v>
      </c>
      <c r="AD658" t="s">
        <v>5</v>
      </c>
      <c r="AE658">
        <v>37</v>
      </c>
      <c r="AF658">
        <v>3</v>
      </c>
      <c r="AH658" t="s">
        <v>1793</v>
      </c>
      <c r="AI658" t="s">
        <v>2005</v>
      </c>
      <c r="AK658" t="s">
        <v>2004</v>
      </c>
      <c r="AL658">
        <v>15</v>
      </c>
      <c r="AM658" s="5">
        <f t="shared" si="82"/>
        <v>0.45454545454545453</v>
      </c>
      <c r="AN658" s="4">
        <f t="shared" si="87"/>
        <v>6.8844445974321016E-4</v>
      </c>
      <c r="AO658" s="3"/>
      <c r="AP658">
        <v>0</v>
      </c>
      <c r="AR658" t="s">
        <v>0</v>
      </c>
      <c r="AT658" s="2" t="s">
        <v>19</v>
      </c>
      <c r="AU658" s="1">
        <f t="shared" si="83"/>
        <v>3.1075970886306612</v>
      </c>
      <c r="AV658" s="1">
        <f t="shared" si="84"/>
        <v>2.239382047871707</v>
      </c>
      <c r="AW658" s="1">
        <f t="shared" si="85"/>
        <v>1.3711670071127524</v>
      </c>
    </row>
    <row r="659" spans="1:49" x14ac:dyDescent="0.2">
      <c r="A659">
        <v>657</v>
      </c>
      <c r="B659" t="s">
        <v>2003</v>
      </c>
      <c r="C659" t="s">
        <v>2002</v>
      </c>
      <c r="F659" t="s">
        <v>2001</v>
      </c>
      <c r="G659" t="s">
        <v>15</v>
      </c>
      <c r="H659" t="s">
        <v>14</v>
      </c>
      <c r="I659" t="s">
        <v>2000</v>
      </c>
      <c r="J659">
        <v>60009037</v>
      </c>
      <c r="K659" t="s">
        <v>1694</v>
      </c>
      <c r="L659" t="s">
        <v>1693</v>
      </c>
      <c r="M659" t="s">
        <v>23</v>
      </c>
      <c r="N659">
        <v>7</v>
      </c>
      <c r="O659" t="s">
        <v>1999</v>
      </c>
      <c r="P659" t="s">
        <v>1998</v>
      </c>
      <c r="Q659" t="s">
        <v>1997</v>
      </c>
      <c r="R659" s="7">
        <v>32509</v>
      </c>
      <c r="S659" s="8">
        <f t="shared" si="80"/>
        <v>1989</v>
      </c>
      <c r="T659" s="8">
        <v>1989</v>
      </c>
      <c r="U659" s="8">
        <f t="shared" si="81"/>
        <v>33</v>
      </c>
      <c r="V659" s="7">
        <v>32568</v>
      </c>
      <c r="W659" t="s">
        <v>1996</v>
      </c>
      <c r="X659" s="2">
        <v>0.62</v>
      </c>
      <c r="Y659" s="6">
        <f t="shared" si="86"/>
        <v>1.6550545901070447E-2</v>
      </c>
      <c r="AA659">
        <v>189464</v>
      </c>
      <c r="AB659">
        <v>17364</v>
      </c>
      <c r="AC659">
        <v>19410069</v>
      </c>
      <c r="AD659" t="s">
        <v>5</v>
      </c>
      <c r="AE659">
        <v>25</v>
      </c>
      <c r="AF659">
        <v>2</v>
      </c>
      <c r="AH659" t="s">
        <v>1995</v>
      </c>
      <c r="AI659" t="s">
        <v>1994</v>
      </c>
      <c r="AK659" t="s">
        <v>1993</v>
      </c>
      <c r="AL659">
        <v>14</v>
      </c>
      <c r="AM659" s="5">
        <f t="shared" si="82"/>
        <v>0.42424242424242425</v>
      </c>
      <c r="AN659" s="4">
        <f t="shared" si="87"/>
        <v>6.4254816242699617E-4</v>
      </c>
      <c r="AO659" s="3"/>
      <c r="AP659">
        <v>0</v>
      </c>
      <c r="AQ659" t="s">
        <v>746</v>
      </c>
      <c r="AR659" t="s">
        <v>1992</v>
      </c>
      <c r="AS659" t="s">
        <v>744</v>
      </c>
      <c r="AT659" s="2">
        <v>1.7</v>
      </c>
      <c r="AU659" s="1">
        <f t="shared" si="83"/>
        <v>1.1778146579477411</v>
      </c>
      <c r="AV659" s="1">
        <f t="shared" si="84"/>
        <v>0.85965470317487214</v>
      </c>
      <c r="AW659" s="1">
        <f t="shared" si="85"/>
        <v>0.54149474840200318</v>
      </c>
    </row>
    <row r="660" spans="1:49" x14ac:dyDescent="0.2">
      <c r="A660">
        <v>658</v>
      </c>
      <c r="B660" t="s">
        <v>1991</v>
      </c>
      <c r="C660" t="s">
        <v>1990</v>
      </c>
      <c r="F660" t="s">
        <v>1989</v>
      </c>
      <c r="G660" t="s">
        <v>15</v>
      </c>
      <c r="H660" t="s">
        <v>14</v>
      </c>
      <c r="I660" t="s">
        <v>1988</v>
      </c>
      <c r="J660">
        <v>60009037</v>
      </c>
      <c r="K660" t="s">
        <v>1694</v>
      </c>
      <c r="L660" t="s">
        <v>1693</v>
      </c>
      <c r="M660" t="s">
        <v>23</v>
      </c>
      <c r="N660">
        <v>2</v>
      </c>
      <c r="O660" t="s">
        <v>1987</v>
      </c>
      <c r="P660" t="s">
        <v>1986</v>
      </c>
      <c r="Q660" t="s">
        <v>1690</v>
      </c>
      <c r="R660" s="7">
        <v>32509</v>
      </c>
      <c r="S660" s="8">
        <f t="shared" si="80"/>
        <v>1989</v>
      </c>
      <c r="T660" s="8">
        <v>1989</v>
      </c>
      <c r="U660" s="8">
        <f t="shared" si="81"/>
        <v>33</v>
      </c>
      <c r="V660" s="7" t="s">
        <v>1965</v>
      </c>
      <c r="W660" t="s">
        <v>1964</v>
      </c>
      <c r="X660" s="2" t="s">
        <v>19</v>
      </c>
      <c r="Y660" s="6" t="e">
        <f t="shared" si="86"/>
        <v>#VALUE!</v>
      </c>
      <c r="AA660">
        <v>281522</v>
      </c>
      <c r="AB660">
        <v>12174</v>
      </c>
      <c r="AC660">
        <v>21614296</v>
      </c>
      <c r="AD660" t="s">
        <v>5</v>
      </c>
      <c r="AE660">
        <v>36</v>
      </c>
      <c r="AF660">
        <v>1</v>
      </c>
      <c r="AH660" t="s">
        <v>1985</v>
      </c>
      <c r="AI660" t="s">
        <v>1984</v>
      </c>
      <c r="AK660" t="s">
        <v>1983</v>
      </c>
      <c r="AL660">
        <v>1</v>
      </c>
      <c r="AM660" s="5">
        <f t="shared" si="82"/>
        <v>3.0303030303030304E-2</v>
      </c>
      <c r="AN660" s="4">
        <f t="shared" si="87"/>
        <v>4.5896297316214016E-5</v>
      </c>
      <c r="AO660" s="3"/>
      <c r="AP660">
        <v>0</v>
      </c>
      <c r="AR660" t="s">
        <v>0</v>
      </c>
      <c r="AT660" s="2" t="s">
        <v>19</v>
      </c>
      <c r="AU660" s="1" t="e">
        <f t="shared" si="83"/>
        <v>#VALUE!</v>
      </c>
      <c r="AV660" s="1" t="e">
        <f t="shared" si="84"/>
        <v>#VALUE!</v>
      </c>
      <c r="AW660" s="1" t="e">
        <f t="shared" si="85"/>
        <v>#VALUE!</v>
      </c>
    </row>
    <row r="661" spans="1:49" x14ac:dyDescent="0.2">
      <c r="A661">
        <v>659</v>
      </c>
      <c r="B661" t="s">
        <v>1982</v>
      </c>
      <c r="C661" t="s">
        <v>1981</v>
      </c>
      <c r="F661" t="s">
        <v>1980</v>
      </c>
      <c r="G661" t="s">
        <v>15</v>
      </c>
      <c r="H661" t="s">
        <v>14</v>
      </c>
      <c r="I661" t="s">
        <v>1979</v>
      </c>
      <c r="J661">
        <v>60024266</v>
      </c>
      <c r="K661" t="s">
        <v>1903</v>
      </c>
      <c r="L661" t="s">
        <v>1902</v>
      </c>
      <c r="M661" t="s">
        <v>23</v>
      </c>
      <c r="N661">
        <v>5</v>
      </c>
      <c r="O661" t="s">
        <v>1978</v>
      </c>
      <c r="P661" t="s">
        <v>1977</v>
      </c>
      <c r="Q661" t="s">
        <v>1976</v>
      </c>
      <c r="R661" s="7">
        <v>32509</v>
      </c>
      <c r="S661" s="8">
        <f t="shared" si="80"/>
        <v>1989</v>
      </c>
      <c r="T661" s="8">
        <v>1989</v>
      </c>
      <c r="U661" s="8">
        <f t="shared" si="81"/>
        <v>33</v>
      </c>
      <c r="V661" s="7" t="s">
        <v>1889</v>
      </c>
      <c r="W661" t="s">
        <v>1888</v>
      </c>
      <c r="X661" s="2" t="s">
        <v>19</v>
      </c>
      <c r="Y661" s="6" t="e">
        <f t="shared" si="86"/>
        <v>#VALUE!</v>
      </c>
      <c r="AA661">
        <v>7481896</v>
      </c>
      <c r="AB661">
        <v>78193</v>
      </c>
      <c r="AD661" t="s">
        <v>5</v>
      </c>
      <c r="AE661">
        <v>15</v>
      </c>
      <c r="AF661" t="s">
        <v>1911</v>
      </c>
      <c r="AH661" t="s">
        <v>1975</v>
      </c>
      <c r="AI661" t="s">
        <v>1974</v>
      </c>
      <c r="AK661" t="s">
        <v>1973</v>
      </c>
      <c r="AL661">
        <v>0</v>
      </c>
      <c r="AM661" s="5">
        <f t="shared" si="82"/>
        <v>0</v>
      </c>
      <c r="AN661" s="4">
        <f t="shared" si="87"/>
        <v>0</v>
      </c>
      <c r="AO661" s="3"/>
      <c r="AP661">
        <v>0</v>
      </c>
      <c r="AR661" t="s">
        <v>0</v>
      </c>
      <c r="AT661" s="2" t="s">
        <v>19</v>
      </c>
      <c r="AU661" s="1" t="e">
        <f t="shared" si="83"/>
        <v>#VALUE!</v>
      </c>
      <c r="AV661" s="1" t="e">
        <f t="shared" si="84"/>
        <v>#VALUE!</v>
      </c>
      <c r="AW661" s="1" t="e">
        <f t="shared" si="85"/>
        <v>#VALUE!</v>
      </c>
    </row>
    <row r="662" spans="1:49" x14ac:dyDescent="0.2">
      <c r="A662">
        <v>660</v>
      </c>
      <c r="B662" t="s">
        <v>1972</v>
      </c>
      <c r="C662" t="s">
        <v>1971</v>
      </c>
      <c r="F662" t="s">
        <v>1970</v>
      </c>
      <c r="G662" t="s">
        <v>15</v>
      </c>
      <c r="H662" t="s">
        <v>14</v>
      </c>
      <c r="I662" t="s">
        <v>1969</v>
      </c>
      <c r="J662">
        <v>101405953</v>
      </c>
      <c r="K662" t="s">
        <v>1968</v>
      </c>
      <c r="L662" t="s">
        <v>1967</v>
      </c>
      <c r="M662" t="s">
        <v>792</v>
      </c>
      <c r="N662">
        <v>1</v>
      </c>
      <c r="O662" t="s">
        <v>1966</v>
      </c>
      <c r="P662">
        <v>7102378744</v>
      </c>
      <c r="Q662">
        <v>101405953</v>
      </c>
      <c r="R662" s="7">
        <v>32509</v>
      </c>
      <c r="S662" s="8">
        <f t="shared" si="80"/>
        <v>1989</v>
      </c>
      <c r="T662" s="8">
        <v>1989</v>
      </c>
      <c r="U662" s="8">
        <f t="shared" si="81"/>
        <v>33</v>
      </c>
      <c r="V662" s="7" t="s">
        <v>1965</v>
      </c>
      <c r="W662" t="s">
        <v>1964</v>
      </c>
      <c r="X662" s="2" t="s">
        <v>19</v>
      </c>
      <c r="Y662" s="6" t="e">
        <f t="shared" si="86"/>
        <v>#VALUE!</v>
      </c>
      <c r="AA662">
        <v>281522</v>
      </c>
      <c r="AB662">
        <v>12174</v>
      </c>
      <c r="AC662">
        <v>21614296</v>
      </c>
      <c r="AD662" t="s">
        <v>5</v>
      </c>
      <c r="AE662">
        <v>36</v>
      </c>
      <c r="AF662">
        <v>1</v>
      </c>
      <c r="AH662" t="s">
        <v>1963</v>
      </c>
      <c r="AI662" t="s">
        <v>1962</v>
      </c>
      <c r="AK662" t="s">
        <v>1961</v>
      </c>
      <c r="AL662">
        <v>2</v>
      </c>
      <c r="AM662" s="5">
        <f t="shared" si="82"/>
        <v>6.0606060606060608E-2</v>
      </c>
      <c r="AN662" s="4">
        <f t="shared" si="87"/>
        <v>9.1792594632428032E-5</v>
      </c>
      <c r="AO662" s="3"/>
      <c r="AP662">
        <v>0</v>
      </c>
      <c r="AR662" t="s">
        <v>0</v>
      </c>
      <c r="AT662" s="2" t="s">
        <v>19</v>
      </c>
      <c r="AU662" s="1" t="e">
        <f t="shared" si="83"/>
        <v>#VALUE!</v>
      </c>
      <c r="AV662" s="1" t="e">
        <f t="shared" si="84"/>
        <v>#VALUE!</v>
      </c>
      <c r="AW662" s="1" t="e">
        <f t="shared" si="85"/>
        <v>#VALUE!</v>
      </c>
    </row>
    <row r="663" spans="1:49" x14ac:dyDescent="0.2">
      <c r="A663">
        <v>661</v>
      </c>
      <c r="B663" t="s">
        <v>1960</v>
      </c>
      <c r="C663" t="s">
        <v>1959</v>
      </c>
      <c r="F663" t="s">
        <v>1958</v>
      </c>
      <c r="G663" t="s">
        <v>15</v>
      </c>
      <c r="H663" t="s">
        <v>14</v>
      </c>
      <c r="I663" t="s">
        <v>1957</v>
      </c>
      <c r="J663" t="s">
        <v>1952</v>
      </c>
      <c r="K663" t="s">
        <v>1956</v>
      </c>
      <c r="L663" t="s">
        <v>1955</v>
      </c>
      <c r="M663" t="s">
        <v>86</v>
      </c>
      <c r="N663">
        <v>2</v>
      </c>
      <c r="O663" t="s">
        <v>1954</v>
      </c>
      <c r="P663" t="s">
        <v>1953</v>
      </c>
      <c r="Q663" t="s">
        <v>1952</v>
      </c>
      <c r="R663" s="7">
        <v>32509</v>
      </c>
      <c r="S663" s="8">
        <f t="shared" si="80"/>
        <v>1989</v>
      </c>
      <c r="T663" s="8">
        <v>1989</v>
      </c>
      <c r="U663" s="8">
        <f t="shared" si="81"/>
        <v>33</v>
      </c>
      <c r="V663" s="7" t="s">
        <v>1951</v>
      </c>
      <c r="W663" t="s">
        <v>1950</v>
      </c>
      <c r="X663" s="2">
        <v>1.573</v>
      </c>
      <c r="Y663" s="6">
        <f t="shared" si="86"/>
        <v>4.1990336616748086E-2</v>
      </c>
      <c r="AA663">
        <v>7315090</v>
      </c>
      <c r="AB663">
        <v>29586</v>
      </c>
      <c r="AD663" t="s">
        <v>5</v>
      </c>
      <c r="AE663">
        <v>12</v>
      </c>
      <c r="AF663">
        <v>2</v>
      </c>
      <c r="AH663" t="s">
        <v>1949</v>
      </c>
      <c r="AI663" t="s">
        <v>1948</v>
      </c>
      <c r="AK663" t="s">
        <v>1947</v>
      </c>
      <c r="AL663">
        <v>46</v>
      </c>
      <c r="AM663" s="5">
        <f t="shared" si="82"/>
        <v>1.393939393939394</v>
      </c>
      <c r="AN663" s="4">
        <f t="shared" si="87"/>
        <v>2.111229676545845E-3</v>
      </c>
      <c r="AO663" s="3"/>
      <c r="AP663">
        <v>0</v>
      </c>
      <c r="AR663" t="s">
        <v>0</v>
      </c>
      <c r="AT663" s="2" t="s">
        <v>19</v>
      </c>
      <c r="AU663" s="1">
        <f t="shared" si="83"/>
        <v>3.0026604534687413</v>
      </c>
      <c r="AV663" s="1">
        <f t="shared" si="84"/>
        <v>2.2050783146646968</v>
      </c>
      <c r="AW663" s="1">
        <f t="shared" si="85"/>
        <v>1.4074961758606517</v>
      </c>
    </row>
    <row r="664" spans="1:49" x14ac:dyDescent="0.2">
      <c r="A664">
        <v>662</v>
      </c>
      <c r="B664" t="s">
        <v>1946</v>
      </c>
      <c r="C664" t="s">
        <v>1945</v>
      </c>
      <c r="F664" t="s">
        <v>1944</v>
      </c>
      <c r="G664" t="s">
        <v>15</v>
      </c>
      <c r="H664" t="s">
        <v>14</v>
      </c>
      <c r="I664" t="s">
        <v>1943</v>
      </c>
      <c r="J664">
        <v>60005681</v>
      </c>
      <c r="K664" t="s">
        <v>1942</v>
      </c>
      <c r="L664" t="s">
        <v>1941</v>
      </c>
      <c r="M664" t="s">
        <v>1940</v>
      </c>
      <c r="N664">
        <v>2</v>
      </c>
      <c r="O664" t="s">
        <v>1939</v>
      </c>
      <c r="P664" t="s">
        <v>1938</v>
      </c>
      <c r="Q664" t="s">
        <v>1937</v>
      </c>
      <c r="R664" s="7">
        <v>32509</v>
      </c>
      <c r="S664" s="8">
        <f t="shared" si="80"/>
        <v>1989</v>
      </c>
      <c r="T664" s="8">
        <v>1989</v>
      </c>
      <c r="U664" s="8">
        <f t="shared" si="81"/>
        <v>33</v>
      </c>
      <c r="V664" s="7">
        <v>32568</v>
      </c>
      <c r="W664" t="s">
        <v>1436</v>
      </c>
      <c r="X664" s="2">
        <v>0.251</v>
      </c>
      <c r="Y664" s="6">
        <f t="shared" si="86"/>
        <v>6.7003016470462617E-3</v>
      </c>
      <c r="AA664">
        <v>207217</v>
      </c>
      <c r="AB664">
        <v>26145</v>
      </c>
      <c r="AC664">
        <v>13623060</v>
      </c>
      <c r="AD664" t="s">
        <v>5</v>
      </c>
      <c r="AE664">
        <v>66</v>
      </c>
      <c r="AF664">
        <v>3</v>
      </c>
      <c r="AH664" t="s">
        <v>1936</v>
      </c>
      <c r="AI664" t="s">
        <v>1935</v>
      </c>
      <c r="AK664" t="s">
        <v>1934</v>
      </c>
      <c r="AL664">
        <v>1</v>
      </c>
      <c r="AM664" s="5">
        <f t="shared" si="82"/>
        <v>3.0303030303030304E-2</v>
      </c>
      <c r="AN664" s="4">
        <f t="shared" si="87"/>
        <v>4.5896297316214016E-5</v>
      </c>
      <c r="AO664" s="3"/>
      <c r="AP664">
        <v>0</v>
      </c>
      <c r="AR664" t="s">
        <v>0</v>
      </c>
      <c r="AT664" s="2">
        <v>1.3360000000000001</v>
      </c>
      <c r="AU664" s="1">
        <f t="shared" si="83"/>
        <v>0.47039800421272471</v>
      </c>
      <c r="AV664" s="1">
        <f t="shared" si="84"/>
        <v>0.33730989721812382</v>
      </c>
      <c r="AW664" s="1">
        <f t="shared" si="85"/>
        <v>0.20422179022352283</v>
      </c>
    </row>
    <row r="665" spans="1:49" x14ac:dyDescent="0.2">
      <c r="A665">
        <v>663</v>
      </c>
      <c r="B665" t="s">
        <v>1933</v>
      </c>
      <c r="C665" t="s">
        <v>1932</v>
      </c>
      <c r="D665" t="s">
        <v>1931</v>
      </c>
      <c r="F665" t="s">
        <v>1930</v>
      </c>
      <c r="G665" t="s">
        <v>15</v>
      </c>
      <c r="H665" t="s">
        <v>14</v>
      </c>
      <c r="I665" t="s">
        <v>1929</v>
      </c>
      <c r="J665">
        <v>60007363</v>
      </c>
      <c r="K665" t="s">
        <v>1928</v>
      </c>
      <c r="L665" t="s">
        <v>1927</v>
      </c>
      <c r="M665" t="s">
        <v>23</v>
      </c>
      <c r="N665">
        <v>3</v>
      </c>
      <c r="O665" t="s">
        <v>1926</v>
      </c>
      <c r="P665" t="s">
        <v>1925</v>
      </c>
      <c r="Q665" t="s">
        <v>1924</v>
      </c>
      <c r="R665" s="7">
        <v>32509</v>
      </c>
      <c r="S665" s="8">
        <f t="shared" si="80"/>
        <v>1989</v>
      </c>
      <c r="T665" s="8">
        <v>1989</v>
      </c>
      <c r="U665" s="8">
        <f t="shared" si="81"/>
        <v>33</v>
      </c>
      <c r="V665" s="7">
        <v>32568</v>
      </c>
      <c r="W665" t="s">
        <v>1923</v>
      </c>
      <c r="X665" s="2">
        <v>0.53100000000000003</v>
      </c>
      <c r="Y665" s="6">
        <f t="shared" si="86"/>
        <v>1.4174741731400658E-2</v>
      </c>
      <c r="AA665">
        <v>1652125</v>
      </c>
      <c r="AB665">
        <v>12517</v>
      </c>
      <c r="AD665" t="s">
        <v>5</v>
      </c>
      <c r="AE665">
        <v>11</v>
      </c>
      <c r="AF665">
        <v>1</v>
      </c>
      <c r="AH665" t="s">
        <v>1922</v>
      </c>
      <c r="AI665" t="s">
        <v>1921</v>
      </c>
      <c r="AK665" t="s">
        <v>1920</v>
      </c>
      <c r="AL665">
        <v>10</v>
      </c>
      <c r="AM665" s="5">
        <f t="shared" si="82"/>
        <v>0.30303030303030304</v>
      </c>
      <c r="AN665" s="4">
        <f t="shared" si="87"/>
        <v>4.5896297316214016E-4</v>
      </c>
      <c r="AO665" s="3"/>
      <c r="AP665">
        <v>0</v>
      </c>
      <c r="AQ665" t="s">
        <v>618</v>
      </c>
      <c r="AR665" t="s">
        <v>1919</v>
      </c>
      <c r="AS665" t="s">
        <v>616</v>
      </c>
      <c r="AT665" s="2">
        <v>2.02</v>
      </c>
      <c r="AU665" s="1">
        <f t="shared" si="83"/>
        <v>1.0060008103929101</v>
      </c>
      <c r="AV665" s="1">
        <f t="shared" si="84"/>
        <v>0.73168523522813989</v>
      </c>
      <c r="AW665" s="1">
        <f t="shared" si="85"/>
        <v>0.4573696600633696</v>
      </c>
    </row>
    <row r="666" spans="1:49" x14ac:dyDescent="0.2">
      <c r="A666">
        <v>664</v>
      </c>
      <c r="B666" t="s">
        <v>1918</v>
      </c>
      <c r="C666" t="s">
        <v>1917</v>
      </c>
      <c r="F666" t="s">
        <v>1916</v>
      </c>
      <c r="G666" t="s">
        <v>15</v>
      </c>
      <c r="H666" t="s">
        <v>14</v>
      </c>
      <c r="I666" t="s">
        <v>1915</v>
      </c>
      <c r="J666">
        <v>60024266</v>
      </c>
      <c r="K666" t="s">
        <v>1903</v>
      </c>
      <c r="L666" t="s">
        <v>1902</v>
      </c>
      <c r="M666" t="s">
        <v>23</v>
      </c>
      <c r="N666">
        <v>9</v>
      </c>
      <c r="O666" t="s">
        <v>1914</v>
      </c>
      <c r="P666" t="s">
        <v>1913</v>
      </c>
      <c r="Q666" t="s">
        <v>1912</v>
      </c>
      <c r="R666" s="7">
        <v>32509</v>
      </c>
      <c r="S666" s="8">
        <f t="shared" si="80"/>
        <v>1989</v>
      </c>
      <c r="T666" s="8">
        <v>1989</v>
      </c>
      <c r="U666" s="8">
        <f t="shared" si="81"/>
        <v>33</v>
      </c>
      <c r="V666" s="7" t="s">
        <v>1889</v>
      </c>
      <c r="W666" t="s">
        <v>1888</v>
      </c>
      <c r="X666" s="2" t="s">
        <v>19</v>
      </c>
      <c r="Y666" s="6" t="e">
        <f t="shared" si="86"/>
        <v>#VALUE!</v>
      </c>
      <c r="AA666">
        <v>7481896</v>
      </c>
      <c r="AB666">
        <v>78193</v>
      </c>
      <c r="AD666" t="s">
        <v>5</v>
      </c>
      <c r="AE666">
        <v>15</v>
      </c>
      <c r="AF666" t="s">
        <v>1911</v>
      </c>
      <c r="AH666" t="s">
        <v>1910</v>
      </c>
      <c r="AI666" t="s">
        <v>1909</v>
      </c>
      <c r="AK666" t="s">
        <v>1908</v>
      </c>
      <c r="AL666">
        <v>0</v>
      </c>
      <c r="AM666" s="5">
        <f t="shared" si="82"/>
        <v>0</v>
      </c>
      <c r="AN666" s="4">
        <f t="shared" si="87"/>
        <v>0</v>
      </c>
      <c r="AO666" s="3"/>
      <c r="AP666">
        <v>0</v>
      </c>
      <c r="AR666" t="s">
        <v>0</v>
      </c>
      <c r="AT666" s="2" t="s">
        <v>19</v>
      </c>
      <c r="AU666" s="1" t="e">
        <f t="shared" si="83"/>
        <v>#VALUE!</v>
      </c>
      <c r="AV666" s="1" t="e">
        <f t="shared" si="84"/>
        <v>#VALUE!</v>
      </c>
      <c r="AW666" s="1" t="e">
        <f t="shared" si="85"/>
        <v>#VALUE!</v>
      </c>
    </row>
    <row r="667" spans="1:49" x14ac:dyDescent="0.2">
      <c r="A667">
        <v>665</v>
      </c>
      <c r="B667" t="s">
        <v>1907</v>
      </c>
      <c r="C667" t="s">
        <v>1906</v>
      </c>
      <c r="F667" t="s">
        <v>1905</v>
      </c>
      <c r="G667" t="s">
        <v>15</v>
      </c>
      <c r="H667" t="s">
        <v>14</v>
      </c>
      <c r="I667" t="s">
        <v>1904</v>
      </c>
      <c r="J667">
        <v>60024266</v>
      </c>
      <c r="K667" t="s">
        <v>1903</v>
      </c>
      <c r="L667" t="s">
        <v>1902</v>
      </c>
      <c r="M667" t="s">
        <v>23</v>
      </c>
      <c r="N667">
        <v>2</v>
      </c>
      <c r="O667" t="s">
        <v>1901</v>
      </c>
      <c r="P667" t="s">
        <v>1900</v>
      </c>
      <c r="Q667" t="s">
        <v>1899</v>
      </c>
      <c r="R667" s="7">
        <v>32509</v>
      </c>
      <c r="S667" s="8">
        <f t="shared" si="80"/>
        <v>1989</v>
      </c>
      <c r="T667" s="8">
        <v>1989</v>
      </c>
      <c r="U667" s="8">
        <f t="shared" si="81"/>
        <v>33</v>
      </c>
      <c r="V667" s="7" t="s">
        <v>1889</v>
      </c>
      <c r="W667" t="s">
        <v>1888</v>
      </c>
      <c r="X667" s="2" t="s">
        <v>19</v>
      </c>
      <c r="Y667" s="6" t="e">
        <f t="shared" si="86"/>
        <v>#VALUE!</v>
      </c>
      <c r="AA667">
        <v>7481896</v>
      </c>
      <c r="AB667">
        <v>78193</v>
      </c>
      <c r="AD667" t="s">
        <v>5</v>
      </c>
      <c r="AE667">
        <v>15</v>
      </c>
      <c r="AF667" t="s">
        <v>1887</v>
      </c>
      <c r="AH667" t="s">
        <v>1898</v>
      </c>
      <c r="AI667" t="s">
        <v>1897</v>
      </c>
      <c r="AK667" t="s">
        <v>1896</v>
      </c>
      <c r="AL667">
        <v>4</v>
      </c>
      <c r="AM667" s="5">
        <f t="shared" si="82"/>
        <v>0.12121212121212122</v>
      </c>
      <c r="AN667" s="4">
        <f t="shared" si="87"/>
        <v>1.8358518926485606E-4</v>
      </c>
      <c r="AO667" s="3"/>
      <c r="AP667">
        <v>0</v>
      </c>
      <c r="AR667" t="s">
        <v>0</v>
      </c>
      <c r="AT667" s="2" t="s">
        <v>19</v>
      </c>
      <c r="AU667" s="1" t="e">
        <f t="shared" si="83"/>
        <v>#VALUE!</v>
      </c>
      <c r="AV667" s="1" t="e">
        <f t="shared" si="84"/>
        <v>#VALUE!</v>
      </c>
      <c r="AW667" s="1" t="e">
        <f t="shared" si="85"/>
        <v>#VALUE!</v>
      </c>
    </row>
    <row r="668" spans="1:49" x14ac:dyDescent="0.2">
      <c r="A668">
        <v>666</v>
      </c>
      <c r="B668" t="s">
        <v>1895</v>
      </c>
      <c r="C668" t="s">
        <v>1894</v>
      </c>
      <c r="F668" t="s">
        <v>1893</v>
      </c>
      <c r="G668" t="s">
        <v>15</v>
      </c>
      <c r="H668" t="s">
        <v>14</v>
      </c>
      <c r="I668" t="s">
        <v>1892</v>
      </c>
      <c r="J668">
        <v>60013901</v>
      </c>
      <c r="K668" t="s">
        <v>1891</v>
      </c>
      <c r="L668" t="s">
        <v>1045</v>
      </c>
      <c r="M668" t="s">
        <v>23</v>
      </c>
      <c r="N668">
        <v>1</v>
      </c>
      <c r="O668" t="s">
        <v>1890</v>
      </c>
      <c r="P668">
        <v>7006111874</v>
      </c>
      <c r="Q668">
        <v>60013901</v>
      </c>
      <c r="R668" s="7">
        <v>32509</v>
      </c>
      <c r="S668" s="8">
        <f t="shared" si="80"/>
        <v>1989</v>
      </c>
      <c r="T668" s="8">
        <v>1989</v>
      </c>
      <c r="U668" s="8">
        <f t="shared" si="81"/>
        <v>33</v>
      </c>
      <c r="V668" s="7" t="s">
        <v>1889</v>
      </c>
      <c r="W668" t="s">
        <v>1888</v>
      </c>
      <c r="X668" s="2" t="s">
        <v>19</v>
      </c>
      <c r="Y668" s="6" t="e">
        <f t="shared" si="86"/>
        <v>#VALUE!</v>
      </c>
      <c r="AA668">
        <v>7481896</v>
      </c>
      <c r="AB668">
        <v>78193</v>
      </c>
      <c r="AD668" t="s">
        <v>5</v>
      </c>
      <c r="AE668">
        <v>15</v>
      </c>
      <c r="AF668" t="s">
        <v>1887</v>
      </c>
      <c r="AH668" t="s">
        <v>1886</v>
      </c>
      <c r="AI668" t="s">
        <v>1885</v>
      </c>
      <c r="AK668" t="s">
        <v>1884</v>
      </c>
      <c r="AL668">
        <v>11</v>
      </c>
      <c r="AM668" s="5">
        <f t="shared" si="82"/>
        <v>0.33333333333333331</v>
      </c>
      <c r="AN668" s="4">
        <f t="shared" si="87"/>
        <v>5.048592704783541E-4</v>
      </c>
      <c r="AO668" s="3"/>
      <c r="AP668">
        <v>0</v>
      </c>
      <c r="AR668" t="s">
        <v>0</v>
      </c>
      <c r="AT668" s="2" t="s">
        <v>19</v>
      </c>
      <c r="AU668" s="1" t="e">
        <f t="shared" si="83"/>
        <v>#VALUE!</v>
      </c>
      <c r="AV668" s="1" t="e">
        <f t="shared" si="84"/>
        <v>#VALUE!</v>
      </c>
      <c r="AW668" s="1" t="e">
        <f t="shared" si="85"/>
        <v>#VALUE!</v>
      </c>
    </row>
    <row r="669" spans="1:49" x14ac:dyDescent="0.2">
      <c r="A669">
        <v>667</v>
      </c>
      <c r="B669" t="s">
        <v>1883</v>
      </c>
      <c r="C669" t="s">
        <v>1882</v>
      </c>
      <c r="E669">
        <v>2917769</v>
      </c>
      <c r="F669" t="s">
        <v>1881</v>
      </c>
      <c r="G669" t="s">
        <v>15</v>
      </c>
      <c r="H669" t="s">
        <v>14</v>
      </c>
      <c r="I669" t="s">
        <v>1880</v>
      </c>
      <c r="J669" t="s">
        <v>1879</v>
      </c>
      <c r="K669" t="s">
        <v>1878</v>
      </c>
      <c r="L669" t="s">
        <v>1877</v>
      </c>
      <c r="M669" t="s">
        <v>86</v>
      </c>
      <c r="N669">
        <v>2</v>
      </c>
      <c r="O669" t="s">
        <v>1876</v>
      </c>
      <c r="P669" t="s">
        <v>1875</v>
      </c>
      <c r="Q669" t="s">
        <v>1874</v>
      </c>
      <c r="R669" s="7">
        <v>32509</v>
      </c>
      <c r="S669" s="8">
        <f t="shared" si="80"/>
        <v>1989</v>
      </c>
      <c r="T669" s="8">
        <v>1989</v>
      </c>
      <c r="U669" s="8">
        <f t="shared" si="81"/>
        <v>33</v>
      </c>
      <c r="V669" s="7">
        <v>32540</v>
      </c>
      <c r="W669" t="s">
        <v>1873</v>
      </c>
      <c r="X669" s="2">
        <v>1.1479999999999999</v>
      </c>
      <c r="Y669" s="6">
        <f t="shared" si="86"/>
        <v>3.0645204345853019E-2</v>
      </c>
      <c r="AA669">
        <v>189294</v>
      </c>
      <c r="AB669">
        <v>16318</v>
      </c>
      <c r="AC669">
        <v>15582531</v>
      </c>
      <c r="AD669" t="s">
        <v>5</v>
      </c>
      <c r="AE669">
        <v>36</v>
      </c>
      <c r="AF669">
        <v>2</v>
      </c>
      <c r="AH669" t="s">
        <v>1872</v>
      </c>
      <c r="AI669" t="s">
        <v>1871</v>
      </c>
      <c r="AK669" t="s">
        <v>1870</v>
      </c>
      <c r="AL669">
        <v>52</v>
      </c>
      <c r="AM669" s="5">
        <f t="shared" si="82"/>
        <v>1.5757575757575757</v>
      </c>
      <c r="AN669" s="4">
        <f t="shared" si="87"/>
        <v>2.3866074604431287E-3</v>
      </c>
      <c r="AO669" s="3"/>
      <c r="AP669">
        <v>0</v>
      </c>
      <c r="AR669" t="s">
        <v>0</v>
      </c>
      <c r="AT669" s="2" t="s">
        <v>19</v>
      </c>
      <c r="AU669" s="1">
        <f t="shared" si="83"/>
        <v>2.216762528023005</v>
      </c>
      <c r="AV669" s="1">
        <f t="shared" si="84"/>
        <v>1.6515905903148074</v>
      </c>
      <c r="AW669" s="1">
        <f t="shared" si="85"/>
        <v>1.0864186526066095</v>
      </c>
    </row>
    <row r="670" spans="1:49" x14ac:dyDescent="0.2">
      <c r="A670">
        <v>668</v>
      </c>
      <c r="B670" t="s">
        <v>1869</v>
      </c>
      <c r="C670" t="s">
        <v>1868</v>
      </c>
      <c r="D670">
        <v>968000489900479</v>
      </c>
      <c r="E670">
        <v>2650041</v>
      </c>
      <c r="F670" t="s">
        <v>1867</v>
      </c>
      <c r="G670" t="s">
        <v>15</v>
      </c>
      <c r="H670" t="s">
        <v>14</v>
      </c>
      <c r="I670" t="s">
        <v>1866</v>
      </c>
      <c r="J670" t="s">
        <v>1865</v>
      </c>
      <c r="K670" t="s">
        <v>1864</v>
      </c>
      <c r="L670" t="s">
        <v>1863</v>
      </c>
      <c r="M670" t="s">
        <v>1862</v>
      </c>
      <c r="N670">
        <v>3</v>
      </c>
      <c r="O670" t="s">
        <v>1861</v>
      </c>
      <c r="P670" t="s">
        <v>1860</v>
      </c>
      <c r="Q670" t="s">
        <v>1859</v>
      </c>
      <c r="R670" s="7">
        <v>32509</v>
      </c>
      <c r="S670" s="8">
        <f t="shared" si="80"/>
        <v>1989</v>
      </c>
      <c r="T670" s="8">
        <v>1989</v>
      </c>
      <c r="U670" s="8">
        <f t="shared" si="81"/>
        <v>33</v>
      </c>
      <c r="V670" s="7">
        <v>32540</v>
      </c>
      <c r="W670" t="s">
        <v>1858</v>
      </c>
      <c r="X670" s="2">
        <v>6.29</v>
      </c>
      <c r="Y670" s="6">
        <f t="shared" si="86"/>
        <v>0.16790795760924696</v>
      </c>
      <c r="AA670">
        <v>9680004</v>
      </c>
      <c r="AB670">
        <v>14816</v>
      </c>
      <c r="AD670" t="s">
        <v>5</v>
      </c>
      <c r="AE670">
        <v>14</v>
      </c>
      <c r="AF670">
        <v>2</v>
      </c>
      <c r="AH670" t="s">
        <v>1857</v>
      </c>
      <c r="AI670" t="s">
        <v>1856</v>
      </c>
      <c r="AK670" t="s">
        <v>1855</v>
      </c>
      <c r="AL670">
        <v>73</v>
      </c>
      <c r="AM670" s="5">
        <f t="shared" si="82"/>
        <v>2.2121212121212119</v>
      </c>
      <c r="AN670" s="4">
        <f t="shared" si="87"/>
        <v>3.3504297040836228E-3</v>
      </c>
      <c r="AO670" s="3"/>
      <c r="AP670">
        <v>0</v>
      </c>
      <c r="AR670" t="s">
        <v>0</v>
      </c>
      <c r="AT670" s="2">
        <v>13.807</v>
      </c>
      <c r="AU670" s="1">
        <f t="shared" si="83"/>
        <v>11.854069923769794</v>
      </c>
      <c r="AV670" s="1">
        <f t="shared" si="84"/>
        <v>8.562919365666529</v>
      </c>
      <c r="AW670" s="1">
        <f t="shared" si="85"/>
        <v>5.2717688075632623</v>
      </c>
    </row>
    <row r="671" spans="1:49" x14ac:dyDescent="0.2">
      <c r="A671">
        <v>669</v>
      </c>
      <c r="B671" t="s">
        <v>1854</v>
      </c>
      <c r="C671" t="s">
        <v>1853</v>
      </c>
      <c r="F671" t="s">
        <v>1852</v>
      </c>
      <c r="G671" t="s">
        <v>15</v>
      </c>
      <c r="H671" t="s">
        <v>14</v>
      </c>
      <c r="I671" t="s">
        <v>1851</v>
      </c>
      <c r="J671">
        <v>60104081</v>
      </c>
      <c r="K671" t="s">
        <v>1850</v>
      </c>
      <c r="L671" t="s">
        <v>1849</v>
      </c>
      <c r="M671" t="s">
        <v>72</v>
      </c>
      <c r="N671">
        <v>1</v>
      </c>
      <c r="O671" t="s">
        <v>1848</v>
      </c>
      <c r="P671">
        <v>6701682807</v>
      </c>
      <c r="Q671">
        <v>60104081</v>
      </c>
      <c r="R671" s="7">
        <v>32509</v>
      </c>
      <c r="S671" s="8">
        <f t="shared" si="80"/>
        <v>1989</v>
      </c>
      <c r="T671" s="8">
        <v>1989</v>
      </c>
      <c r="U671" s="8">
        <f t="shared" si="81"/>
        <v>33</v>
      </c>
      <c r="V671" s="7">
        <v>32540</v>
      </c>
      <c r="W671" t="s">
        <v>778</v>
      </c>
      <c r="X671" s="2">
        <v>1.6519999999999999</v>
      </c>
      <c r="Y671" s="6">
        <f t="shared" si="86"/>
        <v>4.409919649769093E-2</v>
      </c>
      <c r="AA671" t="s">
        <v>777</v>
      </c>
      <c r="AB671">
        <v>17337</v>
      </c>
      <c r="AC671">
        <v>15582221</v>
      </c>
      <c r="AD671" t="s">
        <v>5</v>
      </c>
      <c r="AE671">
        <v>37</v>
      </c>
      <c r="AF671">
        <v>2</v>
      </c>
      <c r="AH671" t="s">
        <v>1847</v>
      </c>
      <c r="AI671" t="s">
        <v>1846</v>
      </c>
      <c r="AK671" t="s">
        <v>1845</v>
      </c>
      <c r="AL671">
        <v>44</v>
      </c>
      <c r="AM671" s="5">
        <f t="shared" si="82"/>
        <v>1.3333333333333333</v>
      </c>
      <c r="AN671" s="4">
        <f t="shared" si="87"/>
        <v>2.0194370819134164E-3</v>
      </c>
      <c r="AO671" s="3"/>
      <c r="AP671">
        <v>0</v>
      </c>
      <c r="AR671" t="s">
        <v>0</v>
      </c>
      <c r="AT671" s="2" t="s">
        <v>19</v>
      </c>
      <c r="AU671" s="1">
        <f t="shared" si="83"/>
        <v>3.1475268672957677</v>
      </c>
      <c r="AV671" s="1">
        <f t="shared" si="84"/>
        <v>2.3059316789802176</v>
      </c>
      <c r="AW671" s="1">
        <f t="shared" si="85"/>
        <v>1.464336490664667</v>
      </c>
    </row>
    <row r="672" spans="1:49" x14ac:dyDescent="0.2">
      <c r="A672">
        <v>670</v>
      </c>
      <c r="B672" t="s">
        <v>1844</v>
      </c>
      <c r="C672" t="s">
        <v>1843</v>
      </c>
      <c r="F672" t="s">
        <v>1842</v>
      </c>
      <c r="G672" t="s">
        <v>15</v>
      </c>
      <c r="H672" t="s">
        <v>14</v>
      </c>
      <c r="I672" t="s">
        <v>1841</v>
      </c>
      <c r="J672">
        <v>60000221</v>
      </c>
      <c r="K672" t="s">
        <v>1840</v>
      </c>
      <c r="L672" t="s">
        <v>1839</v>
      </c>
      <c r="M672" t="s">
        <v>23</v>
      </c>
      <c r="N672">
        <v>2</v>
      </c>
      <c r="O672" t="s">
        <v>1838</v>
      </c>
      <c r="P672" t="s">
        <v>1837</v>
      </c>
      <c r="Q672" t="s">
        <v>1836</v>
      </c>
      <c r="R672" s="7">
        <v>32509</v>
      </c>
      <c r="S672" s="8">
        <f t="shared" si="80"/>
        <v>1989</v>
      </c>
      <c r="T672" s="8">
        <v>1989</v>
      </c>
      <c r="U672" s="8">
        <f t="shared" si="81"/>
        <v>33</v>
      </c>
      <c r="V672" s="7">
        <v>32540</v>
      </c>
      <c r="W672" t="s">
        <v>778</v>
      </c>
      <c r="X672" s="2">
        <v>1.6519999999999999</v>
      </c>
      <c r="Y672" s="6">
        <f t="shared" si="86"/>
        <v>4.409919649769093E-2</v>
      </c>
      <c r="AA672" t="s">
        <v>777</v>
      </c>
      <c r="AB672">
        <v>17337</v>
      </c>
      <c r="AC672">
        <v>15582221</v>
      </c>
      <c r="AD672" t="s">
        <v>5</v>
      </c>
      <c r="AE672">
        <v>37</v>
      </c>
      <c r="AF672">
        <v>2</v>
      </c>
      <c r="AH672" t="s">
        <v>1835</v>
      </c>
      <c r="AI672" t="s">
        <v>1834</v>
      </c>
      <c r="AK672" t="s">
        <v>1833</v>
      </c>
      <c r="AL672">
        <v>30</v>
      </c>
      <c r="AM672" s="5">
        <f t="shared" si="82"/>
        <v>0.90909090909090906</v>
      </c>
      <c r="AN672" s="4">
        <f t="shared" si="87"/>
        <v>1.3768889194864203E-3</v>
      </c>
      <c r="AO672" s="3"/>
      <c r="AP672">
        <v>0</v>
      </c>
      <c r="AR672" t="s">
        <v>0</v>
      </c>
      <c r="AT672" s="2" t="s">
        <v>19</v>
      </c>
      <c r="AU672" s="1">
        <f t="shared" si="83"/>
        <v>3.1282504224229575</v>
      </c>
      <c r="AV672" s="1">
        <f t="shared" si="84"/>
        <v>2.2738042708588675</v>
      </c>
      <c r="AW672" s="1">
        <f t="shared" si="85"/>
        <v>1.4193581192947773</v>
      </c>
    </row>
    <row r="673" spans="1:49" x14ac:dyDescent="0.2">
      <c r="A673">
        <v>671</v>
      </c>
      <c r="B673" t="s">
        <v>1832</v>
      </c>
      <c r="C673" t="s">
        <v>1831</v>
      </c>
      <c r="F673" t="s">
        <v>1830</v>
      </c>
      <c r="G673" t="s">
        <v>15</v>
      </c>
      <c r="H673" t="s">
        <v>14</v>
      </c>
      <c r="I673" t="s">
        <v>1829</v>
      </c>
      <c r="J673" t="s">
        <v>1828</v>
      </c>
      <c r="K673" t="s">
        <v>1827</v>
      </c>
      <c r="L673" t="s">
        <v>1826</v>
      </c>
      <c r="M673" t="s">
        <v>86</v>
      </c>
      <c r="N673">
        <v>4</v>
      </c>
      <c r="O673" t="s">
        <v>1825</v>
      </c>
      <c r="P673" t="s">
        <v>1824</v>
      </c>
      <c r="Q673" t="s">
        <v>1823</v>
      </c>
      <c r="R673" s="7">
        <v>32509</v>
      </c>
      <c r="S673" s="8">
        <f t="shared" si="80"/>
        <v>1989</v>
      </c>
      <c r="T673" s="8">
        <v>1989</v>
      </c>
      <c r="U673" s="8">
        <f t="shared" si="81"/>
        <v>33</v>
      </c>
      <c r="V673" s="7">
        <v>32540</v>
      </c>
      <c r="W673" t="s">
        <v>943</v>
      </c>
      <c r="X673" s="2">
        <v>0.30399999999999999</v>
      </c>
      <c r="Y673" s="6">
        <f t="shared" si="86"/>
        <v>8.115106377299057E-3</v>
      </c>
      <c r="AA673">
        <v>8952477</v>
      </c>
      <c r="AB673">
        <v>12250</v>
      </c>
      <c r="AC673">
        <v>10982760</v>
      </c>
      <c r="AD673" t="s">
        <v>5</v>
      </c>
      <c r="AE673">
        <v>2</v>
      </c>
      <c r="AF673">
        <v>2</v>
      </c>
      <c r="AH673" t="s">
        <v>1096</v>
      </c>
      <c r="AJ673" t="s">
        <v>1822</v>
      </c>
      <c r="AL673">
        <v>1</v>
      </c>
      <c r="AM673" s="5">
        <f t="shared" si="82"/>
        <v>3.0303030303030304E-2</v>
      </c>
      <c r="AN673" s="4">
        <f t="shared" si="87"/>
        <v>4.5896297316214016E-5</v>
      </c>
      <c r="AO673" s="3"/>
      <c r="AP673">
        <v>0</v>
      </c>
      <c r="AR673" t="s">
        <v>0</v>
      </c>
      <c r="AT673" s="2" t="s">
        <v>19</v>
      </c>
      <c r="AU673" s="1">
        <f t="shared" si="83"/>
        <v>0.56943433533042043</v>
      </c>
      <c r="AV673" s="1">
        <f t="shared" si="84"/>
        <v>0.40805013373076354</v>
      </c>
      <c r="AW673" s="1">
        <f t="shared" si="85"/>
        <v>0.24666593213110671</v>
      </c>
    </row>
    <row r="674" spans="1:49" x14ac:dyDescent="0.2">
      <c r="A674">
        <v>672</v>
      </c>
      <c r="B674" t="s">
        <v>1821</v>
      </c>
      <c r="C674" t="s">
        <v>1820</v>
      </c>
      <c r="F674" t="s">
        <v>1819</v>
      </c>
      <c r="G674" t="s">
        <v>15</v>
      </c>
      <c r="H674" t="s">
        <v>14</v>
      </c>
      <c r="I674" t="s">
        <v>1818</v>
      </c>
      <c r="J674">
        <v>60021902</v>
      </c>
      <c r="K674" t="s">
        <v>1817</v>
      </c>
      <c r="L674" t="s">
        <v>1816</v>
      </c>
      <c r="M674" t="s">
        <v>1815</v>
      </c>
      <c r="N674">
        <v>1</v>
      </c>
      <c r="O674" t="s">
        <v>1814</v>
      </c>
      <c r="P674">
        <v>35565202000</v>
      </c>
      <c r="Q674">
        <v>60021902</v>
      </c>
      <c r="R674" s="7">
        <v>32509</v>
      </c>
      <c r="S674" s="8">
        <f t="shared" si="80"/>
        <v>1989</v>
      </c>
      <c r="T674" s="8">
        <v>1989</v>
      </c>
      <c r="U674" s="8">
        <f t="shared" si="81"/>
        <v>33</v>
      </c>
      <c r="V674" s="7">
        <v>32540</v>
      </c>
      <c r="W674" t="s">
        <v>1813</v>
      </c>
      <c r="X674" s="2">
        <v>0.91600000000000004</v>
      </c>
      <c r="Y674" s="6">
        <f t="shared" si="86"/>
        <v>2.4452096847387951E-2</v>
      </c>
      <c r="AA674">
        <v>189359</v>
      </c>
      <c r="AB674">
        <v>17344</v>
      </c>
      <c r="AC674">
        <v>15579638</v>
      </c>
      <c r="AD674" t="s">
        <v>5</v>
      </c>
      <c r="AE674">
        <v>32</v>
      </c>
      <c r="AF674">
        <v>1</v>
      </c>
      <c r="AH674" t="s">
        <v>1812</v>
      </c>
      <c r="AI674" t="s">
        <v>1811</v>
      </c>
      <c r="AK674" t="s">
        <v>1810</v>
      </c>
      <c r="AL674">
        <v>18</v>
      </c>
      <c r="AM674" s="5">
        <f t="shared" si="82"/>
        <v>0.54545454545454541</v>
      </c>
      <c r="AN674" s="4">
        <f t="shared" si="87"/>
        <v>8.2613335169185224E-4</v>
      </c>
      <c r="AO674" s="3"/>
      <c r="AP674">
        <v>0</v>
      </c>
      <c r="AR674" t="s">
        <v>0</v>
      </c>
      <c r="AT674" s="2">
        <v>2.1160000000000001</v>
      </c>
      <c r="AU674" s="1">
        <f t="shared" si="83"/>
        <v>1.7364307798679119</v>
      </c>
      <c r="AV674" s="1">
        <f t="shared" si="84"/>
        <v>1.2639115099539902</v>
      </c>
      <c r="AW674" s="1">
        <f t="shared" si="85"/>
        <v>0.79139224004006814</v>
      </c>
    </row>
    <row r="675" spans="1:49" x14ac:dyDescent="0.2">
      <c r="A675">
        <v>673</v>
      </c>
      <c r="B675" t="s">
        <v>1809</v>
      </c>
      <c r="C675" t="s">
        <v>1808</v>
      </c>
      <c r="F675" t="s">
        <v>1807</v>
      </c>
      <c r="G675" t="s">
        <v>15</v>
      </c>
      <c r="H675" t="s">
        <v>14</v>
      </c>
      <c r="I675" t="s">
        <v>1488</v>
      </c>
      <c r="J675">
        <v>60013402</v>
      </c>
      <c r="K675" t="s">
        <v>1806</v>
      </c>
      <c r="L675" t="s">
        <v>1805</v>
      </c>
      <c r="M675" t="s">
        <v>23</v>
      </c>
      <c r="N675">
        <v>1</v>
      </c>
      <c r="O675" t="s">
        <v>1804</v>
      </c>
      <c r="P675">
        <v>7101677253</v>
      </c>
      <c r="Q675">
        <v>60013402</v>
      </c>
      <c r="R675" s="7">
        <v>32509</v>
      </c>
      <c r="S675" s="8">
        <f t="shared" si="80"/>
        <v>1989</v>
      </c>
      <c r="T675" s="8">
        <v>1989</v>
      </c>
      <c r="U675" s="8">
        <f t="shared" si="81"/>
        <v>33</v>
      </c>
      <c r="V675" s="7">
        <v>32540</v>
      </c>
      <c r="W675" t="s">
        <v>778</v>
      </c>
      <c r="X675" s="2">
        <v>1.6519999999999999</v>
      </c>
      <c r="Y675" s="6">
        <f t="shared" si="86"/>
        <v>4.409919649769093E-2</v>
      </c>
      <c r="AA675" t="s">
        <v>777</v>
      </c>
      <c r="AB675">
        <v>17337</v>
      </c>
      <c r="AC675">
        <v>15582221</v>
      </c>
      <c r="AD675" t="s">
        <v>5</v>
      </c>
      <c r="AE675">
        <v>37</v>
      </c>
      <c r="AF675">
        <v>2</v>
      </c>
      <c r="AH675" t="s">
        <v>1803</v>
      </c>
      <c r="AI675" t="s">
        <v>1802</v>
      </c>
      <c r="AK675" t="s">
        <v>1801</v>
      </c>
      <c r="AL675">
        <v>18</v>
      </c>
      <c r="AM675" s="5">
        <f t="shared" si="82"/>
        <v>0.54545454545454541</v>
      </c>
      <c r="AN675" s="4">
        <f t="shared" si="87"/>
        <v>8.2613335169185224E-4</v>
      </c>
      <c r="AO675" s="3"/>
      <c r="AP675">
        <v>0</v>
      </c>
      <c r="AR675" t="s">
        <v>0</v>
      </c>
      <c r="AT675" s="2" t="s">
        <v>19</v>
      </c>
      <c r="AU675" s="1">
        <f t="shared" si="83"/>
        <v>3.1117277553891207</v>
      </c>
      <c r="AV675" s="1">
        <f t="shared" si="84"/>
        <v>2.2462664924691391</v>
      </c>
      <c r="AW675" s="1">
        <f t="shared" si="85"/>
        <v>1.3808052295491575</v>
      </c>
    </row>
    <row r="676" spans="1:49" x14ac:dyDescent="0.2">
      <c r="A676">
        <v>674</v>
      </c>
      <c r="B676" t="s">
        <v>1800</v>
      </c>
      <c r="C676" t="s">
        <v>1799</v>
      </c>
      <c r="F676" t="s">
        <v>1798</v>
      </c>
      <c r="G676" t="s">
        <v>15</v>
      </c>
      <c r="H676" t="s">
        <v>14</v>
      </c>
      <c r="I676" t="s">
        <v>1797</v>
      </c>
      <c r="J676">
        <v>60013372</v>
      </c>
      <c r="K676" t="s">
        <v>1796</v>
      </c>
      <c r="L676" t="s">
        <v>1795</v>
      </c>
      <c r="M676" t="s">
        <v>23</v>
      </c>
      <c r="N676">
        <v>1</v>
      </c>
      <c r="O676" t="s">
        <v>1794</v>
      </c>
      <c r="P676">
        <v>36041035600</v>
      </c>
      <c r="Q676">
        <v>60013372</v>
      </c>
      <c r="R676" s="7">
        <v>32509</v>
      </c>
      <c r="S676" s="8">
        <f t="shared" ref="S676:S739" si="88">YEAR(R676)</f>
        <v>1989</v>
      </c>
      <c r="T676" s="8">
        <v>1989</v>
      </c>
      <c r="U676" s="8">
        <f t="shared" ref="U676:U739" si="89">2022-T676</f>
        <v>33</v>
      </c>
      <c r="V676" s="7">
        <v>32540</v>
      </c>
      <c r="W676" t="s">
        <v>360</v>
      </c>
      <c r="X676" s="2">
        <v>1.3720000000000001</v>
      </c>
      <c r="Y676" s="6">
        <f t="shared" si="86"/>
        <v>3.662475641333654E-2</v>
      </c>
      <c r="AA676">
        <v>189480</v>
      </c>
      <c r="AB676">
        <v>17366</v>
      </c>
      <c r="AC676">
        <v>15579670</v>
      </c>
      <c r="AD676" t="s">
        <v>5</v>
      </c>
      <c r="AE676">
        <v>37</v>
      </c>
      <c r="AF676">
        <v>2</v>
      </c>
      <c r="AH676" t="s">
        <v>1793</v>
      </c>
      <c r="AI676" t="s">
        <v>1792</v>
      </c>
      <c r="AK676" t="s">
        <v>1791</v>
      </c>
      <c r="AL676">
        <v>53</v>
      </c>
      <c r="AM676" s="5">
        <f t="shared" ref="AM676:AM739" si="90">AL676/U676</f>
        <v>1.606060606060606</v>
      </c>
      <c r="AN676" s="4">
        <f t="shared" si="87"/>
        <v>2.4325037577593426E-3</v>
      </c>
      <c r="AO676" s="3"/>
      <c r="AP676">
        <v>0</v>
      </c>
      <c r="AQ676" t="s">
        <v>1790</v>
      </c>
      <c r="AR676" t="s">
        <v>1789</v>
      </c>
      <c r="AS676" t="s">
        <v>1788</v>
      </c>
      <c r="AT676" s="2" t="s">
        <v>19</v>
      </c>
      <c r="AU676" s="1">
        <f t="shared" ref="AU676:AU739" si="91">(Y676*0.7+AN676*0.3)*100</f>
        <v>2.6367080616663379</v>
      </c>
      <c r="AV676" s="1">
        <f t="shared" ref="AV676:AV739" si="92">(Y676*0.5+AN676*0.5)*100</f>
        <v>1.9528630085547942</v>
      </c>
      <c r="AW676" s="1">
        <f t="shared" ref="AW676:AW739" si="93">(Y676*0.3+AN676*0.7)*100</f>
        <v>1.2690179554432504</v>
      </c>
    </row>
    <row r="677" spans="1:49" x14ac:dyDescent="0.2">
      <c r="A677">
        <v>675</v>
      </c>
      <c r="B677" t="s">
        <v>1787</v>
      </c>
      <c r="C677" t="s">
        <v>1786</v>
      </c>
      <c r="F677" t="s">
        <v>1785</v>
      </c>
      <c r="G677" t="s">
        <v>15</v>
      </c>
      <c r="H677" t="s">
        <v>14</v>
      </c>
      <c r="I677" t="s">
        <v>1727</v>
      </c>
      <c r="J677" t="s">
        <v>1784</v>
      </c>
      <c r="K677" t="s">
        <v>1783</v>
      </c>
      <c r="L677" t="s">
        <v>1782</v>
      </c>
      <c r="M677" t="s">
        <v>1781</v>
      </c>
      <c r="N677">
        <v>3</v>
      </c>
      <c r="O677" t="s">
        <v>1780</v>
      </c>
      <c r="P677" t="s">
        <v>1779</v>
      </c>
      <c r="Q677" t="s">
        <v>1778</v>
      </c>
      <c r="R677" s="7">
        <v>32509</v>
      </c>
      <c r="S677" s="8">
        <f t="shared" si="88"/>
        <v>1989</v>
      </c>
      <c r="T677" s="8">
        <v>1989</v>
      </c>
      <c r="U677" s="8">
        <f t="shared" si="89"/>
        <v>33</v>
      </c>
      <c r="V677" s="7">
        <v>32540</v>
      </c>
      <c r="W677" t="s">
        <v>1551</v>
      </c>
      <c r="X677" s="2">
        <v>0.65500000000000003</v>
      </c>
      <c r="Y677" s="6">
        <f t="shared" si="86"/>
        <v>1.7484850911614749E-2</v>
      </c>
      <c r="AA677">
        <v>189375</v>
      </c>
      <c r="AB677">
        <v>26051</v>
      </c>
      <c r="AC677" t="s">
        <v>1550</v>
      </c>
      <c r="AD677" t="s">
        <v>5</v>
      </c>
      <c r="AE677">
        <v>31</v>
      </c>
      <c r="AF677">
        <v>1</v>
      </c>
      <c r="AH677" t="s">
        <v>1777</v>
      </c>
      <c r="AI677" t="s">
        <v>1776</v>
      </c>
      <c r="AJ677" t="s">
        <v>1775</v>
      </c>
      <c r="AK677" t="s">
        <v>1774</v>
      </c>
      <c r="AL677">
        <v>12</v>
      </c>
      <c r="AM677" s="5">
        <f t="shared" si="90"/>
        <v>0.36363636363636365</v>
      </c>
      <c r="AN677" s="4">
        <f t="shared" si="87"/>
        <v>5.5075556779456819E-4</v>
      </c>
      <c r="AO677" s="3"/>
      <c r="AP677">
        <v>0</v>
      </c>
      <c r="AQ677" t="s">
        <v>1720</v>
      </c>
      <c r="AR677" t="s">
        <v>1719</v>
      </c>
      <c r="AS677" t="s">
        <v>1718</v>
      </c>
      <c r="AT677" s="2" t="s">
        <v>19</v>
      </c>
      <c r="AU677" s="1">
        <f t="shared" si="91"/>
        <v>1.2404622308468694</v>
      </c>
      <c r="AV677" s="1">
        <f t="shared" si="92"/>
        <v>0.90178032397046581</v>
      </c>
      <c r="AW677" s="1">
        <f t="shared" si="93"/>
        <v>0.56309841709406228</v>
      </c>
    </row>
    <row r="678" spans="1:49" x14ac:dyDescent="0.2">
      <c r="A678">
        <v>676</v>
      </c>
      <c r="B678" t="s">
        <v>1773</v>
      </c>
      <c r="C678" t="s">
        <v>1772</v>
      </c>
      <c r="F678" t="s">
        <v>1771</v>
      </c>
      <c r="G678" t="s">
        <v>15</v>
      </c>
      <c r="H678" t="s">
        <v>14</v>
      </c>
      <c r="I678" t="s">
        <v>1770</v>
      </c>
      <c r="J678">
        <v>60024025</v>
      </c>
      <c r="K678" t="s">
        <v>1769</v>
      </c>
      <c r="L678" t="s">
        <v>1768</v>
      </c>
      <c r="M678" t="s">
        <v>259</v>
      </c>
      <c r="N678">
        <v>2</v>
      </c>
      <c r="O678" t="s">
        <v>1767</v>
      </c>
      <c r="P678" t="s">
        <v>1766</v>
      </c>
      <c r="Q678" t="s">
        <v>1765</v>
      </c>
      <c r="R678" s="7">
        <v>32509</v>
      </c>
      <c r="S678" s="8">
        <f t="shared" si="88"/>
        <v>1989</v>
      </c>
      <c r="T678" s="8">
        <v>1989</v>
      </c>
      <c r="U678" s="8">
        <f t="shared" si="89"/>
        <v>33</v>
      </c>
      <c r="V678" s="7">
        <v>32540</v>
      </c>
      <c r="W678" t="s">
        <v>360</v>
      </c>
      <c r="X678" s="2">
        <v>1.3720000000000001</v>
      </c>
      <c r="Y678" s="6">
        <f t="shared" si="86"/>
        <v>3.662475641333654E-2</v>
      </c>
      <c r="AA678">
        <v>189480</v>
      </c>
      <c r="AB678">
        <v>17366</v>
      </c>
      <c r="AC678">
        <v>15579670</v>
      </c>
      <c r="AD678" t="s">
        <v>5</v>
      </c>
      <c r="AE678">
        <v>37</v>
      </c>
      <c r="AF678">
        <v>2</v>
      </c>
      <c r="AH678" t="s">
        <v>1764</v>
      </c>
      <c r="AI678" t="s">
        <v>1763</v>
      </c>
      <c r="AK678" t="s">
        <v>1762</v>
      </c>
      <c r="AL678">
        <v>24</v>
      </c>
      <c r="AM678" s="5">
        <f t="shared" si="90"/>
        <v>0.72727272727272729</v>
      </c>
      <c r="AN678" s="4">
        <f t="shared" si="87"/>
        <v>1.1015111355891364E-3</v>
      </c>
      <c r="AO678" s="3"/>
      <c r="AP678">
        <v>0</v>
      </c>
      <c r="AQ678" t="s">
        <v>1761</v>
      </c>
      <c r="AR678" t="s">
        <v>0</v>
      </c>
      <c r="AS678" t="s">
        <v>1760</v>
      </c>
      <c r="AT678" s="2" t="s">
        <v>19</v>
      </c>
      <c r="AU678" s="1">
        <f t="shared" si="91"/>
        <v>2.5967782830012318</v>
      </c>
      <c r="AV678" s="1">
        <f t="shared" si="92"/>
        <v>1.8863133774462839</v>
      </c>
      <c r="AW678" s="1">
        <f t="shared" si="93"/>
        <v>1.1758484718913358</v>
      </c>
    </row>
    <row r="679" spans="1:49" x14ac:dyDescent="0.2">
      <c r="A679">
        <v>677</v>
      </c>
      <c r="B679" t="s">
        <v>1759</v>
      </c>
      <c r="C679" t="s">
        <v>1758</v>
      </c>
      <c r="F679" t="s">
        <v>1757</v>
      </c>
      <c r="G679" t="s">
        <v>15</v>
      </c>
      <c r="H679" t="s">
        <v>14</v>
      </c>
      <c r="I679" t="s">
        <v>1756</v>
      </c>
      <c r="J679">
        <v>60009982</v>
      </c>
      <c r="K679" t="s">
        <v>325</v>
      </c>
      <c r="L679" t="s">
        <v>324</v>
      </c>
      <c r="M679" t="s">
        <v>23</v>
      </c>
      <c r="N679">
        <v>1</v>
      </c>
      <c r="O679" t="s">
        <v>1755</v>
      </c>
      <c r="P679">
        <v>35586046100</v>
      </c>
      <c r="Q679">
        <v>60009982</v>
      </c>
      <c r="R679" s="7">
        <v>32509</v>
      </c>
      <c r="S679" s="8">
        <f t="shared" si="88"/>
        <v>1989</v>
      </c>
      <c r="T679" s="8">
        <v>1989</v>
      </c>
      <c r="U679" s="8">
        <f t="shared" si="89"/>
        <v>33</v>
      </c>
      <c r="V679" s="7">
        <v>32540</v>
      </c>
      <c r="W679" t="s">
        <v>778</v>
      </c>
      <c r="X679" s="2">
        <v>1.6519999999999999</v>
      </c>
      <c r="Y679" s="6">
        <f t="shared" si="86"/>
        <v>4.409919649769093E-2</v>
      </c>
      <c r="AA679" t="s">
        <v>777</v>
      </c>
      <c r="AB679">
        <v>17337</v>
      </c>
      <c r="AC679">
        <v>15582221</v>
      </c>
      <c r="AD679" t="s">
        <v>5</v>
      </c>
      <c r="AE679">
        <v>37</v>
      </c>
      <c r="AF679">
        <v>2</v>
      </c>
      <c r="AH679" t="s">
        <v>1754</v>
      </c>
      <c r="AI679" t="s">
        <v>1753</v>
      </c>
      <c r="AK679" t="s">
        <v>1752</v>
      </c>
      <c r="AL679">
        <v>22</v>
      </c>
      <c r="AM679" s="5">
        <f t="shared" si="90"/>
        <v>0.66666666666666663</v>
      </c>
      <c r="AN679" s="4">
        <f t="shared" si="87"/>
        <v>1.0097185409567082E-3</v>
      </c>
      <c r="AO679" s="3"/>
      <c r="AP679">
        <v>0</v>
      </c>
      <c r="AR679" t="s">
        <v>0</v>
      </c>
      <c r="AT679" s="2" t="s">
        <v>19</v>
      </c>
      <c r="AU679" s="1">
        <f t="shared" si="91"/>
        <v>3.1172353110670663</v>
      </c>
      <c r="AV679" s="1">
        <f t="shared" si="92"/>
        <v>2.2554457519323821</v>
      </c>
      <c r="AW679" s="1">
        <f t="shared" si="93"/>
        <v>1.3936561927976974</v>
      </c>
    </row>
    <row r="680" spans="1:49" x14ac:dyDescent="0.2">
      <c r="A680">
        <v>678</v>
      </c>
      <c r="B680" t="s">
        <v>1751</v>
      </c>
      <c r="C680" t="s">
        <v>1750</v>
      </c>
      <c r="F680" t="s">
        <v>1749</v>
      </c>
      <c r="G680" t="s">
        <v>15</v>
      </c>
      <c r="H680" t="s">
        <v>14</v>
      </c>
      <c r="I680" t="s">
        <v>1748</v>
      </c>
      <c r="J680">
        <v>60030821</v>
      </c>
      <c r="K680" t="s">
        <v>1747</v>
      </c>
      <c r="L680" t="s">
        <v>1746</v>
      </c>
      <c r="M680" t="s">
        <v>23</v>
      </c>
      <c r="N680">
        <v>1</v>
      </c>
      <c r="O680" t="s">
        <v>1745</v>
      </c>
      <c r="P680">
        <v>7201527945</v>
      </c>
      <c r="Q680">
        <v>60030821</v>
      </c>
      <c r="R680" s="7">
        <v>32509</v>
      </c>
      <c r="S680" s="8">
        <f t="shared" si="88"/>
        <v>1989</v>
      </c>
      <c r="T680" s="8">
        <v>1989</v>
      </c>
      <c r="U680" s="8">
        <f t="shared" si="89"/>
        <v>33</v>
      </c>
      <c r="V680" s="7">
        <v>32540</v>
      </c>
      <c r="W680" t="s">
        <v>778</v>
      </c>
      <c r="X680" s="2">
        <v>1.6519999999999999</v>
      </c>
      <c r="Y680" s="6">
        <f t="shared" si="86"/>
        <v>4.409919649769093E-2</v>
      </c>
      <c r="AA680" t="s">
        <v>777</v>
      </c>
      <c r="AB680">
        <v>17337</v>
      </c>
      <c r="AC680">
        <v>15582221</v>
      </c>
      <c r="AD680" t="s">
        <v>5</v>
      </c>
      <c r="AE680">
        <v>37</v>
      </c>
      <c r="AF680">
        <v>2</v>
      </c>
      <c r="AH680" t="s">
        <v>1744</v>
      </c>
      <c r="AI680" t="s">
        <v>1743</v>
      </c>
      <c r="AK680" t="s">
        <v>1742</v>
      </c>
      <c r="AL680">
        <v>5</v>
      </c>
      <c r="AM680" s="5">
        <f t="shared" si="90"/>
        <v>0.15151515151515152</v>
      </c>
      <c r="AN680" s="4">
        <f t="shared" si="87"/>
        <v>2.2948148658107008E-4</v>
      </c>
      <c r="AO680" s="3"/>
      <c r="AP680">
        <v>0</v>
      </c>
      <c r="AR680" t="s">
        <v>0</v>
      </c>
      <c r="AT680" s="2" t="s">
        <v>19</v>
      </c>
      <c r="AU680" s="1">
        <f t="shared" si="91"/>
        <v>3.0938281994357975</v>
      </c>
      <c r="AV680" s="1">
        <f t="shared" si="92"/>
        <v>2.2164338992135999</v>
      </c>
      <c r="AW680" s="1">
        <f t="shared" si="93"/>
        <v>1.3390395989914028</v>
      </c>
    </row>
    <row r="681" spans="1:49" x14ac:dyDescent="0.2">
      <c r="A681">
        <v>679</v>
      </c>
      <c r="B681" t="s">
        <v>1741</v>
      </c>
      <c r="C681" t="s">
        <v>1740</v>
      </c>
      <c r="F681" t="s">
        <v>1739</v>
      </c>
      <c r="G681" t="s">
        <v>15</v>
      </c>
      <c r="H681" t="s">
        <v>14</v>
      </c>
      <c r="I681" t="s">
        <v>1738</v>
      </c>
      <c r="J681">
        <v>60015465</v>
      </c>
      <c r="K681" t="s">
        <v>887</v>
      </c>
      <c r="L681" t="s">
        <v>886</v>
      </c>
      <c r="M681" t="s">
        <v>885</v>
      </c>
      <c r="N681">
        <v>2</v>
      </c>
      <c r="O681" t="s">
        <v>1737</v>
      </c>
      <c r="P681" t="s">
        <v>1736</v>
      </c>
      <c r="Q681" t="s">
        <v>1735</v>
      </c>
      <c r="R681" s="7">
        <v>32509</v>
      </c>
      <c r="S681" s="8">
        <f t="shared" si="88"/>
        <v>1989</v>
      </c>
      <c r="T681" s="8">
        <v>1989</v>
      </c>
      <c r="U681" s="8">
        <f t="shared" si="89"/>
        <v>33</v>
      </c>
      <c r="V681" s="7">
        <v>32540</v>
      </c>
      <c r="W681" t="s">
        <v>943</v>
      </c>
      <c r="X681" s="2">
        <v>0.30399999999999999</v>
      </c>
      <c r="Y681" s="6">
        <f t="shared" si="86"/>
        <v>8.115106377299057E-3</v>
      </c>
      <c r="AA681">
        <v>8952477</v>
      </c>
      <c r="AB681">
        <v>12250</v>
      </c>
      <c r="AC681">
        <v>10982760</v>
      </c>
      <c r="AD681" t="s">
        <v>5</v>
      </c>
      <c r="AE681">
        <v>2</v>
      </c>
      <c r="AF681">
        <v>2</v>
      </c>
      <c r="AH681" t="s">
        <v>1734</v>
      </c>
      <c r="AI681" t="s">
        <v>1733</v>
      </c>
      <c r="AJ681" t="s">
        <v>1732</v>
      </c>
      <c r="AK681" t="s">
        <v>1731</v>
      </c>
      <c r="AL681">
        <v>0</v>
      </c>
      <c r="AM681" s="5">
        <f t="shared" si="90"/>
        <v>0</v>
      </c>
      <c r="AN681" s="4">
        <f t="shared" si="87"/>
        <v>0</v>
      </c>
      <c r="AO681" s="3"/>
      <c r="AP681">
        <v>0</v>
      </c>
      <c r="AR681" t="s">
        <v>0</v>
      </c>
      <c r="AT681" s="2" t="s">
        <v>19</v>
      </c>
      <c r="AU681" s="1">
        <f t="shared" si="91"/>
        <v>0.56805744641093392</v>
      </c>
      <c r="AV681" s="1">
        <f t="shared" si="92"/>
        <v>0.40575531886495286</v>
      </c>
      <c r="AW681" s="1">
        <f t="shared" si="93"/>
        <v>0.24345319131897172</v>
      </c>
    </row>
    <row r="682" spans="1:49" x14ac:dyDescent="0.2">
      <c r="A682">
        <v>680</v>
      </c>
      <c r="B682" t="s">
        <v>1730</v>
      </c>
      <c r="C682" t="s">
        <v>1729</v>
      </c>
      <c r="F682" t="s">
        <v>1728</v>
      </c>
      <c r="G682" t="s">
        <v>15</v>
      </c>
      <c r="H682" t="s">
        <v>14</v>
      </c>
      <c r="I682" t="s">
        <v>1727</v>
      </c>
      <c r="J682">
        <v>60025778</v>
      </c>
      <c r="K682" t="s">
        <v>1726</v>
      </c>
      <c r="L682" t="s">
        <v>1142</v>
      </c>
      <c r="M682" t="s">
        <v>23</v>
      </c>
      <c r="N682">
        <v>1</v>
      </c>
      <c r="O682" t="s">
        <v>1725</v>
      </c>
      <c r="P682">
        <v>56222659200</v>
      </c>
      <c r="Q682">
        <v>60025778</v>
      </c>
      <c r="R682" s="7">
        <v>32509</v>
      </c>
      <c r="S682" s="8">
        <f t="shared" si="88"/>
        <v>1989</v>
      </c>
      <c r="T682" s="8">
        <v>1989</v>
      </c>
      <c r="U682" s="8">
        <f t="shared" si="89"/>
        <v>33</v>
      </c>
      <c r="V682" s="7">
        <v>32540</v>
      </c>
      <c r="W682" t="s">
        <v>1551</v>
      </c>
      <c r="X682" s="2">
        <v>0.65500000000000003</v>
      </c>
      <c r="Y682" s="6">
        <f t="shared" si="86"/>
        <v>1.7484850911614749E-2</v>
      </c>
      <c r="AA682">
        <v>189375</v>
      </c>
      <c r="AB682">
        <v>26051</v>
      </c>
      <c r="AC682" t="s">
        <v>1550</v>
      </c>
      <c r="AD682" t="s">
        <v>5</v>
      </c>
      <c r="AE682">
        <v>31</v>
      </c>
      <c r="AF682">
        <v>1</v>
      </c>
      <c r="AH682" t="s">
        <v>1724</v>
      </c>
      <c r="AI682" t="s">
        <v>1723</v>
      </c>
      <c r="AJ682" t="s">
        <v>1722</v>
      </c>
      <c r="AK682" t="s">
        <v>1721</v>
      </c>
      <c r="AL682">
        <v>7</v>
      </c>
      <c r="AM682" s="5">
        <f t="shared" si="90"/>
        <v>0.21212121212121213</v>
      </c>
      <c r="AN682" s="4">
        <f t="shared" si="87"/>
        <v>3.2127408121349809E-4</v>
      </c>
      <c r="AO682" s="3"/>
      <c r="AP682">
        <v>0</v>
      </c>
      <c r="AQ682" t="s">
        <v>1720</v>
      </c>
      <c r="AR682" t="s">
        <v>1719</v>
      </c>
      <c r="AS682" t="s">
        <v>1718</v>
      </c>
      <c r="AT682" s="2" t="s">
        <v>19</v>
      </c>
      <c r="AU682" s="1">
        <f t="shared" si="91"/>
        <v>1.2335777862494373</v>
      </c>
      <c r="AV682" s="1">
        <f t="shared" si="92"/>
        <v>0.89030624964141236</v>
      </c>
      <c r="AW682" s="1">
        <f t="shared" si="93"/>
        <v>0.54703471303338735</v>
      </c>
    </row>
    <row r="683" spans="1:49" x14ac:dyDescent="0.2">
      <c r="A683">
        <v>681</v>
      </c>
      <c r="B683" t="s">
        <v>1717</v>
      </c>
      <c r="C683" t="s">
        <v>1716</v>
      </c>
      <c r="D683">
        <v>94576589900994</v>
      </c>
      <c r="F683" t="s">
        <v>1715</v>
      </c>
      <c r="G683" t="s">
        <v>15</v>
      </c>
      <c r="H683" t="s">
        <v>14</v>
      </c>
      <c r="I683" t="s">
        <v>1714</v>
      </c>
      <c r="J683">
        <v>60000854</v>
      </c>
      <c r="K683" t="s">
        <v>1713</v>
      </c>
      <c r="L683" t="s">
        <v>1712</v>
      </c>
      <c r="M683" t="s">
        <v>23</v>
      </c>
      <c r="N683">
        <v>1</v>
      </c>
      <c r="O683" t="s">
        <v>1711</v>
      </c>
      <c r="P683">
        <v>7006040079</v>
      </c>
      <c r="Q683">
        <v>60000854</v>
      </c>
      <c r="R683" s="7">
        <v>32509</v>
      </c>
      <c r="S683" s="8">
        <f t="shared" si="88"/>
        <v>1989</v>
      </c>
      <c r="T683" s="8">
        <v>1989</v>
      </c>
      <c r="U683" s="8">
        <f t="shared" si="89"/>
        <v>33</v>
      </c>
      <c r="V683" s="7">
        <v>32540</v>
      </c>
      <c r="W683" t="s">
        <v>464</v>
      </c>
      <c r="X683" s="2">
        <v>1.1339999999999999</v>
      </c>
      <c r="Y683" s="6">
        <f t="shared" si="86"/>
        <v>3.0271482341635299E-2</v>
      </c>
      <c r="AA683">
        <v>945765</v>
      </c>
      <c r="AB683">
        <v>12372</v>
      </c>
      <c r="AD683" t="s">
        <v>5</v>
      </c>
      <c r="AE683">
        <v>19</v>
      </c>
      <c r="AF683">
        <v>2</v>
      </c>
      <c r="AH683" t="s">
        <v>306</v>
      </c>
      <c r="AI683" t="s">
        <v>1710</v>
      </c>
      <c r="AK683" t="s">
        <v>1709</v>
      </c>
      <c r="AL683">
        <v>8</v>
      </c>
      <c r="AM683" s="5">
        <f t="shared" si="90"/>
        <v>0.24242424242424243</v>
      </c>
      <c r="AN683" s="4">
        <f t="shared" si="87"/>
        <v>3.6717037852971213E-4</v>
      </c>
      <c r="AO683" s="3"/>
      <c r="AP683">
        <v>0</v>
      </c>
      <c r="AR683" t="s">
        <v>0</v>
      </c>
      <c r="AT683" s="2">
        <v>2.4129999999999998</v>
      </c>
      <c r="AU683" s="1">
        <f t="shared" si="91"/>
        <v>2.1300188752703622</v>
      </c>
      <c r="AV683" s="1">
        <f t="shared" si="92"/>
        <v>1.5319326360082506</v>
      </c>
      <c r="AW683" s="1">
        <f t="shared" si="93"/>
        <v>0.93384639674613867</v>
      </c>
    </row>
    <row r="684" spans="1:49" x14ac:dyDescent="0.2">
      <c r="A684">
        <v>682</v>
      </c>
      <c r="B684" t="s">
        <v>1708</v>
      </c>
      <c r="C684" t="s">
        <v>1707</v>
      </c>
      <c r="F684" t="s">
        <v>1706</v>
      </c>
      <c r="G684" t="s">
        <v>15</v>
      </c>
      <c r="H684" t="s">
        <v>14</v>
      </c>
      <c r="I684" t="s">
        <v>1705</v>
      </c>
      <c r="J684">
        <v>60074963</v>
      </c>
      <c r="K684" t="s">
        <v>1704</v>
      </c>
      <c r="L684" t="s">
        <v>1703</v>
      </c>
      <c r="M684" t="s">
        <v>23</v>
      </c>
      <c r="N684">
        <v>1</v>
      </c>
      <c r="O684" t="s">
        <v>1702</v>
      </c>
      <c r="P684">
        <v>7005692363</v>
      </c>
      <c r="Q684">
        <v>60074963</v>
      </c>
      <c r="R684" s="7">
        <v>32509</v>
      </c>
      <c r="S684" s="8">
        <f t="shared" si="88"/>
        <v>1989</v>
      </c>
      <c r="T684" s="8">
        <v>1989</v>
      </c>
      <c r="U684" s="8">
        <f t="shared" si="89"/>
        <v>33</v>
      </c>
      <c r="V684" s="7">
        <v>32540</v>
      </c>
      <c r="W684" t="s">
        <v>1551</v>
      </c>
      <c r="X684" s="2">
        <v>0.65500000000000003</v>
      </c>
      <c r="Y684" s="6">
        <f t="shared" si="86"/>
        <v>1.7484850911614749E-2</v>
      </c>
      <c r="AA684">
        <v>189375</v>
      </c>
      <c r="AB684">
        <v>26051</v>
      </c>
      <c r="AC684" t="s">
        <v>1550</v>
      </c>
      <c r="AD684" t="s">
        <v>5</v>
      </c>
      <c r="AE684">
        <v>31</v>
      </c>
      <c r="AF684">
        <v>1</v>
      </c>
      <c r="AH684" t="s">
        <v>1701</v>
      </c>
      <c r="AI684" t="s">
        <v>1700</v>
      </c>
      <c r="AK684" t="s">
        <v>1699</v>
      </c>
      <c r="AL684">
        <v>9</v>
      </c>
      <c r="AM684" s="5">
        <f t="shared" si="90"/>
        <v>0.27272727272727271</v>
      </c>
      <c r="AN684" s="4">
        <f t="shared" si="87"/>
        <v>4.1306667584592612E-4</v>
      </c>
      <c r="AO684" s="3"/>
      <c r="AP684">
        <v>0</v>
      </c>
      <c r="AR684" t="s">
        <v>0</v>
      </c>
      <c r="AT684" s="2" t="s">
        <v>19</v>
      </c>
      <c r="AU684" s="1">
        <f t="shared" si="91"/>
        <v>1.2363315640884101</v>
      </c>
      <c r="AV684" s="1">
        <f t="shared" si="92"/>
        <v>0.89489587937303361</v>
      </c>
      <c r="AW684" s="1">
        <f t="shared" si="93"/>
        <v>0.55346019465765728</v>
      </c>
    </row>
    <row r="685" spans="1:49" x14ac:dyDescent="0.2">
      <c r="A685">
        <v>683</v>
      </c>
      <c r="B685" t="s">
        <v>1698</v>
      </c>
      <c r="C685" t="s">
        <v>1697</v>
      </c>
      <c r="F685" t="s">
        <v>1696</v>
      </c>
      <c r="G685" t="s">
        <v>15</v>
      </c>
      <c r="H685" t="s">
        <v>14</v>
      </c>
      <c r="I685" t="s">
        <v>1695</v>
      </c>
      <c r="J685">
        <v>60009037</v>
      </c>
      <c r="K685" t="s">
        <v>1694</v>
      </c>
      <c r="L685" t="s">
        <v>1693</v>
      </c>
      <c r="M685" t="s">
        <v>23</v>
      </c>
      <c r="N685">
        <v>2</v>
      </c>
      <c r="O685" t="s">
        <v>1692</v>
      </c>
      <c r="P685" t="s">
        <v>1691</v>
      </c>
      <c r="Q685" t="s">
        <v>1690</v>
      </c>
      <c r="R685" s="7">
        <v>32509</v>
      </c>
      <c r="S685" s="8">
        <f t="shared" si="88"/>
        <v>1989</v>
      </c>
      <c r="T685" s="8">
        <v>1989</v>
      </c>
      <c r="U685" s="8">
        <f t="shared" si="89"/>
        <v>33</v>
      </c>
      <c r="V685" s="7">
        <v>32540</v>
      </c>
      <c r="W685" t="s">
        <v>778</v>
      </c>
      <c r="X685" s="2">
        <v>1.6519999999999999</v>
      </c>
      <c r="Y685" s="6">
        <f t="shared" si="86"/>
        <v>4.409919649769093E-2</v>
      </c>
      <c r="AA685" t="s">
        <v>777</v>
      </c>
      <c r="AB685">
        <v>17337</v>
      </c>
      <c r="AC685">
        <v>15582221</v>
      </c>
      <c r="AD685" t="s">
        <v>5</v>
      </c>
      <c r="AE685">
        <v>37</v>
      </c>
      <c r="AF685">
        <v>2</v>
      </c>
      <c r="AH685" t="s">
        <v>1689</v>
      </c>
      <c r="AI685" t="s">
        <v>1688</v>
      </c>
      <c r="AK685" t="s">
        <v>1687</v>
      </c>
      <c r="AL685">
        <v>9</v>
      </c>
      <c r="AM685" s="5">
        <f t="shared" si="90"/>
        <v>0.27272727272727271</v>
      </c>
      <c r="AN685" s="4">
        <f t="shared" si="87"/>
        <v>4.1306667584592612E-4</v>
      </c>
      <c r="AO685" s="3"/>
      <c r="AP685">
        <v>0</v>
      </c>
      <c r="AR685" t="s">
        <v>0</v>
      </c>
      <c r="AT685" s="2" t="s">
        <v>19</v>
      </c>
      <c r="AU685" s="1">
        <f t="shared" si="91"/>
        <v>3.099335755113743</v>
      </c>
      <c r="AV685" s="1">
        <f t="shared" si="92"/>
        <v>2.2256131586768428</v>
      </c>
      <c r="AW685" s="1">
        <f t="shared" si="93"/>
        <v>1.3518905622399426</v>
      </c>
    </row>
    <row r="686" spans="1:49" x14ac:dyDescent="0.2">
      <c r="A686">
        <v>684</v>
      </c>
      <c r="B686" t="s">
        <v>1686</v>
      </c>
      <c r="C686" t="s">
        <v>1685</v>
      </c>
      <c r="F686" t="s">
        <v>1684</v>
      </c>
      <c r="G686" t="s">
        <v>15</v>
      </c>
      <c r="H686" t="s">
        <v>14</v>
      </c>
      <c r="I686" t="s">
        <v>1683</v>
      </c>
      <c r="J686">
        <v>60032179</v>
      </c>
      <c r="K686" t="s">
        <v>1244</v>
      </c>
      <c r="L686" t="s">
        <v>1243</v>
      </c>
      <c r="M686" t="s">
        <v>23</v>
      </c>
      <c r="N686">
        <v>1</v>
      </c>
      <c r="O686" t="s">
        <v>1682</v>
      </c>
      <c r="P686">
        <v>7006765697</v>
      </c>
      <c r="Q686">
        <v>60032179</v>
      </c>
      <c r="R686" s="7">
        <v>32509</v>
      </c>
      <c r="S686" s="8">
        <f t="shared" si="88"/>
        <v>1989</v>
      </c>
      <c r="T686" s="8">
        <v>1989</v>
      </c>
      <c r="U686" s="8">
        <f t="shared" si="89"/>
        <v>33</v>
      </c>
      <c r="V686" s="7">
        <v>32540</v>
      </c>
      <c r="W686" t="s">
        <v>895</v>
      </c>
      <c r="X686" s="2">
        <v>1.6379999999999999</v>
      </c>
      <c r="Y686" s="6">
        <f t="shared" si="86"/>
        <v>4.3725474493473214E-2</v>
      </c>
      <c r="AA686">
        <v>963518</v>
      </c>
      <c r="AB686">
        <v>31560</v>
      </c>
      <c r="AD686" t="s">
        <v>5</v>
      </c>
      <c r="AE686">
        <v>37</v>
      </c>
      <c r="AF686">
        <v>2</v>
      </c>
      <c r="AH686" t="s">
        <v>1681</v>
      </c>
      <c r="AI686" t="s">
        <v>1680</v>
      </c>
      <c r="AK686" t="s">
        <v>1679</v>
      </c>
      <c r="AL686">
        <v>40</v>
      </c>
      <c r="AM686" s="5">
        <f t="shared" si="90"/>
        <v>1.2121212121212122</v>
      </c>
      <c r="AN686" s="4">
        <f t="shared" si="87"/>
        <v>1.8358518926485606E-3</v>
      </c>
      <c r="AO686" s="3"/>
      <c r="AP686">
        <v>0</v>
      </c>
      <c r="AQ686" t="s">
        <v>1678</v>
      </c>
      <c r="AR686" t="s">
        <v>1677</v>
      </c>
      <c r="AS686" t="s">
        <v>1676</v>
      </c>
      <c r="AT686" s="2" t="s">
        <v>19</v>
      </c>
      <c r="AU686" s="1">
        <f t="shared" si="91"/>
        <v>3.1158587713225816</v>
      </c>
      <c r="AV686" s="1">
        <f t="shared" si="92"/>
        <v>2.2780663193060886</v>
      </c>
      <c r="AW686" s="1">
        <f t="shared" si="93"/>
        <v>1.4402738672895956</v>
      </c>
    </row>
    <row r="687" spans="1:49" x14ac:dyDescent="0.2">
      <c r="A687">
        <v>685</v>
      </c>
      <c r="B687" t="s">
        <v>1675</v>
      </c>
      <c r="C687" t="s">
        <v>1674</v>
      </c>
      <c r="F687" t="s">
        <v>1673</v>
      </c>
      <c r="G687" t="s">
        <v>15</v>
      </c>
      <c r="H687" t="s">
        <v>14</v>
      </c>
      <c r="I687" t="s">
        <v>1672</v>
      </c>
      <c r="J687" t="s">
        <v>1671</v>
      </c>
      <c r="K687" t="s">
        <v>1670</v>
      </c>
      <c r="L687" t="s">
        <v>1669</v>
      </c>
      <c r="M687" t="s">
        <v>1668</v>
      </c>
      <c r="N687">
        <v>5</v>
      </c>
      <c r="O687" t="s">
        <v>1667</v>
      </c>
      <c r="P687" t="s">
        <v>1666</v>
      </c>
      <c r="Q687" t="s">
        <v>1665</v>
      </c>
      <c r="R687" s="7">
        <v>32509</v>
      </c>
      <c r="S687" s="8">
        <f t="shared" si="88"/>
        <v>1989</v>
      </c>
      <c r="T687" s="8">
        <v>1989</v>
      </c>
      <c r="U687" s="8">
        <f t="shared" si="89"/>
        <v>33</v>
      </c>
      <c r="V687" s="7">
        <v>32540</v>
      </c>
      <c r="W687" t="s">
        <v>360</v>
      </c>
      <c r="X687" s="2">
        <v>1.3720000000000001</v>
      </c>
      <c r="Y687" s="6">
        <f t="shared" si="86"/>
        <v>3.662475641333654E-2</v>
      </c>
      <c r="AA687">
        <v>189480</v>
      </c>
      <c r="AB687">
        <v>17366</v>
      </c>
      <c r="AC687">
        <v>15579670</v>
      </c>
      <c r="AD687" t="s">
        <v>5</v>
      </c>
      <c r="AE687">
        <v>37</v>
      </c>
      <c r="AF687">
        <v>2</v>
      </c>
      <c r="AH687" t="s">
        <v>1664</v>
      </c>
      <c r="AI687" t="s">
        <v>1663</v>
      </c>
      <c r="AK687" t="s">
        <v>1662</v>
      </c>
      <c r="AL687">
        <v>284</v>
      </c>
      <c r="AM687" s="5">
        <f t="shared" si="90"/>
        <v>8.6060606060606055</v>
      </c>
      <c r="AN687" s="4">
        <f t="shared" si="87"/>
        <v>1.3034548437804779E-2</v>
      </c>
      <c r="AO687" s="3"/>
      <c r="AP687">
        <v>0</v>
      </c>
      <c r="AQ687" t="s">
        <v>1661</v>
      </c>
      <c r="AR687" t="s">
        <v>1660</v>
      </c>
      <c r="AS687" t="s">
        <v>1659</v>
      </c>
      <c r="AT687" s="2" t="s">
        <v>19</v>
      </c>
      <c r="AU687" s="1">
        <f t="shared" si="91"/>
        <v>2.9547694020677007</v>
      </c>
      <c r="AV687" s="1">
        <f t="shared" si="92"/>
        <v>2.4829652425570661</v>
      </c>
      <c r="AW687" s="1">
        <f t="shared" si="93"/>
        <v>2.0111610830464306</v>
      </c>
    </row>
    <row r="688" spans="1:49" x14ac:dyDescent="0.2">
      <c r="A688">
        <v>686</v>
      </c>
      <c r="B688" t="s">
        <v>1658</v>
      </c>
      <c r="C688" t="s">
        <v>1657</v>
      </c>
      <c r="F688" t="s">
        <v>1656</v>
      </c>
      <c r="G688" t="s">
        <v>15</v>
      </c>
      <c r="H688" t="s">
        <v>14</v>
      </c>
      <c r="I688" t="s">
        <v>1655</v>
      </c>
      <c r="J688">
        <v>60005837</v>
      </c>
      <c r="K688" t="s">
        <v>1654</v>
      </c>
      <c r="L688" t="s">
        <v>1165</v>
      </c>
      <c r="M688" t="s">
        <v>23</v>
      </c>
      <c r="N688">
        <v>3</v>
      </c>
      <c r="O688" t="s">
        <v>1653</v>
      </c>
      <c r="P688" t="s">
        <v>1652</v>
      </c>
      <c r="Q688" t="s">
        <v>1651</v>
      </c>
      <c r="R688" s="7">
        <v>32509</v>
      </c>
      <c r="S688" s="8">
        <f t="shared" si="88"/>
        <v>1989</v>
      </c>
      <c r="T688" s="8">
        <v>1989</v>
      </c>
      <c r="U688" s="8">
        <f t="shared" si="89"/>
        <v>33</v>
      </c>
      <c r="V688" s="7">
        <v>32540</v>
      </c>
      <c r="W688" t="s">
        <v>778</v>
      </c>
      <c r="X688" s="2">
        <v>1.6519999999999999</v>
      </c>
      <c r="Y688" s="6">
        <f t="shared" si="86"/>
        <v>4.409919649769093E-2</v>
      </c>
      <c r="AA688" t="s">
        <v>777</v>
      </c>
      <c r="AB688">
        <v>17337</v>
      </c>
      <c r="AC688">
        <v>15582221</v>
      </c>
      <c r="AD688" t="s">
        <v>5</v>
      </c>
      <c r="AE688">
        <v>37</v>
      </c>
      <c r="AF688">
        <v>2</v>
      </c>
      <c r="AH688" t="s">
        <v>1650</v>
      </c>
      <c r="AI688" t="s">
        <v>1649</v>
      </c>
      <c r="AK688" t="s">
        <v>1648</v>
      </c>
      <c r="AL688">
        <v>6</v>
      </c>
      <c r="AM688" s="5">
        <f t="shared" si="90"/>
        <v>0.18181818181818182</v>
      </c>
      <c r="AN688" s="4">
        <f t="shared" si="87"/>
        <v>2.753777838972841E-4</v>
      </c>
      <c r="AO688" s="3"/>
      <c r="AP688">
        <v>0</v>
      </c>
      <c r="AR688" t="s">
        <v>0</v>
      </c>
      <c r="AT688" s="2" t="s">
        <v>19</v>
      </c>
      <c r="AU688" s="1">
        <f t="shared" si="91"/>
        <v>3.0952050883552835</v>
      </c>
      <c r="AV688" s="1">
        <f t="shared" si="92"/>
        <v>2.2187287140794107</v>
      </c>
      <c r="AW688" s="1">
        <f t="shared" si="93"/>
        <v>1.3422523398035378</v>
      </c>
    </row>
    <row r="689" spans="1:49" x14ac:dyDescent="0.2">
      <c r="A689">
        <v>687</v>
      </c>
      <c r="B689" t="s">
        <v>1647</v>
      </c>
      <c r="C689" t="s">
        <v>1646</v>
      </c>
      <c r="F689" t="s">
        <v>1645</v>
      </c>
      <c r="G689" t="s">
        <v>15</v>
      </c>
      <c r="H689" t="s">
        <v>14</v>
      </c>
      <c r="I689" t="s">
        <v>1644</v>
      </c>
      <c r="J689">
        <v>60005465</v>
      </c>
      <c r="K689" t="s">
        <v>1643</v>
      </c>
      <c r="L689" t="s">
        <v>1642</v>
      </c>
      <c r="M689" t="s">
        <v>1641</v>
      </c>
      <c r="N689">
        <v>1</v>
      </c>
      <c r="O689" t="s">
        <v>1640</v>
      </c>
      <c r="P689">
        <v>36770172200</v>
      </c>
      <c r="Q689">
        <v>60005465</v>
      </c>
      <c r="R689" s="7">
        <v>32509</v>
      </c>
      <c r="S689" s="8">
        <f t="shared" si="88"/>
        <v>1989</v>
      </c>
      <c r="T689" s="8">
        <v>1989</v>
      </c>
      <c r="U689" s="8">
        <f t="shared" si="89"/>
        <v>33</v>
      </c>
      <c r="V689" s="7">
        <v>32540</v>
      </c>
      <c r="W689" t="s">
        <v>778</v>
      </c>
      <c r="X689" s="2">
        <v>1.6519999999999999</v>
      </c>
      <c r="Y689" s="6">
        <f t="shared" si="86"/>
        <v>4.409919649769093E-2</v>
      </c>
      <c r="AA689" t="s">
        <v>777</v>
      </c>
      <c r="AB689">
        <v>17337</v>
      </c>
      <c r="AC689">
        <v>15582221</v>
      </c>
      <c r="AD689" t="s">
        <v>5</v>
      </c>
      <c r="AE689">
        <v>37</v>
      </c>
      <c r="AF689">
        <v>2</v>
      </c>
      <c r="AH689" t="s">
        <v>1639</v>
      </c>
      <c r="AI689" t="s">
        <v>1638</v>
      </c>
      <c r="AK689" t="s">
        <v>1637</v>
      </c>
      <c r="AL689">
        <v>46</v>
      </c>
      <c r="AM689" s="5">
        <f t="shared" si="90"/>
        <v>1.393939393939394</v>
      </c>
      <c r="AN689" s="4">
        <f t="shared" si="87"/>
        <v>2.111229676545845E-3</v>
      </c>
      <c r="AO689" s="3"/>
      <c r="AP689">
        <v>0</v>
      </c>
      <c r="AR689" t="s">
        <v>0</v>
      </c>
      <c r="AT689" s="2" t="s">
        <v>19</v>
      </c>
      <c r="AU689" s="1">
        <f t="shared" si="91"/>
        <v>3.1502806451347407</v>
      </c>
      <c r="AV689" s="1">
        <f t="shared" si="92"/>
        <v>2.3105213087118388</v>
      </c>
      <c r="AW689" s="1">
        <f t="shared" si="93"/>
        <v>1.4707619722889369</v>
      </c>
    </row>
    <row r="690" spans="1:49" x14ac:dyDescent="0.2">
      <c r="A690">
        <v>688</v>
      </c>
      <c r="B690" t="s">
        <v>1636</v>
      </c>
      <c r="C690" t="s">
        <v>1635</v>
      </c>
      <c r="F690" t="s">
        <v>1634</v>
      </c>
      <c r="G690" t="s">
        <v>15</v>
      </c>
      <c r="H690" t="s">
        <v>14</v>
      </c>
      <c r="I690" t="s">
        <v>1633</v>
      </c>
      <c r="J690" t="s">
        <v>1632</v>
      </c>
      <c r="K690" t="s">
        <v>1631</v>
      </c>
      <c r="L690" t="s">
        <v>1630</v>
      </c>
      <c r="M690" t="s">
        <v>1629</v>
      </c>
      <c r="N690">
        <v>1</v>
      </c>
      <c r="O690" t="s">
        <v>1628</v>
      </c>
      <c r="P690">
        <v>55510527400</v>
      </c>
      <c r="Q690" t="s">
        <v>1627</v>
      </c>
      <c r="R690" s="7">
        <v>32509</v>
      </c>
      <c r="S690" s="8">
        <f t="shared" si="88"/>
        <v>1989</v>
      </c>
      <c r="T690" s="8">
        <v>1989</v>
      </c>
      <c r="U690" s="8">
        <f t="shared" si="89"/>
        <v>33</v>
      </c>
      <c r="V690" s="7">
        <v>32540</v>
      </c>
      <c r="W690" t="s">
        <v>778</v>
      </c>
      <c r="X690" s="2">
        <v>1.6519999999999999</v>
      </c>
      <c r="Y690" s="6">
        <f t="shared" si="86"/>
        <v>4.409919649769093E-2</v>
      </c>
      <c r="AA690" t="s">
        <v>777</v>
      </c>
      <c r="AB690">
        <v>17337</v>
      </c>
      <c r="AC690">
        <v>15582221</v>
      </c>
      <c r="AD690" t="s">
        <v>5</v>
      </c>
      <c r="AE690">
        <v>37</v>
      </c>
      <c r="AF690">
        <v>2</v>
      </c>
      <c r="AH690" t="s">
        <v>1626</v>
      </c>
      <c r="AI690" t="s">
        <v>1625</v>
      </c>
      <c r="AK690" t="s">
        <v>1624</v>
      </c>
      <c r="AL690">
        <v>137</v>
      </c>
      <c r="AM690" s="5">
        <f t="shared" si="90"/>
        <v>4.1515151515151514</v>
      </c>
      <c r="AN690" s="4">
        <f t="shared" si="87"/>
        <v>6.2877927323213194E-3</v>
      </c>
      <c r="AO690" s="3"/>
      <c r="AP690">
        <v>0</v>
      </c>
      <c r="AR690" t="s">
        <v>0</v>
      </c>
      <c r="AT690" s="2" t="s">
        <v>19</v>
      </c>
      <c r="AU690" s="1">
        <f t="shared" si="91"/>
        <v>3.2755775368080045</v>
      </c>
      <c r="AV690" s="1">
        <f t="shared" si="92"/>
        <v>2.5193494615006125</v>
      </c>
      <c r="AW690" s="1">
        <f t="shared" si="93"/>
        <v>1.7631213861932202</v>
      </c>
    </row>
    <row r="691" spans="1:49" x14ac:dyDescent="0.2">
      <c r="A691">
        <v>689</v>
      </c>
      <c r="B691" t="s">
        <v>1623</v>
      </c>
      <c r="C691" t="s">
        <v>1622</v>
      </c>
      <c r="F691" t="s">
        <v>1621</v>
      </c>
      <c r="G691" t="s">
        <v>15</v>
      </c>
      <c r="H691" t="s">
        <v>14</v>
      </c>
      <c r="I691" t="s">
        <v>1620</v>
      </c>
      <c r="J691" t="s">
        <v>1619</v>
      </c>
      <c r="K691" t="s">
        <v>1618</v>
      </c>
      <c r="L691" t="s">
        <v>1617</v>
      </c>
      <c r="M691" t="s">
        <v>644</v>
      </c>
      <c r="N691">
        <v>2</v>
      </c>
      <c r="O691" t="s">
        <v>1616</v>
      </c>
      <c r="P691" t="s">
        <v>1615</v>
      </c>
      <c r="Q691" t="s">
        <v>1614</v>
      </c>
      <c r="R691" s="7">
        <v>32509</v>
      </c>
      <c r="S691" s="8">
        <f t="shared" si="88"/>
        <v>1989</v>
      </c>
      <c r="T691" s="8">
        <v>1989</v>
      </c>
      <c r="U691" s="8">
        <f t="shared" si="89"/>
        <v>33</v>
      </c>
      <c r="V691" s="7">
        <v>1989</v>
      </c>
      <c r="W691" t="s">
        <v>1613</v>
      </c>
      <c r="X691" s="2">
        <v>2.1970000000000001</v>
      </c>
      <c r="Y691" s="6">
        <f t="shared" si="86"/>
        <v>5.8647660233309314E-2</v>
      </c>
      <c r="AA691">
        <v>167606</v>
      </c>
      <c r="AB691">
        <v>26499</v>
      </c>
      <c r="AC691">
        <v>19432674</v>
      </c>
      <c r="AD691" t="s">
        <v>5</v>
      </c>
      <c r="AE691">
        <v>101</v>
      </c>
      <c r="AF691">
        <v>2</v>
      </c>
      <c r="AH691" t="s">
        <v>1612</v>
      </c>
      <c r="AI691" t="s">
        <v>1611</v>
      </c>
      <c r="AK691" t="s">
        <v>1610</v>
      </c>
      <c r="AL691">
        <v>42</v>
      </c>
      <c r="AM691" s="5">
        <f t="shared" si="90"/>
        <v>1.2727272727272727</v>
      </c>
      <c r="AN691" s="4">
        <f t="shared" si="87"/>
        <v>1.9276444872809886E-3</v>
      </c>
      <c r="AO691" s="3"/>
      <c r="AP691">
        <v>0</v>
      </c>
      <c r="AR691" t="s">
        <v>0</v>
      </c>
      <c r="AT691" s="2" t="s">
        <v>19</v>
      </c>
      <c r="AU691" s="1">
        <f t="shared" si="91"/>
        <v>4.1631655509500813</v>
      </c>
      <c r="AV691" s="1">
        <f t="shared" si="92"/>
        <v>3.028765236029515</v>
      </c>
      <c r="AW691" s="1">
        <f t="shared" si="93"/>
        <v>1.8943649211089486</v>
      </c>
    </row>
    <row r="692" spans="1:49" x14ac:dyDescent="0.2">
      <c r="A692">
        <v>690</v>
      </c>
      <c r="B692" t="s">
        <v>1609</v>
      </c>
      <c r="C692" t="s">
        <v>1608</v>
      </c>
      <c r="F692" t="s">
        <v>1607</v>
      </c>
      <c r="G692" t="s">
        <v>15</v>
      </c>
      <c r="H692" t="s">
        <v>14</v>
      </c>
      <c r="I692" t="s">
        <v>1606</v>
      </c>
      <c r="J692" t="s">
        <v>1605</v>
      </c>
      <c r="K692" t="s">
        <v>1604</v>
      </c>
      <c r="L692" t="s">
        <v>1603</v>
      </c>
      <c r="M692" t="s">
        <v>554</v>
      </c>
      <c r="N692">
        <v>3</v>
      </c>
      <c r="O692" t="s">
        <v>1602</v>
      </c>
      <c r="P692" t="s">
        <v>1601</v>
      </c>
      <c r="Q692" t="s">
        <v>1600</v>
      </c>
      <c r="R692" s="7">
        <v>32509</v>
      </c>
      <c r="S692" s="8">
        <f t="shared" si="88"/>
        <v>1989</v>
      </c>
      <c r="T692" s="8">
        <v>1989</v>
      </c>
      <c r="U692" s="8">
        <f t="shared" si="89"/>
        <v>33</v>
      </c>
      <c r="V692" s="7">
        <v>32540</v>
      </c>
      <c r="W692" t="s">
        <v>1599</v>
      </c>
      <c r="X692" s="2">
        <v>1.365</v>
      </c>
      <c r="Y692" s="6">
        <f t="shared" si="86"/>
        <v>3.6437895411227675E-2</v>
      </c>
      <c r="AA692">
        <v>189545</v>
      </c>
      <c r="AB692">
        <v>17393</v>
      </c>
      <c r="AC692">
        <v>19399359</v>
      </c>
      <c r="AD692" t="s">
        <v>5</v>
      </c>
      <c r="AE692">
        <v>38</v>
      </c>
      <c r="AF692">
        <v>1</v>
      </c>
      <c r="AH692" s="9">
        <v>44410</v>
      </c>
      <c r="AI692" t="s">
        <v>1598</v>
      </c>
      <c r="AK692" t="s">
        <v>1597</v>
      </c>
      <c r="AL692">
        <v>9</v>
      </c>
      <c r="AM692" s="5">
        <f t="shared" si="90"/>
        <v>0.27272727272727271</v>
      </c>
      <c r="AN692" s="4">
        <f t="shared" si="87"/>
        <v>4.1306667584592612E-4</v>
      </c>
      <c r="AO692" s="3"/>
      <c r="AP692">
        <v>0</v>
      </c>
      <c r="AR692" t="s">
        <v>0</v>
      </c>
      <c r="AT692" s="2" t="s">
        <v>19</v>
      </c>
      <c r="AU692" s="1">
        <f t="shared" si="91"/>
        <v>2.5630446790613148</v>
      </c>
      <c r="AV692" s="1">
        <f t="shared" si="92"/>
        <v>1.84254810435368</v>
      </c>
      <c r="AW692" s="1">
        <f t="shared" si="93"/>
        <v>1.1220515296460449</v>
      </c>
    </row>
    <row r="693" spans="1:49" x14ac:dyDescent="0.2">
      <c r="A693">
        <v>691</v>
      </c>
      <c r="B693" t="s">
        <v>1596</v>
      </c>
      <c r="C693" t="s">
        <v>1595</v>
      </c>
      <c r="F693" t="s">
        <v>1594</v>
      </c>
      <c r="G693" t="s">
        <v>15</v>
      </c>
      <c r="H693" t="s">
        <v>14</v>
      </c>
      <c r="I693" t="s">
        <v>1593</v>
      </c>
      <c r="J693">
        <v>60085421</v>
      </c>
      <c r="K693" t="s">
        <v>1592</v>
      </c>
      <c r="L693" t="s">
        <v>1591</v>
      </c>
      <c r="M693" t="s">
        <v>196</v>
      </c>
      <c r="N693">
        <v>1</v>
      </c>
      <c r="O693" t="s">
        <v>1590</v>
      </c>
      <c r="P693">
        <v>56838914300</v>
      </c>
      <c r="Q693">
        <v>60085421</v>
      </c>
      <c r="R693" s="7">
        <v>32509</v>
      </c>
      <c r="S693" s="8">
        <f t="shared" si="88"/>
        <v>1989</v>
      </c>
      <c r="T693" s="8">
        <v>1989</v>
      </c>
      <c r="U693" s="8">
        <f t="shared" si="89"/>
        <v>33</v>
      </c>
      <c r="V693" s="7">
        <v>32540</v>
      </c>
      <c r="W693" t="s">
        <v>778</v>
      </c>
      <c r="X693" s="2">
        <v>1.6519999999999999</v>
      </c>
      <c r="Y693" s="6">
        <f t="shared" si="86"/>
        <v>4.409919649769093E-2</v>
      </c>
      <c r="AA693" t="s">
        <v>777</v>
      </c>
      <c r="AB693">
        <v>17337</v>
      </c>
      <c r="AC693">
        <v>15582221</v>
      </c>
      <c r="AD693" t="s">
        <v>5</v>
      </c>
      <c r="AE693">
        <v>37</v>
      </c>
      <c r="AF693">
        <v>2</v>
      </c>
      <c r="AH693" t="s">
        <v>1589</v>
      </c>
      <c r="AI693" t="s">
        <v>1588</v>
      </c>
      <c r="AK693" t="s">
        <v>1587</v>
      </c>
      <c r="AL693">
        <v>1</v>
      </c>
      <c r="AM693" s="5">
        <f t="shared" si="90"/>
        <v>3.0303030303030304E-2</v>
      </c>
      <c r="AN693" s="4">
        <f t="shared" si="87"/>
        <v>4.5896297316214016E-5</v>
      </c>
      <c r="AO693" s="3"/>
      <c r="AP693">
        <v>0</v>
      </c>
      <c r="AR693" t="s">
        <v>0</v>
      </c>
      <c r="AT693" s="2" t="s">
        <v>19</v>
      </c>
      <c r="AU693" s="1">
        <f t="shared" si="91"/>
        <v>3.0883206437578514</v>
      </c>
      <c r="AV693" s="1">
        <f t="shared" si="92"/>
        <v>2.2072546397503574</v>
      </c>
      <c r="AW693" s="1">
        <f t="shared" si="93"/>
        <v>1.3261886357428627</v>
      </c>
    </row>
    <row r="694" spans="1:49" x14ac:dyDescent="0.2">
      <c r="A694">
        <v>692</v>
      </c>
      <c r="B694" t="s">
        <v>1586</v>
      </c>
      <c r="C694" t="s">
        <v>1585</v>
      </c>
      <c r="D694">
        <v>94576589900970</v>
      </c>
      <c r="F694" t="s">
        <v>1584</v>
      </c>
      <c r="G694" t="s">
        <v>15</v>
      </c>
      <c r="H694" t="s">
        <v>14</v>
      </c>
      <c r="I694" t="s">
        <v>1583</v>
      </c>
      <c r="J694" t="s">
        <v>1582</v>
      </c>
      <c r="K694" t="s">
        <v>1581</v>
      </c>
      <c r="L694" t="s">
        <v>1580</v>
      </c>
      <c r="M694" t="s">
        <v>1579</v>
      </c>
      <c r="N694">
        <v>4</v>
      </c>
      <c r="O694" t="s">
        <v>1578</v>
      </c>
      <c r="P694" t="s">
        <v>1577</v>
      </c>
      <c r="Q694" t="s">
        <v>1576</v>
      </c>
      <c r="R694" s="7">
        <v>32509</v>
      </c>
      <c r="S694" s="8">
        <f t="shared" si="88"/>
        <v>1989</v>
      </c>
      <c r="T694" s="8">
        <v>1989</v>
      </c>
      <c r="U694" s="8">
        <f t="shared" si="89"/>
        <v>33</v>
      </c>
      <c r="V694" s="7">
        <v>32540</v>
      </c>
      <c r="W694" t="s">
        <v>464</v>
      </c>
      <c r="X694" s="2">
        <v>1.1339999999999999</v>
      </c>
      <c r="Y694" s="6">
        <f t="shared" si="86"/>
        <v>3.0271482341635299E-2</v>
      </c>
      <c r="AA694">
        <v>945765</v>
      </c>
      <c r="AB694">
        <v>12372</v>
      </c>
      <c r="AD694" t="s">
        <v>5</v>
      </c>
      <c r="AE694">
        <v>19</v>
      </c>
      <c r="AF694">
        <v>2</v>
      </c>
      <c r="AH694" t="s">
        <v>1575</v>
      </c>
      <c r="AI694" t="s">
        <v>1574</v>
      </c>
      <c r="AK694" t="s">
        <v>1573</v>
      </c>
      <c r="AL694">
        <v>11</v>
      </c>
      <c r="AM694" s="5">
        <f t="shared" si="90"/>
        <v>0.33333333333333331</v>
      </c>
      <c r="AN694" s="4">
        <f t="shared" si="87"/>
        <v>5.048592704783541E-4</v>
      </c>
      <c r="AO694" s="3"/>
      <c r="AP694">
        <v>0</v>
      </c>
      <c r="AR694" t="s">
        <v>0</v>
      </c>
      <c r="AT694" s="2">
        <v>2.4129999999999998</v>
      </c>
      <c r="AU694" s="1">
        <f t="shared" si="91"/>
        <v>2.1341495420288212</v>
      </c>
      <c r="AV694" s="1">
        <f t="shared" si="92"/>
        <v>1.5388170806056827</v>
      </c>
      <c r="AW694" s="1">
        <f t="shared" si="93"/>
        <v>0.94348461918254378</v>
      </c>
    </row>
    <row r="695" spans="1:49" x14ac:dyDescent="0.2">
      <c r="A695">
        <v>693</v>
      </c>
      <c r="B695" t="s">
        <v>1572</v>
      </c>
      <c r="C695" t="s">
        <v>1571</v>
      </c>
      <c r="F695" t="s">
        <v>1570</v>
      </c>
      <c r="G695" t="s">
        <v>15</v>
      </c>
      <c r="H695" t="s">
        <v>14</v>
      </c>
      <c r="I695" t="s">
        <v>1569</v>
      </c>
      <c r="J695" t="s">
        <v>1564</v>
      </c>
      <c r="K695" t="s">
        <v>1568</v>
      </c>
      <c r="L695" t="s">
        <v>1567</v>
      </c>
      <c r="M695" t="s">
        <v>86</v>
      </c>
      <c r="N695">
        <v>2</v>
      </c>
      <c r="O695" t="s">
        <v>1566</v>
      </c>
      <c r="P695" t="s">
        <v>1565</v>
      </c>
      <c r="Q695" t="s">
        <v>1564</v>
      </c>
      <c r="R695" s="7">
        <v>32509</v>
      </c>
      <c r="S695" s="8">
        <f t="shared" si="88"/>
        <v>1989</v>
      </c>
      <c r="T695" s="8">
        <v>1989</v>
      </c>
      <c r="U695" s="8">
        <f t="shared" si="89"/>
        <v>33</v>
      </c>
      <c r="V695" s="7">
        <v>32540</v>
      </c>
      <c r="W695" t="s">
        <v>1551</v>
      </c>
      <c r="X695" s="2">
        <v>0.65500000000000003</v>
      </c>
      <c r="Y695" s="6">
        <f t="shared" si="86"/>
        <v>1.7484850911614749E-2</v>
      </c>
      <c r="AA695">
        <v>189375</v>
      </c>
      <c r="AB695">
        <v>26051</v>
      </c>
      <c r="AC695" t="s">
        <v>1550</v>
      </c>
      <c r="AD695" t="s">
        <v>5</v>
      </c>
      <c r="AE695">
        <v>31</v>
      </c>
      <c r="AF695">
        <v>1</v>
      </c>
      <c r="AH695" t="s">
        <v>1563</v>
      </c>
      <c r="AI695" t="s">
        <v>1562</v>
      </c>
      <c r="AK695" t="s">
        <v>1561</v>
      </c>
      <c r="AL695">
        <v>5</v>
      </c>
      <c r="AM695" s="5">
        <f t="shared" si="90"/>
        <v>0.15151515151515152</v>
      </c>
      <c r="AN695" s="4">
        <f t="shared" si="87"/>
        <v>2.2948148658107008E-4</v>
      </c>
      <c r="AO695" s="3"/>
      <c r="AP695">
        <v>0</v>
      </c>
      <c r="AR695" t="s">
        <v>0</v>
      </c>
      <c r="AT695" s="2" t="s">
        <v>19</v>
      </c>
      <c r="AU695" s="1">
        <f t="shared" si="91"/>
        <v>1.2308240084104642</v>
      </c>
      <c r="AV695" s="1">
        <f t="shared" si="92"/>
        <v>0.885716619909791</v>
      </c>
      <c r="AW695" s="1">
        <f t="shared" si="93"/>
        <v>0.54060923140911732</v>
      </c>
    </row>
    <row r="696" spans="1:49" x14ac:dyDescent="0.2">
      <c r="A696">
        <v>694</v>
      </c>
      <c r="B696" t="s">
        <v>1560</v>
      </c>
      <c r="C696" t="s">
        <v>1559</v>
      </c>
      <c r="F696" t="s">
        <v>1558</v>
      </c>
      <c r="G696" t="s">
        <v>15</v>
      </c>
      <c r="H696" t="s">
        <v>14</v>
      </c>
      <c r="I696" t="s">
        <v>1557</v>
      </c>
      <c r="J696" t="s">
        <v>1552</v>
      </c>
      <c r="K696" t="s">
        <v>1556</v>
      </c>
      <c r="L696" t="s">
        <v>1555</v>
      </c>
      <c r="M696" t="s">
        <v>86</v>
      </c>
      <c r="N696">
        <v>2</v>
      </c>
      <c r="O696" t="s">
        <v>1554</v>
      </c>
      <c r="P696" t="s">
        <v>1553</v>
      </c>
      <c r="Q696" t="s">
        <v>1552</v>
      </c>
      <c r="R696" s="7">
        <v>32509</v>
      </c>
      <c r="S696" s="8">
        <f t="shared" si="88"/>
        <v>1989</v>
      </c>
      <c r="T696" s="8">
        <v>1989</v>
      </c>
      <c r="U696" s="8">
        <f t="shared" si="89"/>
        <v>33</v>
      </c>
      <c r="V696" s="7">
        <v>32540</v>
      </c>
      <c r="W696" t="s">
        <v>1551</v>
      </c>
      <c r="X696" s="2">
        <v>0.65500000000000003</v>
      </c>
      <c r="Y696" s="6">
        <f t="shared" si="86"/>
        <v>1.7484850911614749E-2</v>
      </c>
      <c r="AA696">
        <v>189375</v>
      </c>
      <c r="AB696">
        <v>26051</v>
      </c>
      <c r="AC696" t="s">
        <v>1550</v>
      </c>
      <c r="AD696" t="s">
        <v>5</v>
      </c>
      <c r="AE696">
        <v>31</v>
      </c>
      <c r="AF696">
        <v>1</v>
      </c>
      <c r="AH696" t="s">
        <v>1549</v>
      </c>
      <c r="AI696" t="s">
        <v>1548</v>
      </c>
      <c r="AK696" t="s">
        <v>1547</v>
      </c>
      <c r="AL696">
        <v>19</v>
      </c>
      <c r="AM696" s="5">
        <f t="shared" si="90"/>
        <v>0.5757575757575758</v>
      </c>
      <c r="AN696" s="4">
        <f t="shared" si="87"/>
        <v>8.7202964900806633E-4</v>
      </c>
      <c r="AO696" s="3"/>
      <c r="AP696">
        <v>0</v>
      </c>
      <c r="AR696" t="s">
        <v>0</v>
      </c>
      <c r="AT696" s="2" t="s">
        <v>19</v>
      </c>
      <c r="AU696" s="1">
        <f t="shared" si="91"/>
        <v>1.2501004532832742</v>
      </c>
      <c r="AV696" s="1">
        <f t="shared" si="92"/>
        <v>0.91784402803114074</v>
      </c>
      <c r="AW696" s="1">
        <f t="shared" si="93"/>
        <v>0.58558760277900712</v>
      </c>
    </row>
    <row r="697" spans="1:49" x14ac:dyDescent="0.2">
      <c r="A697">
        <v>695</v>
      </c>
      <c r="B697" t="s">
        <v>1546</v>
      </c>
      <c r="C697" t="s">
        <v>1545</v>
      </c>
      <c r="F697" t="s">
        <v>1544</v>
      </c>
      <c r="G697" t="s">
        <v>15</v>
      </c>
      <c r="H697" t="s">
        <v>14</v>
      </c>
      <c r="I697" t="s">
        <v>1543</v>
      </c>
      <c r="J697" t="s">
        <v>1542</v>
      </c>
      <c r="K697" t="s">
        <v>1541</v>
      </c>
      <c r="L697" t="s">
        <v>1540</v>
      </c>
      <c r="M697" t="s">
        <v>1539</v>
      </c>
      <c r="N697">
        <v>61</v>
      </c>
      <c r="O697" t="s">
        <v>1538</v>
      </c>
      <c r="P697" t="s">
        <v>1537</v>
      </c>
      <c r="Q697" t="s">
        <v>1536</v>
      </c>
      <c r="R697" s="7">
        <v>32509</v>
      </c>
      <c r="S697" s="8">
        <f t="shared" si="88"/>
        <v>1989</v>
      </c>
      <c r="T697" s="8">
        <v>1989</v>
      </c>
      <c r="U697" s="8">
        <f t="shared" si="89"/>
        <v>33</v>
      </c>
      <c r="V697" s="7">
        <v>32540</v>
      </c>
      <c r="W697" t="s">
        <v>538</v>
      </c>
      <c r="X697" s="2">
        <v>1.774</v>
      </c>
      <c r="Y697" s="6">
        <f t="shared" si="86"/>
        <v>4.7355916820159633E-2</v>
      </c>
      <c r="AA697">
        <v>295515</v>
      </c>
      <c r="AB697">
        <v>29066</v>
      </c>
      <c r="AC697">
        <v>17414326</v>
      </c>
      <c r="AD697" t="s">
        <v>5</v>
      </c>
      <c r="AE697">
        <v>29</v>
      </c>
      <c r="AF697">
        <v>2</v>
      </c>
      <c r="AH697" t="s">
        <v>1535</v>
      </c>
      <c r="AI697" t="s">
        <v>1534</v>
      </c>
      <c r="AK697" t="s">
        <v>1533</v>
      </c>
      <c r="AL697">
        <v>14</v>
      </c>
      <c r="AM697" s="5">
        <f t="shared" si="90"/>
        <v>0.42424242424242425</v>
      </c>
      <c r="AN697" s="4">
        <f t="shared" si="87"/>
        <v>6.4254816242699617E-4</v>
      </c>
      <c r="AO697" s="3"/>
      <c r="AP697">
        <v>0</v>
      </c>
      <c r="AR697" t="s">
        <v>0</v>
      </c>
      <c r="AT697" s="2">
        <v>3.1789999999999998</v>
      </c>
      <c r="AU697" s="1">
        <f t="shared" si="91"/>
        <v>3.3341906222839843</v>
      </c>
      <c r="AV697" s="1">
        <f t="shared" si="92"/>
        <v>2.3999232491293312</v>
      </c>
      <c r="AW697" s="1">
        <f t="shared" si="93"/>
        <v>1.4656558759746787</v>
      </c>
    </row>
    <row r="698" spans="1:49" x14ac:dyDescent="0.2">
      <c r="A698">
        <v>696</v>
      </c>
      <c r="B698" t="s">
        <v>1532</v>
      </c>
      <c r="C698" t="s">
        <v>1531</v>
      </c>
      <c r="F698" t="s">
        <v>1530</v>
      </c>
      <c r="G698" t="s">
        <v>15</v>
      </c>
      <c r="H698" t="s">
        <v>14</v>
      </c>
      <c r="I698" t="s">
        <v>1529</v>
      </c>
      <c r="J698">
        <v>60016983</v>
      </c>
      <c r="K698" t="s">
        <v>1528</v>
      </c>
      <c r="L698" t="s">
        <v>1527</v>
      </c>
      <c r="M698" t="s">
        <v>283</v>
      </c>
      <c r="N698">
        <v>2</v>
      </c>
      <c r="O698" t="s">
        <v>1526</v>
      </c>
      <c r="P698" t="s">
        <v>1525</v>
      </c>
      <c r="Q698" t="s">
        <v>1524</v>
      </c>
      <c r="R698" s="7">
        <v>32509</v>
      </c>
      <c r="S698" s="8">
        <f t="shared" si="88"/>
        <v>1989</v>
      </c>
      <c r="T698" s="8">
        <v>1989</v>
      </c>
      <c r="U698" s="8">
        <f t="shared" si="89"/>
        <v>33</v>
      </c>
      <c r="V698" s="7">
        <v>32568</v>
      </c>
      <c r="W698" t="s">
        <v>1515</v>
      </c>
      <c r="X698" s="2">
        <v>0.58799999999999997</v>
      </c>
      <c r="Y698" s="6">
        <f t="shared" si="86"/>
        <v>1.5696324177144231E-2</v>
      </c>
      <c r="AA698">
        <v>7339453</v>
      </c>
      <c r="AB698">
        <v>16307</v>
      </c>
      <c r="AD698" t="s">
        <v>5</v>
      </c>
      <c r="AE698">
        <v>115</v>
      </c>
      <c r="AF698">
        <v>1</v>
      </c>
      <c r="AH698" s="10">
        <v>41671</v>
      </c>
      <c r="AI698" t="s">
        <v>1523</v>
      </c>
      <c r="AK698" t="s">
        <v>1522</v>
      </c>
      <c r="AL698">
        <v>14</v>
      </c>
      <c r="AM698" s="5">
        <f t="shared" si="90"/>
        <v>0.42424242424242425</v>
      </c>
      <c r="AN698" s="4">
        <f t="shared" si="87"/>
        <v>6.4254816242699617E-4</v>
      </c>
      <c r="AO698" s="3"/>
      <c r="AP698">
        <v>0</v>
      </c>
      <c r="AR698" t="s">
        <v>0</v>
      </c>
      <c r="AT698" s="2">
        <v>2.1840000000000002</v>
      </c>
      <c r="AU698" s="1">
        <f t="shared" si="91"/>
        <v>1.118019137272906</v>
      </c>
      <c r="AV698" s="1">
        <f t="shared" si="92"/>
        <v>0.81694361697856133</v>
      </c>
      <c r="AW698" s="1">
        <f t="shared" si="93"/>
        <v>0.51586809668421663</v>
      </c>
    </row>
    <row r="699" spans="1:49" x14ac:dyDescent="0.2">
      <c r="A699">
        <v>697</v>
      </c>
      <c r="B699" t="s">
        <v>1521</v>
      </c>
      <c r="C699" t="s">
        <v>1520</v>
      </c>
      <c r="F699" t="s">
        <v>1519</v>
      </c>
      <c r="G699" t="s">
        <v>15</v>
      </c>
      <c r="H699" t="s">
        <v>14</v>
      </c>
      <c r="I699" t="s">
        <v>1518</v>
      </c>
      <c r="J699">
        <v>60027716</v>
      </c>
      <c r="K699" t="s">
        <v>1517</v>
      </c>
      <c r="L699" t="s">
        <v>24</v>
      </c>
      <c r="M699" t="s">
        <v>23</v>
      </c>
      <c r="N699">
        <v>1</v>
      </c>
      <c r="O699" t="s">
        <v>1516</v>
      </c>
      <c r="P699">
        <v>6603385647</v>
      </c>
      <c r="Q699">
        <v>60027716</v>
      </c>
      <c r="R699" s="7">
        <v>32509</v>
      </c>
      <c r="S699" s="8">
        <f t="shared" si="88"/>
        <v>1989</v>
      </c>
      <c r="T699" s="8">
        <v>1989</v>
      </c>
      <c r="U699" s="8">
        <f t="shared" si="89"/>
        <v>33</v>
      </c>
      <c r="V699" s="7">
        <v>32568</v>
      </c>
      <c r="W699" t="s">
        <v>1515</v>
      </c>
      <c r="X699" s="2">
        <v>0.58799999999999997</v>
      </c>
      <c r="Y699" s="6">
        <f t="shared" si="86"/>
        <v>1.5696324177144231E-2</v>
      </c>
      <c r="AA699">
        <v>7339453</v>
      </c>
      <c r="AB699">
        <v>16307</v>
      </c>
      <c r="AD699" t="s">
        <v>5</v>
      </c>
      <c r="AE699">
        <v>115</v>
      </c>
      <c r="AF699">
        <v>1</v>
      </c>
      <c r="AH699" t="s">
        <v>1514</v>
      </c>
      <c r="AI699" t="s">
        <v>1513</v>
      </c>
      <c r="AK699" t="s">
        <v>1512</v>
      </c>
      <c r="AL699">
        <v>1</v>
      </c>
      <c r="AM699" s="5">
        <f t="shared" si="90"/>
        <v>3.0303030303030304E-2</v>
      </c>
      <c r="AN699" s="4">
        <f t="shared" si="87"/>
        <v>4.5896297316214016E-5</v>
      </c>
      <c r="AO699" s="3"/>
      <c r="AP699">
        <v>0</v>
      </c>
      <c r="AR699" t="s">
        <v>0</v>
      </c>
      <c r="AT699" s="2">
        <v>2.1840000000000002</v>
      </c>
      <c r="AU699" s="1">
        <f t="shared" si="91"/>
        <v>1.1001195813195825</v>
      </c>
      <c r="AV699" s="1">
        <f t="shared" si="92"/>
        <v>0.78711102372302222</v>
      </c>
      <c r="AW699" s="1">
        <f t="shared" si="93"/>
        <v>0.47410246612646195</v>
      </c>
    </row>
    <row r="700" spans="1:49" x14ac:dyDescent="0.2">
      <c r="A700">
        <v>698</v>
      </c>
      <c r="B700" t="s">
        <v>1511</v>
      </c>
      <c r="C700" t="s">
        <v>1510</v>
      </c>
      <c r="F700" t="s">
        <v>1509</v>
      </c>
      <c r="G700" t="s">
        <v>15</v>
      </c>
      <c r="H700" t="s">
        <v>14</v>
      </c>
      <c r="I700" t="s">
        <v>1508</v>
      </c>
      <c r="J700">
        <v>118918761</v>
      </c>
      <c r="K700" t="s">
        <v>1507</v>
      </c>
      <c r="L700" t="s">
        <v>1506</v>
      </c>
      <c r="M700" t="s">
        <v>792</v>
      </c>
      <c r="N700">
        <v>2</v>
      </c>
      <c r="O700" t="s">
        <v>1505</v>
      </c>
      <c r="P700" t="s">
        <v>1504</v>
      </c>
      <c r="Q700" t="s">
        <v>1503</v>
      </c>
      <c r="R700" s="7">
        <v>32509</v>
      </c>
      <c r="S700" s="8">
        <f t="shared" si="88"/>
        <v>1989</v>
      </c>
      <c r="T700" s="8">
        <v>1989</v>
      </c>
      <c r="U700" s="8">
        <f t="shared" si="89"/>
        <v>33</v>
      </c>
      <c r="V700" s="7" t="s">
        <v>1450</v>
      </c>
      <c r="W700" s="11" t="s">
        <v>1449</v>
      </c>
      <c r="X700" s="2">
        <v>2.383</v>
      </c>
      <c r="Y700" s="6">
        <f t="shared" si="86"/>
        <v>6.3612824003630442E-2</v>
      </c>
      <c r="AA700" t="s">
        <v>1448</v>
      </c>
      <c r="AB700">
        <v>101151</v>
      </c>
      <c r="AD700" t="s">
        <v>5</v>
      </c>
      <c r="AE700">
        <v>136</v>
      </c>
      <c r="AF700">
        <v>1</v>
      </c>
      <c r="AH700" t="s">
        <v>1502</v>
      </c>
      <c r="AL700">
        <v>42</v>
      </c>
      <c r="AM700" s="5">
        <f t="shared" si="90"/>
        <v>1.2727272727272727</v>
      </c>
      <c r="AN700" s="4">
        <f t="shared" si="87"/>
        <v>1.9276444872809886E-3</v>
      </c>
      <c r="AO700" s="3"/>
      <c r="AP700">
        <v>0</v>
      </c>
      <c r="AR700" t="s">
        <v>0</v>
      </c>
      <c r="AT700" s="2" t="s">
        <v>19</v>
      </c>
      <c r="AU700" s="1">
        <f t="shared" si="91"/>
        <v>4.5107270148725602</v>
      </c>
      <c r="AV700" s="1">
        <f t="shared" si="92"/>
        <v>3.2770234245455714</v>
      </c>
      <c r="AW700" s="1">
        <f t="shared" si="93"/>
        <v>2.0433198342185825</v>
      </c>
    </row>
    <row r="701" spans="1:49" x14ac:dyDescent="0.2">
      <c r="A701">
        <v>699</v>
      </c>
      <c r="B701" t="s">
        <v>1501</v>
      </c>
      <c r="C701" t="s">
        <v>1500</v>
      </c>
      <c r="F701" t="s">
        <v>1499</v>
      </c>
      <c r="G701" t="s">
        <v>15</v>
      </c>
      <c r="H701" t="s">
        <v>14</v>
      </c>
      <c r="I701" t="s">
        <v>1498</v>
      </c>
      <c r="J701">
        <v>60031126</v>
      </c>
      <c r="K701" t="s">
        <v>1497</v>
      </c>
      <c r="L701" t="s">
        <v>1496</v>
      </c>
      <c r="M701" t="s">
        <v>115</v>
      </c>
      <c r="N701">
        <v>3</v>
      </c>
      <c r="O701" t="s">
        <v>1495</v>
      </c>
      <c r="P701" t="s">
        <v>1494</v>
      </c>
      <c r="Q701" t="s">
        <v>1493</v>
      </c>
      <c r="R701" s="7">
        <v>32509</v>
      </c>
      <c r="S701" s="8">
        <f t="shared" si="88"/>
        <v>1989</v>
      </c>
      <c r="T701" s="8">
        <v>1989</v>
      </c>
      <c r="U701" s="8">
        <f t="shared" si="89"/>
        <v>33</v>
      </c>
      <c r="V701" s="7" t="s">
        <v>1450</v>
      </c>
      <c r="W701" s="11" t="s">
        <v>1449</v>
      </c>
      <c r="X701" s="2">
        <v>2.383</v>
      </c>
      <c r="Y701" s="6">
        <f t="shared" si="86"/>
        <v>6.3612824003630442E-2</v>
      </c>
      <c r="AA701" t="s">
        <v>1448</v>
      </c>
      <c r="AB701">
        <v>101151</v>
      </c>
      <c r="AD701" t="s">
        <v>5</v>
      </c>
      <c r="AE701">
        <v>136</v>
      </c>
      <c r="AF701">
        <v>1</v>
      </c>
      <c r="AH701" t="s">
        <v>1492</v>
      </c>
      <c r="AL701">
        <v>64</v>
      </c>
      <c r="AM701" s="5">
        <f t="shared" si="90"/>
        <v>1.9393939393939394</v>
      </c>
      <c r="AN701" s="4">
        <f t="shared" si="87"/>
        <v>2.937363028237697E-3</v>
      </c>
      <c r="AO701" s="3"/>
      <c r="AP701">
        <v>0</v>
      </c>
      <c r="AR701" t="s">
        <v>0</v>
      </c>
      <c r="AT701" s="2" t="s">
        <v>19</v>
      </c>
      <c r="AU701" s="1">
        <f t="shared" si="91"/>
        <v>4.5410185711012616</v>
      </c>
      <c r="AV701" s="1">
        <f t="shared" si="92"/>
        <v>3.3275093515934073</v>
      </c>
      <c r="AW701" s="1">
        <f t="shared" si="93"/>
        <v>2.1140001320855522</v>
      </c>
    </row>
    <row r="702" spans="1:49" x14ac:dyDescent="0.2">
      <c r="A702">
        <v>700</v>
      </c>
      <c r="B702" t="s">
        <v>1491</v>
      </c>
      <c r="C702" t="s">
        <v>1490</v>
      </c>
      <c r="F702" t="s">
        <v>1489</v>
      </c>
      <c r="G702" t="s">
        <v>15</v>
      </c>
      <c r="H702" t="s">
        <v>14</v>
      </c>
      <c r="I702" t="s">
        <v>1488</v>
      </c>
      <c r="N702">
        <v>1</v>
      </c>
      <c r="O702" t="s">
        <v>1487</v>
      </c>
      <c r="P702">
        <v>7101677253</v>
      </c>
      <c r="R702" s="7">
        <v>32509</v>
      </c>
      <c r="S702" s="8">
        <f t="shared" si="88"/>
        <v>1989</v>
      </c>
      <c r="T702" s="8">
        <v>1989</v>
      </c>
      <c r="U702" s="8">
        <f t="shared" si="89"/>
        <v>33</v>
      </c>
      <c r="V702" s="7" t="s">
        <v>1450</v>
      </c>
      <c r="W702" s="11" t="s">
        <v>1449</v>
      </c>
      <c r="X702" s="2">
        <v>2.383</v>
      </c>
      <c r="Y702" s="6">
        <f t="shared" si="86"/>
        <v>6.3612824003630442E-2</v>
      </c>
      <c r="AA702" t="s">
        <v>1448</v>
      </c>
      <c r="AB702">
        <v>101151</v>
      </c>
      <c r="AD702" t="s">
        <v>5</v>
      </c>
      <c r="AE702">
        <v>136</v>
      </c>
      <c r="AF702">
        <v>1</v>
      </c>
      <c r="AH702" t="s">
        <v>1486</v>
      </c>
      <c r="AL702">
        <v>1</v>
      </c>
      <c r="AM702" s="5">
        <f t="shared" si="90"/>
        <v>3.0303030303030304E-2</v>
      </c>
      <c r="AN702" s="4">
        <f t="shared" si="87"/>
        <v>4.5896297316214016E-5</v>
      </c>
      <c r="AO702" s="3"/>
      <c r="AP702">
        <v>0</v>
      </c>
      <c r="AR702" t="s">
        <v>0</v>
      </c>
      <c r="AT702" s="2" t="s">
        <v>19</v>
      </c>
      <c r="AU702" s="1">
        <f t="shared" si="91"/>
        <v>4.4542745691736174</v>
      </c>
      <c r="AV702" s="1">
        <f t="shared" si="92"/>
        <v>3.1829360150473329</v>
      </c>
      <c r="AW702" s="1">
        <f t="shared" si="93"/>
        <v>1.9115974609210482</v>
      </c>
    </row>
    <row r="703" spans="1:49" x14ac:dyDescent="0.2">
      <c r="A703">
        <v>701</v>
      </c>
      <c r="B703" t="s">
        <v>1485</v>
      </c>
      <c r="C703" t="s">
        <v>1484</v>
      </c>
      <c r="F703" t="s">
        <v>1483</v>
      </c>
      <c r="G703" t="s">
        <v>15</v>
      </c>
      <c r="H703" t="s">
        <v>14</v>
      </c>
      <c r="I703" t="s">
        <v>1482</v>
      </c>
      <c r="J703">
        <v>60022148</v>
      </c>
      <c r="K703" t="s">
        <v>1481</v>
      </c>
      <c r="L703" t="s">
        <v>1480</v>
      </c>
      <c r="M703" t="s">
        <v>792</v>
      </c>
      <c r="N703">
        <v>1</v>
      </c>
      <c r="O703" t="s">
        <v>1479</v>
      </c>
      <c r="P703">
        <v>35087329300</v>
      </c>
      <c r="Q703">
        <v>60022148</v>
      </c>
      <c r="R703" s="7">
        <v>32509</v>
      </c>
      <c r="S703" s="8">
        <f t="shared" si="88"/>
        <v>1989</v>
      </c>
      <c r="T703" s="8">
        <v>1989</v>
      </c>
      <c r="U703" s="8">
        <f t="shared" si="89"/>
        <v>33</v>
      </c>
      <c r="V703" s="7" t="s">
        <v>1450</v>
      </c>
      <c r="W703" s="11" t="s">
        <v>1449</v>
      </c>
      <c r="X703" s="2">
        <v>2.383</v>
      </c>
      <c r="Y703" s="6">
        <f t="shared" si="86"/>
        <v>6.3612824003630442E-2</v>
      </c>
      <c r="AA703" t="s">
        <v>1448</v>
      </c>
      <c r="AB703">
        <v>101151</v>
      </c>
      <c r="AD703" t="s">
        <v>5</v>
      </c>
      <c r="AE703">
        <v>136</v>
      </c>
      <c r="AF703">
        <v>1</v>
      </c>
      <c r="AH703" t="s">
        <v>1478</v>
      </c>
      <c r="AL703">
        <v>5</v>
      </c>
      <c r="AM703" s="5">
        <f t="shared" si="90"/>
        <v>0.15151515151515152</v>
      </c>
      <c r="AN703" s="4">
        <f t="shared" si="87"/>
        <v>2.2948148658107008E-4</v>
      </c>
      <c r="AO703" s="3"/>
      <c r="AP703">
        <v>0</v>
      </c>
      <c r="AR703" t="s">
        <v>0</v>
      </c>
      <c r="AT703" s="2" t="s">
        <v>19</v>
      </c>
      <c r="AU703" s="1">
        <f t="shared" si="91"/>
        <v>4.4597821248515626</v>
      </c>
      <c r="AV703" s="1">
        <f t="shared" si="92"/>
        <v>3.1921152745105754</v>
      </c>
      <c r="AW703" s="1">
        <f t="shared" si="93"/>
        <v>1.9244484241695881</v>
      </c>
    </row>
    <row r="704" spans="1:49" x14ac:dyDescent="0.2">
      <c r="A704">
        <v>702</v>
      </c>
      <c r="B704" t="s">
        <v>1477</v>
      </c>
      <c r="C704" t="s">
        <v>1476</v>
      </c>
      <c r="F704" t="s">
        <v>1475</v>
      </c>
      <c r="G704" t="s">
        <v>15</v>
      </c>
      <c r="H704" t="s">
        <v>14</v>
      </c>
      <c r="I704" t="s">
        <v>1474</v>
      </c>
      <c r="J704">
        <v>60014652</v>
      </c>
      <c r="K704" t="s">
        <v>1473</v>
      </c>
      <c r="L704" t="s">
        <v>1472</v>
      </c>
      <c r="M704" t="s">
        <v>115</v>
      </c>
      <c r="N704">
        <v>1</v>
      </c>
      <c r="O704" t="s">
        <v>1471</v>
      </c>
      <c r="P704">
        <v>7006242283</v>
      </c>
      <c r="Q704">
        <v>60014652</v>
      </c>
      <c r="R704" s="7">
        <v>32509</v>
      </c>
      <c r="S704" s="8">
        <f t="shared" si="88"/>
        <v>1989</v>
      </c>
      <c r="T704" s="8">
        <v>1989</v>
      </c>
      <c r="U704" s="8">
        <f t="shared" si="89"/>
        <v>33</v>
      </c>
      <c r="V704" s="7" t="s">
        <v>1450</v>
      </c>
      <c r="W704" s="11" t="s">
        <v>1449</v>
      </c>
      <c r="X704" s="2">
        <v>2.383</v>
      </c>
      <c r="Y704" s="6">
        <f t="shared" si="86"/>
        <v>6.3612824003630442E-2</v>
      </c>
      <c r="AA704" t="s">
        <v>1448</v>
      </c>
      <c r="AB704">
        <v>101151</v>
      </c>
      <c r="AD704" t="s">
        <v>5</v>
      </c>
      <c r="AE704">
        <v>136</v>
      </c>
      <c r="AF704">
        <v>1</v>
      </c>
      <c r="AH704" t="s">
        <v>1470</v>
      </c>
      <c r="AL704">
        <v>2</v>
      </c>
      <c r="AM704" s="5">
        <f t="shared" si="90"/>
        <v>6.0606060606060608E-2</v>
      </c>
      <c r="AN704" s="4">
        <f t="shared" si="87"/>
        <v>9.1792594632428032E-5</v>
      </c>
      <c r="AO704" s="3"/>
      <c r="AP704">
        <v>0</v>
      </c>
      <c r="AR704" t="s">
        <v>0</v>
      </c>
      <c r="AT704" s="2" t="s">
        <v>19</v>
      </c>
      <c r="AU704" s="1">
        <f t="shared" si="91"/>
        <v>4.4556514580931035</v>
      </c>
      <c r="AV704" s="1">
        <f t="shared" si="92"/>
        <v>3.1852308299131438</v>
      </c>
      <c r="AW704" s="1">
        <f t="shared" si="93"/>
        <v>1.9148102017331832</v>
      </c>
    </row>
    <row r="705" spans="1:49" x14ac:dyDescent="0.2">
      <c r="A705">
        <v>703</v>
      </c>
      <c r="B705" t="s">
        <v>1469</v>
      </c>
      <c r="C705" t="s">
        <v>1468</v>
      </c>
      <c r="F705" t="s">
        <v>1467</v>
      </c>
      <c r="G705" t="s">
        <v>15</v>
      </c>
      <c r="H705" t="s">
        <v>14</v>
      </c>
      <c r="I705" t="s">
        <v>1466</v>
      </c>
      <c r="J705">
        <v>60082704</v>
      </c>
      <c r="K705" t="s">
        <v>1465</v>
      </c>
      <c r="L705" t="s">
        <v>1464</v>
      </c>
      <c r="M705" t="s">
        <v>792</v>
      </c>
      <c r="N705">
        <v>1</v>
      </c>
      <c r="O705" t="s">
        <v>1463</v>
      </c>
      <c r="P705">
        <v>7005361531</v>
      </c>
      <c r="Q705">
        <v>60082704</v>
      </c>
      <c r="R705" s="7">
        <v>32509</v>
      </c>
      <c r="S705" s="8">
        <f t="shared" si="88"/>
        <v>1989</v>
      </c>
      <c r="T705" s="8">
        <v>1989</v>
      </c>
      <c r="U705" s="8">
        <f t="shared" si="89"/>
        <v>33</v>
      </c>
      <c r="V705" s="7">
        <v>42036</v>
      </c>
      <c r="W705" t="s">
        <v>1462</v>
      </c>
      <c r="X705" s="2" t="s">
        <v>19</v>
      </c>
      <c r="Y705" s="6" t="e">
        <f t="shared" si="86"/>
        <v>#VALUE!</v>
      </c>
      <c r="AA705">
        <v>135127</v>
      </c>
      <c r="AB705">
        <v>17422</v>
      </c>
      <c r="AD705" t="s">
        <v>5</v>
      </c>
      <c r="AE705">
        <v>35</v>
      </c>
      <c r="AF705">
        <v>2</v>
      </c>
      <c r="AH705" t="s">
        <v>1461</v>
      </c>
      <c r="AI705" t="s">
        <v>1460</v>
      </c>
      <c r="AK705" t="s">
        <v>1459</v>
      </c>
      <c r="AL705">
        <v>1</v>
      </c>
      <c r="AM705" s="5">
        <f t="shared" si="90"/>
        <v>3.0303030303030304E-2</v>
      </c>
      <c r="AN705" s="4">
        <f t="shared" si="87"/>
        <v>4.5896297316214016E-5</v>
      </c>
      <c r="AO705" s="3"/>
      <c r="AP705">
        <v>0</v>
      </c>
      <c r="AR705" t="s">
        <v>0</v>
      </c>
      <c r="AT705" s="2" t="s">
        <v>19</v>
      </c>
      <c r="AU705" s="1" t="e">
        <f t="shared" si="91"/>
        <v>#VALUE!</v>
      </c>
      <c r="AV705" s="1" t="e">
        <f t="shared" si="92"/>
        <v>#VALUE!</v>
      </c>
      <c r="AW705" s="1" t="e">
        <f t="shared" si="93"/>
        <v>#VALUE!</v>
      </c>
    </row>
    <row r="706" spans="1:49" x14ac:dyDescent="0.2">
      <c r="A706">
        <v>704</v>
      </c>
      <c r="B706" t="s">
        <v>1458</v>
      </c>
      <c r="C706" t="s">
        <v>1457</v>
      </c>
      <c r="F706" t="s">
        <v>1456</v>
      </c>
      <c r="G706" t="s">
        <v>15</v>
      </c>
      <c r="H706" t="s">
        <v>14</v>
      </c>
      <c r="I706" t="s">
        <v>1455</v>
      </c>
      <c r="J706">
        <v>60019656</v>
      </c>
      <c r="K706" t="s">
        <v>1454</v>
      </c>
      <c r="L706" t="s">
        <v>955</v>
      </c>
      <c r="M706" t="s">
        <v>792</v>
      </c>
      <c r="N706">
        <v>2</v>
      </c>
      <c r="O706" t="s">
        <v>1453</v>
      </c>
      <c r="P706" t="s">
        <v>1452</v>
      </c>
      <c r="Q706" t="s">
        <v>1451</v>
      </c>
      <c r="R706" s="7">
        <v>32509</v>
      </c>
      <c r="S706" s="8">
        <f t="shared" si="88"/>
        <v>1989</v>
      </c>
      <c r="T706" s="8">
        <v>1989</v>
      </c>
      <c r="U706" s="8">
        <f t="shared" si="89"/>
        <v>33</v>
      </c>
      <c r="V706" s="7" t="s">
        <v>1450</v>
      </c>
      <c r="W706" s="11" t="s">
        <v>1449</v>
      </c>
      <c r="X706" s="2">
        <v>2.383</v>
      </c>
      <c r="Y706" s="6">
        <f t="shared" ref="Y706:Y769" si="94">(X706-$Z$4)/($Z$3-$Z$4)</f>
        <v>6.3612824003630442E-2</v>
      </c>
      <c r="AA706" t="s">
        <v>1448</v>
      </c>
      <c r="AB706">
        <v>101151</v>
      </c>
      <c r="AD706" t="s">
        <v>5</v>
      </c>
      <c r="AE706">
        <v>136</v>
      </c>
      <c r="AF706">
        <v>1</v>
      </c>
      <c r="AH706" t="s">
        <v>1447</v>
      </c>
      <c r="AI706" t="s">
        <v>1446</v>
      </c>
      <c r="AK706" t="s">
        <v>1445</v>
      </c>
      <c r="AL706">
        <v>27</v>
      </c>
      <c r="AM706" s="5">
        <f t="shared" si="90"/>
        <v>0.81818181818181823</v>
      </c>
      <c r="AN706" s="4">
        <f t="shared" ref="AN706:AN769" si="95">(AM706-$AO$4)/($AO$3-$AO$4)</f>
        <v>1.2392000275377785E-3</v>
      </c>
      <c r="AO706" s="3"/>
      <c r="AP706">
        <v>0</v>
      </c>
      <c r="AR706" t="s">
        <v>0</v>
      </c>
      <c r="AT706" s="2" t="s">
        <v>19</v>
      </c>
      <c r="AU706" s="1">
        <f t="shared" si="91"/>
        <v>4.4900736810802648</v>
      </c>
      <c r="AV706" s="1">
        <f t="shared" si="92"/>
        <v>3.2426012015584109</v>
      </c>
      <c r="AW706" s="1">
        <f t="shared" si="93"/>
        <v>1.9951287220365579</v>
      </c>
    </row>
    <row r="707" spans="1:49" x14ac:dyDescent="0.2">
      <c r="A707">
        <v>705</v>
      </c>
      <c r="B707" t="s">
        <v>1444</v>
      </c>
      <c r="C707" t="s">
        <v>1443</v>
      </c>
      <c r="F707" t="s">
        <v>1442</v>
      </c>
      <c r="G707" t="s">
        <v>15</v>
      </c>
      <c r="H707" t="s">
        <v>14</v>
      </c>
      <c r="I707" t="s">
        <v>1441</v>
      </c>
      <c r="J707">
        <v>60020484</v>
      </c>
      <c r="K707" t="s">
        <v>1440</v>
      </c>
      <c r="L707" t="s">
        <v>1439</v>
      </c>
      <c r="M707" t="s">
        <v>1438</v>
      </c>
      <c r="N707">
        <v>1</v>
      </c>
      <c r="O707" t="s">
        <v>1437</v>
      </c>
      <c r="P707">
        <v>7003893885</v>
      </c>
      <c r="Q707">
        <v>60020484</v>
      </c>
      <c r="R707" s="7">
        <v>32509</v>
      </c>
      <c r="S707" s="8">
        <f t="shared" si="88"/>
        <v>1989</v>
      </c>
      <c r="T707" s="8">
        <v>1989</v>
      </c>
      <c r="U707" s="8">
        <f t="shared" si="89"/>
        <v>33</v>
      </c>
      <c r="V707" s="7">
        <v>32540</v>
      </c>
      <c r="W707" t="s">
        <v>1436</v>
      </c>
      <c r="X707" s="2">
        <v>0.251</v>
      </c>
      <c r="Y707" s="6">
        <f t="shared" si="94"/>
        <v>6.7003016470462617E-3</v>
      </c>
      <c r="AA707">
        <v>207217</v>
      </c>
      <c r="AB707">
        <v>26145</v>
      </c>
      <c r="AC707">
        <v>13623060</v>
      </c>
      <c r="AD707" t="s">
        <v>5</v>
      </c>
      <c r="AE707">
        <v>66</v>
      </c>
      <c r="AF707">
        <v>2</v>
      </c>
      <c r="AH707" t="s">
        <v>1435</v>
      </c>
      <c r="AI707" t="s">
        <v>1434</v>
      </c>
      <c r="AK707" t="s">
        <v>1433</v>
      </c>
      <c r="AL707">
        <v>5</v>
      </c>
      <c r="AM707" s="5">
        <f t="shared" si="90"/>
        <v>0.15151515151515152</v>
      </c>
      <c r="AN707" s="4">
        <f t="shared" si="95"/>
        <v>2.2948148658107008E-4</v>
      </c>
      <c r="AO707" s="3"/>
      <c r="AP707">
        <v>0</v>
      </c>
      <c r="AR707" t="s">
        <v>0</v>
      </c>
      <c r="AT707" s="2">
        <v>1.3360000000000001</v>
      </c>
      <c r="AU707" s="1">
        <f t="shared" si="91"/>
        <v>0.47590555989067035</v>
      </c>
      <c r="AV707" s="1">
        <f t="shared" si="92"/>
        <v>0.34648915668136659</v>
      </c>
      <c r="AW707" s="1">
        <f t="shared" si="93"/>
        <v>0.21707275347206276</v>
      </c>
    </row>
    <row r="708" spans="1:49" x14ac:dyDescent="0.2">
      <c r="A708">
        <v>706</v>
      </c>
      <c r="B708" t="s">
        <v>1432</v>
      </c>
      <c r="C708" t="s">
        <v>1431</v>
      </c>
      <c r="E708">
        <v>2710006</v>
      </c>
      <c r="F708" t="s">
        <v>1430</v>
      </c>
      <c r="G708" t="s">
        <v>15</v>
      </c>
      <c r="H708" t="s">
        <v>14</v>
      </c>
      <c r="I708" t="s">
        <v>1429</v>
      </c>
      <c r="J708">
        <v>60009408</v>
      </c>
      <c r="K708" t="s">
        <v>1428</v>
      </c>
      <c r="L708" t="s">
        <v>1427</v>
      </c>
      <c r="M708" t="s">
        <v>23</v>
      </c>
      <c r="N708">
        <v>3</v>
      </c>
      <c r="O708" t="s">
        <v>1426</v>
      </c>
      <c r="P708" t="s">
        <v>1425</v>
      </c>
      <c r="Q708" t="s">
        <v>1424</v>
      </c>
      <c r="R708" s="7">
        <v>32509</v>
      </c>
      <c r="S708" s="8">
        <f t="shared" si="88"/>
        <v>1989</v>
      </c>
      <c r="T708" s="8">
        <v>1989</v>
      </c>
      <c r="U708" s="8">
        <f t="shared" si="89"/>
        <v>33</v>
      </c>
      <c r="V708" s="7">
        <v>32568</v>
      </c>
      <c r="W708" t="s">
        <v>1423</v>
      </c>
      <c r="X708" s="2">
        <v>1.696</v>
      </c>
      <c r="Y708" s="6">
        <f t="shared" si="94"/>
        <v>4.5273751368089483E-2</v>
      </c>
      <c r="AA708">
        <v>7403194</v>
      </c>
      <c r="AB708">
        <v>17267</v>
      </c>
      <c r="AC708">
        <v>15222594</v>
      </c>
      <c r="AD708" t="s">
        <v>5</v>
      </c>
      <c r="AE708">
        <v>9</v>
      </c>
      <c r="AF708">
        <v>3</v>
      </c>
      <c r="AH708" t="s">
        <v>1422</v>
      </c>
      <c r="AI708" t="s">
        <v>1421</v>
      </c>
      <c r="AK708" t="s">
        <v>1420</v>
      </c>
      <c r="AL708">
        <v>10</v>
      </c>
      <c r="AM708" s="5">
        <f t="shared" si="90"/>
        <v>0.30303030303030304</v>
      </c>
      <c r="AN708" s="4">
        <f t="shared" si="95"/>
        <v>4.5896297316214016E-4</v>
      </c>
      <c r="AO708" s="3"/>
      <c r="AP708">
        <v>0</v>
      </c>
      <c r="AQ708" t="s">
        <v>684</v>
      </c>
      <c r="AR708" t="s">
        <v>1419</v>
      </c>
      <c r="AS708" t="s">
        <v>682</v>
      </c>
      <c r="AT708" s="2">
        <v>4.6680000000000001</v>
      </c>
      <c r="AU708" s="1">
        <f t="shared" si="91"/>
        <v>3.1829314849611281</v>
      </c>
      <c r="AV708" s="1">
        <f t="shared" si="92"/>
        <v>2.2866357170625813</v>
      </c>
      <c r="AW708" s="1">
        <f t="shared" si="93"/>
        <v>1.3903399491640343</v>
      </c>
    </row>
    <row r="709" spans="1:49" x14ac:dyDescent="0.2">
      <c r="A709">
        <v>707</v>
      </c>
      <c r="B709" t="s">
        <v>1418</v>
      </c>
      <c r="C709" t="s">
        <v>1417</v>
      </c>
      <c r="D709" t="s">
        <v>1416</v>
      </c>
      <c r="F709" t="s">
        <v>1415</v>
      </c>
      <c r="G709" t="s">
        <v>15</v>
      </c>
      <c r="H709" t="s">
        <v>14</v>
      </c>
      <c r="I709" t="s">
        <v>1414</v>
      </c>
      <c r="J709" t="s">
        <v>1413</v>
      </c>
      <c r="K709" t="s">
        <v>1412</v>
      </c>
      <c r="L709" t="s">
        <v>1411</v>
      </c>
      <c r="M709" t="s">
        <v>1410</v>
      </c>
      <c r="N709">
        <v>3</v>
      </c>
      <c r="O709" t="s">
        <v>1409</v>
      </c>
      <c r="P709" t="s">
        <v>1408</v>
      </c>
      <c r="Q709" t="s">
        <v>1407</v>
      </c>
      <c r="R709" s="7">
        <v>32509</v>
      </c>
      <c r="S709" s="8">
        <f t="shared" si="88"/>
        <v>1989</v>
      </c>
      <c r="T709" s="8">
        <v>1989</v>
      </c>
      <c r="U709" s="8">
        <f t="shared" si="89"/>
        <v>33</v>
      </c>
      <c r="V709" s="7">
        <v>32568</v>
      </c>
      <c r="W709" t="s">
        <v>68</v>
      </c>
      <c r="X709" s="2">
        <v>1.59</v>
      </c>
      <c r="Y709" s="6">
        <f t="shared" si="94"/>
        <v>4.2444141907583888E-2</v>
      </c>
      <c r="AA709">
        <v>52728</v>
      </c>
      <c r="AB709">
        <v>16791</v>
      </c>
      <c r="AD709" t="s">
        <v>5</v>
      </c>
      <c r="AE709">
        <v>973</v>
      </c>
      <c r="AF709">
        <v>3</v>
      </c>
      <c r="AH709" t="s">
        <v>1406</v>
      </c>
      <c r="AI709" t="s">
        <v>1405</v>
      </c>
      <c r="AJ709" t="s">
        <v>1404</v>
      </c>
      <c r="AK709" t="s">
        <v>1403</v>
      </c>
      <c r="AL709">
        <v>25</v>
      </c>
      <c r="AM709" s="5">
        <f t="shared" si="90"/>
        <v>0.75757575757575757</v>
      </c>
      <c r="AN709" s="4">
        <f t="shared" si="95"/>
        <v>1.1474074329053503E-3</v>
      </c>
      <c r="AO709" s="3"/>
      <c r="AP709">
        <v>0</v>
      </c>
      <c r="AQ709" t="s">
        <v>1402</v>
      </c>
      <c r="AR709" t="s">
        <v>0</v>
      </c>
      <c r="AS709" t="s">
        <v>1401</v>
      </c>
      <c r="AT709" s="2" t="s">
        <v>19</v>
      </c>
      <c r="AU709" s="1">
        <f t="shared" si="91"/>
        <v>3.0055121565180327</v>
      </c>
      <c r="AV709" s="1">
        <f t="shared" si="92"/>
        <v>2.1795774670244619</v>
      </c>
      <c r="AW709" s="1">
        <f t="shared" si="93"/>
        <v>1.353642777530891</v>
      </c>
    </row>
    <row r="710" spans="1:49" x14ac:dyDescent="0.2">
      <c r="A710">
        <v>708</v>
      </c>
      <c r="B710" t="s">
        <v>1400</v>
      </c>
      <c r="C710" t="s">
        <v>1399</v>
      </c>
      <c r="E710">
        <v>2653323</v>
      </c>
      <c r="F710" t="s">
        <v>1398</v>
      </c>
      <c r="G710" t="s">
        <v>15</v>
      </c>
      <c r="H710" t="s">
        <v>14</v>
      </c>
      <c r="I710" t="s">
        <v>1397</v>
      </c>
      <c r="J710">
        <v>60008213</v>
      </c>
      <c r="K710" t="s">
        <v>1396</v>
      </c>
      <c r="L710" t="s">
        <v>1395</v>
      </c>
      <c r="M710" t="s">
        <v>23</v>
      </c>
      <c r="N710">
        <v>2</v>
      </c>
      <c r="O710" t="s">
        <v>1394</v>
      </c>
      <c r="P710" t="s">
        <v>1393</v>
      </c>
      <c r="Q710" t="s">
        <v>1392</v>
      </c>
      <c r="R710" s="7">
        <v>32509</v>
      </c>
      <c r="S710" s="8">
        <f t="shared" si="88"/>
        <v>1989</v>
      </c>
      <c r="T710" s="8">
        <v>1989</v>
      </c>
      <c r="U710" s="8">
        <f t="shared" si="89"/>
        <v>33</v>
      </c>
      <c r="V710" s="7">
        <v>1989</v>
      </c>
      <c r="W710" t="s">
        <v>1215</v>
      </c>
      <c r="X710" s="2">
        <v>0.435</v>
      </c>
      <c r="Y710" s="6">
        <f t="shared" si="94"/>
        <v>1.1612076559622007E-2</v>
      </c>
      <c r="AA710">
        <v>1978462</v>
      </c>
      <c r="AB710">
        <v>14839</v>
      </c>
      <c r="AC710" t="s">
        <v>1214</v>
      </c>
      <c r="AD710" t="s">
        <v>5</v>
      </c>
      <c r="AE710">
        <v>10</v>
      </c>
      <c r="AF710">
        <v>2</v>
      </c>
      <c r="AH710" t="s">
        <v>1391</v>
      </c>
      <c r="AI710" t="s">
        <v>1390</v>
      </c>
      <c r="AJ710" t="s">
        <v>1389</v>
      </c>
      <c r="AK710" t="s">
        <v>1388</v>
      </c>
      <c r="AL710">
        <v>19</v>
      </c>
      <c r="AM710" s="5">
        <f t="shared" si="90"/>
        <v>0.5757575757575758</v>
      </c>
      <c r="AN710" s="4">
        <f t="shared" si="95"/>
        <v>8.7202964900806633E-4</v>
      </c>
      <c r="AO710" s="3"/>
      <c r="AP710">
        <v>0</v>
      </c>
      <c r="AR710" t="s">
        <v>0</v>
      </c>
      <c r="AT710" s="2">
        <v>2.0099999999999998</v>
      </c>
      <c r="AU710" s="1">
        <f t="shared" si="91"/>
        <v>0.83900624864378237</v>
      </c>
      <c r="AV710" s="1">
        <f t="shared" si="92"/>
        <v>0.62420531043150362</v>
      </c>
      <c r="AW710" s="1">
        <f t="shared" si="93"/>
        <v>0.40940437221922482</v>
      </c>
    </row>
    <row r="711" spans="1:49" x14ac:dyDescent="0.2">
      <c r="A711">
        <v>709</v>
      </c>
      <c r="B711" t="s">
        <v>1387</v>
      </c>
      <c r="C711" t="s">
        <v>1386</v>
      </c>
      <c r="D711">
        <v>306987789900212</v>
      </c>
      <c r="E711">
        <v>2564627</v>
      </c>
      <c r="F711" t="s">
        <v>1385</v>
      </c>
      <c r="G711" t="s">
        <v>15</v>
      </c>
      <c r="H711" t="s">
        <v>14</v>
      </c>
      <c r="I711" t="s">
        <v>1384</v>
      </c>
      <c r="J711">
        <v>105869426</v>
      </c>
      <c r="K711" t="s">
        <v>1383</v>
      </c>
      <c r="M711" t="s">
        <v>23</v>
      </c>
      <c r="N711">
        <v>1</v>
      </c>
      <c r="O711" t="s">
        <v>1382</v>
      </c>
      <c r="P711">
        <v>7005669951</v>
      </c>
      <c r="Q711">
        <v>105869426</v>
      </c>
      <c r="R711" s="7">
        <v>32509</v>
      </c>
      <c r="S711" s="8">
        <f t="shared" si="88"/>
        <v>1989</v>
      </c>
      <c r="T711" s="8">
        <v>1989</v>
      </c>
      <c r="U711" s="8">
        <f t="shared" si="89"/>
        <v>33</v>
      </c>
      <c r="V711" s="7">
        <v>32540</v>
      </c>
      <c r="W711" t="s">
        <v>1381</v>
      </c>
      <c r="X711" s="2">
        <v>0.441</v>
      </c>
      <c r="Y711" s="6">
        <f t="shared" si="94"/>
        <v>1.1772243132858172E-2</v>
      </c>
      <c r="AA711">
        <v>3069877</v>
      </c>
      <c r="AB711">
        <v>17833</v>
      </c>
      <c r="AD711" t="s">
        <v>5</v>
      </c>
      <c r="AE711">
        <v>28</v>
      </c>
      <c r="AF711">
        <v>2</v>
      </c>
      <c r="AH711" t="s">
        <v>1380</v>
      </c>
      <c r="AI711" t="s">
        <v>1379</v>
      </c>
      <c r="AK711" t="s">
        <v>1378</v>
      </c>
      <c r="AL711">
        <v>0</v>
      </c>
      <c r="AM711" s="5">
        <f t="shared" si="90"/>
        <v>0</v>
      </c>
      <c r="AN711" s="4">
        <f t="shared" si="95"/>
        <v>0</v>
      </c>
      <c r="AO711" s="3"/>
      <c r="AP711">
        <v>0</v>
      </c>
      <c r="AR711" t="s">
        <v>0</v>
      </c>
      <c r="AT711" s="2">
        <v>1.538</v>
      </c>
      <c r="AU711" s="1">
        <f t="shared" si="91"/>
        <v>0.82405701930007202</v>
      </c>
      <c r="AV711" s="1">
        <f t="shared" si="92"/>
        <v>0.58861215664290867</v>
      </c>
      <c r="AW711" s="1">
        <f t="shared" si="93"/>
        <v>0.35316729398574515</v>
      </c>
    </row>
    <row r="712" spans="1:49" x14ac:dyDescent="0.2">
      <c r="A712">
        <v>710</v>
      </c>
      <c r="B712" t="s">
        <v>1377</v>
      </c>
      <c r="C712" t="s">
        <v>1376</v>
      </c>
      <c r="E712">
        <v>2921533</v>
      </c>
      <c r="F712" t="s">
        <v>1375</v>
      </c>
      <c r="G712" t="s">
        <v>15</v>
      </c>
      <c r="H712" t="s">
        <v>14</v>
      </c>
      <c r="I712" t="s">
        <v>1310</v>
      </c>
      <c r="J712">
        <v>60015183</v>
      </c>
      <c r="K712" t="s">
        <v>1309</v>
      </c>
      <c r="L712" t="s">
        <v>481</v>
      </c>
      <c r="M712" t="s">
        <v>23</v>
      </c>
      <c r="N712">
        <v>5</v>
      </c>
      <c r="O712" t="s">
        <v>1374</v>
      </c>
      <c r="P712" t="s">
        <v>1373</v>
      </c>
      <c r="Q712" t="s">
        <v>1372</v>
      </c>
      <c r="R712" s="7">
        <v>32509</v>
      </c>
      <c r="S712" s="8">
        <f t="shared" si="88"/>
        <v>1989</v>
      </c>
      <c r="T712" s="8">
        <v>1989</v>
      </c>
      <c r="U712" s="8">
        <f t="shared" si="89"/>
        <v>33</v>
      </c>
      <c r="V712" s="7">
        <v>1989</v>
      </c>
      <c r="W712" t="s">
        <v>623</v>
      </c>
      <c r="X712" s="2">
        <v>0.89600000000000002</v>
      </c>
      <c r="Y712" s="6">
        <f t="shared" si="94"/>
        <v>2.3918208269934065E-2</v>
      </c>
      <c r="AA712">
        <v>2656736</v>
      </c>
      <c r="AB712">
        <v>29901</v>
      </c>
      <c r="AD712" t="s">
        <v>5</v>
      </c>
      <c r="AE712">
        <v>5</v>
      </c>
      <c r="AF712">
        <v>1</v>
      </c>
      <c r="AH712" t="s">
        <v>1371</v>
      </c>
      <c r="AI712" t="s">
        <v>1370</v>
      </c>
      <c r="AJ712" t="s">
        <v>1369</v>
      </c>
      <c r="AK712" t="s">
        <v>1368</v>
      </c>
      <c r="AL712">
        <v>14</v>
      </c>
      <c r="AM712" s="5">
        <f t="shared" si="90"/>
        <v>0.42424242424242425</v>
      </c>
      <c r="AN712" s="4">
        <f t="shared" si="95"/>
        <v>6.4254816242699617E-4</v>
      </c>
      <c r="AO712" s="3"/>
      <c r="AP712">
        <v>0</v>
      </c>
      <c r="AR712" t="s">
        <v>0</v>
      </c>
      <c r="AT712" s="2">
        <v>3.9140000000000001</v>
      </c>
      <c r="AU712" s="1">
        <f t="shared" si="91"/>
        <v>1.6935510237681941</v>
      </c>
      <c r="AV712" s="1">
        <f t="shared" si="92"/>
        <v>1.228037821618053</v>
      </c>
      <c r="AW712" s="1">
        <f t="shared" si="93"/>
        <v>0.76252461946791161</v>
      </c>
    </row>
    <row r="713" spans="1:49" x14ac:dyDescent="0.2">
      <c r="A713">
        <v>711</v>
      </c>
      <c r="B713" t="s">
        <v>1367</v>
      </c>
      <c r="C713" t="s">
        <v>1366</v>
      </c>
      <c r="F713" t="s">
        <v>1365</v>
      </c>
      <c r="G713" t="s">
        <v>15</v>
      </c>
      <c r="H713" t="s">
        <v>14</v>
      </c>
      <c r="I713" t="s">
        <v>1364</v>
      </c>
      <c r="J713" t="s">
        <v>1358</v>
      </c>
      <c r="K713" t="s">
        <v>1363</v>
      </c>
      <c r="L713" t="s">
        <v>1362</v>
      </c>
      <c r="M713" t="s">
        <v>1361</v>
      </c>
      <c r="N713">
        <v>2</v>
      </c>
      <c r="O713" t="s">
        <v>1360</v>
      </c>
      <c r="P713" t="s">
        <v>1359</v>
      </c>
      <c r="Q713" t="s">
        <v>1358</v>
      </c>
      <c r="R713" s="7">
        <v>32509</v>
      </c>
      <c r="S713" s="8">
        <f t="shared" si="88"/>
        <v>1989</v>
      </c>
      <c r="T713" s="8">
        <v>1989</v>
      </c>
      <c r="U713" s="8">
        <f t="shared" si="89"/>
        <v>33</v>
      </c>
      <c r="V713" s="7">
        <v>32629</v>
      </c>
      <c r="W713" t="s">
        <v>1357</v>
      </c>
      <c r="X713" s="2">
        <v>0.56200000000000006</v>
      </c>
      <c r="Y713" s="6">
        <f t="shared" si="94"/>
        <v>1.5002269026454181E-2</v>
      </c>
      <c r="AA713">
        <v>3734633</v>
      </c>
      <c r="AB713">
        <v>25659</v>
      </c>
      <c r="AC713">
        <v>14697785</v>
      </c>
      <c r="AD713" t="s">
        <v>5</v>
      </c>
      <c r="AE713">
        <v>42</v>
      </c>
      <c r="AF713">
        <v>2</v>
      </c>
      <c r="AH713" t="s">
        <v>1356</v>
      </c>
      <c r="AI713" t="s">
        <v>1355</v>
      </c>
      <c r="AK713" t="s">
        <v>1354</v>
      </c>
      <c r="AL713">
        <v>2</v>
      </c>
      <c r="AM713" s="5">
        <f t="shared" si="90"/>
        <v>6.0606060606060608E-2</v>
      </c>
      <c r="AN713" s="4">
        <f t="shared" si="95"/>
        <v>9.1792594632428032E-5</v>
      </c>
      <c r="AO713" s="3"/>
      <c r="AP713">
        <v>0</v>
      </c>
      <c r="AR713" t="s">
        <v>0</v>
      </c>
      <c r="AT713" s="2">
        <v>1.9950000000000001</v>
      </c>
      <c r="AU713" s="1">
        <f t="shared" si="91"/>
        <v>1.0529126096907655</v>
      </c>
      <c r="AV713" s="1">
        <f t="shared" si="92"/>
        <v>0.75470308105433048</v>
      </c>
      <c r="AW713" s="1">
        <f t="shared" si="93"/>
        <v>0.45649355241789535</v>
      </c>
    </row>
    <row r="714" spans="1:49" x14ac:dyDescent="0.2">
      <c r="A714">
        <v>712</v>
      </c>
      <c r="B714" t="s">
        <v>1353</v>
      </c>
      <c r="C714" t="s">
        <v>1352</v>
      </c>
      <c r="E714">
        <v>2712835</v>
      </c>
      <c r="F714" t="s">
        <v>1351</v>
      </c>
      <c r="G714" t="s">
        <v>15</v>
      </c>
      <c r="H714" t="s">
        <v>14</v>
      </c>
      <c r="I714" t="s">
        <v>1350</v>
      </c>
      <c r="J714" t="s">
        <v>1349</v>
      </c>
      <c r="K714" t="s">
        <v>1348</v>
      </c>
      <c r="L714" t="s">
        <v>1347</v>
      </c>
      <c r="M714" t="s">
        <v>1346</v>
      </c>
      <c r="N714">
        <v>3</v>
      </c>
      <c r="O714" t="s">
        <v>1345</v>
      </c>
      <c r="P714" t="s">
        <v>1344</v>
      </c>
      <c r="Q714" t="s">
        <v>1343</v>
      </c>
      <c r="R714" s="7">
        <v>32509</v>
      </c>
      <c r="S714" s="8">
        <f t="shared" si="88"/>
        <v>1989</v>
      </c>
      <c r="T714" s="8">
        <v>1989</v>
      </c>
      <c r="U714" s="8">
        <f t="shared" si="89"/>
        <v>33</v>
      </c>
      <c r="V714" s="7">
        <v>1989</v>
      </c>
      <c r="W714" t="s">
        <v>1215</v>
      </c>
      <c r="X714" s="2">
        <v>0.435</v>
      </c>
      <c r="Y714" s="6">
        <f t="shared" si="94"/>
        <v>1.1612076559622007E-2</v>
      </c>
      <c r="AA714">
        <v>1978462</v>
      </c>
      <c r="AB714">
        <v>14839</v>
      </c>
      <c r="AC714" t="s">
        <v>1214</v>
      </c>
      <c r="AD714" t="s">
        <v>5</v>
      </c>
      <c r="AE714">
        <v>10</v>
      </c>
      <c r="AF714">
        <v>1</v>
      </c>
      <c r="AH714" s="9">
        <v>44531</v>
      </c>
      <c r="AI714" t="s">
        <v>1342</v>
      </c>
      <c r="AJ714" t="s">
        <v>1341</v>
      </c>
      <c r="AK714" t="s">
        <v>1340</v>
      </c>
      <c r="AL714">
        <v>12</v>
      </c>
      <c r="AM714" s="5">
        <f t="shared" si="90"/>
        <v>0.36363636363636365</v>
      </c>
      <c r="AN714" s="4">
        <f t="shared" si="95"/>
        <v>5.5075556779456819E-4</v>
      </c>
      <c r="AO714" s="3"/>
      <c r="AP714">
        <v>0</v>
      </c>
      <c r="AR714" t="s">
        <v>0</v>
      </c>
      <c r="AT714" s="2">
        <v>2.0099999999999998</v>
      </c>
      <c r="AU714" s="1">
        <f t="shared" si="91"/>
        <v>0.82936802620737748</v>
      </c>
      <c r="AV714" s="1">
        <f t="shared" si="92"/>
        <v>0.60814160637082881</v>
      </c>
      <c r="AW714" s="1">
        <f t="shared" si="93"/>
        <v>0.38691518653427998</v>
      </c>
    </row>
    <row r="715" spans="1:49" x14ac:dyDescent="0.2">
      <c r="A715">
        <v>713</v>
      </c>
      <c r="B715" t="s">
        <v>1339</v>
      </c>
      <c r="C715" t="s">
        <v>1338</v>
      </c>
      <c r="E715">
        <v>2926499</v>
      </c>
      <c r="F715" t="s">
        <v>1337</v>
      </c>
      <c r="G715" t="s">
        <v>15</v>
      </c>
      <c r="H715" t="s">
        <v>14</v>
      </c>
      <c r="I715" t="s">
        <v>1336</v>
      </c>
      <c r="J715">
        <v>60014653</v>
      </c>
      <c r="K715" t="s">
        <v>1335</v>
      </c>
      <c r="L715" t="s">
        <v>610</v>
      </c>
      <c r="M715" t="s">
        <v>23</v>
      </c>
      <c r="N715">
        <v>7</v>
      </c>
      <c r="O715" t="s">
        <v>1334</v>
      </c>
      <c r="P715" t="s">
        <v>1333</v>
      </c>
      <c r="Q715" t="s">
        <v>1332</v>
      </c>
      <c r="R715" s="7">
        <v>32509</v>
      </c>
      <c r="S715" s="8">
        <f t="shared" si="88"/>
        <v>1989</v>
      </c>
      <c r="T715" s="8">
        <v>1989</v>
      </c>
      <c r="U715" s="8">
        <f t="shared" si="89"/>
        <v>33</v>
      </c>
      <c r="V715" s="7">
        <v>1989</v>
      </c>
      <c r="W715" t="s">
        <v>1331</v>
      </c>
      <c r="X715" s="2">
        <v>1.5640000000000001</v>
      </c>
      <c r="Y715" s="6">
        <f t="shared" si="94"/>
        <v>4.1750086756893838E-2</v>
      </c>
      <c r="AA715">
        <v>223085</v>
      </c>
      <c r="AB715">
        <v>16767</v>
      </c>
      <c r="AD715" t="s">
        <v>5</v>
      </c>
      <c r="AE715">
        <v>70</v>
      </c>
      <c r="AF715">
        <v>4</v>
      </c>
      <c r="AH715" t="s">
        <v>1330</v>
      </c>
      <c r="AI715" t="s">
        <v>1329</v>
      </c>
      <c r="AK715" t="s">
        <v>1328</v>
      </c>
      <c r="AL715">
        <v>27</v>
      </c>
      <c r="AM715" s="5">
        <f t="shared" si="90"/>
        <v>0.81818181818181823</v>
      </c>
      <c r="AN715" s="4">
        <f t="shared" si="95"/>
        <v>1.2392000275377785E-3</v>
      </c>
      <c r="AO715" s="3"/>
      <c r="AP715">
        <v>0</v>
      </c>
      <c r="AR715" t="s">
        <v>0</v>
      </c>
      <c r="AT715" s="2">
        <v>5.1150000000000002</v>
      </c>
      <c r="AU715" s="1">
        <f t="shared" si="91"/>
        <v>2.9596820738087017</v>
      </c>
      <c r="AV715" s="1">
        <f t="shared" si="92"/>
        <v>2.1494643392215811</v>
      </c>
      <c r="AW715" s="1">
        <f t="shared" si="93"/>
        <v>1.3392466046344598</v>
      </c>
    </row>
    <row r="716" spans="1:49" x14ac:dyDescent="0.2">
      <c r="A716">
        <v>714</v>
      </c>
      <c r="B716" t="s">
        <v>1327</v>
      </c>
      <c r="C716" t="s">
        <v>1326</v>
      </c>
      <c r="E716">
        <v>2723470</v>
      </c>
      <c r="F716" t="s">
        <v>1325</v>
      </c>
      <c r="G716" t="s">
        <v>15</v>
      </c>
      <c r="H716" t="s">
        <v>14</v>
      </c>
      <c r="I716" t="s">
        <v>1324</v>
      </c>
      <c r="J716">
        <v>60023691</v>
      </c>
      <c r="K716" t="s">
        <v>1323</v>
      </c>
      <c r="L716" t="s">
        <v>1322</v>
      </c>
      <c r="M716" t="s">
        <v>23</v>
      </c>
      <c r="N716">
        <v>7</v>
      </c>
      <c r="O716" t="s">
        <v>1321</v>
      </c>
      <c r="P716" t="s">
        <v>1320</v>
      </c>
      <c r="Q716" t="s">
        <v>1319</v>
      </c>
      <c r="R716" s="7">
        <v>32509</v>
      </c>
      <c r="S716" s="8">
        <f t="shared" si="88"/>
        <v>1989</v>
      </c>
      <c r="T716" s="8">
        <v>1989</v>
      </c>
      <c r="U716" s="8">
        <f t="shared" si="89"/>
        <v>33</v>
      </c>
      <c r="V716" s="7">
        <v>1989</v>
      </c>
      <c r="W716" t="s">
        <v>623</v>
      </c>
      <c r="X716" s="2">
        <v>0.89600000000000002</v>
      </c>
      <c r="Y716" s="6">
        <f t="shared" si="94"/>
        <v>2.3918208269934065E-2</v>
      </c>
      <c r="AA716">
        <v>2656736</v>
      </c>
      <c r="AB716">
        <v>29901</v>
      </c>
      <c r="AD716" t="s">
        <v>5</v>
      </c>
      <c r="AE716">
        <v>5</v>
      </c>
      <c r="AF716">
        <v>3</v>
      </c>
      <c r="AH716" t="s">
        <v>1318</v>
      </c>
      <c r="AI716" t="s">
        <v>1317</v>
      </c>
      <c r="AJ716" t="s">
        <v>1316</v>
      </c>
      <c r="AK716" t="s">
        <v>1315</v>
      </c>
      <c r="AL716">
        <v>25</v>
      </c>
      <c r="AM716" s="5">
        <f t="shared" si="90"/>
        <v>0.75757575757575757</v>
      </c>
      <c r="AN716" s="4">
        <f t="shared" si="95"/>
        <v>1.1474074329053503E-3</v>
      </c>
      <c r="AO716" s="3"/>
      <c r="AP716">
        <v>0</v>
      </c>
      <c r="AQ716" t="s">
        <v>635</v>
      </c>
      <c r="AR716" t="s">
        <v>1314</v>
      </c>
      <c r="AS716" t="s">
        <v>633</v>
      </c>
      <c r="AT716" s="2">
        <v>3.9140000000000001</v>
      </c>
      <c r="AU716" s="1">
        <f t="shared" si="91"/>
        <v>1.708696801882545</v>
      </c>
      <c r="AV716" s="1">
        <f t="shared" si="92"/>
        <v>1.2532807851419707</v>
      </c>
      <c r="AW716" s="1">
        <f t="shared" si="93"/>
        <v>0.79786476840139642</v>
      </c>
    </row>
    <row r="717" spans="1:49" x14ac:dyDescent="0.2">
      <c r="A717">
        <v>715</v>
      </c>
      <c r="B717" t="s">
        <v>1313</v>
      </c>
      <c r="C717" t="s">
        <v>1312</v>
      </c>
      <c r="E717">
        <v>2470840</v>
      </c>
      <c r="F717" t="s">
        <v>1311</v>
      </c>
      <c r="G717" t="s">
        <v>15</v>
      </c>
      <c r="H717" t="s">
        <v>14</v>
      </c>
      <c r="I717" t="s">
        <v>1310</v>
      </c>
      <c r="J717">
        <v>60015183</v>
      </c>
      <c r="K717" t="s">
        <v>1309</v>
      </c>
      <c r="L717" t="s">
        <v>481</v>
      </c>
      <c r="M717" t="s">
        <v>23</v>
      </c>
      <c r="N717">
        <v>7</v>
      </c>
      <c r="O717" t="s">
        <v>1308</v>
      </c>
      <c r="P717" t="s">
        <v>1307</v>
      </c>
      <c r="Q717" t="s">
        <v>1306</v>
      </c>
      <c r="R717" s="7">
        <v>32509</v>
      </c>
      <c r="S717" s="8">
        <f t="shared" si="88"/>
        <v>1989</v>
      </c>
      <c r="T717" s="8">
        <v>1989</v>
      </c>
      <c r="U717" s="8">
        <f t="shared" si="89"/>
        <v>33</v>
      </c>
      <c r="V717" s="7">
        <v>1989</v>
      </c>
      <c r="W717" t="s">
        <v>623</v>
      </c>
      <c r="X717" s="2">
        <v>0.89600000000000002</v>
      </c>
      <c r="Y717" s="6">
        <f t="shared" si="94"/>
        <v>2.3918208269934065E-2</v>
      </c>
      <c r="AA717">
        <v>2656736</v>
      </c>
      <c r="AB717">
        <v>29901</v>
      </c>
      <c r="AD717" t="s">
        <v>5</v>
      </c>
      <c r="AE717">
        <v>5</v>
      </c>
      <c r="AF717">
        <v>3</v>
      </c>
      <c r="AH717" t="s">
        <v>1305</v>
      </c>
      <c r="AI717" t="s">
        <v>1304</v>
      </c>
      <c r="AJ717" t="s">
        <v>1303</v>
      </c>
      <c r="AK717" t="s">
        <v>1302</v>
      </c>
      <c r="AL717">
        <v>60</v>
      </c>
      <c r="AM717" s="5">
        <f t="shared" si="90"/>
        <v>1.8181818181818181</v>
      </c>
      <c r="AN717" s="4">
        <f t="shared" si="95"/>
        <v>2.7537778389728406E-3</v>
      </c>
      <c r="AO717" s="3"/>
      <c r="AP717">
        <v>0</v>
      </c>
      <c r="AR717" t="s">
        <v>0</v>
      </c>
      <c r="AT717" s="2">
        <v>3.9140000000000001</v>
      </c>
      <c r="AU717" s="1">
        <f t="shared" si="91"/>
        <v>1.7568879140645695</v>
      </c>
      <c r="AV717" s="1">
        <f t="shared" si="92"/>
        <v>1.3335993054453452</v>
      </c>
      <c r="AW717" s="1">
        <f t="shared" si="93"/>
        <v>0.91031069682612076</v>
      </c>
    </row>
    <row r="718" spans="1:49" x14ac:dyDescent="0.2">
      <c r="A718">
        <v>716</v>
      </c>
      <c r="B718" t="s">
        <v>1301</v>
      </c>
      <c r="C718" t="s">
        <v>1300</v>
      </c>
      <c r="E718">
        <v>2703880</v>
      </c>
      <c r="F718" t="s">
        <v>1299</v>
      </c>
      <c r="G718" t="s">
        <v>15</v>
      </c>
      <c r="H718" t="s">
        <v>14</v>
      </c>
      <c r="I718" t="s">
        <v>1298</v>
      </c>
      <c r="J718">
        <v>60017994</v>
      </c>
      <c r="K718" t="s">
        <v>1297</v>
      </c>
      <c r="L718" t="s">
        <v>1296</v>
      </c>
      <c r="M718" t="s">
        <v>23</v>
      </c>
      <c r="N718">
        <v>3</v>
      </c>
      <c r="O718" t="s">
        <v>1295</v>
      </c>
      <c r="P718" t="s">
        <v>1294</v>
      </c>
      <c r="Q718" t="s">
        <v>1293</v>
      </c>
      <c r="R718" s="7">
        <v>32509</v>
      </c>
      <c r="S718" s="8">
        <f t="shared" si="88"/>
        <v>1989</v>
      </c>
      <c r="T718" s="8">
        <v>1989</v>
      </c>
      <c r="U718" s="8">
        <f t="shared" si="89"/>
        <v>33</v>
      </c>
      <c r="V718" s="7">
        <v>1989</v>
      </c>
      <c r="W718" t="s">
        <v>1292</v>
      </c>
      <c r="X718" s="2">
        <v>3.4830000000000001</v>
      </c>
      <c r="Y718" s="6">
        <f t="shared" si="94"/>
        <v>9.2976695763594144E-2</v>
      </c>
      <c r="AA718">
        <v>2706474</v>
      </c>
      <c r="AB718">
        <v>16764</v>
      </c>
      <c r="AD718" t="s">
        <v>5</v>
      </c>
      <c r="AE718">
        <v>9</v>
      </c>
      <c r="AF718">
        <v>4</v>
      </c>
      <c r="AH718" t="s">
        <v>1291</v>
      </c>
      <c r="AL718">
        <v>69</v>
      </c>
      <c r="AM718" s="5">
        <f t="shared" si="90"/>
        <v>2.0909090909090908</v>
      </c>
      <c r="AN718" s="4">
        <f t="shared" si="95"/>
        <v>3.1668445148187669E-3</v>
      </c>
      <c r="AO718" s="3"/>
      <c r="AP718">
        <v>1</v>
      </c>
      <c r="AR718" t="s">
        <v>0</v>
      </c>
      <c r="AT718" s="2">
        <v>6.1669999999999998</v>
      </c>
      <c r="AU718" s="1">
        <f t="shared" si="91"/>
        <v>6.6033740388961526</v>
      </c>
      <c r="AV718" s="1">
        <f t="shared" si="92"/>
        <v>4.8071770139206462</v>
      </c>
      <c r="AW718" s="1">
        <f t="shared" si="93"/>
        <v>3.0109799889451381</v>
      </c>
    </row>
    <row r="719" spans="1:49" x14ac:dyDescent="0.2">
      <c r="A719">
        <v>717</v>
      </c>
      <c r="B719" t="s">
        <v>1290</v>
      </c>
      <c r="C719" t="s">
        <v>1289</v>
      </c>
      <c r="E719">
        <v>2708572</v>
      </c>
      <c r="F719" t="s">
        <v>1288</v>
      </c>
      <c r="G719" t="s">
        <v>15</v>
      </c>
      <c r="H719" t="s">
        <v>14</v>
      </c>
      <c r="I719" t="s">
        <v>1287</v>
      </c>
      <c r="J719">
        <v>60021918</v>
      </c>
      <c r="K719" t="s">
        <v>1286</v>
      </c>
      <c r="L719" t="s">
        <v>1285</v>
      </c>
      <c r="M719" t="s">
        <v>23</v>
      </c>
      <c r="N719">
        <v>3</v>
      </c>
      <c r="O719" t="s">
        <v>1284</v>
      </c>
      <c r="P719" t="s">
        <v>1283</v>
      </c>
      <c r="Q719" t="s">
        <v>1282</v>
      </c>
      <c r="R719" s="7">
        <v>32509</v>
      </c>
      <c r="S719" s="8">
        <f t="shared" si="88"/>
        <v>1989</v>
      </c>
      <c r="T719" s="8">
        <v>1989</v>
      </c>
      <c r="U719" s="8">
        <f t="shared" si="89"/>
        <v>33</v>
      </c>
      <c r="V719" s="7">
        <v>32561</v>
      </c>
      <c r="W719" t="s">
        <v>1281</v>
      </c>
      <c r="X719" s="2">
        <v>1.855</v>
      </c>
      <c r="Y719" s="6">
        <f t="shared" si="94"/>
        <v>4.9518165558847867E-2</v>
      </c>
      <c r="AA719">
        <v>219967</v>
      </c>
      <c r="AB719">
        <v>16689</v>
      </c>
      <c r="AC719">
        <v>10969861</v>
      </c>
      <c r="AD719" t="s">
        <v>5</v>
      </c>
      <c r="AE719">
        <v>280</v>
      </c>
      <c r="AF719">
        <v>4</v>
      </c>
      <c r="AH719" t="s">
        <v>1280</v>
      </c>
      <c r="AI719" t="s">
        <v>1279</v>
      </c>
      <c r="AJ719" t="s">
        <v>1278</v>
      </c>
      <c r="AK719" t="s">
        <v>1277</v>
      </c>
      <c r="AL719">
        <v>46</v>
      </c>
      <c r="AM719" s="5">
        <f t="shared" si="90"/>
        <v>1.393939393939394</v>
      </c>
      <c r="AN719" s="4">
        <f t="shared" si="95"/>
        <v>2.111229676545845E-3</v>
      </c>
      <c r="AO719" s="3"/>
      <c r="AP719">
        <v>0</v>
      </c>
      <c r="AR719" t="s">
        <v>0</v>
      </c>
      <c r="AT719" s="2">
        <v>3.2149999999999999</v>
      </c>
      <c r="AU719" s="1">
        <f t="shared" si="91"/>
        <v>3.5296084794157259</v>
      </c>
      <c r="AV719" s="1">
        <f t="shared" si="92"/>
        <v>2.5814697617696858</v>
      </c>
      <c r="AW719" s="1">
        <f t="shared" si="93"/>
        <v>1.633331044123645</v>
      </c>
    </row>
    <row r="720" spans="1:49" x14ac:dyDescent="0.2">
      <c r="A720">
        <v>718</v>
      </c>
      <c r="B720" t="s">
        <v>1276</v>
      </c>
      <c r="C720" t="s">
        <v>1275</v>
      </c>
      <c r="E720">
        <v>2921510</v>
      </c>
      <c r="F720" t="s">
        <v>1274</v>
      </c>
      <c r="G720" t="s">
        <v>15</v>
      </c>
      <c r="H720" t="s">
        <v>14</v>
      </c>
      <c r="I720" t="s">
        <v>1273</v>
      </c>
      <c r="J720">
        <v>60103678</v>
      </c>
      <c r="K720" t="s">
        <v>1272</v>
      </c>
      <c r="L720" t="s">
        <v>1271</v>
      </c>
      <c r="M720" t="s">
        <v>23</v>
      </c>
      <c r="N720">
        <v>2</v>
      </c>
      <c r="O720" t="s">
        <v>1270</v>
      </c>
      <c r="P720" t="s">
        <v>1269</v>
      </c>
      <c r="Q720" t="s">
        <v>1268</v>
      </c>
      <c r="R720" s="7">
        <v>32509</v>
      </c>
      <c r="S720" s="8">
        <f t="shared" si="88"/>
        <v>1989</v>
      </c>
      <c r="T720" s="8">
        <v>1989</v>
      </c>
      <c r="U720" s="8">
        <f t="shared" si="89"/>
        <v>33</v>
      </c>
      <c r="V720" s="7">
        <v>32509</v>
      </c>
      <c r="W720" t="s">
        <v>1267</v>
      </c>
      <c r="X720" s="2">
        <v>0.99</v>
      </c>
      <c r="Y720" s="6">
        <f t="shared" si="94"/>
        <v>2.6427484583967327E-2</v>
      </c>
      <c r="AA720">
        <v>221503</v>
      </c>
      <c r="AB720">
        <v>18926</v>
      </c>
      <c r="AD720" t="s">
        <v>5</v>
      </c>
      <c r="AE720">
        <v>80</v>
      </c>
      <c r="AF720">
        <v>1</v>
      </c>
      <c r="AH720" t="s">
        <v>1266</v>
      </c>
      <c r="AI720" t="s">
        <v>1265</v>
      </c>
      <c r="AK720" t="s">
        <v>1264</v>
      </c>
      <c r="AL720">
        <v>6</v>
      </c>
      <c r="AM720" s="5">
        <f t="shared" si="90"/>
        <v>0.18181818181818182</v>
      </c>
      <c r="AN720" s="4">
        <f t="shared" si="95"/>
        <v>2.753777838972841E-4</v>
      </c>
      <c r="AO720" s="3"/>
      <c r="AP720">
        <v>0</v>
      </c>
      <c r="AR720" t="s">
        <v>0</v>
      </c>
      <c r="AT720" s="2">
        <v>2.645</v>
      </c>
      <c r="AU720" s="1">
        <f t="shared" si="91"/>
        <v>1.8581852543946313</v>
      </c>
      <c r="AV720" s="1">
        <f t="shared" si="92"/>
        <v>1.3351431183932305</v>
      </c>
      <c r="AW720" s="1">
        <f t="shared" si="93"/>
        <v>0.81210098239182971</v>
      </c>
    </row>
    <row r="721" spans="1:49" x14ac:dyDescent="0.2">
      <c r="A721">
        <v>719</v>
      </c>
      <c r="B721" t="s">
        <v>1263</v>
      </c>
      <c r="C721" t="s">
        <v>1262</v>
      </c>
      <c r="E721">
        <v>2926187</v>
      </c>
      <c r="F721" t="s">
        <v>1261</v>
      </c>
      <c r="G721" t="s">
        <v>15</v>
      </c>
      <c r="H721" t="s">
        <v>14</v>
      </c>
      <c r="I721" t="s">
        <v>1260</v>
      </c>
      <c r="J721" t="s">
        <v>1259</v>
      </c>
      <c r="K721" t="s">
        <v>1258</v>
      </c>
      <c r="L721" t="s">
        <v>1257</v>
      </c>
      <c r="M721" t="s">
        <v>644</v>
      </c>
      <c r="N721">
        <v>4</v>
      </c>
      <c r="O721" t="s">
        <v>1256</v>
      </c>
      <c r="P721" t="s">
        <v>1255</v>
      </c>
      <c r="Q721" t="s">
        <v>1254</v>
      </c>
      <c r="R721" s="7">
        <v>32509</v>
      </c>
      <c r="S721" s="8">
        <f t="shared" si="88"/>
        <v>1989</v>
      </c>
      <c r="T721" s="8">
        <v>1989</v>
      </c>
      <c r="U721" s="8">
        <f t="shared" si="89"/>
        <v>33</v>
      </c>
      <c r="V721" s="7">
        <v>1989</v>
      </c>
      <c r="W721" t="s">
        <v>623</v>
      </c>
      <c r="X721" s="2">
        <v>0.89600000000000002</v>
      </c>
      <c r="Y721" s="6">
        <f t="shared" si="94"/>
        <v>2.3918208269934065E-2</v>
      </c>
      <c r="AA721">
        <v>2656736</v>
      </c>
      <c r="AB721">
        <v>29901</v>
      </c>
      <c r="AD721" t="s">
        <v>5</v>
      </c>
      <c r="AE721">
        <v>5</v>
      </c>
      <c r="AF721">
        <v>2</v>
      </c>
      <c r="AH721" t="s">
        <v>1253</v>
      </c>
      <c r="AI721" t="s">
        <v>1252</v>
      </c>
      <c r="AJ721" t="s">
        <v>1251</v>
      </c>
      <c r="AK721" t="s">
        <v>1250</v>
      </c>
      <c r="AL721">
        <v>19</v>
      </c>
      <c r="AM721" s="5">
        <f t="shared" si="90"/>
        <v>0.5757575757575758</v>
      </c>
      <c r="AN721" s="4">
        <f t="shared" si="95"/>
        <v>8.7202964900806633E-4</v>
      </c>
      <c r="AO721" s="3"/>
      <c r="AP721">
        <v>0</v>
      </c>
      <c r="AQ721" t="s">
        <v>635</v>
      </c>
      <c r="AR721" t="s">
        <v>1249</v>
      </c>
      <c r="AS721" t="s">
        <v>633</v>
      </c>
      <c r="AT721" s="2">
        <v>3.9140000000000001</v>
      </c>
      <c r="AU721" s="1">
        <f t="shared" si="91"/>
        <v>1.7004354683656262</v>
      </c>
      <c r="AV721" s="1">
        <f t="shared" si="92"/>
        <v>1.2395118959471065</v>
      </c>
      <c r="AW721" s="1">
        <f t="shared" si="93"/>
        <v>0.77858832352858653</v>
      </c>
    </row>
    <row r="722" spans="1:49" x14ac:dyDescent="0.2">
      <c r="A722">
        <v>720</v>
      </c>
      <c r="B722" t="s">
        <v>1248</v>
      </c>
      <c r="C722" t="s">
        <v>1247</v>
      </c>
      <c r="F722" t="s">
        <v>1246</v>
      </c>
      <c r="G722" t="s">
        <v>15</v>
      </c>
      <c r="H722" t="s">
        <v>14</v>
      </c>
      <c r="I722" t="s">
        <v>1245</v>
      </c>
      <c r="J722">
        <v>60032179</v>
      </c>
      <c r="K722" t="s">
        <v>1244</v>
      </c>
      <c r="L722" t="s">
        <v>1243</v>
      </c>
      <c r="M722" t="s">
        <v>23</v>
      </c>
      <c r="N722">
        <v>1</v>
      </c>
      <c r="O722" t="s">
        <v>1242</v>
      </c>
      <c r="P722">
        <v>57211301037</v>
      </c>
      <c r="Q722">
        <v>60032179</v>
      </c>
      <c r="R722" s="7">
        <v>32509</v>
      </c>
      <c r="S722" s="8">
        <f t="shared" si="88"/>
        <v>1989</v>
      </c>
      <c r="T722" s="8">
        <v>1989</v>
      </c>
      <c r="U722" s="8">
        <f t="shared" si="89"/>
        <v>33</v>
      </c>
      <c r="V722" s="7">
        <v>1989</v>
      </c>
      <c r="W722" t="s">
        <v>1241</v>
      </c>
      <c r="X722" s="2">
        <v>1.67</v>
      </c>
      <c r="Y722" s="6">
        <f t="shared" si="94"/>
        <v>4.4579696217399427E-2</v>
      </c>
      <c r="AA722">
        <v>1480227</v>
      </c>
      <c r="AB722">
        <v>28428</v>
      </c>
      <c r="AD722" t="s">
        <v>5</v>
      </c>
      <c r="AE722">
        <v>94</v>
      </c>
      <c r="AF722" t="s">
        <v>1240</v>
      </c>
      <c r="AH722" t="s">
        <v>1239</v>
      </c>
      <c r="AI722" t="s">
        <v>1238</v>
      </c>
      <c r="AK722" t="s">
        <v>1237</v>
      </c>
      <c r="AL722">
        <v>40</v>
      </c>
      <c r="AM722" s="5">
        <f t="shared" si="90"/>
        <v>1.2121212121212122</v>
      </c>
      <c r="AN722" s="4">
        <f t="shared" si="95"/>
        <v>1.8358518926485606E-3</v>
      </c>
      <c r="AO722" s="3"/>
      <c r="AP722">
        <v>0</v>
      </c>
      <c r="AR722" t="s">
        <v>0</v>
      </c>
      <c r="AT722" s="2" t="s">
        <v>19</v>
      </c>
      <c r="AU722" s="1">
        <f t="shared" si="91"/>
        <v>3.1756542919974167</v>
      </c>
      <c r="AV722" s="1">
        <f t="shared" si="92"/>
        <v>2.3207774055023993</v>
      </c>
      <c r="AW722" s="1">
        <f t="shared" si="93"/>
        <v>1.4659005190073819</v>
      </c>
    </row>
    <row r="723" spans="1:49" x14ac:dyDescent="0.2">
      <c r="A723">
        <v>721</v>
      </c>
      <c r="B723" t="s">
        <v>1236</v>
      </c>
      <c r="E723">
        <v>2525341</v>
      </c>
      <c r="F723" t="s">
        <v>1235</v>
      </c>
      <c r="G723" t="s">
        <v>15</v>
      </c>
      <c r="H723" t="s">
        <v>14</v>
      </c>
      <c r="I723" t="s">
        <v>1234</v>
      </c>
      <c r="J723">
        <v>100591628</v>
      </c>
      <c r="K723" t="s">
        <v>1233</v>
      </c>
      <c r="L723" t="s">
        <v>481</v>
      </c>
      <c r="M723" t="s">
        <v>23</v>
      </c>
      <c r="N723">
        <v>4</v>
      </c>
      <c r="O723" t="s">
        <v>1232</v>
      </c>
      <c r="P723" t="s">
        <v>1231</v>
      </c>
      <c r="Q723" t="s">
        <v>1230</v>
      </c>
      <c r="R723" s="7">
        <v>32509</v>
      </c>
      <c r="S723" s="8">
        <f t="shared" si="88"/>
        <v>1989</v>
      </c>
      <c r="T723" s="8">
        <v>1989</v>
      </c>
      <c r="U723" s="8">
        <f t="shared" si="89"/>
        <v>33</v>
      </c>
      <c r="V723" s="7">
        <v>1989</v>
      </c>
      <c r="W723" t="s">
        <v>1229</v>
      </c>
      <c r="X723" s="2" t="s">
        <v>19</v>
      </c>
      <c r="Y723" s="6" t="e">
        <f t="shared" si="94"/>
        <v>#VALUE!</v>
      </c>
      <c r="AA723">
        <v>1929763</v>
      </c>
      <c r="AB723">
        <v>37994</v>
      </c>
      <c r="AD723" t="s">
        <v>5</v>
      </c>
      <c r="AE723">
        <v>10</v>
      </c>
      <c r="AF723">
        <v>2</v>
      </c>
      <c r="AH723" t="s">
        <v>1228</v>
      </c>
      <c r="AI723" t="s">
        <v>1227</v>
      </c>
      <c r="AK723" t="s">
        <v>1226</v>
      </c>
      <c r="AL723">
        <v>1</v>
      </c>
      <c r="AM723" s="5">
        <f t="shared" si="90"/>
        <v>3.0303030303030304E-2</v>
      </c>
      <c r="AN723" s="4">
        <f t="shared" si="95"/>
        <v>4.5896297316214016E-5</v>
      </c>
      <c r="AO723" s="3"/>
      <c r="AP723">
        <v>0</v>
      </c>
      <c r="AR723" t="s">
        <v>0</v>
      </c>
      <c r="AT723" s="2" t="s">
        <v>19</v>
      </c>
      <c r="AU723" s="1" t="e">
        <f t="shared" si="91"/>
        <v>#VALUE!</v>
      </c>
      <c r="AV723" s="1" t="e">
        <f t="shared" si="92"/>
        <v>#VALUE!</v>
      </c>
      <c r="AW723" s="1" t="e">
        <f t="shared" si="93"/>
        <v>#VALUE!</v>
      </c>
    </row>
    <row r="724" spans="1:49" x14ac:dyDescent="0.2">
      <c r="A724">
        <v>722</v>
      </c>
      <c r="B724" t="s">
        <v>1225</v>
      </c>
      <c r="C724" t="s">
        <v>1224</v>
      </c>
      <c r="E724">
        <v>2712847</v>
      </c>
      <c r="F724" t="s">
        <v>1223</v>
      </c>
      <c r="G724" t="s">
        <v>15</v>
      </c>
      <c r="H724" t="s">
        <v>14</v>
      </c>
      <c r="I724" t="s">
        <v>1222</v>
      </c>
      <c r="J724" t="s">
        <v>1221</v>
      </c>
      <c r="K724" t="s">
        <v>1220</v>
      </c>
      <c r="L724" t="s">
        <v>1219</v>
      </c>
      <c r="M724" t="s">
        <v>86</v>
      </c>
      <c r="N724">
        <v>2</v>
      </c>
      <c r="O724" t="s">
        <v>1218</v>
      </c>
      <c r="P724" t="s">
        <v>1217</v>
      </c>
      <c r="Q724" t="s">
        <v>1216</v>
      </c>
      <c r="R724" s="7">
        <v>32509</v>
      </c>
      <c r="S724" s="8">
        <f t="shared" si="88"/>
        <v>1989</v>
      </c>
      <c r="T724" s="8">
        <v>1989</v>
      </c>
      <c r="U724" s="8">
        <f t="shared" si="89"/>
        <v>33</v>
      </c>
      <c r="V724" s="7">
        <v>1989</v>
      </c>
      <c r="W724" t="s">
        <v>1215</v>
      </c>
      <c r="X724" s="2">
        <v>0.435</v>
      </c>
      <c r="Y724" s="6">
        <f t="shared" si="94"/>
        <v>1.1612076559622007E-2</v>
      </c>
      <c r="AA724">
        <v>1978462</v>
      </c>
      <c r="AB724">
        <v>14839</v>
      </c>
      <c r="AC724" t="s">
        <v>1214</v>
      </c>
      <c r="AD724" t="s">
        <v>5</v>
      </c>
      <c r="AE724">
        <v>10</v>
      </c>
      <c r="AF724">
        <v>2</v>
      </c>
      <c r="AH724" t="s">
        <v>1213</v>
      </c>
      <c r="AI724" t="s">
        <v>1212</v>
      </c>
      <c r="AJ724" t="s">
        <v>1211</v>
      </c>
      <c r="AK724" t="s">
        <v>1210</v>
      </c>
      <c r="AL724">
        <v>43</v>
      </c>
      <c r="AM724" s="5">
        <f t="shared" si="90"/>
        <v>1.303030303030303</v>
      </c>
      <c r="AN724" s="4">
        <f t="shared" si="95"/>
        <v>1.9735407845972025E-3</v>
      </c>
      <c r="AO724" s="3"/>
      <c r="AP724">
        <v>0</v>
      </c>
      <c r="AR724" t="s">
        <v>0</v>
      </c>
      <c r="AT724" s="2">
        <v>2.0099999999999998</v>
      </c>
      <c r="AU724" s="1">
        <f t="shared" si="91"/>
        <v>0.87205158271145655</v>
      </c>
      <c r="AV724" s="1">
        <f t="shared" si="92"/>
        <v>0.67928086721096048</v>
      </c>
      <c r="AW724" s="1">
        <f t="shared" si="93"/>
        <v>0.48651015171046441</v>
      </c>
    </row>
    <row r="725" spans="1:49" x14ac:dyDescent="0.2">
      <c r="A725">
        <v>723</v>
      </c>
      <c r="B725" t="s">
        <v>1209</v>
      </c>
      <c r="C725" t="s">
        <v>1208</v>
      </c>
      <c r="E725">
        <v>2719668</v>
      </c>
      <c r="F725" t="s">
        <v>1207</v>
      </c>
      <c r="G725" t="s">
        <v>15</v>
      </c>
      <c r="H725" t="s">
        <v>14</v>
      </c>
      <c r="I725" t="s">
        <v>1206</v>
      </c>
      <c r="J725">
        <v>60015186</v>
      </c>
      <c r="K725" t="s">
        <v>1205</v>
      </c>
      <c r="L725" t="s">
        <v>1204</v>
      </c>
      <c r="M725" t="s">
        <v>283</v>
      </c>
      <c r="N725">
        <v>2</v>
      </c>
      <c r="O725" t="s">
        <v>1203</v>
      </c>
      <c r="P725" t="s">
        <v>1202</v>
      </c>
      <c r="Q725" t="s">
        <v>1201</v>
      </c>
      <c r="R725" s="7">
        <v>32509</v>
      </c>
      <c r="S725" s="8">
        <f t="shared" si="88"/>
        <v>1989</v>
      </c>
      <c r="T725" s="8">
        <v>1989</v>
      </c>
      <c r="U725" s="8">
        <f t="shared" si="89"/>
        <v>33</v>
      </c>
      <c r="V725" s="7">
        <v>1989</v>
      </c>
      <c r="W725" t="s">
        <v>1124</v>
      </c>
      <c r="X725" s="2">
        <v>1.706</v>
      </c>
      <c r="Y725" s="6">
        <f t="shared" si="94"/>
        <v>4.554069565681642E-2</v>
      </c>
      <c r="AA725">
        <v>2646021</v>
      </c>
      <c r="AB725">
        <v>16850</v>
      </c>
      <c r="AD725" t="s">
        <v>5</v>
      </c>
      <c r="AE725">
        <v>259</v>
      </c>
      <c r="AF725">
        <v>2</v>
      </c>
      <c r="AH725" t="s">
        <v>1200</v>
      </c>
      <c r="AI725" t="s">
        <v>1199</v>
      </c>
      <c r="AK725" t="s">
        <v>1198</v>
      </c>
      <c r="AL725">
        <v>50</v>
      </c>
      <c r="AM725" s="5">
        <f t="shared" si="90"/>
        <v>1.5151515151515151</v>
      </c>
      <c r="AN725" s="4">
        <f t="shared" si="95"/>
        <v>2.2948148658107005E-3</v>
      </c>
      <c r="AO725" s="3"/>
      <c r="AP725">
        <v>0</v>
      </c>
      <c r="AR725" t="s">
        <v>0</v>
      </c>
      <c r="AT725" s="2">
        <v>3.8570000000000002</v>
      </c>
      <c r="AU725" s="1">
        <f t="shared" si="91"/>
        <v>3.25669314195147</v>
      </c>
      <c r="AV725" s="1">
        <f t="shared" si="92"/>
        <v>2.3917755261313558</v>
      </c>
      <c r="AW725" s="1">
        <f t="shared" si="93"/>
        <v>1.5268579103112416</v>
      </c>
    </row>
    <row r="726" spans="1:49" x14ac:dyDescent="0.2">
      <c r="A726">
        <v>724</v>
      </c>
      <c r="B726" t="s">
        <v>1197</v>
      </c>
      <c r="C726" t="s">
        <v>1196</v>
      </c>
      <c r="E726">
        <v>2919370</v>
      </c>
      <c r="F726" t="s">
        <v>1195</v>
      </c>
      <c r="G726" t="s">
        <v>15</v>
      </c>
      <c r="H726" t="s">
        <v>14</v>
      </c>
      <c r="I726" t="s">
        <v>1194</v>
      </c>
      <c r="J726">
        <v>60023324</v>
      </c>
      <c r="K726" t="s">
        <v>1193</v>
      </c>
      <c r="L726" t="s">
        <v>1192</v>
      </c>
      <c r="M726" t="s">
        <v>23</v>
      </c>
      <c r="N726">
        <v>1</v>
      </c>
      <c r="O726" t="s">
        <v>1191</v>
      </c>
      <c r="P726">
        <v>7102144017</v>
      </c>
      <c r="Q726">
        <v>60023324</v>
      </c>
      <c r="R726" s="7">
        <v>32509</v>
      </c>
      <c r="S726" s="8">
        <f t="shared" si="88"/>
        <v>1989</v>
      </c>
      <c r="T726" s="8">
        <v>1989</v>
      </c>
      <c r="U726" s="8">
        <f t="shared" si="89"/>
        <v>33</v>
      </c>
      <c r="V726" s="7">
        <v>1989</v>
      </c>
      <c r="W726" t="s">
        <v>1190</v>
      </c>
      <c r="X726" s="2">
        <v>0.80900000000000005</v>
      </c>
      <c r="Y726" s="6">
        <f t="shared" si="94"/>
        <v>2.1595792958009667E-2</v>
      </c>
      <c r="AA726">
        <v>8874476</v>
      </c>
      <c r="AB726">
        <v>19906</v>
      </c>
      <c r="AC726">
        <v>10982396</v>
      </c>
      <c r="AD726" t="s">
        <v>5</v>
      </c>
      <c r="AE726">
        <v>3</v>
      </c>
      <c r="AF726">
        <v>1</v>
      </c>
      <c r="AH726" t="s">
        <v>1189</v>
      </c>
      <c r="AI726" t="s">
        <v>1188</v>
      </c>
      <c r="AJ726" t="s">
        <v>1187</v>
      </c>
      <c r="AK726" t="s">
        <v>1186</v>
      </c>
      <c r="AL726">
        <v>35</v>
      </c>
      <c r="AM726" s="5">
        <f t="shared" si="90"/>
        <v>1.0606060606060606</v>
      </c>
      <c r="AN726" s="4">
        <f t="shared" si="95"/>
        <v>1.6063704060674904E-3</v>
      </c>
      <c r="AO726" s="3"/>
      <c r="AP726">
        <v>0</v>
      </c>
      <c r="AQ726" t="s">
        <v>1185</v>
      </c>
      <c r="AR726" t="s">
        <v>1184</v>
      </c>
      <c r="AS726" t="s">
        <v>1183</v>
      </c>
      <c r="AT726" s="2">
        <v>2.5619999999999998</v>
      </c>
      <c r="AU726" s="1">
        <f t="shared" si="91"/>
        <v>1.5598966192427013</v>
      </c>
      <c r="AV726" s="1">
        <f t="shared" si="92"/>
        <v>1.1601081682038579</v>
      </c>
      <c r="AW726" s="1">
        <f t="shared" si="93"/>
        <v>0.76031971716501434</v>
      </c>
    </row>
    <row r="727" spans="1:49" x14ac:dyDescent="0.2">
      <c r="A727">
        <v>725</v>
      </c>
      <c r="B727" t="s">
        <v>1182</v>
      </c>
      <c r="E727">
        <v>2705755</v>
      </c>
      <c r="F727" t="s">
        <v>1181</v>
      </c>
      <c r="G727" t="s">
        <v>15</v>
      </c>
      <c r="H727" t="s">
        <v>14</v>
      </c>
      <c r="I727" t="s">
        <v>1180</v>
      </c>
      <c r="J727">
        <v>60007828</v>
      </c>
      <c r="K727" t="s">
        <v>1179</v>
      </c>
      <c r="L727" t="s">
        <v>1178</v>
      </c>
      <c r="M727" t="s">
        <v>23</v>
      </c>
      <c r="N727">
        <v>4</v>
      </c>
      <c r="O727" t="s">
        <v>1177</v>
      </c>
      <c r="P727" t="s">
        <v>1176</v>
      </c>
      <c r="Q727" t="s">
        <v>1175</v>
      </c>
      <c r="R727" s="7">
        <v>32509</v>
      </c>
      <c r="S727" s="8">
        <f t="shared" si="88"/>
        <v>1989</v>
      </c>
      <c r="T727" s="8">
        <v>1989</v>
      </c>
      <c r="U727" s="8">
        <f t="shared" si="89"/>
        <v>33</v>
      </c>
      <c r="V727" s="7">
        <v>1989</v>
      </c>
      <c r="W727" t="s">
        <v>1174</v>
      </c>
      <c r="X727" s="2">
        <v>0.73499999999999999</v>
      </c>
      <c r="Y727" s="6">
        <f t="shared" si="94"/>
        <v>1.9620405221430288E-2</v>
      </c>
      <c r="AA727">
        <v>2507005</v>
      </c>
      <c r="AB727">
        <v>28728</v>
      </c>
      <c r="AD727" t="s">
        <v>5</v>
      </c>
      <c r="AE727">
        <v>9</v>
      </c>
      <c r="AF727">
        <v>1</v>
      </c>
      <c r="AH727" t="s">
        <v>1173</v>
      </c>
      <c r="AI727" t="s">
        <v>1172</v>
      </c>
      <c r="AK727" t="s">
        <v>1171</v>
      </c>
      <c r="AL727">
        <v>22</v>
      </c>
      <c r="AM727" s="5">
        <f t="shared" si="90"/>
        <v>0.66666666666666663</v>
      </c>
      <c r="AN727" s="4">
        <f t="shared" si="95"/>
        <v>1.0097185409567082E-3</v>
      </c>
      <c r="AO727" s="3"/>
      <c r="AP727">
        <v>0</v>
      </c>
      <c r="AR727" t="s">
        <v>0</v>
      </c>
      <c r="AT727" s="2">
        <v>2.48</v>
      </c>
      <c r="AU727" s="1">
        <f t="shared" si="91"/>
        <v>1.4037199217288214</v>
      </c>
      <c r="AV727" s="1">
        <f t="shared" si="92"/>
        <v>1.0315061881193499</v>
      </c>
      <c r="AW727" s="1">
        <f t="shared" si="93"/>
        <v>0.65929245450987817</v>
      </c>
    </row>
    <row r="728" spans="1:49" x14ac:dyDescent="0.2">
      <c r="A728">
        <v>726</v>
      </c>
      <c r="B728" t="s">
        <v>1170</v>
      </c>
      <c r="C728" t="s">
        <v>1169</v>
      </c>
      <c r="E728">
        <v>2710297</v>
      </c>
      <c r="F728" t="s">
        <v>1168</v>
      </c>
      <c r="G728" t="s">
        <v>15</v>
      </c>
      <c r="H728" t="s">
        <v>14</v>
      </c>
      <c r="I728" t="s">
        <v>1167</v>
      </c>
      <c r="J728">
        <v>60002441</v>
      </c>
      <c r="K728" t="s">
        <v>1166</v>
      </c>
      <c r="L728" t="s">
        <v>1165</v>
      </c>
      <c r="M728" t="s">
        <v>23</v>
      </c>
      <c r="N728">
        <v>5</v>
      </c>
      <c r="O728" t="s">
        <v>1164</v>
      </c>
      <c r="P728" t="s">
        <v>1163</v>
      </c>
      <c r="Q728" t="s">
        <v>1162</v>
      </c>
      <c r="R728" s="7">
        <v>32509</v>
      </c>
      <c r="S728" s="8">
        <f t="shared" si="88"/>
        <v>1989</v>
      </c>
      <c r="T728" s="8">
        <v>1989</v>
      </c>
      <c r="U728" s="8">
        <f t="shared" si="89"/>
        <v>33</v>
      </c>
      <c r="V728" s="7">
        <v>1989</v>
      </c>
      <c r="W728" t="s">
        <v>606</v>
      </c>
      <c r="X728" s="2">
        <v>1.4550000000000001</v>
      </c>
      <c r="Y728" s="6">
        <f t="shared" si="94"/>
        <v>3.8840394009770164E-2</v>
      </c>
      <c r="AA728" t="s">
        <v>605</v>
      </c>
      <c r="AB728">
        <v>18069</v>
      </c>
      <c r="AD728" t="s">
        <v>5</v>
      </c>
      <c r="AE728">
        <v>24</v>
      </c>
      <c r="AF728">
        <v>4</v>
      </c>
      <c r="AH728" t="s">
        <v>1161</v>
      </c>
      <c r="AI728" t="s">
        <v>1160</v>
      </c>
      <c r="AK728" t="s">
        <v>1159</v>
      </c>
      <c r="AL728">
        <v>11</v>
      </c>
      <c r="AM728" s="5">
        <f t="shared" si="90"/>
        <v>0.33333333333333331</v>
      </c>
      <c r="AN728" s="4">
        <f t="shared" si="95"/>
        <v>5.048592704783541E-4</v>
      </c>
      <c r="AO728" s="3"/>
      <c r="AP728">
        <v>0</v>
      </c>
      <c r="AR728" t="s">
        <v>0</v>
      </c>
      <c r="AT728" s="2">
        <v>4.6539999999999999</v>
      </c>
      <c r="AU728" s="1">
        <f t="shared" si="91"/>
        <v>2.733973358798262</v>
      </c>
      <c r="AV728" s="1">
        <f t="shared" si="92"/>
        <v>1.9672626640124258</v>
      </c>
      <c r="AW728" s="1">
        <f t="shared" si="93"/>
        <v>1.2005519692265896</v>
      </c>
    </row>
    <row r="729" spans="1:49" x14ac:dyDescent="0.2">
      <c r="A729">
        <v>727</v>
      </c>
      <c r="B729" t="s">
        <v>1158</v>
      </c>
      <c r="C729" t="s">
        <v>1157</v>
      </c>
      <c r="F729" t="s">
        <v>1156</v>
      </c>
      <c r="G729" t="s">
        <v>15</v>
      </c>
      <c r="H729" t="s">
        <v>14</v>
      </c>
      <c r="I729" t="s">
        <v>1155</v>
      </c>
      <c r="J729">
        <v>60026415</v>
      </c>
      <c r="K729" t="s">
        <v>1154</v>
      </c>
      <c r="L729" t="s">
        <v>1153</v>
      </c>
      <c r="M729" t="s">
        <v>23</v>
      </c>
      <c r="N729">
        <v>4</v>
      </c>
      <c r="O729" t="s">
        <v>1152</v>
      </c>
      <c r="P729" t="s">
        <v>1151</v>
      </c>
      <c r="Q729" t="s">
        <v>1150</v>
      </c>
      <c r="R729" s="7">
        <v>32509</v>
      </c>
      <c r="S729" s="8">
        <f t="shared" si="88"/>
        <v>1989</v>
      </c>
      <c r="T729" s="8">
        <v>1989</v>
      </c>
      <c r="U729" s="8">
        <f t="shared" si="89"/>
        <v>33</v>
      </c>
      <c r="V729" s="7">
        <v>32509</v>
      </c>
      <c r="W729" t="s">
        <v>97</v>
      </c>
      <c r="X729" s="2">
        <v>7.1150000000000002</v>
      </c>
      <c r="Y729" s="6">
        <f t="shared" si="94"/>
        <v>0.18993086142921972</v>
      </c>
      <c r="AA729">
        <v>27863</v>
      </c>
      <c r="AB729">
        <v>22680</v>
      </c>
      <c r="AC729">
        <v>15205126</v>
      </c>
      <c r="AD729" t="s">
        <v>5</v>
      </c>
      <c r="AE729">
        <v>111</v>
      </c>
      <c r="AF729">
        <v>2</v>
      </c>
      <c r="AH729" t="s">
        <v>1149</v>
      </c>
      <c r="AI729" t="s">
        <v>1148</v>
      </c>
      <c r="AK729" t="s">
        <v>1147</v>
      </c>
      <c r="AL729">
        <v>34</v>
      </c>
      <c r="AM729" s="5">
        <f t="shared" si="90"/>
        <v>1.0303030303030303</v>
      </c>
      <c r="AN729" s="4">
        <f t="shared" si="95"/>
        <v>1.5604741087512765E-3</v>
      </c>
      <c r="AO729" s="3"/>
      <c r="AP729">
        <v>0</v>
      </c>
      <c r="AR729" t="s">
        <v>0</v>
      </c>
      <c r="AT729" s="2" t="s">
        <v>19</v>
      </c>
      <c r="AU729" s="1">
        <f t="shared" si="91"/>
        <v>13.34197452330792</v>
      </c>
      <c r="AV729" s="1">
        <f t="shared" si="92"/>
        <v>9.5745667768985498</v>
      </c>
      <c r="AW729" s="1">
        <f t="shared" si="93"/>
        <v>5.8071590304891814</v>
      </c>
    </row>
    <row r="730" spans="1:49" x14ac:dyDescent="0.2">
      <c r="A730">
        <v>728</v>
      </c>
      <c r="B730" t="s">
        <v>1146</v>
      </c>
      <c r="E730">
        <v>2492275</v>
      </c>
      <c r="F730" t="s">
        <v>1145</v>
      </c>
      <c r="G730" t="s">
        <v>15</v>
      </c>
      <c r="H730" t="s">
        <v>14</v>
      </c>
      <c r="I730" t="s">
        <v>1144</v>
      </c>
      <c r="J730">
        <v>60033182</v>
      </c>
      <c r="K730" t="s">
        <v>1143</v>
      </c>
      <c r="L730" t="s">
        <v>1142</v>
      </c>
      <c r="M730" t="s">
        <v>23</v>
      </c>
      <c r="N730">
        <v>2</v>
      </c>
      <c r="O730" t="s">
        <v>1141</v>
      </c>
      <c r="P730" t="s">
        <v>1140</v>
      </c>
      <c r="Q730" t="s">
        <v>1139</v>
      </c>
      <c r="R730" s="7">
        <v>32509</v>
      </c>
      <c r="S730" s="8">
        <f t="shared" si="88"/>
        <v>1989</v>
      </c>
      <c r="T730" s="8">
        <v>1989</v>
      </c>
      <c r="U730" s="8">
        <f t="shared" si="89"/>
        <v>33</v>
      </c>
      <c r="V730" s="7">
        <v>1989</v>
      </c>
      <c r="W730" t="s">
        <v>1138</v>
      </c>
      <c r="X730" s="2">
        <v>2.3610000000000002</v>
      </c>
      <c r="Y730" s="6">
        <f t="shared" si="94"/>
        <v>6.3025546568431179E-2</v>
      </c>
      <c r="AA730">
        <v>219258</v>
      </c>
      <c r="AB730">
        <v>17592</v>
      </c>
      <c r="AD730" t="s">
        <v>5</v>
      </c>
      <c r="AE730">
        <v>264</v>
      </c>
      <c r="AF730">
        <v>3</v>
      </c>
      <c r="AH730" t="s">
        <v>1137</v>
      </c>
      <c r="AI730" t="s">
        <v>1136</v>
      </c>
      <c r="AK730" t="s">
        <v>1135</v>
      </c>
      <c r="AL730">
        <v>29</v>
      </c>
      <c r="AM730" s="5">
        <f t="shared" si="90"/>
        <v>0.87878787878787878</v>
      </c>
      <c r="AN730" s="4">
        <f t="shared" si="95"/>
        <v>1.3309926221702064E-3</v>
      </c>
      <c r="AO730" s="3"/>
      <c r="AP730">
        <v>0</v>
      </c>
      <c r="AQ730" t="s">
        <v>684</v>
      </c>
      <c r="AR730" t="s">
        <v>1134</v>
      </c>
      <c r="AS730" t="s">
        <v>682</v>
      </c>
      <c r="AT730" s="2">
        <v>5.157</v>
      </c>
      <c r="AU730" s="1">
        <f t="shared" si="91"/>
        <v>4.4517180384552884</v>
      </c>
      <c r="AV730" s="1">
        <f t="shared" si="92"/>
        <v>3.2178269595300693</v>
      </c>
      <c r="AW730" s="1">
        <f t="shared" si="93"/>
        <v>1.9839358806048497</v>
      </c>
    </row>
    <row r="731" spans="1:49" x14ac:dyDescent="0.2">
      <c r="A731">
        <v>729</v>
      </c>
      <c r="B731" t="s">
        <v>1133</v>
      </c>
      <c r="C731" t="s">
        <v>1132</v>
      </c>
      <c r="E731">
        <v>2920013</v>
      </c>
      <c r="F731" t="s">
        <v>1131</v>
      </c>
      <c r="G731" t="s">
        <v>15</v>
      </c>
      <c r="H731" t="s">
        <v>14</v>
      </c>
      <c r="I731" t="s">
        <v>1130</v>
      </c>
      <c r="J731">
        <v>60104665</v>
      </c>
      <c r="K731" t="s">
        <v>1129</v>
      </c>
      <c r="L731" t="s">
        <v>1128</v>
      </c>
      <c r="M731" t="s">
        <v>72</v>
      </c>
      <c r="N731">
        <v>5</v>
      </c>
      <c r="O731" t="s">
        <v>1127</v>
      </c>
      <c r="P731" t="s">
        <v>1126</v>
      </c>
      <c r="Q731" t="s">
        <v>1125</v>
      </c>
      <c r="R731" s="7">
        <v>32509</v>
      </c>
      <c r="S731" s="8">
        <f t="shared" si="88"/>
        <v>1989</v>
      </c>
      <c r="T731" s="8">
        <v>1989</v>
      </c>
      <c r="U731" s="8">
        <f t="shared" si="89"/>
        <v>33</v>
      </c>
      <c r="V731" s="7">
        <v>1989</v>
      </c>
      <c r="W731" t="s">
        <v>1124</v>
      </c>
      <c r="X731" s="2">
        <v>1.706</v>
      </c>
      <c r="Y731" s="6">
        <f t="shared" si="94"/>
        <v>4.554069565681642E-2</v>
      </c>
      <c r="AA731">
        <v>2646021</v>
      </c>
      <c r="AB731">
        <v>16850</v>
      </c>
      <c r="AD731" t="s">
        <v>5</v>
      </c>
      <c r="AE731">
        <v>257</v>
      </c>
      <c r="AF731">
        <v>1</v>
      </c>
      <c r="AH731" t="s">
        <v>1123</v>
      </c>
      <c r="AI731" t="s">
        <v>1122</v>
      </c>
      <c r="AK731" t="s">
        <v>1121</v>
      </c>
      <c r="AL731">
        <v>44</v>
      </c>
      <c r="AM731" s="5">
        <f t="shared" si="90"/>
        <v>1.3333333333333333</v>
      </c>
      <c r="AN731" s="4">
        <f t="shared" si="95"/>
        <v>2.0194370819134164E-3</v>
      </c>
      <c r="AO731" s="3"/>
      <c r="AP731">
        <v>0</v>
      </c>
      <c r="AR731" t="s">
        <v>0</v>
      </c>
      <c r="AT731" s="2">
        <v>3.8570000000000002</v>
      </c>
      <c r="AU731" s="1">
        <f t="shared" si="91"/>
        <v>3.2484318084345514</v>
      </c>
      <c r="AV731" s="1">
        <f t="shared" si="92"/>
        <v>2.3780066369364921</v>
      </c>
      <c r="AW731" s="1">
        <f t="shared" si="93"/>
        <v>1.5075814654384319</v>
      </c>
    </row>
    <row r="732" spans="1:49" x14ac:dyDescent="0.2">
      <c r="A732">
        <v>730</v>
      </c>
      <c r="B732" t="s">
        <v>1120</v>
      </c>
      <c r="C732" t="s">
        <v>1119</v>
      </c>
      <c r="E732">
        <v>2926189</v>
      </c>
      <c r="F732" t="s">
        <v>1118</v>
      </c>
      <c r="G732" t="s">
        <v>15</v>
      </c>
      <c r="H732" t="s">
        <v>14</v>
      </c>
      <c r="I732" t="s">
        <v>1117</v>
      </c>
      <c r="J732">
        <v>60085423</v>
      </c>
      <c r="K732" t="s">
        <v>1116</v>
      </c>
      <c r="L732" t="s">
        <v>1115</v>
      </c>
      <c r="M732" t="s">
        <v>196</v>
      </c>
      <c r="N732">
        <v>6</v>
      </c>
      <c r="O732" t="s">
        <v>1114</v>
      </c>
      <c r="P732" t="s">
        <v>1113</v>
      </c>
      <c r="Q732" t="s">
        <v>1112</v>
      </c>
      <c r="R732" s="7">
        <v>32509</v>
      </c>
      <c r="S732" s="8">
        <f t="shared" si="88"/>
        <v>1989</v>
      </c>
      <c r="T732" s="8">
        <v>1989</v>
      </c>
      <c r="U732" s="8">
        <f t="shared" si="89"/>
        <v>33</v>
      </c>
      <c r="V732" s="7">
        <v>1989</v>
      </c>
      <c r="W732" t="s">
        <v>623</v>
      </c>
      <c r="X732" s="2">
        <v>0.89600000000000002</v>
      </c>
      <c r="Y732" s="6">
        <f t="shared" si="94"/>
        <v>2.3918208269934065E-2</v>
      </c>
      <c r="AA732">
        <v>2656736</v>
      </c>
      <c r="AB732">
        <v>29901</v>
      </c>
      <c r="AD732" t="s">
        <v>5</v>
      </c>
      <c r="AE732">
        <v>5</v>
      </c>
      <c r="AF732">
        <v>2</v>
      </c>
      <c r="AH732" t="s">
        <v>1111</v>
      </c>
      <c r="AI732" t="s">
        <v>1110</v>
      </c>
      <c r="AJ732" t="s">
        <v>1109</v>
      </c>
      <c r="AK732" t="s">
        <v>1108</v>
      </c>
      <c r="AL732">
        <v>33</v>
      </c>
      <c r="AM732" s="5">
        <f t="shared" si="90"/>
        <v>1</v>
      </c>
      <c r="AN732" s="4">
        <f t="shared" si="95"/>
        <v>1.5145778114350624E-3</v>
      </c>
      <c r="AO732" s="3"/>
      <c r="AP732">
        <v>0</v>
      </c>
      <c r="AR732" t="s">
        <v>1107</v>
      </c>
      <c r="AT732" s="2">
        <v>3.9140000000000001</v>
      </c>
      <c r="AU732" s="1">
        <f t="shared" si="91"/>
        <v>1.719711913238436</v>
      </c>
      <c r="AV732" s="1">
        <f t="shared" si="92"/>
        <v>1.2716393040684564</v>
      </c>
      <c r="AW732" s="1">
        <f t="shared" si="93"/>
        <v>0.82356669489847634</v>
      </c>
    </row>
    <row r="733" spans="1:49" x14ac:dyDescent="0.2">
      <c r="A733">
        <v>731</v>
      </c>
      <c r="B733" t="s">
        <v>1106</v>
      </c>
      <c r="C733" t="s">
        <v>1105</v>
      </c>
      <c r="F733" t="s">
        <v>1104</v>
      </c>
      <c r="G733" t="s">
        <v>15</v>
      </c>
      <c r="H733" t="s">
        <v>14</v>
      </c>
      <c r="I733" t="s">
        <v>1103</v>
      </c>
      <c r="J733">
        <v>60020650</v>
      </c>
      <c r="K733" t="s">
        <v>1102</v>
      </c>
      <c r="L733" t="s">
        <v>1101</v>
      </c>
      <c r="M733" t="s">
        <v>792</v>
      </c>
      <c r="N733">
        <v>2</v>
      </c>
      <c r="O733" t="s">
        <v>1100</v>
      </c>
      <c r="P733" t="s">
        <v>1099</v>
      </c>
      <c r="Q733" t="s">
        <v>1098</v>
      </c>
      <c r="R733" s="7">
        <v>32509</v>
      </c>
      <c r="S733" s="8">
        <f t="shared" si="88"/>
        <v>1989</v>
      </c>
      <c r="T733" s="8">
        <v>1989</v>
      </c>
      <c r="U733" s="8">
        <f t="shared" si="89"/>
        <v>33</v>
      </c>
      <c r="V733" s="7">
        <v>1989</v>
      </c>
      <c r="W733" t="s">
        <v>1097</v>
      </c>
      <c r="X733" s="2">
        <v>1.1990000000000001</v>
      </c>
      <c r="Y733" s="6">
        <f t="shared" si="94"/>
        <v>3.2006620218360433E-2</v>
      </c>
      <c r="AA733">
        <v>221430</v>
      </c>
      <c r="AB733">
        <v>24419</v>
      </c>
      <c r="AD733" t="s">
        <v>5</v>
      </c>
      <c r="AE733">
        <v>35</v>
      </c>
      <c r="AF733">
        <v>119</v>
      </c>
      <c r="AH733" t="s">
        <v>1096</v>
      </c>
      <c r="AI733" t="s">
        <v>1095</v>
      </c>
      <c r="AK733" t="s">
        <v>1094</v>
      </c>
      <c r="AL733">
        <v>7</v>
      </c>
      <c r="AM733" s="5">
        <f t="shared" si="90"/>
        <v>0.21212121212121213</v>
      </c>
      <c r="AN733" s="4">
        <f t="shared" si="95"/>
        <v>3.2127408121349809E-4</v>
      </c>
      <c r="AO733" s="3"/>
      <c r="AP733">
        <v>1</v>
      </c>
      <c r="AR733" t="s">
        <v>0</v>
      </c>
      <c r="AT733" s="2">
        <v>3.1419999999999999</v>
      </c>
      <c r="AU733" s="1">
        <f t="shared" si="91"/>
        <v>2.2501016377216354</v>
      </c>
      <c r="AV733" s="1">
        <f t="shared" si="92"/>
        <v>1.6163947149786966</v>
      </c>
      <c r="AW733" s="1">
        <f t="shared" si="93"/>
        <v>0.98268779223575786</v>
      </c>
    </row>
    <row r="734" spans="1:49" x14ac:dyDescent="0.2">
      <c r="A734">
        <v>732</v>
      </c>
      <c r="B734" t="s">
        <v>1093</v>
      </c>
      <c r="F734" t="s">
        <v>1092</v>
      </c>
      <c r="G734" t="s">
        <v>15</v>
      </c>
      <c r="H734" t="s">
        <v>14</v>
      </c>
      <c r="I734" t="s">
        <v>1091</v>
      </c>
      <c r="N734">
        <v>3</v>
      </c>
      <c r="O734" t="s">
        <v>1090</v>
      </c>
      <c r="P734" t="s">
        <v>1089</v>
      </c>
      <c r="Q734" t="s">
        <v>296</v>
      </c>
      <c r="R734" s="7">
        <v>32509</v>
      </c>
      <c r="S734" s="8">
        <f t="shared" si="88"/>
        <v>1989</v>
      </c>
      <c r="T734" s="8">
        <v>1989</v>
      </c>
      <c r="U734" s="8">
        <f t="shared" si="89"/>
        <v>33</v>
      </c>
      <c r="V734" s="7">
        <v>32509</v>
      </c>
      <c r="W734" t="s">
        <v>1054</v>
      </c>
      <c r="X734" s="2">
        <v>0.14099999999999999</v>
      </c>
      <c r="Y734" s="6">
        <f t="shared" si="94"/>
        <v>3.7639144710498915E-3</v>
      </c>
      <c r="AA734">
        <v>402508</v>
      </c>
      <c r="AB734">
        <v>20868</v>
      </c>
      <c r="AD734" t="s">
        <v>5</v>
      </c>
      <c r="AE734">
        <v>44</v>
      </c>
      <c r="AF734">
        <v>1</v>
      </c>
      <c r="AH734" t="s">
        <v>1088</v>
      </c>
      <c r="AI734" t="s">
        <v>1087</v>
      </c>
      <c r="AK734" t="s">
        <v>1086</v>
      </c>
      <c r="AL734">
        <v>0</v>
      </c>
      <c r="AM734" s="5">
        <f t="shared" si="90"/>
        <v>0</v>
      </c>
      <c r="AN734" s="4">
        <f t="shared" si="95"/>
        <v>0</v>
      </c>
      <c r="AO734" s="3"/>
      <c r="AP734">
        <v>0</v>
      </c>
      <c r="AR734" t="s">
        <v>0</v>
      </c>
      <c r="AT734" s="2" t="s">
        <v>19</v>
      </c>
      <c r="AU734" s="1">
        <f t="shared" si="91"/>
        <v>0.26347401297349238</v>
      </c>
      <c r="AV734" s="1">
        <f t="shared" si="92"/>
        <v>0.18819572355249459</v>
      </c>
      <c r="AW734" s="1">
        <f t="shared" si="93"/>
        <v>0.11291743413149673</v>
      </c>
    </row>
    <row r="735" spans="1:49" x14ac:dyDescent="0.2">
      <c r="A735">
        <v>733</v>
      </c>
      <c r="B735" t="s">
        <v>1085</v>
      </c>
      <c r="F735" t="s">
        <v>1084</v>
      </c>
      <c r="G735" t="s">
        <v>15</v>
      </c>
      <c r="H735" t="s">
        <v>14</v>
      </c>
      <c r="I735" t="s">
        <v>1083</v>
      </c>
      <c r="N735">
        <v>3</v>
      </c>
      <c r="O735" t="s">
        <v>1082</v>
      </c>
      <c r="P735" t="s">
        <v>1081</v>
      </c>
      <c r="Q735" t="s">
        <v>296</v>
      </c>
      <c r="R735" s="7">
        <v>32509</v>
      </c>
      <c r="S735" s="8">
        <f t="shared" si="88"/>
        <v>1989</v>
      </c>
      <c r="T735" s="8">
        <v>1989</v>
      </c>
      <c r="U735" s="8">
        <f t="shared" si="89"/>
        <v>33</v>
      </c>
      <c r="V735" s="7">
        <v>32509</v>
      </c>
      <c r="W735" t="s">
        <v>1080</v>
      </c>
      <c r="X735" s="2" t="s">
        <v>19</v>
      </c>
      <c r="Y735" s="6" t="e">
        <f t="shared" si="94"/>
        <v>#VALUE!</v>
      </c>
      <c r="AA735">
        <v>87566648</v>
      </c>
      <c r="AB735">
        <v>74127</v>
      </c>
      <c r="AD735" t="s">
        <v>5</v>
      </c>
      <c r="AE735">
        <v>34</v>
      </c>
      <c r="AF735">
        <v>1</v>
      </c>
      <c r="AH735" t="s">
        <v>1079</v>
      </c>
      <c r="AI735" t="s">
        <v>1078</v>
      </c>
      <c r="AK735" t="s">
        <v>1077</v>
      </c>
      <c r="AL735">
        <v>2</v>
      </c>
      <c r="AM735" s="5">
        <f t="shared" si="90"/>
        <v>6.0606060606060608E-2</v>
      </c>
      <c r="AN735" s="4">
        <f t="shared" si="95"/>
        <v>9.1792594632428032E-5</v>
      </c>
      <c r="AO735" s="3"/>
      <c r="AP735">
        <v>0</v>
      </c>
      <c r="AR735" t="s">
        <v>0</v>
      </c>
      <c r="AT735" s="2" t="s">
        <v>19</v>
      </c>
      <c r="AU735" s="1" t="e">
        <f t="shared" si="91"/>
        <v>#VALUE!</v>
      </c>
      <c r="AV735" s="1" t="e">
        <f t="shared" si="92"/>
        <v>#VALUE!</v>
      </c>
      <c r="AW735" s="1" t="e">
        <f t="shared" si="93"/>
        <v>#VALUE!</v>
      </c>
    </row>
    <row r="736" spans="1:49" x14ac:dyDescent="0.2">
      <c r="A736">
        <v>734</v>
      </c>
      <c r="B736" t="s">
        <v>1076</v>
      </c>
      <c r="F736" t="s">
        <v>1075</v>
      </c>
      <c r="G736" t="s">
        <v>15</v>
      </c>
      <c r="H736" t="s">
        <v>14</v>
      </c>
      <c r="I736" t="s">
        <v>1074</v>
      </c>
      <c r="N736">
        <v>2</v>
      </c>
      <c r="O736" t="s">
        <v>1073</v>
      </c>
      <c r="P736" t="s">
        <v>1072</v>
      </c>
      <c r="Q736" t="s">
        <v>1071</v>
      </c>
      <c r="R736" s="7">
        <v>32509</v>
      </c>
      <c r="S736" s="8">
        <f t="shared" si="88"/>
        <v>1989</v>
      </c>
      <c r="T736" s="8">
        <v>1989</v>
      </c>
      <c r="U736" s="8">
        <f t="shared" si="89"/>
        <v>33</v>
      </c>
      <c r="V736" s="7">
        <v>32509</v>
      </c>
      <c r="W736" t="s">
        <v>1054</v>
      </c>
      <c r="X736" s="2">
        <v>0.14099999999999999</v>
      </c>
      <c r="Y736" s="6">
        <f t="shared" si="94"/>
        <v>3.7639144710498915E-3</v>
      </c>
      <c r="AA736">
        <v>402508</v>
      </c>
      <c r="AB736">
        <v>20868</v>
      </c>
      <c r="AD736" t="s">
        <v>5</v>
      </c>
      <c r="AE736">
        <v>44</v>
      </c>
      <c r="AF736">
        <v>1</v>
      </c>
      <c r="AH736" t="s">
        <v>1070</v>
      </c>
      <c r="AI736" t="s">
        <v>1069</v>
      </c>
      <c r="AK736" t="s">
        <v>1068</v>
      </c>
      <c r="AL736">
        <v>0</v>
      </c>
      <c r="AM736" s="5">
        <f t="shared" si="90"/>
        <v>0</v>
      </c>
      <c r="AN736" s="4">
        <f t="shared" si="95"/>
        <v>0</v>
      </c>
      <c r="AO736" s="3"/>
      <c r="AP736">
        <v>0</v>
      </c>
      <c r="AR736" t="s">
        <v>0</v>
      </c>
      <c r="AT736" s="2" t="s">
        <v>19</v>
      </c>
      <c r="AU736" s="1">
        <f t="shared" si="91"/>
        <v>0.26347401297349238</v>
      </c>
      <c r="AV736" s="1">
        <f t="shared" si="92"/>
        <v>0.18819572355249459</v>
      </c>
      <c r="AW736" s="1">
        <f t="shared" si="93"/>
        <v>0.11291743413149673</v>
      </c>
    </row>
    <row r="737" spans="1:49" x14ac:dyDescent="0.2">
      <c r="A737">
        <v>735</v>
      </c>
      <c r="B737" t="s">
        <v>1067</v>
      </c>
      <c r="F737" t="s">
        <v>1066</v>
      </c>
      <c r="G737" t="s">
        <v>15</v>
      </c>
      <c r="H737" t="s">
        <v>14</v>
      </c>
      <c r="I737" t="s">
        <v>1065</v>
      </c>
      <c r="N737">
        <v>3</v>
      </c>
      <c r="O737" t="s">
        <v>1064</v>
      </c>
      <c r="P737" t="s">
        <v>1063</v>
      </c>
      <c r="Q737" t="s">
        <v>296</v>
      </c>
      <c r="R737" s="7">
        <v>32509</v>
      </c>
      <c r="S737" s="8">
        <f t="shared" si="88"/>
        <v>1989</v>
      </c>
      <c r="T737" s="8">
        <v>1989</v>
      </c>
      <c r="U737" s="8">
        <f t="shared" si="89"/>
        <v>33</v>
      </c>
      <c r="V737" s="7">
        <v>32509</v>
      </c>
      <c r="W737" t="s">
        <v>1054</v>
      </c>
      <c r="X737" s="2">
        <v>0.14099999999999999</v>
      </c>
      <c r="Y737" s="6">
        <f t="shared" si="94"/>
        <v>3.7639144710498915E-3</v>
      </c>
      <c r="AA737">
        <v>402508</v>
      </c>
      <c r="AB737">
        <v>20868</v>
      </c>
      <c r="AD737" t="s">
        <v>5</v>
      </c>
      <c r="AE737">
        <v>44</v>
      </c>
      <c r="AF737">
        <v>1</v>
      </c>
      <c r="AH737" t="s">
        <v>1062</v>
      </c>
      <c r="AI737" t="s">
        <v>1061</v>
      </c>
      <c r="AK737" t="s">
        <v>1060</v>
      </c>
      <c r="AL737">
        <v>0</v>
      </c>
      <c r="AM737" s="5">
        <f t="shared" si="90"/>
        <v>0</v>
      </c>
      <c r="AN737" s="4">
        <f t="shared" si="95"/>
        <v>0</v>
      </c>
      <c r="AO737" s="3"/>
      <c r="AP737">
        <v>0</v>
      </c>
      <c r="AR737" t="s">
        <v>0</v>
      </c>
      <c r="AT737" s="2" t="s">
        <v>19</v>
      </c>
      <c r="AU737" s="1">
        <f t="shared" si="91"/>
        <v>0.26347401297349238</v>
      </c>
      <c r="AV737" s="1">
        <f t="shared" si="92"/>
        <v>0.18819572355249459</v>
      </c>
      <c r="AW737" s="1">
        <f t="shared" si="93"/>
        <v>0.11291743413149673</v>
      </c>
    </row>
    <row r="738" spans="1:49" x14ac:dyDescent="0.2">
      <c r="A738">
        <v>736</v>
      </c>
      <c r="B738" t="s">
        <v>1059</v>
      </c>
      <c r="F738" t="s">
        <v>1058</v>
      </c>
      <c r="G738" t="s">
        <v>15</v>
      </c>
      <c r="H738" t="s">
        <v>14</v>
      </c>
      <c r="I738" t="s">
        <v>1057</v>
      </c>
      <c r="N738">
        <v>3</v>
      </c>
      <c r="O738" t="s">
        <v>1056</v>
      </c>
      <c r="P738" t="s">
        <v>1055</v>
      </c>
      <c r="Q738" t="s">
        <v>296</v>
      </c>
      <c r="R738" s="7">
        <v>32509</v>
      </c>
      <c r="S738" s="8">
        <f t="shared" si="88"/>
        <v>1989</v>
      </c>
      <c r="T738" s="8">
        <v>1989</v>
      </c>
      <c r="U738" s="8">
        <f t="shared" si="89"/>
        <v>33</v>
      </c>
      <c r="V738" s="7">
        <v>32509</v>
      </c>
      <c r="W738" t="s">
        <v>1054</v>
      </c>
      <c r="X738" s="2">
        <v>0.14099999999999999</v>
      </c>
      <c r="Y738" s="6">
        <f t="shared" si="94"/>
        <v>3.7639144710498915E-3</v>
      </c>
      <c r="AA738">
        <v>402508</v>
      </c>
      <c r="AB738">
        <v>20868</v>
      </c>
      <c r="AD738" t="s">
        <v>5</v>
      </c>
      <c r="AE738">
        <v>44</v>
      </c>
      <c r="AF738">
        <v>1</v>
      </c>
      <c r="AH738" t="s">
        <v>1053</v>
      </c>
      <c r="AI738" t="s">
        <v>1052</v>
      </c>
      <c r="AK738" t="s">
        <v>1051</v>
      </c>
      <c r="AL738">
        <v>0</v>
      </c>
      <c r="AM738" s="5">
        <f t="shared" si="90"/>
        <v>0</v>
      </c>
      <c r="AN738" s="4">
        <f t="shared" si="95"/>
        <v>0</v>
      </c>
      <c r="AO738" s="3"/>
      <c r="AP738">
        <v>0</v>
      </c>
      <c r="AR738" t="s">
        <v>0</v>
      </c>
      <c r="AT738" s="2" t="s">
        <v>19</v>
      </c>
      <c r="AU738" s="1">
        <f t="shared" si="91"/>
        <v>0.26347401297349238</v>
      </c>
      <c r="AV738" s="1">
        <f t="shared" si="92"/>
        <v>0.18819572355249459</v>
      </c>
      <c r="AW738" s="1">
        <f t="shared" si="93"/>
        <v>0.11291743413149673</v>
      </c>
    </row>
    <row r="739" spans="1:49" x14ac:dyDescent="0.2">
      <c r="A739">
        <v>737</v>
      </c>
      <c r="B739" t="s">
        <v>1050</v>
      </c>
      <c r="C739" t="s">
        <v>1049</v>
      </c>
      <c r="F739" t="s">
        <v>1048</v>
      </c>
      <c r="G739" t="s">
        <v>15</v>
      </c>
      <c r="H739" t="s">
        <v>14</v>
      </c>
      <c r="I739" t="s">
        <v>1047</v>
      </c>
      <c r="J739">
        <v>60032503</v>
      </c>
      <c r="K739" t="s">
        <v>1046</v>
      </c>
      <c r="L739" t="s">
        <v>1045</v>
      </c>
      <c r="M739" t="s">
        <v>23</v>
      </c>
      <c r="N739">
        <v>1</v>
      </c>
      <c r="O739" t="s">
        <v>1044</v>
      </c>
      <c r="P739">
        <v>7404579692</v>
      </c>
      <c r="Q739">
        <v>60032503</v>
      </c>
      <c r="R739" s="7">
        <v>32509</v>
      </c>
      <c r="S739" s="8">
        <f t="shared" si="88"/>
        <v>1989</v>
      </c>
      <c r="T739" s="8">
        <v>1989</v>
      </c>
      <c r="U739" s="8">
        <f t="shared" si="89"/>
        <v>33</v>
      </c>
      <c r="V739" s="7">
        <v>32509</v>
      </c>
      <c r="W739" t="s">
        <v>778</v>
      </c>
      <c r="X739" s="2">
        <v>1.6519999999999999</v>
      </c>
      <c r="Y739" s="6">
        <f t="shared" si="94"/>
        <v>4.409919649769093E-2</v>
      </c>
      <c r="AA739" t="s">
        <v>777</v>
      </c>
      <c r="AB739">
        <v>17337</v>
      </c>
      <c r="AC739">
        <v>15582221</v>
      </c>
      <c r="AD739" t="s">
        <v>5</v>
      </c>
      <c r="AE739">
        <v>37</v>
      </c>
      <c r="AF739">
        <v>1</v>
      </c>
      <c r="AH739" t="s">
        <v>1043</v>
      </c>
      <c r="AI739" t="s">
        <v>1042</v>
      </c>
      <c r="AK739" t="s">
        <v>1041</v>
      </c>
      <c r="AL739">
        <v>19</v>
      </c>
      <c r="AM739" s="5">
        <f t="shared" si="90"/>
        <v>0.5757575757575758</v>
      </c>
      <c r="AN739" s="4">
        <f t="shared" si="95"/>
        <v>8.7202964900806633E-4</v>
      </c>
      <c r="AO739" s="3"/>
      <c r="AP739">
        <v>0</v>
      </c>
      <c r="AR739" t="s">
        <v>0</v>
      </c>
      <c r="AT739" s="2" t="s">
        <v>19</v>
      </c>
      <c r="AU739" s="1">
        <f t="shared" si="91"/>
        <v>3.1131046443086072</v>
      </c>
      <c r="AV739" s="1">
        <f t="shared" si="92"/>
        <v>2.24856130733495</v>
      </c>
      <c r="AW739" s="1">
        <f t="shared" si="93"/>
        <v>1.3840179703612925</v>
      </c>
    </row>
    <row r="740" spans="1:49" x14ac:dyDescent="0.2">
      <c r="A740">
        <v>738</v>
      </c>
      <c r="B740" t="s">
        <v>1040</v>
      </c>
      <c r="C740" t="s">
        <v>1039</v>
      </c>
      <c r="D740">
        <v>94576589900076</v>
      </c>
      <c r="F740" t="s">
        <v>1038</v>
      </c>
      <c r="G740" t="s">
        <v>15</v>
      </c>
      <c r="H740" t="s">
        <v>14</v>
      </c>
      <c r="I740" t="s">
        <v>1037</v>
      </c>
      <c r="J740" t="s">
        <v>1036</v>
      </c>
      <c r="K740" t="s">
        <v>1035</v>
      </c>
      <c r="L740" t="s">
        <v>1034</v>
      </c>
      <c r="M740" t="s">
        <v>1033</v>
      </c>
      <c r="N740">
        <v>4</v>
      </c>
      <c r="O740" t="s">
        <v>1032</v>
      </c>
      <c r="P740" t="s">
        <v>1031</v>
      </c>
      <c r="Q740" t="s">
        <v>1030</v>
      </c>
      <c r="R740" s="7">
        <v>32509</v>
      </c>
      <c r="S740" s="8">
        <f t="shared" ref="S740:S803" si="96">YEAR(R740)</f>
        <v>1989</v>
      </c>
      <c r="T740" s="8">
        <v>1989</v>
      </c>
      <c r="U740" s="8">
        <f t="shared" ref="U740:U803" si="97">2022-T740</f>
        <v>33</v>
      </c>
      <c r="V740" s="7">
        <v>32509</v>
      </c>
      <c r="W740" t="s">
        <v>464</v>
      </c>
      <c r="X740" s="2">
        <v>1.1339999999999999</v>
      </c>
      <c r="Y740" s="6">
        <f t="shared" si="94"/>
        <v>3.0271482341635299E-2</v>
      </c>
      <c r="AA740">
        <v>945765</v>
      </c>
      <c r="AB740">
        <v>12372</v>
      </c>
      <c r="AD740" t="s">
        <v>5</v>
      </c>
      <c r="AE740">
        <v>19</v>
      </c>
      <c r="AF740">
        <v>1</v>
      </c>
      <c r="AH740" t="s">
        <v>1029</v>
      </c>
      <c r="AI740" t="s">
        <v>1028</v>
      </c>
      <c r="AK740" t="s">
        <v>1027</v>
      </c>
      <c r="AL740">
        <v>0</v>
      </c>
      <c r="AM740" s="5">
        <f t="shared" ref="AM740:AM803" si="98">AL740/U740</f>
        <v>0</v>
      </c>
      <c r="AN740" s="4">
        <f t="shared" si="95"/>
        <v>0</v>
      </c>
      <c r="AO740" s="3"/>
      <c r="AP740">
        <v>0</v>
      </c>
      <c r="AR740" t="s">
        <v>0</v>
      </c>
      <c r="AT740" s="2">
        <v>2.4129999999999998</v>
      </c>
      <c r="AU740" s="1">
        <f t="shared" ref="AU740:AU803" si="99">(Y740*0.7+AN740*0.3)*100</f>
        <v>2.119003763914471</v>
      </c>
      <c r="AV740" s="1">
        <f t="shared" ref="AV740:AV803" si="100">(Y740*0.5+AN740*0.5)*100</f>
        <v>1.5135741170817649</v>
      </c>
      <c r="AW740" s="1">
        <f t="shared" ref="AW740:AW803" si="101">(Y740*0.3+AN740*0.7)*100</f>
        <v>0.90814447024905898</v>
      </c>
    </row>
    <row r="741" spans="1:49" x14ac:dyDescent="0.2">
      <c r="A741">
        <v>739</v>
      </c>
      <c r="B741" t="s">
        <v>1026</v>
      </c>
      <c r="C741" t="s">
        <v>1025</v>
      </c>
      <c r="F741" t="s">
        <v>1024</v>
      </c>
      <c r="G741" t="s">
        <v>15</v>
      </c>
      <c r="H741" t="s">
        <v>14</v>
      </c>
      <c r="I741" t="s">
        <v>1023</v>
      </c>
      <c r="J741">
        <v>60023456</v>
      </c>
      <c r="K741" t="s">
        <v>1022</v>
      </c>
      <c r="L741" t="s">
        <v>1021</v>
      </c>
      <c r="M741" t="s">
        <v>23</v>
      </c>
      <c r="N741">
        <v>1</v>
      </c>
      <c r="O741" t="s">
        <v>1020</v>
      </c>
      <c r="P741">
        <v>7005085347</v>
      </c>
      <c r="Q741">
        <v>60023456</v>
      </c>
      <c r="R741" s="7">
        <v>32509</v>
      </c>
      <c r="S741" s="8">
        <f t="shared" si="96"/>
        <v>1989</v>
      </c>
      <c r="T741" s="8">
        <v>1989</v>
      </c>
      <c r="U741" s="8">
        <f t="shared" si="97"/>
        <v>33</v>
      </c>
      <c r="V741" s="7">
        <v>32509</v>
      </c>
      <c r="W741" t="s">
        <v>1019</v>
      </c>
      <c r="X741" s="2">
        <v>1.468</v>
      </c>
      <c r="Y741" s="6">
        <f t="shared" si="94"/>
        <v>3.9187421585115186E-2</v>
      </c>
      <c r="AA741">
        <v>906778</v>
      </c>
      <c r="AB741">
        <v>18931</v>
      </c>
      <c r="AD741" t="s">
        <v>5</v>
      </c>
      <c r="AE741">
        <v>37</v>
      </c>
      <c r="AF741">
        <v>1</v>
      </c>
      <c r="AH741" t="s">
        <v>1018</v>
      </c>
      <c r="AI741" t="s">
        <v>1017</v>
      </c>
      <c r="AK741" t="s">
        <v>1016</v>
      </c>
      <c r="AL741">
        <v>6</v>
      </c>
      <c r="AM741" s="5">
        <f t="shared" si="98"/>
        <v>0.18181818181818182</v>
      </c>
      <c r="AN741" s="4">
        <f t="shared" si="95"/>
        <v>2.753777838972841E-4</v>
      </c>
      <c r="AO741" s="3"/>
      <c r="AP741">
        <v>0</v>
      </c>
      <c r="AR741" t="s">
        <v>0</v>
      </c>
      <c r="AT741" s="2">
        <v>5.0830000000000002</v>
      </c>
      <c r="AU741" s="1">
        <f t="shared" si="99"/>
        <v>2.7513808444749812</v>
      </c>
      <c r="AV741" s="1">
        <f t="shared" si="100"/>
        <v>1.9731399684506232</v>
      </c>
      <c r="AW741" s="1">
        <f t="shared" si="101"/>
        <v>1.1948990924262655</v>
      </c>
    </row>
    <row r="742" spans="1:49" x14ac:dyDescent="0.2">
      <c r="A742">
        <v>740</v>
      </c>
      <c r="B742" t="s">
        <v>1015</v>
      </c>
      <c r="C742" t="s">
        <v>1014</v>
      </c>
      <c r="F742" t="s">
        <v>1013</v>
      </c>
      <c r="G742" t="s">
        <v>15</v>
      </c>
      <c r="H742" t="s">
        <v>14</v>
      </c>
      <c r="I742" t="s">
        <v>1012</v>
      </c>
      <c r="J742" t="s">
        <v>1011</v>
      </c>
      <c r="K742" t="s">
        <v>1010</v>
      </c>
      <c r="L742" t="s">
        <v>1009</v>
      </c>
      <c r="M742" t="s">
        <v>1008</v>
      </c>
      <c r="N742">
        <v>3</v>
      </c>
      <c r="O742" t="s">
        <v>1007</v>
      </c>
      <c r="P742" t="s">
        <v>1006</v>
      </c>
      <c r="Q742" t="s">
        <v>1005</v>
      </c>
      <c r="R742" s="7">
        <v>32509</v>
      </c>
      <c r="S742" s="8">
        <f t="shared" si="96"/>
        <v>1989</v>
      </c>
      <c r="T742" s="8">
        <v>1989</v>
      </c>
      <c r="U742" s="8">
        <f t="shared" si="97"/>
        <v>33</v>
      </c>
      <c r="V742" s="7">
        <v>32509</v>
      </c>
      <c r="W742" t="s">
        <v>1004</v>
      </c>
      <c r="X742" s="2">
        <v>0.26400000000000001</v>
      </c>
      <c r="Y742" s="6">
        <f t="shared" si="94"/>
        <v>7.0473292223912874E-3</v>
      </c>
      <c r="AA742">
        <v>2533839</v>
      </c>
      <c r="AB742">
        <v>15157</v>
      </c>
      <c r="AC742">
        <v>21587299</v>
      </c>
      <c r="AD742" t="s">
        <v>5</v>
      </c>
      <c r="AE742">
        <v>12</v>
      </c>
      <c r="AF742">
        <v>1</v>
      </c>
      <c r="AH742" t="s">
        <v>1003</v>
      </c>
      <c r="AI742" t="s">
        <v>1002</v>
      </c>
      <c r="AJ742" t="s">
        <v>1001</v>
      </c>
      <c r="AK742" t="s">
        <v>1000</v>
      </c>
      <c r="AL742">
        <v>1</v>
      </c>
      <c r="AM742" s="5">
        <f t="shared" si="98"/>
        <v>3.0303030303030304E-2</v>
      </c>
      <c r="AN742" s="4">
        <f t="shared" si="95"/>
        <v>4.5896297316214016E-5</v>
      </c>
      <c r="AO742" s="3"/>
      <c r="AP742">
        <v>0</v>
      </c>
      <c r="AR742" t="s">
        <v>0</v>
      </c>
      <c r="AT742" s="2" t="s">
        <v>19</v>
      </c>
      <c r="AU742" s="1">
        <f t="shared" si="99"/>
        <v>0.49468993448687648</v>
      </c>
      <c r="AV742" s="1">
        <f t="shared" si="100"/>
        <v>0.35466127598537511</v>
      </c>
      <c r="AW742" s="1">
        <f t="shared" si="101"/>
        <v>0.21463261748387361</v>
      </c>
    </row>
    <row r="743" spans="1:49" x14ac:dyDescent="0.2">
      <c r="A743">
        <v>741</v>
      </c>
      <c r="B743" t="s">
        <v>999</v>
      </c>
      <c r="C743" t="s">
        <v>998</v>
      </c>
      <c r="F743" t="s">
        <v>997</v>
      </c>
      <c r="G743" t="s">
        <v>15</v>
      </c>
      <c r="H743" t="s">
        <v>14</v>
      </c>
      <c r="I743" t="s">
        <v>834</v>
      </c>
      <c r="J743">
        <v>60026810</v>
      </c>
      <c r="K743" t="s">
        <v>833</v>
      </c>
      <c r="L743" t="s">
        <v>832</v>
      </c>
      <c r="M743" t="s">
        <v>831</v>
      </c>
      <c r="N743">
        <v>2</v>
      </c>
      <c r="O743" t="s">
        <v>830</v>
      </c>
      <c r="P743" t="s">
        <v>829</v>
      </c>
      <c r="Q743" t="s">
        <v>828</v>
      </c>
      <c r="R743" s="7">
        <v>32509</v>
      </c>
      <c r="S743" s="8">
        <f t="shared" si="96"/>
        <v>1989</v>
      </c>
      <c r="T743" s="8">
        <v>1989</v>
      </c>
      <c r="U743" s="8">
        <f t="shared" si="97"/>
        <v>33</v>
      </c>
      <c r="V743" s="7">
        <v>32509</v>
      </c>
      <c r="W743" t="s">
        <v>778</v>
      </c>
      <c r="X743" s="2">
        <v>1.6519999999999999</v>
      </c>
      <c r="Y743" s="6">
        <f t="shared" si="94"/>
        <v>4.409919649769093E-2</v>
      </c>
      <c r="AA743" t="s">
        <v>777</v>
      </c>
      <c r="AB743">
        <v>17337</v>
      </c>
      <c r="AC743">
        <v>15582221</v>
      </c>
      <c r="AD743" t="s">
        <v>5</v>
      </c>
      <c r="AE743">
        <v>37</v>
      </c>
      <c r="AF743">
        <v>1</v>
      </c>
      <c r="AH743" t="s">
        <v>996</v>
      </c>
      <c r="AI743" t="s">
        <v>995</v>
      </c>
      <c r="AK743" t="s">
        <v>994</v>
      </c>
      <c r="AL743">
        <v>49</v>
      </c>
      <c r="AM743" s="5">
        <f t="shared" si="98"/>
        <v>1.4848484848484849</v>
      </c>
      <c r="AN743" s="4">
        <f t="shared" si="95"/>
        <v>2.2489185684944867E-3</v>
      </c>
      <c r="AO743" s="3"/>
      <c r="AP743">
        <v>0</v>
      </c>
      <c r="AR743" t="s">
        <v>0</v>
      </c>
      <c r="AT743" s="2" t="s">
        <v>19</v>
      </c>
      <c r="AU743" s="1">
        <f t="shared" si="99"/>
        <v>3.1544113118931993</v>
      </c>
      <c r="AV743" s="1">
        <f t="shared" si="100"/>
        <v>2.3174057533092709</v>
      </c>
      <c r="AW743" s="1">
        <f t="shared" si="101"/>
        <v>1.4804001947253418</v>
      </c>
    </row>
    <row r="744" spans="1:49" x14ac:dyDescent="0.2">
      <c r="A744">
        <v>742</v>
      </c>
      <c r="B744" t="s">
        <v>993</v>
      </c>
      <c r="C744" t="s">
        <v>992</v>
      </c>
      <c r="F744" t="s">
        <v>991</v>
      </c>
      <c r="G744" t="s">
        <v>15</v>
      </c>
      <c r="H744" t="s">
        <v>14</v>
      </c>
      <c r="I744" t="s">
        <v>990</v>
      </c>
      <c r="J744">
        <v>60118890</v>
      </c>
      <c r="K744" t="s">
        <v>989</v>
      </c>
      <c r="L744" t="s">
        <v>900</v>
      </c>
      <c r="M744" t="s">
        <v>899</v>
      </c>
      <c r="N744">
        <v>2</v>
      </c>
      <c r="O744" t="s">
        <v>988</v>
      </c>
      <c r="P744" t="s">
        <v>987</v>
      </c>
      <c r="Q744" t="s">
        <v>986</v>
      </c>
      <c r="R744" s="7">
        <v>32509</v>
      </c>
      <c r="S744" s="8">
        <f t="shared" si="96"/>
        <v>1989</v>
      </c>
      <c r="T744" s="8">
        <v>1989</v>
      </c>
      <c r="U744" s="8">
        <f t="shared" si="97"/>
        <v>33</v>
      </c>
      <c r="V744" s="7">
        <v>32509</v>
      </c>
      <c r="W744" t="s">
        <v>778</v>
      </c>
      <c r="X744" s="2">
        <v>1.6519999999999999</v>
      </c>
      <c r="Y744" s="6">
        <f t="shared" si="94"/>
        <v>4.409919649769093E-2</v>
      </c>
      <c r="AA744" t="s">
        <v>777</v>
      </c>
      <c r="AB744">
        <v>17337</v>
      </c>
      <c r="AC744">
        <v>15582221</v>
      </c>
      <c r="AD744" t="s">
        <v>5</v>
      </c>
      <c r="AE744">
        <v>37</v>
      </c>
      <c r="AF744">
        <v>1</v>
      </c>
      <c r="AH744" t="s">
        <v>985</v>
      </c>
      <c r="AI744" t="s">
        <v>984</v>
      </c>
      <c r="AK744" t="s">
        <v>983</v>
      </c>
      <c r="AL744">
        <v>35</v>
      </c>
      <c r="AM744" s="5">
        <f t="shared" si="98"/>
        <v>1.0606060606060606</v>
      </c>
      <c r="AN744" s="4">
        <f t="shared" si="95"/>
        <v>1.6063704060674904E-3</v>
      </c>
      <c r="AO744" s="3"/>
      <c r="AP744">
        <v>0</v>
      </c>
      <c r="AR744" t="s">
        <v>0</v>
      </c>
      <c r="AT744" s="2" t="s">
        <v>19</v>
      </c>
      <c r="AU744" s="1">
        <f t="shared" si="99"/>
        <v>3.13513486702039</v>
      </c>
      <c r="AV744" s="1">
        <f t="shared" si="100"/>
        <v>2.2852783451879208</v>
      </c>
      <c r="AW744" s="1">
        <f t="shared" si="101"/>
        <v>1.4354218233554521</v>
      </c>
    </row>
    <row r="745" spans="1:49" x14ac:dyDescent="0.2">
      <c r="A745">
        <v>743</v>
      </c>
      <c r="B745" t="s">
        <v>982</v>
      </c>
      <c r="C745" t="s">
        <v>981</v>
      </c>
      <c r="F745" t="s">
        <v>980</v>
      </c>
      <c r="G745" t="s">
        <v>15</v>
      </c>
      <c r="H745" t="s">
        <v>14</v>
      </c>
      <c r="I745" t="s">
        <v>979</v>
      </c>
      <c r="J745">
        <v>60021378</v>
      </c>
      <c r="K745" t="s">
        <v>978</v>
      </c>
      <c r="L745" t="s">
        <v>977</v>
      </c>
      <c r="M745" t="s">
        <v>23</v>
      </c>
      <c r="N745">
        <v>2</v>
      </c>
      <c r="O745" t="s">
        <v>976</v>
      </c>
      <c r="P745" t="s">
        <v>975</v>
      </c>
      <c r="Q745" t="s">
        <v>974</v>
      </c>
      <c r="R745" s="7">
        <v>32509</v>
      </c>
      <c r="S745" s="8">
        <f t="shared" si="96"/>
        <v>1989</v>
      </c>
      <c r="T745" s="8">
        <v>1989</v>
      </c>
      <c r="U745" s="8">
        <f t="shared" si="97"/>
        <v>33</v>
      </c>
      <c r="V745" s="7">
        <v>32509</v>
      </c>
      <c r="W745" t="s">
        <v>921</v>
      </c>
      <c r="X745" s="2">
        <v>2.9860000000000002</v>
      </c>
      <c r="Y745" s="6">
        <f t="shared" si="94"/>
        <v>7.9709564613865094E-2</v>
      </c>
      <c r="AA745">
        <v>7338716</v>
      </c>
      <c r="AB745">
        <v>18902</v>
      </c>
      <c r="AD745" t="s">
        <v>5</v>
      </c>
      <c r="AE745">
        <v>7</v>
      </c>
      <c r="AF745">
        <v>1</v>
      </c>
      <c r="AH745" t="s">
        <v>973</v>
      </c>
      <c r="AI745" t="s">
        <v>972</v>
      </c>
      <c r="AK745" t="s">
        <v>971</v>
      </c>
      <c r="AL745">
        <v>36</v>
      </c>
      <c r="AM745" s="5">
        <f t="shared" si="98"/>
        <v>1.0909090909090908</v>
      </c>
      <c r="AN745" s="4">
        <f t="shared" si="95"/>
        <v>1.6522667033837045E-3</v>
      </c>
      <c r="AO745" s="3"/>
      <c r="AP745">
        <v>0</v>
      </c>
      <c r="AR745" t="s">
        <v>0</v>
      </c>
      <c r="AT745" s="2" t="s">
        <v>19</v>
      </c>
      <c r="AU745" s="1">
        <f t="shared" si="99"/>
        <v>5.6292375240720673</v>
      </c>
      <c r="AV745" s="1">
        <f t="shared" si="100"/>
        <v>4.0680915658624395</v>
      </c>
      <c r="AW745" s="1">
        <f t="shared" si="101"/>
        <v>2.506945607652812</v>
      </c>
    </row>
    <row r="746" spans="1:49" x14ac:dyDescent="0.2">
      <c r="A746">
        <v>744</v>
      </c>
      <c r="B746" t="s">
        <v>970</v>
      </c>
      <c r="C746" t="s">
        <v>969</v>
      </c>
      <c r="F746" t="s">
        <v>968</v>
      </c>
      <c r="G746" t="s">
        <v>15</v>
      </c>
      <c r="H746" t="s">
        <v>14</v>
      </c>
      <c r="I746" t="s">
        <v>967</v>
      </c>
      <c r="J746">
        <v>60020588</v>
      </c>
      <c r="K746" t="s">
        <v>966</v>
      </c>
      <c r="L746" t="s">
        <v>965</v>
      </c>
      <c r="M746" t="s">
        <v>23</v>
      </c>
      <c r="N746">
        <v>1</v>
      </c>
      <c r="O746" t="s">
        <v>964</v>
      </c>
      <c r="P746">
        <v>7005575773</v>
      </c>
      <c r="Q746">
        <v>60020588</v>
      </c>
      <c r="R746" s="7">
        <v>32509</v>
      </c>
      <c r="S746" s="8">
        <f t="shared" si="96"/>
        <v>1989</v>
      </c>
      <c r="T746" s="8">
        <v>1989</v>
      </c>
      <c r="U746" s="8">
        <f t="shared" si="97"/>
        <v>33</v>
      </c>
      <c r="V746" s="7">
        <v>32509</v>
      </c>
      <c r="W746" t="s">
        <v>778</v>
      </c>
      <c r="X746" s="2">
        <v>1.6519999999999999</v>
      </c>
      <c r="Y746" s="6">
        <f t="shared" si="94"/>
        <v>4.409919649769093E-2</v>
      </c>
      <c r="AA746" t="s">
        <v>777</v>
      </c>
      <c r="AB746">
        <v>17337</v>
      </c>
      <c r="AC746">
        <v>15582221</v>
      </c>
      <c r="AD746" t="s">
        <v>5</v>
      </c>
      <c r="AE746">
        <v>37</v>
      </c>
      <c r="AF746">
        <v>1</v>
      </c>
      <c r="AH746" t="s">
        <v>963</v>
      </c>
      <c r="AI746" t="s">
        <v>962</v>
      </c>
      <c r="AK746" t="s">
        <v>961</v>
      </c>
      <c r="AL746">
        <v>4</v>
      </c>
      <c r="AM746" s="5">
        <f t="shared" si="98"/>
        <v>0.12121212121212122</v>
      </c>
      <c r="AN746" s="4">
        <f t="shared" si="95"/>
        <v>1.8358518926485606E-4</v>
      </c>
      <c r="AO746" s="3"/>
      <c r="AP746">
        <v>0</v>
      </c>
      <c r="AR746" t="s">
        <v>0</v>
      </c>
      <c r="AT746" s="2" t="s">
        <v>19</v>
      </c>
      <c r="AU746" s="1">
        <f t="shared" si="99"/>
        <v>3.0924513105163109</v>
      </c>
      <c r="AV746" s="1">
        <f t="shared" si="100"/>
        <v>2.2141390843477891</v>
      </c>
      <c r="AW746" s="1">
        <f t="shared" si="101"/>
        <v>1.3358268581792678</v>
      </c>
    </row>
    <row r="747" spans="1:49" x14ac:dyDescent="0.2">
      <c r="A747">
        <v>745</v>
      </c>
      <c r="B747" t="s">
        <v>960</v>
      </c>
      <c r="C747" t="s">
        <v>959</v>
      </c>
      <c r="F747" t="s">
        <v>958</v>
      </c>
      <c r="G747" t="s">
        <v>15</v>
      </c>
      <c r="H747" t="s">
        <v>14</v>
      </c>
      <c r="I747" t="s">
        <v>957</v>
      </c>
      <c r="J747">
        <v>60003480</v>
      </c>
      <c r="K747" t="s">
        <v>956</v>
      </c>
      <c r="L747" t="s">
        <v>955</v>
      </c>
      <c r="M747" t="s">
        <v>857</v>
      </c>
      <c r="N747">
        <v>1</v>
      </c>
      <c r="O747" t="s">
        <v>954</v>
      </c>
      <c r="P747">
        <v>7102736996</v>
      </c>
      <c r="Q747">
        <v>60003480</v>
      </c>
      <c r="R747" s="7">
        <v>32509</v>
      </c>
      <c r="S747" s="8">
        <f t="shared" si="96"/>
        <v>1989</v>
      </c>
      <c r="T747" s="8">
        <v>1989</v>
      </c>
      <c r="U747" s="8">
        <f t="shared" si="97"/>
        <v>33</v>
      </c>
      <c r="V747" s="7">
        <v>32509</v>
      </c>
      <c r="W747" t="s">
        <v>853</v>
      </c>
      <c r="X747" s="2">
        <v>2.141</v>
      </c>
      <c r="Y747" s="6">
        <f t="shared" si="94"/>
        <v>5.7152772216438434E-2</v>
      </c>
      <c r="AA747">
        <v>1962892</v>
      </c>
      <c r="AB747">
        <v>17360</v>
      </c>
      <c r="AD747" t="s">
        <v>5</v>
      </c>
      <c r="AE747">
        <v>27</v>
      </c>
      <c r="AF747">
        <v>1</v>
      </c>
      <c r="AH747" t="s">
        <v>953</v>
      </c>
      <c r="AI747" t="s">
        <v>952</v>
      </c>
      <c r="AK747" t="s">
        <v>951</v>
      </c>
      <c r="AL747">
        <v>1</v>
      </c>
      <c r="AM747" s="5">
        <f t="shared" si="98"/>
        <v>3.0303030303030304E-2</v>
      </c>
      <c r="AN747" s="4">
        <f t="shared" si="95"/>
        <v>4.5896297316214016E-5</v>
      </c>
      <c r="AO747" s="3"/>
      <c r="AP747">
        <v>0</v>
      </c>
      <c r="AR747" t="s">
        <v>0</v>
      </c>
      <c r="AT747" s="2" t="s">
        <v>19</v>
      </c>
      <c r="AU747" s="1">
        <f t="shared" si="99"/>
        <v>4.0020709440701765</v>
      </c>
      <c r="AV747" s="1">
        <f t="shared" si="100"/>
        <v>2.8599334256877325</v>
      </c>
      <c r="AW747" s="1">
        <f t="shared" si="101"/>
        <v>1.717795907305288</v>
      </c>
    </row>
    <row r="748" spans="1:49" x14ac:dyDescent="0.2">
      <c r="A748">
        <v>746</v>
      </c>
      <c r="B748" t="s">
        <v>950</v>
      </c>
      <c r="C748" t="s">
        <v>949</v>
      </c>
      <c r="F748" t="s">
        <v>948</v>
      </c>
      <c r="G748" t="s">
        <v>15</v>
      </c>
      <c r="H748" t="s">
        <v>14</v>
      </c>
      <c r="I748" t="s">
        <v>947</v>
      </c>
      <c r="J748">
        <v>60020547</v>
      </c>
      <c r="K748" t="s">
        <v>365</v>
      </c>
      <c r="L748" t="s">
        <v>364</v>
      </c>
      <c r="M748" t="s">
        <v>23</v>
      </c>
      <c r="N748">
        <v>2</v>
      </c>
      <c r="O748" t="s">
        <v>946</v>
      </c>
      <c r="P748" t="s">
        <v>945</v>
      </c>
      <c r="Q748" t="s">
        <v>944</v>
      </c>
      <c r="R748" s="7">
        <v>32509</v>
      </c>
      <c r="S748" s="8">
        <f t="shared" si="96"/>
        <v>1989</v>
      </c>
      <c r="T748" s="8">
        <v>1989</v>
      </c>
      <c r="U748" s="8">
        <f t="shared" si="97"/>
        <v>33</v>
      </c>
      <c r="V748" s="7">
        <v>32509</v>
      </c>
      <c r="W748" t="s">
        <v>943</v>
      </c>
      <c r="X748" s="2">
        <v>0.30399999999999999</v>
      </c>
      <c r="Y748" s="6">
        <f t="shared" si="94"/>
        <v>8.115106377299057E-3</v>
      </c>
      <c r="AA748">
        <v>8952477</v>
      </c>
      <c r="AB748">
        <v>12250</v>
      </c>
      <c r="AC748">
        <v>10982760</v>
      </c>
      <c r="AD748" t="s">
        <v>5</v>
      </c>
      <c r="AE748">
        <v>2</v>
      </c>
      <c r="AF748">
        <v>1</v>
      </c>
      <c r="AH748" s="9">
        <v>44414</v>
      </c>
      <c r="AI748" t="s">
        <v>942</v>
      </c>
      <c r="AJ748" t="s">
        <v>941</v>
      </c>
      <c r="AK748" t="s">
        <v>940</v>
      </c>
      <c r="AL748">
        <v>27</v>
      </c>
      <c r="AM748" s="5">
        <f t="shared" si="98"/>
        <v>0.81818181818181823</v>
      </c>
      <c r="AN748" s="4">
        <f t="shared" si="95"/>
        <v>1.2392000275377785E-3</v>
      </c>
      <c r="AO748" s="3"/>
      <c r="AP748">
        <v>0</v>
      </c>
      <c r="AR748" t="s">
        <v>0</v>
      </c>
      <c r="AT748" s="2" t="s">
        <v>19</v>
      </c>
      <c r="AU748" s="1">
        <f t="shared" si="99"/>
        <v>0.60523344723706729</v>
      </c>
      <c r="AV748" s="1">
        <f t="shared" si="100"/>
        <v>0.46771532024184176</v>
      </c>
      <c r="AW748" s="1">
        <f t="shared" si="101"/>
        <v>0.33019719324661617</v>
      </c>
    </row>
    <row r="749" spans="1:49" x14ac:dyDescent="0.2">
      <c r="A749">
        <v>747</v>
      </c>
      <c r="B749" t="s">
        <v>939</v>
      </c>
      <c r="C749" t="s">
        <v>938</v>
      </c>
      <c r="F749" t="s">
        <v>937</v>
      </c>
      <c r="G749" t="s">
        <v>15</v>
      </c>
      <c r="H749" t="s">
        <v>14</v>
      </c>
      <c r="I749" t="s">
        <v>936</v>
      </c>
      <c r="J749">
        <v>115666031</v>
      </c>
      <c r="K749" t="s">
        <v>935</v>
      </c>
      <c r="L749" t="s">
        <v>934</v>
      </c>
      <c r="M749" t="s">
        <v>23</v>
      </c>
      <c r="N749">
        <v>1</v>
      </c>
      <c r="O749" t="s">
        <v>933</v>
      </c>
      <c r="P749">
        <v>7003394925</v>
      </c>
      <c r="Q749">
        <v>115666031</v>
      </c>
      <c r="R749" s="7">
        <v>32509</v>
      </c>
      <c r="S749" s="8">
        <f t="shared" si="96"/>
        <v>1989</v>
      </c>
      <c r="T749" s="8">
        <v>1989</v>
      </c>
      <c r="U749" s="8">
        <f t="shared" si="97"/>
        <v>33</v>
      </c>
      <c r="V749" s="7">
        <v>32509</v>
      </c>
      <c r="W749" t="s">
        <v>921</v>
      </c>
      <c r="X749" s="2">
        <v>2.9860000000000002</v>
      </c>
      <c r="Y749" s="6">
        <f t="shared" si="94"/>
        <v>7.9709564613865094E-2</v>
      </c>
      <c r="AA749">
        <v>7338716</v>
      </c>
      <c r="AB749">
        <v>18902</v>
      </c>
      <c r="AD749" t="s">
        <v>5</v>
      </c>
      <c r="AE749">
        <v>7</v>
      </c>
      <c r="AF749">
        <v>1</v>
      </c>
      <c r="AH749" s="9">
        <v>44505</v>
      </c>
      <c r="AI749" t="s">
        <v>932</v>
      </c>
      <c r="AK749" t="s">
        <v>931</v>
      </c>
      <c r="AL749">
        <v>136</v>
      </c>
      <c r="AM749" s="5">
        <f t="shared" si="98"/>
        <v>4.1212121212121211</v>
      </c>
      <c r="AN749" s="4">
        <f t="shared" si="95"/>
        <v>6.241896435005106E-3</v>
      </c>
      <c r="AO749" s="3"/>
      <c r="AP749">
        <v>0</v>
      </c>
      <c r="AR749">
        <v>69533</v>
      </c>
      <c r="AT749" s="2" t="s">
        <v>19</v>
      </c>
      <c r="AU749" s="1">
        <f t="shared" si="99"/>
        <v>5.7669264160207092</v>
      </c>
      <c r="AV749" s="1">
        <f t="shared" si="100"/>
        <v>4.2975730524435107</v>
      </c>
      <c r="AW749" s="1">
        <f t="shared" si="101"/>
        <v>2.82821968886631</v>
      </c>
    </row>
    <row r="750" spans="1:49" x14ac:dyDescent="0.2">
      <c r="A750">
        <v>748</v>
      </c>
      <c r="B750" t="s">
        <v>930</v>
      </c>
      <c r="C750" t="s">
        <v>929</v>
      </c>
      <c r="F750" t="s">
        <v>928</v>
      </c>
      <c r="G750" t="s">
        <v>15</v>
      </c>
      <c r="H750" t="s">
        <v>14</v>
      </c>
      <c r="I750" t="s">
        <v>927</v>
      </c>
      <c r="J750">
        <v>60018714</v>
      </c>
      <c r="K750" t="s">
        <v>926</v>
      </c>
      <c r="L750" t="s">
        <v>925</v>
      </c>
      <c r="M750" t="s">
        <v>283</v>
      </c>
      <c r="N750">
        <v>2</v>
      </c>
      <c r="O750" t="s">
        <v>924</v>
      </c>
      <c r="P750" t="s">
        <v>923</v>
      </c>
      <c r="Q750" t="s">
        <v>922</v>
      </c>
      <c r="R750" s="7">
        <v>32509</v>
      </c>
      <c r="S750" s="8">
        <f t="shared" si="96"/>
        <v>1989</v>
      </c>
      <c r="T750" s="8">
        <v>1989</v>
      </c>
      <c r="U750" s="8">
        <f t="shared" si="97"/>
        <v>33</v>
      </c>
      <c r="V750" s="7">
        <v>32509</v>
      </c>
      <c r="W750" t="s">
        <v>921</v>
      </c>
      <c r="X750" s="2">
        <v>2.9860000000000002</v>
      </c>
      <c r="Y750" s="6">
        <f t="shared" si="94"/>
        <v>7.9709564613865094E-2</v>
      </c>
      <c r="AA750">
        <v>7338716</v>
      </c>
      <c r="AB750">
        <v>18902</v>
      </c>
      <c r="AD750" t="s">
        <v>5</v>
      </c>
      <c r="AE750">
        <v>7</v>
      </c>
      <c r="AF750">
        <v>1</v>
      </c>
      <c r="AH750" t="s">
        <v>920</v>
      </c>
      <c r="AI750" t="s">
        <v>919</v>
      </c>
      <c r="AK750" t="s">
        <v>918</v>
      </c>
      <c r="AL750">
        <v>164</v>
      </c>
      <c r="AM750" s="5">
        <f t="shared" si="98"/>
        <v>4.9696969696969697</v>
      </c>
      <c r="AN750" s="4">
        <f t="shared" si="95"/>
        <v>7.5269927598590981E-3</v>
      </c>
      <c r="AO750" s="3"/>
      <c r="AP750">
        <v>0</v>
      </c>
      <c r="AR750" t="s">
        <v>0</v>
      </c>
      <c r="AT750" s="2" t="s">
        <v>19</v>
      </c>
      <c r="AU750" s="1">
        <f t="shared" si="99"/>
        <v>5.8054793057663288</v>
      </c>
      <c r="AV750" s="1">
        <f t="shared" si="100"/>
        <v>4.36182786868621</v>
      </c>
      <c r="AW750" s="1">
        <f t="shared" si="101"/>
        <v>2.9181764316060894</v>
      </c>
    </row>
    <row r="751" spans="1:49" x14ac:dyDescent="0.2">
      <c r="A751">
        <v>749</v>
      </c>
      <c r="B751" t="s">
        <v>917</v>
      </c>
      <c r="C751" t="s">
        <v>916</v>
      </c>
      <c r="F751" t="s">
        <v>915</v>
      </c>
      <c r="G751" t="s">
        <v>15</v>
      </c>
      <c r="H751" t="s">
        <v>14</v>
      </c>
      <c r="I751" t="s">
        <v>914</v>
      </c>
      <c r="J751">
        <v>60007716</v>
      </c>
      <c r="K751" t="s">
        <v>913</v>
      </c>
      <c r="L751" t="s">
        <v>912</v>
      </c>
      <c r="M751" t="s">
        <v>72</v>
      </c>
      <c r="N751">
        <v>2</v>
      </c>
      <c r="O751" t="s">
        <v>911</v>
      </c>
      <c r="P751" t="s">
        <v>910</v>
      </c>
      <c r="Q751" t="s">
        <v>909</v>
      </c>
      <c r="R751" s="7">
        <v>32509</v>
      </c>
      <c r="S751" s="8">
        <f t="shared" si="96"/>
        <v>1989</v>
      </c>
      <c r="T751" s="8">
        <v>1989</v>
      </c>
      <c r="U751" s="8">
        <f t="shared" si="97"/>
        <v>33</v>
      </c>
      <c r="V751" s="7">
        <v>32509</v>
      </c>
      <c r="W751" t="s">
        <v>360</v>
      </c>
      <c r="X751" s="2">
        <v>1.3720000000000001</v>
      </c>
      <c r="Y751" s="6">
        <f t="shared" si="94"/>
        <v>3.662475641333654E-2</v>
      </c>
      <c r="AA751">
        <v>189480</v>
      </c>
      <c r="AB751">
        <v>17366</v>
      </c>
      <c r="AC751">
        <v>15579670</v>
      </c>
      <c r="AD751" t="s">
        <v>5</v>
      </c>
      <c r="AE751">
        <v>37</v>
      </c>
      <c r="AF751">
        <v>1</v>
      </c>
      <c r="AH751" t="s">
        <v>908</v>
      </c>
      <c r="AI751" t="s">
        <v>907</v>
      </c>
      <c r="AK751" t="s">
        <v>906</v>
      </c>
      <c r="AL751">
        <v>34</v>
      </c>
      <c r="AM751" s="5">
        <f t="shared" si="98"/>
        <v>1.0303030303030303</v>
      </c>
      <c r="AN751" s="4">
        <f t="shared" si="95"/>
        <v>1.5604741087512765E-3</v>
      </c>
      <c r="AO751" s="3"/>
      <c r="AP751">
        <v>0</v>
      </c>
      <c r="AR751" t="s">
        <v>0</v>
      </c>
      <c r="AT751" s="2" t="s">
        <v>19</v>
      </c>
      <c r="AU751" s="1">
        <f t="shared" si="99"/>
        <v>2.610547172196096</v>
      </c>
      <c r="AV751" s="1">
        <f t="shared" si="100"/>
        <v>1.9092615261043908</v>
      </c>
      <c r="AW751" s="1">
        <f t="shared" si="101"/>
        <v>1.2079758800126856</v>
      </c>
    </row>
    <row r="752" spans="1:49" x14ac:dyDescent="0.2">
      <c r="A752">
        <v>750</v>
      </c>
      <c r="B752" t="s">
        <v>905</v>
      </c>
      <c r="C752" t="s">
        <v>904</v>
      </c>
      <c r="F752" t="s">
        <v>903</v>
      </c>
      <c r="G752" t="s">
        <v>15</v>
      </c>
      <c r="H752" t="s">
        <v>14</v>
      </c>
      <c r="I752" t="s">
        <v>902</v>
      </c>
      <c r="J752">
        <v>60005429</v>
      </c>
      <c r="K752" t="s">
        <v>901</v>
      </c>
      <c r="L752" t="s">
        <v>900</v>
      </c>
      <c r="M752" t="s">
        <v>899</v>
      </c>
      <c r="N752">
        <v>3</v>
      </c>
      <c r="O752" t="s">
        <v>898</v>
      </c>
      <c r="P752" t="s">
        <v>897</v>
      </c>
      <c r="Q752" t="s">
        <v>896</v>
      </c>
      <c r="R752" s="7">
        <v>32509</v>
      </c>
      <c r="S752" s="8">
        <f t="shared" si="96"/>
        <v>1989</v>
      </c>
      <c r="T752" s="8">
        <v>1989</v>
      </c>
      <c r="U752" s="8">
        <f t="shared" si="97"/>
        <v>33</v>
      </c>
      <c r="V752" s="7">
        <v>32509</v>
      </c>
      <c r="W752" t="s">
        <v>895</v>
      </c>
      <c r="X752" s="2">
        <v>1.6379999999999999</v>
      </c>
      <c r="Y752" s="6">
        <f t="shared" si="94"/>
        <v>4.3725474493473214E-2</v>
      </c>
      <c r="AA752">
        <v>963518</v>
      </c>
      <c r="AB752">
        <v>31560</v>
      </c>
      <c r="AD752" t="s">
        <v>5</v>
      </c>
      <c r="AE752">
        <v>37</v>
      </c>
      <c r="AF752">
        <v>1</v>
      </c>
      <c r="AH752" t="s">
        <v>894</v>
      </c>
      <c r="AI752" t="s">
        <v>893</v>
      </c>
      <c r="AK752" t="s">
        <v>892</v>
      </c>
      <c r="AL752">
        <v>50</v>
      </c>
      <c r="AM752" s="5">
        <f t="shared" si="98"/>
        <v>1.5151515151515151</v>
      </c>
      <c r="AN752" s="4">
        <f t="shared" si="95"/>
        <v>2.2948148658107005E-3</v>
      </c>
      <c r="AO752" s="3"/>
      <c r="AP752">
        <v>0</v>
      </c>
      <c r="AR752" t="s">
        <v>0</v>
      </c>
      <c r="AT752" s="2" t="s">
        <v>19</v>
      </c>
      <c r="AU752" s="1">
        <f t="shared" si="99"/>
        <v>3.1296276605174458</v>
      </c>
      <c r="AV752" s="1">
        <f t="shared" si="100"/>
        <v>2.3010144679641957</v>
      </c>
      <c r="AW752" s="1">
        <f t="shared" si="101"/>
        <v>1.4724012754109455</v>
      </c>
    </row>
    <row r="753" spans="1:49" x14ac:dyDescent="0.2">
      <c r="A753">
        <v>751</v>
      </c>
      <c r="B753" t="s">
        <v>891</v>
      </c>
      <c r="C753" t="s">
        <v>890</v>
      </c>
      <c r="F753" t="s">
        <v>889</v>
      </c>
      <c r="G753" t="s">
        <v>15</v>
      </c>
      <c r="H753" t="s">
        <v>14</v>
      </c>
      <c r="I753" t="s">
        <v>888</v>
      </c>
      <c r="J753">
        <v>60015465</v>
      </c>
      <c r="K753" t="s">
        <v>887</v>
      </c>
      <c r="L753" t="s">
        <v>886</v>
      </c>
      <c r="M753" t="s">
        <v>885</v>
      </c>
      <c r="N753">
        <v>3</v>
      </c>
      <c r="O753" t="s">
        <v>884</v>
      </c>
      <c r="P753" t="s">
        <v>883</v>
      </c>
      <c r="Q753" t="s">
        <v>882</v>
      </c>
      <c r="R753" s="7">
        <v>32509</v>
      </c>
      <c r="S753" s="8">
        <f t="shared" si="96"/>
        <v>1989</v>
      </c>
      <c r="T753" s="8">
        <v>1989</v>
      </c>
      <c r="U753" s="8">
        <f t="shared" si="97"/>
        <v>33</v>
      </c>
      <c r="V753" s="7" t="s">
        <v>881</v>
      </c>
      <c r="W753" t="s">
        <v>880</v>
      </c>
      <c r="X753" s="2">
        <v>0.218</v>
      </c>
      <c r="Y753" s="6">
        <f t="shared" si="94"/>
        <v>5.8193854942473512E-3</v>
      </c>
      <c r="AA753">
        <v>3772063</v>
      </c>
      <c r="AB753">
        <v>130012</v>
      </c>
      <c r="AD753" t="s">
        <v>5</v>
      </c>
      <c r="AE753">
        <v>35</v>
      </c>
      <c r="AF753">
        <v>1</v>
      </c>
      <c r="AH753" t="s">
        <v>879</v>
      </c>
      <c r="AI753" t="s">
        <v>878</v>
      </c>
      <c r="AK753" t="s">
        <v>877</v>
      </c>
      <c r="AL753">
        <v>0</v>
      </c>
      <c r="AM753" s="5">
        <f t="shared" si="98"/>
        <v>0</v>
      </c>
      <c r="AN753" s="4">
        <f t="shared" si="95"/>
        <v>0</v>
      </c>
      <c r="AO753" s="3"/>
      <c r="AP753">
        <v>0</v>
      </c>
      <c r="AR753" t="s">
        <v>0</v>
      </c>
      <c r="AT753" s="2">
        <v>2.3330000000000002</v>
      </c>
      <c r="AU753" s="1">
        <f t="shared" si="99"/>
        <v>0.40735698459731456</v>
      </c>
      <c r="AV753" s="1">
        <f t="shared" si="100"/>
        <v>0.29096927471236755</v>
      </c>
      <c r="AW753" s="1">
        <f t="shared" si="101"/>
        <v>0.17458156482742054</v>
      </c>
    </row>
    <row r="754" spans="1:49" x14ac:dyDescent="0.2">
      <c r="A754">
        <v>752</v>
      </c>
      <c r="B754" t="s">
        <v>876</v>
      </c>
      <c r="C754" t="s">
        <v>875</v>
      </c>
      <c r="F754" t="s">
        <v>874</v>
      </c>
      <c r="G754" t="s">
        <v>15</v>
      </c>
      <c r="H754" t="s">
        <v>14</v>
      </c>
      <c r="I754" t="s">
        <v>873</v>
      </c>
      <c r="J754" t="s">
        <v>872</v>
      </c>
      <c r="K754" t="s">
        <v>871</v>
      </c>
      <c r="L754" t="s">
        <v>870</v>
      </c>
      <c r="M754" t="s">
        <v>86</v>
      </c>
      <c r="N754">
        <v>3</v>
      </c>
      <c r="O754" t="s">
        <v>869</v>
      </c>
      <c r="P754" t="s">
        <v>868</v>
      </c>
      <c r="Q754" t="s">
        <v>867</v>
      </c>
      <c r="R754" s="7">
        <v>32509</v>
      </c>
      <c r="S754" s="8">
        <f t="shared" si="96"/>
        <v>1989</v>
      </c>
      <c r="T754" s="8">
        <v>1989</v>
      </c>
      <c r="U754" s="8">
        <f t="shared" si="97"/>
        <v>33</v>
      </c>
      <c r="V754" s="7">
        <v>32509</v>
      </c>
      <c r="W754" t="s">
        <v>778</v>
      </c>
      <c r="X754" s="2">
        <v>1.6519999999999999</v>
      </c>
      <c r="Y754" s="6">
        <f t="shared" si="94"/>
        <v>4.409919649769093E-2</v>
      </c>
      <c r="AA754" t="s">
        <v>777</v>
      </c>
      <c r="AB754">
        <v>17337</v>
      </c>
      <c r="AC754">
        <v>15582221</v>
      </c>
      <c r="AD754" t="s">
        <v>5</v>
      </c>
      <c r="AE754">
        <v>37</v>
      </c>
      <c r="AF754">
        <v>1</v>
      </c>
      <c r="AH754" t="s">
        <v>866</v>
      </c>
      <c r="AI754" t="s">
        <v>865</v>
      </c>
      <c r="AK754" t="s">
        <v>864</v>
      </c>
      <c r="AL754">
        <v>1</v>
      </c>
      <c r="AM754" s="5">
        <f t="shared" si="98"/>
        <v>3.0303030303030304E-2</v>
      </c>
      <c r="AN754" s="4">
        <f t="shared" si="95"/>
        <v>4.5896297316214016E-5</v>
      </c>
      <c r="AO754" s="3"/>
      <c r="AP754">
        <v>0</v>
      </c>
      <c r="AR754" t="s">
        <v>0</v>
      </c>
      <c r="AT754" s="2" t="s">
        <v>19</v>
      </c>
      <c r="AU754" s="1">
        <f t="shared" si="99"/>
        <v>3.0883206437578514</v>
      </c>
      <c r="AV754" s="1">
        <f t="shared" si="100"/>
        <v>2.2072546397503574</v>
      </c>
      <c r="AW754" s="1">
        <f t="shared" si="101"/>
        <v>1.3261886357428627</v>
      </c>
    </row>
    <row r="755" spans="1:49" x14ac:dyDescent="0.2">
      <c r="A755">
        <v>753</v>
      </c>
      <c r="B755" t="s">
        <v>863</v>
      </c>
      <c r="C755" t="s">
        <v>862</v>
      </c>
      <c r="F755" t="s">
        <v>861</v>
      </c>
      <c r="G755" t="s">
        <v>15</v>
      </c>
      <c r="H755" t="s">
        <v>14</v>
      </c>
      <c r="I755" t="s">
        <v>860</v>
      </c>
      <c r="J755">
        <v>60032987</v>
      </c>
      <c r="K755" t="s">
        <v>859</v>
      </c>
      <c r="L755" t="s">
        <v>858</v>
      </c>
      <c r="M755" t="s">
        <v>857</v>
      </c>
      <c r="N755">
        <v>2</v>
      </c>
      <c r="O755" t="s">
        <v>856</v>
      </c>
      <c r="P755" t="s">
        <v>855</v>
      </c>
      <c r="Q755" t="s">
        <v>854</v>
      </c>
      <c r="R755" s="7">
        <v>32509</v>
      </c>
      <c r="S755" s="8">
        <f t="shared" si="96"/>
        <v>1989</v>
      </c>
      <c r="T755" s="8">
        <v>1989</v>
      </c>
      <c r="U755" s="8">
        <f t="shared" si="97"/>
        <v>33</v>
      </c>
      <c r="V755" s="7">
        <v>32509</v>
      </c>
      <c r="W755" t="s">
        <v>853</v>
      </c>
      <c r="X755" s="2">
        <v>2.141</v>
      </c>
      <c r="Y755" s="6">
        <f t="shared" si="94"/>
        <v>5.7152772216438434E-2</v>
      </c>
      <c r="AA755">
        <v>1962892</v>
      </c>
      <c r="AB755">
        <v>17360</v>
      </c>
      <c r="AD755" t="s">
        <v>5</v>
      </c>
      <c r="AE755">
        <v>27</v>
      </c>
      <c r="AF755">
        <v>1</v>
      </c>
      <c r="AH755" t="s">
        <v>852</v>
      </c>
      <c r="AI755" t="s">
        <v>851</v>
      </c>
      <c r="AK755" t="s">
        <v>850</v>
      </c>
      <c r="AL755">
        <v>9</v>
      </c>
      <c r="AM755" s="5">
        <f t="shared" si="98"/>
        <v>0.27272727272727271</v>
      </c>
      <c r="AN755" s="4">
        <f t="shared" si="95"/>
        <v>4.1306667584592612E-4</v>
      </c>
      <c r="AO755" s="3"/>
      <c r="AP755">
        <v>0</v>
      </c>
      <c r="AR755" t="s">
        <v>0</v>
      </c>
      <c r="AT755" s="2" t="s">
        <v>19</v>
      </c>
      <c r="AU755" s="1">
        <f t="shared" si="99"/>
        <v>4.0130860554260677</v>
      </c>
      <c r="AV755" s="1">
        <f t="shared" si="100"/>
        <v>2.8782919446142179</v>
      </c>
      <c r="AW755" s="1">
        <f t="shared" si="101"/>
        <v>1.7434978338023679</v>
      </c>
    </row>
    <row r="756" spans="1:49" x14ac:dyDescent="0.2">
      <c r="A756">
        <v>754</v>
      </c>
      <c r="B756" t="s">
        <v>849</v>
      </c>
      <c r="C756" t="s">
        <v>848</v>
      </c>
      <c r="F756" t="s">
        <v>847</v>
      </c>
      <c r="G756" t="s">
        <v>15</v>
      </c>
      <c r="H756" t="s">
        <v>14</v>
      </c>
      <c r="I756" t="s">
        <v>846</v>
      </c>
      <c r="J756">
        <v>60010726</v>
      </c>
      <c r="K756" t="s">
        <v>845</v>
      </c>
      <c r="L756" t="s">
        <v>844</v>
      </c>
      <c r="M756" t="s">
        <v>115</v>
      </c>
      <c r="N756">
        <v>2</v>
      </c>
      <c r="O756" t="s">
        <v>843</v>
      </c>
      <c r="P756" t="s">
        <v>842</v>
      </c>
      <c r="Q756" t="s">
        <v>841</v>
      </c>
      <c r="R756" s="7">
        <v>32509</v>
      </c>
      <c r="S756" s="8">
        <f t="shared" si="96"/>
        <v>1989</v>
      </c>
      <c r="T756" s="8">
        <v>1989</v>
      </c>
      <c r="U756" s="8">
        <f t="shared" si="97"/>
        <v>33</v>
      </c>
      <c r="V756" s="7">
        <v>32509</v>
      </c>
      <c r="W756" t="s">
        <v>360</v>
      </c>
      <c r="X756" s="2">
        <v>1.3720000000000001</v>
      </c>
      <c r="Y756" s="6">
        <f t="shared" si="94"/>
        <v>3.662475641333654E-2</v>
      </c>
      <c r="AA756">
        <v>189480</v>
      </c>
      <c r="AB756">
        <v>17366</v>
      </c>
      <c r="AC756">
        <v>15579670</v>
      </c>
      <c r="AD756" t="s">
        <v>5</v>
      </c>
      <c r="AE756">
        <v>37</v>
      </c>
      <c r="AF756">
        <v>1</v>
      </c>
      <c r="AH756" s="10">
        <v>41699</v>
      </c>
      <c r="AI756" t="s">
        <v>840</v>
      </c>
      <c r="AK756" t="s">
        <v>839</v>
      </c>
      <c r="AL756">
        <v>33</v>
      </c>
      <c r="AM756" s="5">
        <f t="shared" si="98"/>
        <v>1</v>
      </c>
      <c r="AN756" s="4">
        <f t="shared" si="95"/>
        <v>1.5145778114350624E-3</v>
      </c>
      <c r="AO756" s="3"/>
      <c r="AP756">
        <v>0</v>
      </c>
      <c r="AQ756" t="s">
        <v>427</v>
      </c>
      <c r="AR756" t="s">
        <v>0</v>
      </c>
      <c r="AS756" t="s">
        <v>838</v>
      </c>
      <c r="AT756" s="2" t="s">
        <v>19</v>
      </c>
      <c r="AU756" s="1">
        <f t="shared" si="99"/>
        <v>2.6091702832766095</v>
      </c>
      <c r="AV756" s="1">
        <f t="shared" si="100"/>
        <v>1.90696671123858</v>
      </c>
      <c r="AW756" s="1">
        <f t="shared" si="101"/>
        <v>1.2047631392005507</v>
      </c>
    </row>
    <row r="757" spans="1:49" x14ac:dyDescent="0.2">
      <c r="A757">
        <v>755</v>
      </c>
      <c r="B757" t="s">
        <v>837</v>
      </c>
      <c r="C757" t="s">
        <v>836</v>
      </c>
      <c r="F757" t="s">
        <v>835</v>
      </c>
      <c r="G757" t="s">
        <v>15</v>
      </c>
      <c r="H757" t="s">
        <v>14</v>
      </c>
      <c r="I757" t="s">
        <v>834</v>
      </c>
      <c r="J757">
        <v>60026810</v>
      </c>
      <c r="K757" t="s">
        <v>833</v>
      </c>
      <c r="L757" t="s">
        <v>832</v>
      </c>
      <c r="M757" t="s">
        <v>831</v>
      </c>
      <c r="N757">
        <v>2</v>
      </c>
      <c r="O757" t="s">
        <v>830</v>
      </c>
      <c r="P757" t="s">
        <v>829</v>
      </c>
      <c r="Q757" t="s">
        <v>828</v>
      </c>
      <c r="R757" s="7">
        <v>32509</v>
      </c>
      <c r="S757" s="8">
        <f t="shared" si="96"/>
        <v>1989</v>
      </c>
      <c r="T757" s="8">
        <v>1989</v>
      </c>
      <c r="U757" s="8">
        <f t="shared" si="97"/>
        <v>33</v>
      </c>
      <c r="V757" s="7">
        <v>32509</v>
      </c>
      <c r="W757" t="s">
        <v>778</v>
      </c>
      <c r="X757" s="2">
        <v>1.6519999999999999</v>
      </c>
      <c r="Y757" s="6">
        <f t="shared" si="94"/>
        <v>4.409919649769093E-2</v>
      </c>
      <c r="AA757" t="s">
        <v>777</v>
      </c>
      <c r="AB757">
        <v>17337</v>
      </c>
      <c r="AC757">
        <v>15582221</v>
      </c>
      <c r="AD757" t="s">
        <v>5</v>
      </c>
      <c r="AE757">
        <v>37</v>
      </c>
      <c r="AF757">
        <v>1</v>
      </c>
      <c r="AH757" s="10">
        <v>42156</v>
      </c>
      <c r="AI757" t="s">
        <v>827</v>
      </c>
      <c r="AK757" t="s">
        <v>826</v>
      </c>
      <c r="AL757">
        <v>41</v>
      </c>
      <c r="AM757" s="5">
        <f t="shared" si="98"/>
        <v>1.2424242424242424</v>
      </c>
      <c r="AN757" s="4">
        <f t="shared" si="95"/>
        <v>1.8817481899647745E-3</v>
      </c>
      <c r="AO757" s="3"/>
      <c r="AP757">
        <v>0</v>
      </c>
      <c r="AR757" t="s">
        <v>0</v>
      </c>
      <c r="AT757" s="2" t="s">
        <v>19</v>
      </c>
      <c r="AU757" s="1">
        <f t="shared" si="99"/>
        <v>3.1433962005373082</v>
      </c>
      <c r="AV757" s="1">
        <f t="shared" si="100"/>
        <v>2.2990472343827855</v>
      </c>
      <c r="AW757" s="1">
        <f t="shared" si="101"/>
        <v>1.4546982682282619</v>
      </c>
    </row>
    <row r="758" spans="1:49" x14ac:dyDescent="0.2">
      <c r="A758">
        <v>756</v>
      </c>
      <c r="B758" t="s">
        <v>825</v>
      </c>
      <c r="C758" t="s">
        <v>824</v>
      </c>
      <c r="F758" t="s">
        <v>823</v>
      </c>
      <c r="G758" t="s">
        <v>15</v>
      </c>
      <c r="H758" t="s">
        <v>14</v>
      </c>
      <c r="I758" t="s">
        <v>822</v>
      </c>
      <c r="J758" t="s">
        <v>821</v>
      </c>
      <c r="K758" t="s">
        <v>820</v>
      </c>
      <c r="L758" t="s">
        <v>819</v>
      </c>
      <c r="M758" t="s">
        <v>86</v>
      </c>
      <c r="N758">
        <v>3</v>
      </c>
      <c r="O758" t="s">
        <v>818</v>
      </c>
      <c r="P758" t="s">
        <v>817</v>
      </c>
      <c r="Q758" t="s">
        <v>816</v>
      </c>
      <c r="R758" s="7">
        <v>32509</v>
      </c>
      <c r="S758" s="8">
        <f t="shared" si="96"/>
        <v>1989</v>
      </c>
      <c r="T758" s="8">
        <v>1989</v>
      </c>
      <c r="U758" s="8">
        <f t="shared" si="97"/>
        <v>33</v>
      </c>
      <c r="V758" s="7">
        <v>32509</v>
      </c>
      <c r="W758" t="s">
        <v>778</v>
      </c>
      <c r="X758" s="2">
        <v>1.6519999999999999</v>
      </c>
      <c r="Y758" s="6">
        <f t="shared" si="94"/>
        <v>4.409919649769093E-2</v>
      </c>
      <c r="AA758" t="s">
        <v>777</v>
      </c>
      <c r="AB758">
        <v>17337</v>
      </c>
      <c r="AC758">
        <v>15582221</v>
      </c>
      <c r="AD758" t="s">
        <v>5</v>
      </c>
      <c r="AE758">
        <v>37</v>
      </c>
      <c r="AF758">
        <v>1</v>
      </c>
      <c r="AH758" t="s">
        <v>815</v>
      </c>
      <c r="AI758" t="s">
        <v>814</v>
      </c>
      <c r="AK758" t="s">
        <v>813</v>
      </c>
      <c r="AL758">
        <v>180</v>
      </c>
      <c r="AM758" s="5">
        <f t="shared" si="98"/>
        <v>5.4545454545454541</v>
      </c>
      <c r="AN758" s="4">
        <f t="shared" si="95"/>
        <v>8.2613335169185228E-3</v>
      </c>
      <c r="AO758" s="3"/>
      <c r="AP758">
        <v>0</v>
      </c>
      <c r="AR758" t="s">
        <v>0</v>
      </c>
      <c r="AT758" s="2" t="s">
        <v>19</v>
      </c>
      <c r="AU758" s="1">
        <f t="shared" si="99"/>
        <v>3.3347837603459203</v>
      </c>
      <c r="AV758" s="1">
        <f t="shared" si="100"/>
        <v>2.6180265007304726</v>
      </c>
      <c r="AW758" s="1">
        <f t="shared" si="101"/>
        <v>1.9012692411150243</v>
      </c>
    </row>
    <row r="759" spans="1:49" x14ac:dyDescent="0.2">
      <c r="A759">
        <v>757</v>
      </c>
      <c r="B759" t="s">
        <v>812</v>
      </c>
      <c r="C759" t="s">
        <v>811</v>
      </c>
      <c r="F759" t="s">
        <v>810</v>
      </c>
      <c r="G759" t="s">
        <v>15</v>
      </c>
      <c r="H759" t="s">
        <v>14</v>
      </c>
      <c r="I759" t="s">
        <v>809</v>
      </c>
      <c r="J759">
        <v>60025488</v>
      </c>
      <c r="K759" t="s">
        <v>808</v>
      </c>
      <c r="L759" t="s">
        <v>807</v>
      </c>
      <c r="M759" t="s">
        <v>23</v>
      </c>
      <c r="N759">
        <v>2</v>
      </c>
      <c r="O759" t="s">
        <v>806</v>
      </c>
      <c r="P759" t="s">
        <v>805</v>
      </c>
      <c r="Q759" t="s">
        <v>804</v>
      </c>
      <c r="R759" s="7">
        <v>32509</v>
      </c>
      <c r="S759" s="8">
        <f t="shared" si="96"/>
        <v>1989</v>
      </c>
      <c r="T759" s="8">
        <v>1989</v>
      </c>
      <c r="U759" s="8">
        <f t="shared" si="97"/>
        <v>33</v>
      </c>
      <c r="V759" s="7">
        <v>32509</v>
      </c>
      <c r="W759" t="s">
        <v>360</v>
      </c>
      <c r="X759" s="2">
        <v>1.3720000000000001</v>
      </c>
      <c r="Y759" s="6">
        <f t="shared" si="94"/>
        <v>3.662475641333654E-2</v>
      </c>
      <c r="AA759">
        <v>189480</v>
      </c>
      <c r="AB759">
        <v>17366</v>
      </c>
      <c r="AC759">
        <v>15579670</v>
      </c>
      <c r="AD759" t="s">
        <v>5</v>
      </c>
      <c r="AE759">
        <v>37</v>
      </c>
      <c r="AF759">
        <v>1</v>
      </c>
      <c r="AH759" t="s">
        <v>803</v>
      </c>
      <c r="AI759" t="s">
        <v>802</v>
      </c>
      <c r="AK759" t="s">
        <v>801</v>
      </c>
      <c r="AL759">
        <v>44</v>
      </c>
      <c r="AM759" s="5">
        <f t="shared" si="98"/>
        <v>1.3333333333333333</v>
      </c>
      <c r="AN759" s="4">
        <f t="shared" si="95"/>
        <v>2.0194370819134164E-3</v>
      </c>
      <c r="AO759" s="3"/>
      <c r="AP759">
        <v>0</v>
      </c>
      <c r="AQ759" t="s">
        <v>618</v>
      </c>
      <c r="AR759" t="s">
        <v>800</v>
      </c>
      <c r="AS759" t="s">
        <v>616</v>
      </c>
      <c r="AT759" s="2" t="s">
        <v>19</v>
      </c>
      <c r="AU759" s="1">
        <f t="shared" si="99"/>
        <v>2.6243160613909602</v>
      </c>
      <c r="AV759" s="1">
        <f t="shared" si="100"/>
        <v>1.9322096747624979</v>
      </c>
      <c r="AW759" s="1">
        <f t="shared" si="101"/>
        <v>1.2401032881340355</v>
      </c>
    </row>
    <row r="760" spans="1:49" x14ac:dyDescent="0.2">
      <c r="A760">
        <v>758</v>
      </c>
      <c r="B760" t="s">
        <v>799</v>
      </c>
      <c r="C760" t="s">
        <v>798</v>
      </c>
      <c r="D760" t="s">
        <v>797</v>
      </c>
      <c r="F760" t="s">
        <v>796</v>
      </c>
      <c r="G760" t="s">
        <v>15</v>
      </c>
      <c r="H760" t="s">
        <v>14</v>
      </c>
      <c r="I760" t="s">
        <v>795</v>
      </c>
      <c r="J760">
        <v>60030127</v>
      </c>
      <c r="K760" t="s">
        <v>794</v>
      </c>
      <c r="L760" t="s">
        <v>793</v>
      </c>
      <c r="M760" t="s">
        <v>792</v>
      </c>
      <c r="N760">
        <v>1</v>
      </c>
      <c r="O760" t="s">
        <v>791</v>
      </c>
      <c r="P760">
        <v>57084504900</v>
      </c>
      <c r="Q760">
        <v>60030127</v>
      </c>
      <c r="R760" s="7">
        <v>32509</v>
      </c>
      <c r="S760" s="8">
        <f t="shared" si="96"/>
        <v>1989</v>
      </c>
      <c r="T760" s="8">
        <v>1989</v>
      </c>
      <c r="U760" s="8">
        <f t="shared" si="97"/>
        <v>33</v>
      </c>
      <c r="V760" s="7">
        <v>32509</v>
      </c>
      <c r="W760" t="s">
        <v>464</v>
      </c>
      <c r="X760" s="2">
        <v>1.1339999999999999</v>
      </c>
      <c r="Y760" s="6">
        <f t="shared" si="94"/>
        <v>3.0271482341635299E-2</v>
      </c>
      <c r="AA760">
        <v>945765</v>
      </c>
      <c r="AB760">
        <v>12372</v>
      </c>
      <c r="AD760" t="s">
        <v>5</v>
      </c>
      <c r="AE760">
        <v>19</v>
      </c>
      <c r="AF760">
        <v>1</v>
      </c>
      <c r="AH760" t="s">
        <v>790</v>
      </c>
      <c r="AI760" t="s">
        <v>789</v>
      </c>
      <c r="AK760" t="s">
        <v>788</v>
      </c>
      <c r="AL760">
        <v>0</v>
      </c>
      <c r="AM760" s="5">
        <f t="shared" si="98"/>
        <v>0</v>
      </c>
      <c r="AN760" s="4">
        <f t="shared" si="95"/>
        <v>0</v>
      </c>
      <c r="AO760" s="3"/>
      <c r="AP760">
        <v>0</v>
      </c>
      <c r="AR760" t="s">
        <v>0</v>
      </c>
      <c r="AT760" s="2">
        <v>2.4129999999999998</v>
      </c>
      <c r="AU760" s="1">
        <f t="shared" si="99"/>
        <v>2.119003763914471</v>
      </c>
      <c r="AV760" s="1">
        <f t="shared" si="100"/>
        <v>1.5135741170817649</v>
      </c>
      <c r="AW760" s="1">
        <f t="shared" si="101"/>
        <v>0.90814447024905898</v>
      </c>
    </row>
    <row r="761" spans="1:49" x14ac:dyDescent="0.2">
      <c r="A761">
        <v>759</v>
      </c>
      <c r="B761" t="s">
        <v>787</v>
      </c>
      <c r="C761" t="s">
        <v>786</v>
      </c>
      <c r="F761" t="s">
        <v>785</v>
      </c>
      <c r="G761" t="s">
        <v>15</v>
      </c>
      <c r="H761" t="s">
        <v>14</v>
      </c>
      <c r="I761" t="s">
        <v>784</v>
      </c>
      <c r="J761">
        <v>60102562</v>
      </c>
      <c r="K761" t="s">
        <v>783</v>
      </c>
      <c r="L761" t="s">
        <v>782</v>
      </c>
      <c r="M761" t="s">
        <v>23</v>
      </c>
      <c r="N761">
        <v>2</v>
      </c>
      <c r="O761" t="s">
        <v>781</v>
      </c>
      <c r="P761" t="s">
        <v>780</v>
      </c>
      <c r="Q761" t="s">
        <v>779</v>
      </c>
      <c r="R761" s="7">
        <v>32509</v>
      </c>
      <c r="S761" s="8">
        <f t="shared" si="96"/>
        <v>1989</v>
      </c>
      <c r="T761" s="8">
        <v>1989</v>
      </c>
      <c r="U761" s="8">
        <f t="shared" si="97"/>
        <v>33</v>
      </c>
      <c r="V761" s="7">
        <v>32509</v>
      </c>
      <c r="W761" t="s">
        <v>778</v>
      </c>
      <c r="X761" s="2">
        <v>1.6519999999999999</v>
      </c>
      <c r="Y761" s="6">
        <f t="shared" si="94"/>
        <v>4.409919649769093E-2</v>
      </c>
      <c r="AA761" t="s">
        <v>777</v>
      </c>
      <c r="AB761">
        <v>17337</v>
      </c>
      <c r="AC761">
        <v>15582221</v>
      </c>
      <c r="AD761" t="s">
        <v>5</v>
      </c>
      <c r="AE761">
        <v>37</v>
      </c>
      <c r="AF761">
        <v>1</v>
      </c>
      <c r="AH761" t="s">
        <v>776</v>
      </c>
      <c r="AI761" t="s">
        <v>775</v>
      </c>
      <c r="AK761" t="s">
        <v>774</v>
      </c>
      <c r="AL761">
        <v>78</v>
      </c>
      <c r="AM761" s="5">
        <f t="shared" si="98"/>
        <v>2.3636363636363638</v>
      </c>
      <c r="AN761" s="4">
        <f t="shared" si="95"/>
        <v>3.5799111906646935E-3</v>
      </c>
      <c r="AO761" s="3"/>
      <c r="AP761">
        <v>0</v>
      </c>
      <c r="AR761" t="s">
        <v>0</v>
      </c>
      <c r="AT761" s="2" t="s">
        <v>19</v>
      </c>
      <c r="AU761" s="1">
        <f t="shared" si="99"/>
        <v>3.1943410905583058</v>
      </c>
      <c r="AV761" s="1">
        <f t="shared" si="100"/>
        <v>2.383955384417781</v>
      </c>
      <c r="AW761" s="1">
        <f t="shared" si="101"/>
        <v>1.5735696782772561</v>
      </c>
    </row>
    <row r="762" spans="1:49" x14ac:dyDescent="0.2">
      <c r="A762">
        <v>760</v>
      </c>
      <c r="B762" t="s">
        <v>773</v>
      </c>
      <c r="C762" t="s">
        <v>772</v>
      </c>
      <c r="F762" t="s">
        <v>771</v>
      </c>
      <c r="G762" t="s">
        <v>15</v>
      </c>
      <c r="H762" t="s">
        <v>14</v>
      </c>
      <c r="I762" t="s">
        <v>770</v>
      </c>
      <c r="J762">
        <v>60000745</v>
      </c>
      <c r="K762" t="s">
        <v>769</v>
      </c>
      <c r="L762" t="s">
        <v>768</v>
      </c>
      <c r="M762" t="s">
        <v>23</v>
      </c>
      <c r="N762">
        <v>2</v>
      </c>
      <c r="O762" t="s">
        <v>767</v>
      </c>
      <c r="P762" t="s">
        <v>766</v>
      </c>
      <c r="Q762" t="s">
        <v>765</v>
      </c>
      <c r="R762" s="7">
        <v>32509</v>
      </c>
      <c r="S762" s="8">
        <f t="shared" si="96"/>
        <v>1989</v>
      </c>
      <c r="T762" s="8">
        <v>1989</v>
      </c>
      <c r="U762" s="8">
        <f t="shared" si="97"/>
        <v>33</v>
      </c>
      <c r="V762" s="7">
        <v>32509</v>
      </c>
      <c r="W762" t="s">
        <v>764</v>
      </c>
      <c r="X762" s="2">
        <v>1.159</v>
      </c>
      <c r="Y762" s="6">
        <f t="shared" si="94"/>
        <v>3.093884306345266E-2</v>
      </c>
      <c r="AA762">
        <v>8853010</v>
      </c>
      <c r="AB762">
        <v>12998</v>
      </c>
      <c r="AD762" t="s">
        <v>5</v>
      </c>
      <c r="AE762">
        <v>36</v>
      </c>
      <c r="AF762">
        <v>1</v>
      </c>
      <c r="AH762" s="9">
        <v>44442</v>
      </c>
      <c r="AI762" t="s">
        <v>763</v>
      </c>
      <c r="AK762" t="s">
        <v>762</v>
      </c>
      <c r="AL762">
        <v>34</v>
      </c>
      <c r="AM762" s="5">
        <f t="shared" si="98"/>
        <v>1.0303030303030303</v>
      </c>
      <c r="AN762" s="4">
        <f t="shared" si="95"/>
        <v>1.5604741087512765E-3</v>
      </c>
      <c r="AO762" s="3"/>
      <c r="AP762">
        <v>0</v>
      </c>
      <c r="AQ762" t="s">
        <v>761</v>
      </c>
      <c r="AR762" t="s">
        <v>760</v>
      </c>
      <c r="AS762" t="s">
        <v>759</v>
      </c>
      <c r="AT762" s="2" t="s">
        <v>19</v>
      </c>
      <c r="AU762" s="1">
        <f t="shared" si="99"/>
        <v>2.2125332377042244</v>
      </c>
      <c r="AV762" s="1">
        <f t="shared" si="100"/>
        <v>1.6249658586101969</v>
      </c>
      <c r="AW762" s="1">
        <f t="shared" si="101"/>
        <v>1.0373984795161693</v>
      </c>
    </row>
    <row r="763" spans="1:49" x14ac:dyDescent="0.2">
      <c r="A763">
        <v>761</v>
      </c>
      <c r="B763" t="s">
        <v>758</v>
      </c>
      <c r="C763" t="s">
        <v>757</v>
      </c>
      <c r="D763">
        <v>20089189900134</v>
      </c>
      <c r="E763">
        <v>11539754</v>
      </c>
      <c r="F763" t="s">
        <v>756</v>
      </c>
      <c r="G763" t="s">
        <v>15</v>
      </c>
      <c r="H763" t="s">
        <v>14</v>
      </c>
      <c r="I763" t="s">
        <v>755</v>
      </c>
      <c r="J763">
        <v>60029392</v>
      </c>
      <c r="K763" t="s">
        <v>754</v>
      </c>
      <c r="L763" t="s">
        <v>403</v>
      </c>
      <c r="M763" t="s">
        <v>23</v>
      </c>
      <c r="N763">
        <v>3</v>
      </c>
      <c r="O763" t="s">
        <v>753</v>
      </c>
      <c r="P763" t="s">
        <v>752</v>
      </c>
      <c r="Q763" t="s">
        <v>751</v>
      </c>
      <c r="R763" s="7">
        <v>32509</v>
      </c>
      <c r="S763" s="8">
        <f t="shared" si="96"/>
        <v>1989</v>
      </c>
      <c r="T763" s="8">
        <v>1989</v>
      </c>
      <c r="U763" s="8">
        <f t="shared" si="97"/>
        <v>33</v>
      </c>
      <c r="V763" s="7">
        <v>32509</v>
      </c>
      <c r="W763" t="s">
        <v>750</v>
      </c>
      <c r="X763" s="2" t="s">
        <v>19</v>
      </c>
      <c r="Y763" s="6" t="e">
        <f t="shared" si="94"/>
        <v>#VALUE!</v>
      </c>
      <c r="AA763">
        <v>200891</v>
      </c>
      <c r="AB763">
        <v>33360</v>
      </c>
      <c r="AD763" t="s">
        <v>5</v>
      </c>
      <c r="AE763">
        <v>29</v>
      </c>
      <c r="AF763">
        <v>1</v>
      </c>
      <c r="AH763" t="s">
        <v>749</v>
      </c>
      <c r="AI763" t="s">
        <v>748</v>
      </c>
      <c r="AK763" t="s">
        <v>747</v>
      </c>
      <c r="AL763">
        <v>34</v>
      </c>
      <c r="AM763" s="5">
        <f t="shared" si="98"/>
        <v>1.0303030303030303</v>
      </c>
      <c r="AN763" s="4">
        <f t="shared" si="95"/>
        <v>1.5604741087512765E-3</v>
      </c>
      <c r="AO763" s="3"/>
      <c r="AP763">
        <v>0</v>
      </c>
      <c r="AQ763" t="s">
        <v>746</v>
      </c>
      <c r="AR763" t="s">
        <v>745</v>
      </c>
      <c r="AS763" t="s">
        <v>744</v>
      </c>
      <c r="AT763" s="2" t="s">
        <v>19</v>
      </c>
      <c r="AU763" s="1" t="e">
        <f t="shared" si="99"/>
        <v>#VALUE!</v>
      </c>
      <c r="AV763" s="1" t="e">
        <f t="shared" si="100"/>
        <v>#VALUE!</v>
      </c>
      <c r="AW763" s="1" t="e">
        <f t="shared" si="101"/>
        <v>#VALUE!</v>
      </c>
    </row>
    <row r="764" spans="1:49" x14ac:dyDescent="0.2">
      <c r="A764">
        <v>762</v>
      </c>
      <c r="B764" t="s">
        <v>743</v>
      </c>
      <c r="C764" t="s">
        <v>742</v>
      </c>
      <c r="D764" t="s">
        <v>741</v>
      </c>
      <c r="F764" t="s">
        <v>740</v>
      </c>
      <c r="G764" t="s">
        <v>15</v>
      </c>
      <c r="H764" t="s">
        <v>14</v>
      </c>
      <c r="I764" t="s">
        <v>739</v>
      </c>
      <c r="J764">
        <v>60003467</v>
      </c>
      <c r="K764" t="s">
        <v>738</v>
      </c>
      <c r="L764" t="s">
        <v>737</v>
      </c>
      <c r="M764" t="s">
        <v>23</v>
      </c>
      <c r="N764">
        <v>2</v>
      </c>
      <c r="O764" t="s">
        <v>736</v>
      </c>
      <c r="P764" t="s">
        <v>735</v>
      </c>
      <c r="Q764" t="s">
        <v>734</v>
      </c>
      <c r="R764" s="7">
        <v>32509</v>
      </c>
      <c r="S764" s="8">
        <f t="shared" si="96"/>
        <v>1989</v>
      </c>
      <c r="T764" s="8">
        <v>1989</v>
      </c>
      <c r="U764" s="8">
        <f t="shared" si="97"/>
        <v>33</v>
      </c>
      <c r="V764" s="7">
        <v>32540</v>
      </c>
      <c r="W764" t="s">
        <v>733</v>
      </c>
      <c r="X764" s="2">
        <v>3.6110000000000002</v>
      </c>
      <c r="Y764" s="6">
        <f t="shared" si="94"/>
        <v>9.639358265929901E-2</v>
      </c>
      <c r="AA764">
        <v>344257</v>
      </c>
      <c r="AB764">
        <v>12503</v>
      </c>
      <c r="AD764" t="s">
        <v>5</v>
      </c>
      <c r="AE764">
        <v>27</v>
      </c>
      <c r="AF764">
        <v>2</v>
      </c>
      <c r="AH764" t="s">
        <v>732</v>
      </c>
      <c r="AI764" t="s">
        <v>731</v>
      </c>
      <c r="AK764" t="s">
        <v>730</v>
      </c>
      <c r="AL764">
        <v>0</v>
      </c>
      <c r="AM764" s="5">
        <f t="shared" si="98"/>
        <v>0</v>
      </c>
      <c r="AN764" s="4">
        <f t="shared" si="95"/>
        <v>0</v>
      </c>
      <c r="AO764" s="3"/>
      <c r="AP764">
        <v>0</v>
      </c>
      <c r="AR764" t="s">
        <v>0</v>
      </c>
      <c r="AT764" s="2">
        <v>10.164</v>
      </c>
      <c r="AU764" s="1">
        <f t="shared" si="99"/>
        <v>6.7475507861509296</v>
      </c>
      <c r="AV764" s="1">
        <f t="shared" si="100"/>
        <v>4.8196791329649509</v>
      </c>
      <c r="AW764" s="1">
        <f t="shared" si="101"/>
        <v>2.8918074797789699</v>
      </c>
    </row>
    <row r="765" spans="1:49" x14ac:dyDescent="0.2">
      <c r="A765">
        <v>763</v>
      </c>
      <c r="B765" t="s">
        <v>729</v>
      </c>
      <c r="C765" t="s">
        <v>728</v>
      </c>
      <c r="E765">
        <v>2551687</v>
      </c>
      <c r="F765" t="s">
        <v>727</v>
      </c>
      <c r="G765" t="s">
        <v>15</v>
      </c>
      <c r="H765" t="s">
        <v>14</v>
      </c>
      <c r="I765" t="s">
        <v>726</v>
      </c>
      <c r="J765" t="s">
        <v>725</v>
      </c>
      <c r="K765" t="s">
        <v>724</v>
      </c>
      <c r="L765" t="s">
        <v>723</v>
      </c>
      <c r="M765" t="s">
        <v>722</v>
      </c>
      <c r="N765">
        <v>5</v>
      </c>
      <c r="O765" t="s">
        <v>721</v>
      </c>
      <c r="P765" t="s">
        <v>720</v>
      </c>
      <c r="Q765" t="s">
        <v>719</v>
      </c>
      <c r="R765" s="7">
        <v>32509</v>
      </c>
      <c r="S765" s="8">
        <f t="shared" si="96"/>
        <v>1989</v>
      </c>
      <c r="T765" s="8">
        <v>1989</v>
      </c>
      <c r="U765" s="8">
        <f t="shared" si="97"/>
        <v>33</v>
      </c>
      <c r="V765" s="7">
        <v>32752</v>
      </c>
      <c r="W765" t="s">
        <v>718</v>
      </c>
      <c r="X765" s="2">
        <v>1.9810000000000001</v>
      </c>
      <c r="Y765" s="6">
        <f t="shared" si="94"/>
        <v>5.2881663596807349E-2</v>
      </c>
      <c r="AA765">
        <v>142956</v>
      </c>
      <c r="AB765">
        <v>39034</v>
      </c>
      <c r="AC765">
        <v>14321033</v>
      </c>
      <c r="AD765" t="s">
        <v>5</v>
      </c>
      <c r="AE765">
        <v>184</v>
      </c>
      <c r="AF765">
        <v>2</v>
      </c>
      <c r="AH765" t="s">
        <v>717</v>
      </c>
      <c r="AI765" t="s">
        <v>716</v>
      </c>
      <c r="AK765" t="s">
        <v>715</v>
      </c>
      <c r="AL765">
        <v>60</v>
      </c>
      <c r="AM765" s="5">
        <f t="shared" si="98"/>
        <v>1.8181818181818181</v>
      </c>
      <c r="AN765" s="4">
        <f t="shared" si="95"/>
        <v>2.7537778389728406E-3</v>
      </c>
      <c r="AO765" s="3"/>
      <c r="AP765">
        <v>1</v>
      </c>
      <c r="AR765" t="s">
        <v>0</v>
      </c>
      <c r="AT765" s="2" t="s">
        <v>19</v>
      </c>
      <c r="AU765" s="1">
        <f t="shared" si="99"/>
        <v>3.7843297869456989</v>
      </c>
      <c r="AV765" s="1">
        <f t="shared" si="100"/>
        <v>2.7817720717890095</v>
      </c>
      <c r="AW765" s="1">
        <f t="shared" si="101"/>
        <v>1.7792143566323193</v>
      </c>
    </row>
    <row r="766" spans="1:49" x14ac:dyDescent="0.2">
      <c r="A766">
        <v>764</v>
      </c>
      <c r="B766" t="s">
        <v>714</v>
      </c>
      <c r="C766" t="s">
        <v>713</v>
      </c>
      <c r="E766">
        <v>2507455</v>
      </c>
      <c r="F766" t="s">
        <v>712</v>
      </c>
      <c r="G766" t="s">
        <v>15</v>
      </c>
      <c r="H766" t="s">
        <v>14</v>
      </c>
      <c r="I766" t="s">
        <v>711</v>
      </c>
      <c r="J766" t="s">
        <v>710</v>
      </c>
      <c r="K766" t="s">
        <v>709</v>
      </c>
      <c r="L766" t="s">
        <v>708</v>
      </c>
      <c r="M766" t="s">
        <v>707</v>
      </c>
      <c r="N766">
        <v>6</v>
      </c>
      <c r="O766" t="s">
        <v>706</v>
      </c>
      <c r="P766" t="s">
        <v>705</v>
      </c>
      <c r="Q766" t="s">
        <v>704</v>
      </c>
      <c r="R766" s="7">
        <v>32509</v>
      </c>
      <c r="S766" s="8">
        <f t="shared" si="96"/>
        <v>1989</v>
      </c>
      <c r="T766" s="8">
        <v>1989</v>
      </c>
      <c r="U766" s="8">
        <f t="shared" si="97"/>
        <v>33</v>
      </c>
      <c r="V766" s="7">
        <v>32796</v>
      </c>
      <c r="W766" t="s">
        <v>703</v>
      </c>
      <c r="X766" s="2">
        <v>2.4750000000000001</v>
      </c>
      <c r="Y766" s="6">
        <f t="shared" si="94"/>
        <v>6.6068711459918314E-2</v>
      </c>
      <c r="AA766">
        <v>207136</v>
      </c>
      <c r="AB766">
        <v>29873</v>
      </c>
      <c r="AC766">
        <v>10970215</v>
      </c>
      <c r="AD766" t="s">
        <v>5</v>
      </c>
      <c r="AE766">
        <v>44</v>
      </c>
      <c r="AF766">
        <v>4</v>
      </c>
      <c r="AH766" t="s">
        <v>702</v>
      </c>
      <c r="AI766" t="s">
        <v>701</v>
      </c>
      <c r="AK766" t="s">
        <v>700</v>
      </c>
      <c r="AL766">
        <v>68</v>
      </c>
      <c r="AM766" s="5">
        <f t="shared" si="98"/>
        <v>2.0606060606060606</v>
      </c>
      <c r="AN766" s="4">
        <f t="shared" si="95"/>
        <v>3.120948217502553E-3</v>
      </c>
      <c r="AO766" s="3"/>
      <c r="AP766">
        <v>0</v>
      </c>
      <c r="AR766" t="s">
        <v>0</v>
      </c>
      <c r="AT766" s="2">
        <v>7.3959999999999999</v>
      </c>
      <c r="AU766" s="1">
        <f t="shared" si="99"/>
        <v>4.7184382487193579</v>
      </c>
      <c r="AV766" s="1">
        <f t="shared" si="100"/>
        <v>3.4594829838710437</v>
      </c>
      <c r="AW766" s="1">
        <f t="shared" si="101"/>
        <v>2.2005277190227281</v>
      </c>
    </row>
    <row r="767" spans="1:49" x14ac:dyDescent="0.2">
      <c r="A767">
        <v>765</v>
      </c>
      <c r="B767" t="s">
        <v>699</v>
      </c>
      <c r="C767" t="s">
        <v>698</v>
      </c>
      <c r="E767">
        <v>2656732</v>
      </c>
      <c r="F767" t="s">
        <v>697</v>
      </c>
      <c r="G767" t="s">
        <v>15</v>
      </c>
      <c r="H767" t="s">
        <v>14</v>
      </c>
      <c r="I767" t="s">
        <v>696</v>
      </c>
      <c r="J767" t="s">
        <v>695</v>
      </c>
      <c r="K767" t="s">
        <v>694</v>
      </c>
      <c r="L767" t="s">
        <v>693</v>
      </c>
      <c r="M767" t="s">
        <v>86</v>
      </c>
      <c r="N767">
        <v>5</v>
      </c>
      <c r="O767" t="s">
        <v>692</v>
      </c>
      <c r="P767" t="s">
        <v>691</v>
      </c>
      <c r="Q767" t="s">
        <v>690</v>
      </c>
      <c r="R767" s="7">
        <v>32509</v>
      </c>
      <c r="S767" s="8">
        <f t="shared" si="96"/>
        <v>1989</v>
      </c>
      <c r="T767" s="8">
        <v>1989</v>
      </c>
      <c r="U767" s="8">
        <f t="shared" si="97"/>
        <v>33</v>
      </c>
      <c r="V767" s="7">
        <v>32660</v>
      </c>
      <c r="W767" t="s">
        <v>689</v>
      </c>
      <c r="X767" s="2">
        <v>2.206</v>
      </c>
      <c r="Y767" s="6">
        <f t="shared" si="94"/>
        <v>5.8887910093163555E-2</v>
      </c>
      <c r="AA767" t="s">
        <v>688</v>
      </c>
      <c r="AB767">
        <v>26159</v>
      </c>
      <c r="AC767">
        <v>19457197</v>
      </c>
      <c r="AD767" t="s">
        <v>5</v>
      </c>
      <c r="AE767">
        <v>68</v>
      </c>
      <c r="AF767">
        <v>6</v>
      </c>
      <c r="AH767" t="s">
        <v>687</v>
      </c>
      <c r="AI767" t="s">
        <v>686</v>
      </c>
      <c r="AK767" t="s">
        <v>685</v>
      </c>
      <c r="AL767">
        <v>9</v>
      </c>
      <c r="AM767" s="5">
        <f t="shared" si="98"/>
        <v>0.27272727272727271</v>
      </c>
      <c r="AN767" s="4">
        <f t="shared" si="95"/>
        <v>4.1306667584592612E-4</v>
      </c>
      <c r="AO767" s="3"/>
      <c r="AP767">
        <v>0</v>
      </c>
      <c r="AQ767" t="s">
        <v>684</v>
      </c>
      <c r="AR767" t="s">
        <v>683</v>
      </c>
      <c r="AS767" t="s">
        <v>682</v>
      </c>
      <c r="AT767" s="2" t="s">
        <v>19</v>
      </c>
      <c r="AU767" s="1">
        <f t="shared" si="99"/>
        <v>4.1345457067968265</v>
      </c>
      <c r="AV767" s="1">
        <f t="shared" si="100"/>
        <v>2.9650488384504738</v>
      </c>
      <c r="AW767" s="1">
        <f t="shared" si="101"/>
        <v>1.7955519701041214</v>
      </c>
    </row>
    <row r="768" spans="1:49" x14ac:dyDescent="0.2">
      <c r="A768">
        <v>766</v>
      </c>
      <c r="B768" t="s">
        <v>681</v>
      </c>
      <c r="C768" t="s">
        <v>680</v>
      </c>
      <c r="E768">
        <v>2500336</v>
      </c>
      <c r="F768" t="s">
        <v>679</v>
      </c>
      <c r="G768" t="s">
        <v>15</v>
      </c>
      <c r="H768" t="s">
        <v>14</v>
      </c>
      <c r="I768" t="s">
        <v>678</v>
      </c>
      <c r="J768" t="s">
        <v>677</v>
      </c>
      <c r="K768" t="s">
        <v>676</v>
      </c>
      <c r="L768" t="s">
        <v>675</v>
      </c>
      <c r="M768" t="s">
        <v>86</v>
      </c>
      <c r="N768">
        <v>3</v>
      </c>
      <c r="O768" t="s">
        <v>674</v>
      </c>
      <c r="P768" t="s">
        <v>673</v>
      </c>
      <c r="Q768" t="s">
        <v>672</v>
      </c>
      <c r="R768" s="7">
        <v>32509</v>
      </c>
      <c r="S768" s="8">
        <f t="shared" si="96"/>
        <v>1989</v>
      </c>
      <c r="T768" s="8">
        <v>1989</v>
      </c>
      <c r="U768" s="8">
        <f t="shared" si="97"/>
        <v>33</v>
      </c>
      <c r="V768" s="7">
        <v>1989</v>
      </c>
      <c r="W768" t="s">
        <v>671</v>
      </c>
      <c r="X768" s="2">
        <v>1</v>
      </c>
      <c r="Y768" s="6">
        <f t="shared" si="94"/>
        <v>2.669442887269427E-2</v>
      </c>
      <c r="AA768">
        <v>8936692</v>
      </c>
      <c r="AB768">
        <v>22099</v>
      </c>
      <c r="AC768">
        <v>10982280</v>
      </c>
      <c r="AD768" t="s">
        <v>5</v>
      </c>
      <c r="AE768">
        <v>13</v>
      </c>
      <c r="AF768">
        <v>4</v>
      </c>
      <c r="AH768" t="s">
        <v>670</v>
      </c>
      <c r="AI768" t="s">
        <v>669</v>
      </c>
      <c r="AJ768" t="s">
        <v>668</v>
      </c>
      <c r="AK768" t="s">
        <v>667</v>
      </c>
      <c r="AL768">
        <v>37</v>
      </c>
      <c r="AM768" s="5">
        <f t="shared" si="98"/>
        <v>1.1212121212121211</v>
      </c>
      <c r="AN768" s="4">
        <f t="shared" si="95"/>
        <v>1.6981630006999184E-3</v>
      </c>
      <c r="AO768" s="3"/>
      <c r="AP768">
        <v>0</v>
      </c>
      <c r="AR768" t="s">
        <v>0</v>
      </c>
      <c r="AT768" s="2" t="s">
        <v>19</v>
      </c>
      <c r="AU768" s="1">
        <f t="shared" si="99"/>
        <v>1.9195549111095962</v>
      </c>
      <c r="AV768" s="1">
        <f t="shared" si="100"/>
        <v>1.4196295936697094</v>
      </c>
      <c r="AW768" s="1">
        <f t="shared" si="101"/>
        <v>0.91970427622982232</v>
      </c>
    </row>
    <row r="769" spans="1:49" x14ac:dyDescent="0.2">
      <c r="A769">
        <v>767</v>
      </c>
      <c r="B769" t="s">
        <v>666</v>
      </c>
      <c r="C769" t="s">
        <v>665</v>
      </c>
      <c r="E769">
        <v>2746053</v>
      </c>
      <c r="F769" t="s">
        <v>664</v>
      </c>
      <c r="G769" t="s">
        <v>15</v>
      </c>
      <c r="H769" t="s">
        <v>14</v>
      </c>
      <c r="I769" t="s">
        <v>663</v>
      </c>
      <c r="J769">
        <v>60007474</v>
      </c>
      <c r="K769" t="s">
        <v>662</v>
      </c>
      <c r="L769" t="s">
        <v>661</v>
      </c>
      <c r="M769" t="s">
        <v>23</v>
      </c>
      <c r="N769">
        <v>6</v>
      </c>
      <c r="O769" t="s">
        <v>660</v>
      </c>
      <c r="P769" t="s">
        <v>659</v>
      </c>
      <c r="Q769" t="s">
        <v>658</v>
      </c>
      <c r="R769" s="7">
        <v>32509</v>
      </c>
      <c r="S769" s="8">
        <f t="shared" si="96"/>
        <v>1989</v>
      </c>
      <c r="T769" s="8">
        <v>1989</v>
      </c>
      <c r="U769" s="8">
        <f t="shared" si="97"/>
        <v>33</v>
      </c>
      <c r="V769" s="7">
        <v>1989</v>
      </c>
      <c r="W769" t="s">
        <v>623</v>
      </c>
      <c r="X769" s="2">
        <v>0.89600000000000002</v>
      </c>
      <c r="Y769" s="6">
        <f t="shared" si="94"/>
        <v>2.3918208269934065E-2</v>
      </c>
      <c r="AA769">
        <v>2656736</v>
      </c>
      <c r="AB769">
        <v>29901</v>
      </c>
      <c r="AD769" t="s">
        <v>5</v>
      </c>
      <c r="AE769">
        <v>5</v>
      </c>
      <c r="AF769">
        <v>4</v>
      </c>
      <c r="AH769" t="s">
        <v>657</v>
      </c>
      <c r="AI769" t="s">
        <v>656</v>
      </c>
      <c r="AJ769" t="s">
        <v>655</v>
      </c>
      <c r="AK769" t="s">
        <v>654</v>
      </c>
      <c r="AL769">
        <v>13</v>
      </c>
      <c r="AM769" s="5">
        <f t="shared" si="98"/>
        <v>0.39393939393939392</v>
      </c>
      <c r="AN769" s="4">
        <f t="shared" si="95"/>
        <v>5.9665186511078218E-4</v>
      </c>
      <c r="AO769" s="3"/>
      <c r="AP769">
        <v>0</v>
      </c>
      <c r="AQ769" t="s">
        <v>635</v>
      </c>
      <c r="AR769" t="s">
        <v>653</v>
      </c>
      <c r="AS769" t="s">
        <v>633</v>
      </c>
      <c r="AT769" s="2">
        <v>3.9140000000000001</v>
      </c>
      <c r="AU769" s="1">
        <f t="shared" si="99"/>
        <v>1.6921741348487076</v>
      </c>
      <c r="AV769" s="1">
        <f t="shared" si="100"/>
        <v>1.2257430067522423</v>
      </c>
      <c r="AW769" s="1">
        <f t="shared" si="101"/>
        <v>0.75931187865577665</v>
      </c>
    </row>
    <row r="770" spans="1:49" x14ac:dyDescent="0.2">
      <c r="A770">
        <v>768</v>
      </c>
      <c r="B770" t="s">
        <v>652</v>
      </c>
      <c r="C770" t="s">
        <v>651</v>
      </c>
      <c r="D770" t="s">
        <v>650</v>
      </c>
      <c r="E770">
        <v>2722595</v>
      </c>
      <c r="F770" t="s">
        <v>649</v>
      </c>
      <c r="G770" t="s">
        <v>15</v>
      </c>
      <c r="H770" t="s">
        <v>14</v>
      </c>
      <c r="I770" t="s">
        <v>648</v>
      </c>
      <c r="J770" t="s">
        <v>647</v>
      </c>
      <c r="K770" t="s">
        <v>646</v>
      </c>
      <c r="L770" t="s">
        <v>645</v>
      </c>
      <c r="M770" t="s">
        <v>644</v>
      </c>
      <c r="N770">
        <v>7</v>
      </c>
      <c r="O770" t="s">
        <v>643</v>
      </c>
      <c r="P770" t="s">
        <v>642</v>
      </c>
      <c r="Q770" t="s">
        <v>641</v>
      </c>
      <c r="R770" s="7">
        <v>32509</v>
      </c>
      <c r="S770" s="8">
        <f t="shared" si="96"/>
        <v>1989</v>
      </c>
      <c r="T770" s="8">
        <v>1989</v>
      </c>
      <c r="U770" s="8">
        <f t="shared" si="97"/>
        <v>33</v>
      </c>
      <c r="V770" s="7">
        <v>32660</v>
      </c>
      <c r="W770" t="s">
        <v>640</v>
      </c>
      <c r="X770" s="2" t="s">
        <v>19</v>
      </c>
      <c r="Y770" s="6" t="e">
        <f t="shared" ref="Y770:Y815" si="102">(X770-$Z$4)/($Z$3-$Z$4)</f>
        <v>#VALUE!</v>
      </c>
      <c r="AA770">
        <v>3603016</v>
      </c>
      <c r="AB770">
        <v>17191</v>
      </c>
      <c r="AD770" t="s">
        <v>5</v>
      </c>
      <c r="AE770">
        <v>16</v>
      </c>
      <c r="AF770">
        <v>6</v>
      </c>
      <c r="AH770" t="s">
        <v>639</v>
      </c>
      <c r="AI770" t="s">
        <v>638</v>
      </c>
      <c r="AJ770" t="s">
        <v>637</v>
      </c>
      <c r="AK770" t="s">
        <v>636</v>
      </c>
      <c r="AL770">
        <v>11</v>
      </c>
      <c r="AM770" s="5">
        <f t="shared" si="98"/>
        <v>0.33333333333333331</v>
      </c>
      <c r="AN770" s="4">
        <f t="shared" ref="AN770:AN815" si="103">(AM770-$AO$4)/($AO$3-$AO$4)</f>
        <v>5.048592704783541E-4</v>
      </c>
      <c r="AO770" s="3"/>
      <c r="AP770">
        <v>0</v>
      </c>
      <c r="AQ770" t="s">
        <v>635</v>
      </c>
      <c r="AR770" t="s">
        <v>634</v>
      </c>
      <c r="AS770" t="s">
        <v>633</v>
      </c>
      <c r="AT770" s="2" t="s">
        <v>19</v>
      </c>
      <c r="AU770" s="1" t="e">
        <f t="shared" si="99"/>
        <v>#VALUE!</v>
      </c>
      <c r="AV770" s="1" t="e">
        <f t="shared" si="100"/>
        <v>#VALUE!</v>
      </c>
      <c r="AW770" s="1" t="e">
        <f t="shared" si="101"/>
        <v>#VALUE!</v>
      </c>
    </row>
    <row r="771" spans="1:49" x14ac:dyDescent="0.2">
      <c r="A771">
        <v>769</v>
      </c>
      <c r="B771" t="s">
        <v>632</v>
      </c>
      <c r="C771" t="s">
        <v>631</v>
      </c>
      <c r="E771">
        <v>2592787</v>
      </c>
      <c r="F771" t="s">
        <v>630</v>
      </c>
      <c r="G771" t="s">
        <v>15</v>
      </c>
      <c r="H771" t="s">
        <v>14</v>
      </c>
      <c r="I771" t="s">
        <v>629</v>
      </c>
      <c r="J771">
        <v>60030443</v>
      </c>
      <c r="K771" t="s">
        <v>628</v>
      </c>
      <c r="L771" t="s">
        <v>627</v>
      </c>
      <c r="M771" t="s">
        <v>23</v>
      </c>
      <c r="N771">
        <v>4</v>
      </c>
      <c r="O771" t="s">
        <v>626</v>
      </c>
      <c r="P771" t="s">
        <v>625</v>
      </c>
      <c r="Q771" t="s">
        <v>624</v>
      </c>
      <c r="R771" s="7">
        <v>32509</v>
      </c>
      <c r="S771" s="8">
        <f t="shared" si="96"/>
        <v>1989</v>
      </c>
      <c r="T771" s="8">
        <v>1989</v>
      </c>
      <c r="U771" s="8">
        <f t="shared" si="97"/>
        <v>33</v>
      </c>
      <c r="V771" s="7">
        <v>1989</v>
      </c>
      <c r="W771" t="s">
        <v>623</v>
      </c>
      <c r="X771" s="2">
        <v>0.89600000000000002</v>
      </c>
      <c r="Y771" s="6">
        <f t="shared" si="102"/>
        <v>2.3918208269934065E-2</v>
      </c>
      <c r="AA771">
        <v>2656736</v>
      </c>
      <c r="AB771">
        <v>29901</v>
      </c>
      <c r="AD771" t="s">
        <v>5</v>
      </c>
      <c r="AE771">
        <v>5</v>
      </c>
      <c r="AF771">
        <v>6</v>
      </c>
      <c r="AH771" t="s">
        <v>622</v>
      </c>
      <c r="AI771" t="s">
        <v>621</v>
      </c>
      <c r="AJ771" t="s">
        <v>620</v>
      </c>
      <c r="AK771" t="s">
        <v>619</v>
      </c>
      <c r="AL771">
        <v>27</v>
      </c>
      <c r="AM771" s="5">
        <f t="shared" si="98"/>
        <v>0.81818181818181823</v>
      </c>
      <c r="AN771" s="4">
        <f t="shared" si="103"/>
        <v>1.2392000275377785E-3</v>
      </c>
      <c r="AO771" s="3"/>
      <c r="AP771">
        <v>0</v>
      </c>
      <c r="AQ771" t="s">
        <v>618</v>
      </c>
      <c r="AR771" t="s">
        <v>617</v>
      </c>
      <c r="AS771" t="s">
        <v>616</v>
      </c>
      <c r="AT771" s="2">
        <v>3.9140000000000001</v>
      </c>
      <c r="AU771" s="1">
        <f t="shared" si="99"/>
        <v>1.7114505797215178</v>
      </c>
      <c r="AV771" s="1">
        <f t="shared" si="100"/>
        <v>1.257870414873592</v>
      </c>
      <c r="AW771" s="1">
        <f t="shared" si="101"/>
        <v>0.80429025002566634</v>
      </c>
    </row>
    <row r="772" spans="1:49" x14ac:dyDescent="0.2">
      <c r="A772">
        <v>770</v>
      </c>
      <c r="B772" t="s">
        <v>615</v>
      </c>
      <c r="C772" t="s">
        <v>614</v>
      </c>
      <c r="E772">
        <v>2770985</v>
      </c>
      <c r="F772" t="s">
        <v>613</v>
      </c>
      <c r="G772" t="s">
        <v>15</v>
      </c>
      <c r="H772" t="s">
        <v>14</v>
      </c>
      <c r="I772" t="s">
        <v>612</v>
      </c>
      <c r="J772">
        <v>60004123</v>
      </c>
      <c r="K772" t="s">
        <v>611</v>
      </c>
      <c r="L772" t="s">
        <v>610</v>
      </c>
      <c r="M772" t="s">
        <v>23</v>
      </c>
      <c r="N772">
        <v>7</v>
      </c>
      <c r="O772" t="s">
        <v>609</v>
      </c>
      <c r="P772" t="s">
        <v>608</v>
      </c>
      <c r="Q772" t="s">
        <v>607</v>
      </c>
      <c r="R772" s="7">
        <v>32509</v>
      </c>
      <c r="S772" s="8">
        <f t="shared" si="96"/>
        <v>1989</v>
      </c>
      <c r="T772" s="8">
        <v>1989</v>
      </c>
      <c r="U772" s="8">
        <f t="shared" si="97"/>
        <v>33</v>
      </c>
      <c r="V772" s="7">
        <v>1989</v>
      </c>
      <c r="W772" t="s">
        <v>606</v>
      </c>
      <c r="X772" s="2">
        <v>1.4550000000000001</v>
      </c>
      <c r="Y772" s="6">
        <f t="shared" si="102"/>
        <v>3.8840394009770164E-2</v>
      </c>
      <c r="AA772" t="s">
        <v>605</v>
      </c>
      <c r="AB772">
        <v>18069</v>
      </c>
      <c r="AD772" t="s">
        <v>5</v>
      </c>
      <c r="AE772">
        <v>25</v>
      </c>
      <c r="AF772">
        <v>2</v>
      </c>
      <c r="AH772" t="s">
        <v>604</v>
      </c>
      <c r="AI772" t="s">
        <v>603</v>
      </c>
      <c r="AK772" t="s">
        <v>602</v>
      </c>
      <c r="AL772">
        <v>2</v>
      </c>
      <c r="AM772" s="5">
        <f t="shared" si="98"/>
        <v>6.0606060606060608E-2</v>
      </c>
      <c r="AN772" s="4">
        <f t="shared" si="103"/>
        <v>9.1792594632428032E-5</v>
      </c>
      <c r="AO772" s="3"/>
      <c r="AP772">
        <v>0</v>
      </c>
      <c r="AR772" t="s">
        <v>0</v>
      </c>
      <c r="AT772" s="2">
        <v>4.6539999999999999</v>
      </c>
      <c r="AU772" s="1">
        <f t="shared" si="99"/>
        <v>2.7215813585228843</v>
      </c>
      <c r="AV772" s="1">
        <f t="shared" si="100"/>
        <v>1.9466093302201295</v>
      </c>
      <c r="AW772" s="1">
        <f t="shared" si="101"/>
        <v>1.1716373019173747</v>
      </c>
    </row>
    <row r="773" spans="1:49" x14ac:dyDescent="0.2">
      <c r="A773">
        <v>771</v>
      </c>
      <c r="B773" t="s">
        <v>601</v>
      </c>
      <c r="C773" t="s">
        <v>600</v>
      </c>
      <c r="F773" t="s">
        <v>599</v>
      </c>
      <c r="G773" t="s">
        <v>15</v>
      </c>
      <c r="H773" t="s">
        <v>14</v>
      </c>
      <c r="I773" t="s">
        <v>598</v>
      </c>
      <c r="J773" t="s">
        <v>587</v>
      </c>
      <c r="K773" t="s">
        <v>586</v>
      </c>
      <c r="L773" t="s">
        <v>585</v>
      </c>
      <c r="M773" t="s">
        <v>584</v>
      </c>
      <c r="N773">
        <v>5</v>
      </c>
      <c r="O773" t="s">
        <v>597</v>
      </c>
      <c r="P773" t="s">
        <v>596</v>
      </c>
      <c r="Q773" t="s">
        <v>595</v>
      </c>
      <c r="R773" s="7">
        <v>32509</v>
      </c>
      <c r="S773" s="8">
        <f t="shared" si="96"/>
        <v>1989</v>
      </c>
      <c r="T773" s="8">
        <v>1989</v>
      </c>
      <c r="U773" s="8">
        <f t="shared" si="97"/>
        <v>33</v>
      </c>
      <c r="V773" s="7">
        <v>32568</v>
      </c>
      <c r="W773" t="s">
        <v>580</v>
      </c>
      <c r="X773" s="2">
        <v>0.8</v>
      </c>
      <c r="Y773" s="6">
        <f t="shared" si="102"/>
        <v>2.1355543098155415E-2</v>
      </c>
      <c r="AA773">
        <v>3407594</v>
      </c>
      <c r="AB773">
        <v>23456</v>
      </c>
      <c r="AC773">
        <v>14321351</v>
      </c>
      <c r="AD773" t="s">
        <v>5</v>
      </c>
      <c r="AE773">
        <v>165</v>
      </c>
      <c r="AF773">
        <v>2</v>
      </c>
      <c r="AH773" t="s">
        <v>594</v>
      </c>
      <c r="AI773" t="s">
        <v>593</v>
      </c>
      <c r="AK773" t="s">
        <v>592</v>
      </c>
      <c r="AL773">
        <v>78</v>
      </c>
      <c r="AM773" s="5">
        <f t="shared" si="98"/>
        <v>2.3636363636363638</v>
      </c>
      <c r="AN773" s="4">
        <f t="shared" si="103"/>
        <v>3.5799111906646935E-3</v>
      </c>
      <c r="AO773" s="3"/>
      <c r="AP773">
        <v>0</v>
      </c>
      <c r="AR773" t="s">
        <v>0</v>
      </c>
      <c r="AT773" s="2" t="s">
        <v>19</v>
      </c>
      <c r="AU773" s="1">
        <f t="shared" si="99"/>
        <v>1.6022853525908198</v>
      </c>
      <c r="AV773" s="1">
        <f t="shared" si="100"/>
        <v>1.2467727144410055</v>
      </c>
      <c r="AW773" s="1">
        <f t="shared" si="101"/>
        <v>0.89126007629119108</v>
      </c>
    </row>
    <row r="774" spans="1:49" x14ac:dyDescent="0.2">
      <c r="A774">
        <v>772</v>
      </c>
      <c r="B774" t="s">
        <v>591</v>
      </c>
      <c r="C774" t="s">
        <v>590</v>
      </c>
      <c r="F774" t="s">
        <v>589</v>
      </c>
      <c r="G774" t="s">
        <v>15</v>
      </c>
      <c r="H774" t="s">
        <v>14</v>
      </c>
      <c r="I774" t="s">
        <v>588</v>
      </c>
      <c r="J774" t="s">
        <v>587</v>
      </c>
      <c r="K774" t="s">
        <v>586</v>
      </c>
      <c r="L774" t="s">
        <v>585</v>
      </c>
      <c r="M774" t="s">
        <v>584</v>
      </c>
      <c r="N774">
        <v>3</v>
      </c>
      <c r="O774" t="s">
        <v>583</v>
      </c>
      <c r="P774" t="s">
        <v>582</v>
      </c>
      <c r="Q774" t="s">
        <v>581</v>
      </c>
      <c r="R774" s="7">
        <v>32509</v>
      </c>
      <c r="S774" s="8">
        <f t="shared" si="96"/>
        <v>1989</v>
      </c>
      <c r="T774" s="8">
        <v>1989</v>
      </c>
      <c r="U774" s="8">
        <f t="shared" si="97"/>
        <v>33</v>
      </c>
      <c r="V774" s="7">
        <v>32568</v>
      </c>
      <c r="W774" t="s">
        <v>580</v>
      </c>
      <c r="X774" s="2">
        <v>0.8</v>
      </c>
      <c r="Y774" s="6">
        <f t="shared" si="102"/>
        <v>2.1355543098155415E-2</v>
      </c>
      <c r="AA774">
        <v>3407594</v>
      </c>
      <c r="AB774">
        <v>23456</v>
      </c>
      <c r="AC774">
        <v>14321351</v>
      </c>
      <c r="AD774" t="s">
        <v>5</v>
      </c>
      <c r="AE774">
        <v>165</v>
      </c>
      <c r="AF774">
        <v>2</v>
      </c>
      <c r="AH774" t="s">
        <v>579</v>
      </c>
      <c r="AI774" t="s">
        <v>578</v>
      </c>
      <c r="AK774" t="s">
        <v>577</v>
      </c>
      <c r="AL774">
        <v>50</v>
      </c>
      <c r="AM774" s="5">
        <f t="shared" si="98"/>
        <v>1.5151515151515151</v>
      </c>
      <c r="AN774" s="4">
        <f t="shared" si="103"/>
        <v>2.2948148658107005E-3</v>
      </c>
      <c r="AO774" s="3"/>
      <c r="AP774">
        <v>0</v>
      </c>
      <c r="AR774" t="s">
        <v>0</v>
      </c>
      <c r="AT774" s="2" t="s">
        <v>19</v>
      </c>
      <c r="AU774" s="1">
        <f t="shared" si="99"/>
        <v>1.5637324628452001</v>
      </c>
      <c r="AV774" s="1">
        <f t="shared" si="100"/>
        <v>1.1825178981983058</v>
      </c>
      <c r="AW774" s="1">
        <f t="shared" si="101"/>
        <v>0.80130333355141137</v>
      </c>
    </row>
    <row r="775" spans="1:49" x14ac:dyDescent="0.2">
      <c r="A775">
        <v>773</v>
      </c>
      <c r="B775" t="s">
        <v>576</v>
      </c>
      <c r="C775" t="s">
        <v>575</v>
      </c>
      <c r="F775" t="s">
        <v>574</v>
      </c>
      <c r="G775" t="s">
        <v>15</v>
      </c>
      <c r="H775" t="s">
        <v>14</v>
      </c>
      <c r="I775" t="s">
        <v>573</v>
      </c>
      <c r="J775" t="s">
        <v>572</v>
      </c>
      <c r="K775" t="s">
        <v>571</v>
      </c>
      <c r="L775" t="s">
        <v>570</v>
      </c>
      <c r="M775" t="s">
        <v>569</v>
      </c>
      <c r="N775">
        <v>3</v>
      </c>
      <c r="O775" t="s">
        <v>568</v>
      </c>
      <c r="P775" t="s">
        <v>567</v>
      </c>
      <c r="Q775" t="s">
        <v>566</v>
      </c>
      <c r="R775" s="7">
        <v>32509</v>
      </c>
      <c r="S775" s="8">
        <f t="shared" si="96"/>
        <v>1989</v>
      </c>
      <c r="T775" s="8">
        <v>1989</v>
      </c>
      <c r="U775" s="8">
        <f t="shared" si="97"/>
        <v>33</v>
      </c>
      <c r="V775" s="7">
        <v>32509</v>
      </c>
      <c r="W775" t="s">
        <v>565</v>
      </c>
      <c r="X775" s="2">
        <v>2.14</v>
      </c>
      <c r="Y775" s="6">
        <f t="shared" si="102"/>
        <v>5.7126077787565739E-2</v>
      </c>
      <c r="AA775">
        <v>7232632</v>
      </c>
      <c r="AB775">
        <v>26268</v>
      </c>
      <c r="AC775" t="s">
        <v>564</v>
      </c>
      <c r="AD775" t="s">
        <v>5</v>
      </c>
      <c r="AE775">
        <v>22</v>
      </c>
      <c r="AF775">
        <v>1</v>
      </c>
      <c r="AH775" s="10">
        <v>44927</v>
      </c>
      <c r="AI775" t="s">
        <v>563</v>
      </c>
      <c r="AK775" t="s">
        <v>562</v>
      </c>
      <c r="AL775">
        <v>46</v>
      </c>
      <c r="AM775" s="5">
        <f t="shared" si="98"/>
        <v>1.393939393939394</v>
      </c>
      <c r="AN775" s="4">
        <f t="shared" si="103"/>
        <v>2.111229676545845E-3</v>
      </c>
      <c r="AO775" s="3"/>
      <c r="AP775">
        <v>0</v>
      </c>
      <c r="AR775" t="s">
        <v>0</v>
      </c>
      <c r="AT775" s="2">
        <v>6.73</v>
      </c>
      <c r="AU775" s="1">
        <f t="shared" si="99"/>
        <v>4.0621623354259766</v>
      </c>
      <c r="AV775" s="1">
        <f t="shared" si="100"/>
        <v>2.9618653732055793</v>
      </c>
      <c r="AW775" s="1">
        <f t="shared" si="101"/>
        <v>1.8615684109851811</v>
      </c>
    </row>
    <row r="776" spans="1:49" x14ac:dyDescent="0.2">
      <c r="A776">
        <v>774</v>
      </c>
      <c r="B776" t="s">
        <v>561</v>
      </c>
      <c r="C776" t="s">
        <v>560</v>
      </c>
      <c r="F776" t="s">
        <v>559</v>
      </c>
      <c r="G776" t="s">
        <v>15</v>
      </c>
      <c r="H776" t="s">
        <v>14</v>
      </c>
      <c r="I776" t="s">
        <v>558</v>
      </c>
      <c r="J776" t="s">
        <v>557</v>
      </c>
      <c r="K776" t="s">
        <v>556</v>
      </c>
      <c r="L776" t="s">
        <v>555</v>
      </c>
      <c r="M776" t="s">
        <v>554</v>
      </c>
      <c r="N776">
        <v>6</v>
      </c>
      <c r="O776" t="s">
        <v>553</v>
      </c>
      <c r="P776" t="s">
        <v>552</v>
      </c>
      <c r="Q776" t="s">
        <v>551</v>
      </c>
      <c r="R776" s="7">
        <v>32509</v>
      </c>
      <c r="S776" s="8">
        <f t="shared" si="96"/>
        <v>1989</v>
      </c>
      <c r="T776" s="8">
        <v>1989</v>
      </c>
      <c r="U776" s="8">
        <f t="shared" si="97"/>
        <v>33</v>
      </c>
      <c r="V776" s="7">
        <v>32509</v>
      </c>
      <c r="W776" t="s">
        <v>538</v>
      </c>
      <c r="X776" s="2">
        <v>1.774</v>
      </c>
      <c r="Y776" s="6">
        <f t="shared" si="102"/>
        <v>4.7355916820159633E-2</v>
      </c>
      <c r="AA776">
        <v>295515</v>
      </c>
      <c r="AB776">
        <v>29066</v>
      </c>
      <c r="AC776">
        <v>17414326</v>
      </c>
      <c r="AD776" t="s">
        <v>5</v>
      </c>
      <c r="AE776">
        <v>29</v>
      </c>
      <c r="AF776">
        <v>1</v>
      </c>
      <c r="AH776" t="s">
        <v>550</v>
      </c>
      <c r="AI776" t="s">
        <v>549</v>
      </c>
      <c r="AK776" t="s">
        <v>548</v>
      </c>
      <c r="AL776">
        <v>7</v>
      </c>
      <c r="AM776" s="5">
        <f t="shared" si="98"/>
        <v>0.21212121212121213</v>
      </c>
      <c r="AN776" s="4">
        <f t="shared" si="103"/>
        <v>3.2127408121349809E-4</v>
      </c>
      <c r="AO776" s="3"/>
      <c r="AP776">
        <v>0</v>
      </c>
      <c r="AR776" t="s">
        <v>0</v>
      </c>
      <c r="AT776" s="2">
        <v>3.1789999999999998</v>
      </c>
      <c r="AU776" s="1">
        <f t="shared" si="99"/>
        <v>3.3245523998475788</v>
      </c>
      <c r="AV776" s="1">
        <f t="shared" si="100"/>
        <v>2.3838595450686566</v>
      </c>
      <c r="AW776" s="1">
        <f t="shared" si="101"/>
        <v>1.4431666902897338</v>
      </c>
    </row>
    <row r="777" spans="1:49" x14ac:dyDescent="0.2">
      <c r="A777">
        <v>775</v>
      </c>
      <c r="B777" t="s">
        <v>547</v>
      </c>
      <c r="C777" t="s">
        <v>546</v>
      </c>
      <c r="F777" t="s">
        <v>545</v>
      </c>
      <c r="G777" t="s">
        <v>15</v>
      </c>
      <c r="H777" t="s">
        <v>14</v>
      </c>
      <c r="I777" t="s">
        <v>544</v>
      </c>
      <c r="J777">
        <v>60026838</v>
      </c>
      <c r="K777" t="s">
        <v>543</v>
      </c>
      <c r="L777" t="s">
        <v>542</v>
      </c>
      <c r="M777" t="s">
        <v>259</v>
      </c>
      <c r="N777">
        <v>2</v>
      </c>
      <c r="O777" t="s">
        <v>541</v>
      </c>
      <c r="P777" t="s">
        <v>540</v>
      </c>
      <c r="Q777" t="s">
        <v>539</v>
      </c>
      <c r="R777" s="7">
        <v>32509</v>
      </c>
      <c r="S777" s="8">
        <f t="shared" si="96"/>
        <v>1989</v>
      </c>
      <c r="T777" s="8">
        <v>1989</v>
      </c>
      <c r="U777" s="8">
        <f t="shared" si="97"/>
        <v>33</v>
      </c>
      <c r="V777" s="7">
        <v>32509</v>
      </c>
      <c r="W777" t="s">
        <v>538</v>
      </c>
      <c r="X777" s="2">
        <v>1.774</v>
      </c>
      <c r="Y777" s="6">
        <f t="shared" si="102"/>
        <v>4.7355916820159633E-2</v>
      </c>
      <c r="AA777">
        <v>295515</v>
      </c>
      <c r="AB777">
        <v>29066</v>
      </c>
      <c r="AC777">
        <v>17414326</v>
      </c>
      <c r="AD777" t="s">
        <v>5</v>
      </c>
      <c r="AE777">
        <v>29</v>
      </c>
      <c r="AF777">
        <v>1</v>
      </c>
      <c r="AH777" t="s">
        <v>537</v>
      </c>
      <c r="AI777" t="s">
        <v>536</v>
      </c>
      <c r="AK777" t="s">
        <v>535</v>
      </c>
      <c r="AL777">
        <v>4</v>
      </c>
      <c r="AM777" s="5">
        <f t="shared" si="98"/>
        <v>0.12121212121212122</v>
      </c>
      <c r="AN777" s="4">
        <f t="shared" si="103"/>
        <v>1.8358518926485606E-4</v>
      </c>
      <c r="AO777" s="3"/>
      <c r="AP777">
        <v>0</v>
      </c>
      <c r="AR777" t="s">
        <v>0</v>
      </c>
      <c r="AT777" s="2">
        <v>3.1789999999999998</v>
      </c>
      <c r="AU777" s="1">
        <f t="shared" si="99"/>
        <v>3.3204217330891197</v>
      </c>
      <c r="AV777" s="1">
        <f t="shared" si="100"/>
        <v>2.3769751004712245</v>
      </c>
      <c r="AW777" s="1">
        <f t="shared" si="101"/>
        <v>1.4335284678533289</v>
      </c>
    </row>
    <row r="778" spans="1:49" x14ac:dyDescent="0.2">
      <c r="A778">
        <v>776</v>
      </c>
      <c r="B778" t="s">
        <v>534</v>
      </c>
      <c r="F778" t="s">
        <v>533</v>
      </c>
      <c r="G778" t="s">
        <v>15</v>
      </c>
      <c r="H778" t="s">
        <v>14</v>
      </c>
      <c r="I778" t="s">
        <v>532</v>
      </c>
      <c r="J778">
        <v>101174815</v>
      </c>
      <c r="K778" t="s">
        <v>531</v>
      </c>
      <c r="N778">
        <v>4</v>
      </c>
      <c r="O778" t="s">
        <v>530</v>
      </c>
      <c r="P778" t="s">
        <v>529</v>
      </c>
      <c r="Q778" t="s">
        <v>528</v>
      </c>
      <c r="R778" s="7">
        <v>32509</v>
      </c>
      <c r="S778" s="8">
        <f t="shared" si="96"/>
        <v>1989</v>
      </c>
      <c r="T778" s="8">
        <v>1989</v>
      </c>
      <c r="U778" s="8">
        <f t="shared" si="97"/>
        <v>33</v>
      </c>
      <c r="V778" s="7">
        <v>32509</v>
      </c>
      <c r="W778" t="s">
        <v>527</v>
      </c>
      <c r="X778" s="2" t="s">
        <v>19</v>
      </c>
      <c r="Y778" s="6" t="e">
        <f t="shared" si="102"/>
        <v>#VALUE!</v>
      </c>
      <c r="AA778">
        <v>2650193</v>
      </c>
      <c r="AB778">
        <v>35207</v>
      </c>
      <c r="AD778" t="s">
        <v>5</v>
      </c>
      <c r="AE778">
        <v>7</v>
      </c>
      <c r="AF778">
        <v>1</v>
      </c>
      <c r="AH778" s="10">
        <v>43586</v>
      </c>
      <c r="AI778" t="s">
        <v>526</v>
      </c>
      <c r="AK778" t="s">
        <v>525</v>
      </c>
      <c r="AL778">
        <v>4</v>
      </c>
      <c r="AM778" s="5">
        <f t="shared" si="98"/>
        <v>0.12121212121212122</v>
      </c>
      <c r="AN778" s="4">
        <f t="shared" si="103"/>
        <v>1.8358518926485606E-4</v>
      </c>
      <c r="AO778" s="3"/>
      <c r="AP778">
        <v>0</v>
      </c>
      <c r="AR778" t="s">
        <v>0</v>
      </c>
      <c r="AT778" s="2" t="s">
        <v>19</v>
      </c>
      <c r="AU778" s="1" t="e">
        <f t="shared" si="99"/>
        <v>#VALUE!</v>
      </c>
      <c r="AV778" s="1" t="e">
        <f t="shared" si="100"/>
        <v>#VALUE!</v>
      </c>
      <c r="AW778" s="1" t="e">
        <f t="shared" si="101"/>
        <v>#VALUE!</v>
      </c>
    </row>
    <row r="779" spans="1:49" x14ac:dyDescent="0.2">
      <c r="A779">
        <v>777</v>
      </c>
      <c r="B779" t="s">
        <v>524</v>
      </c>
      <c r="C779" t="s">
        <v>523</v>
      </c>
      <c r="F779" t="s">
        <v>522</v>
      </c>
      <c r="G779" t="s">
        <v>15</v>
      </c>
      <c r="H779" t="s">
        <v>14</v>
      </c>
      <c r="I779" t="s">
        <v>521</v>
      </c>
      <c r="J779">
        <v>60027090</v>
      </c>
      <c r="K779" t="s">
        <v>312</v>
      </c>
      <c r="L779" t="s">
        <v>311</v>
      </c>
      <c r="M779" t="s">
        <v>23</v>
      </c>
      <c r="N779">
        <v>1</v>
      </c>
      <c r="O779" t="s">
        <v>520</v>
      </c>
      <c r="P779">
        <v>7006247497</v>
      </c>
      <c r="Q779">
        <v>60027090</v>
      </c>
      <c r="R779" s="7">
        <v>32509</v>
      </c>
      <c r="S779" s="8">
        <f t="shared" si="96"/>
        <v>1989</v>
      </c>
      <c r="T779" s="8">
        <v>1989</v>
      </c>
      <c r="U779" s="8">
        <f t="shared" si="97"/>
        <v>33</v>
      </c>
      <c r="V779" s="7" t="s">
        <v>519</v>
      </c>
      <c r="W779" t="s">
        <v>518</v>
      </c>
      <c r="X779" s="2">
        <v>0.33800000000000002</v>
      </c>
      <c r="Y779" s="6">
        <f t="shared" si="102"/>
        <v>9.0227169589706634E-3</v>
      </c>
      <c r="AA779">
        <v>7372884</v>
      </c>
      <c r="AB779">
        <v>70506</v>
      </c>
      <c r="AC779">
        <v>10991247</v>
      </c>
      <c r="AD779" t="s">
        <v>5</v>
      </c>
      <c r="AE779">
        <v>7</v>
      </c>
      <c r="AF779">
        <v>1</v>
      </c>
      <c r="AH779" t="s">
        <v>517</v>
      </c>
      <c r="AI779" t="s">
        <v>516</v>
      </c>
      <c r="AJ779" t="s">
        <v>515</v>
      </c>
      <c r="AK779" t="s">
        <v>514</v>
      </c>
      <c r="AL779">
        <v>9</v>
      </c>
      <c r="AM779" s="5">
        <f t="shared" si="98"/>
        <v>0.27272727272727271</v>
      </c>
      <c r="AN779" s="4">
        <f t="shared" si="103"/>
        <v>4.1306667584592612E-4</v>
      </c>
      <c r="AO779" s="3"/>
      <c r="AP779">
        <v>0</v>
      </c>
      <c r="AR779" t="s">
        <v>0</v>
      </c>
      <c r="AT779" s="2" t="s">
        <v>19</v>
      </c>
      <c r="AU779" s="1">
        <f t="shared" si="99"/>
        <v>0.64398218740332414</v>
      </c>
      <c r="AV779" s="1">
        <f t="shared" si="100"/>
        <v>0.47178918174082946</v>
      </c>
      <c r="AW779" s="1">
        <f t="shared" si="101"/>
        <v>0.29959617607833472</v>
      </c>
    </row>
    <row r="780" spans="1:49" x14ac:dyDescent="0.2">
      <c r="A780">
        <v>778</v>
      </c>
      <c r="B780" t="s">
        <v>513</v>
      </c>
      <c r="C780" t="s">
        <v>512</v>
      </c>
      <c r="D780" t="s">
        <v>511</v>
      </c>
      <c r="F780" t="s">
        <v>510</v>
      </c>
      <c r="G780" t="s">
        <v>15</v>
      </c>
      <c r="H780" t="s">
        <v>14</v>
      </c>
      <c r="I780" t="s">
        <v>509</v>
      </c>
      <c r="J780" t="s">
        <v>508</v>
      </c>
      <c r="K780" t="s">
        <v>507</v>
      </c>
      <c r="L780" t="s">
        <v>506</v>
      </c>
      <c r="M780" t="s">
        <v>505</v>
      </c>
      <c r="N780">
        <v>3</v>
      </c>
      <c r="O780" t="s">
        <v>504</v>
      </c>
      <c r="P780" t="s">
        <v>503</v>
      </c>
      <c r="Q780" t="s">
        <v>502</v>
      </c>
      <c r="R780" s="7">
        <v>32509</v>
      </c>
      <c r="S780" s="8">
        <f t="shared" si="96"/>
        <v>1989</v>
      </c>
      <c r="T780" s="8">
        <v>1989</v>
      </c>
      <c r="U780" s="8">
        <f t="shared" si="97"/>
        <v>33</v>
      </c>
      <c r="V780" s="7">
        <v>32509</v>
      </c>
      <c r="W780" t="s">
        <v>501</v>
      </c>
      <c r="X780" s="2">
        <v>0.625</v>
      </c>
      <c r="Y780" s="6">
        <f t="shared" si="102"/>
        <v>1.6684018045433919E-2</v>
      </c>
      <c r="AA780">
        <v>304018</v>
      </c>
      <c r="AB780">
        <v>12352</v>
      </c>
      <c r="AD780" t="s">
        <v>5</v>
      </c>
      <c r="AE780">
        <v>69</v>
      </c>
      <c r="AF780" s="9">
        <v>44289</v>
      </c>
      <c r="AH780" t="s">
        <v>500</v>
      </c>
      <c r="AI780" t="s">
        <v>499</v>
      </c>
      <c r="AK780" t="s">
        <v>498</v>
      </c>
      <c r="AL780">
        <v>78</v>
      </c>
      <c r="AM780" s="5">
        <f t="shared" si="98"/>
        <v>2.3636363636363638</v>
      </c>
      <c r="AN780" s="4">
        <f t="shared" si="103"/>
        <v>3.5799111906646935E-3</v>
      </c>
      <c r="AO780" s="3"/>
      <c r="AP780">
        <v>0</v>
      </c>
      <c r="AR780" t="s">
        <v>0</v>
      </c>
      <c r="AT780" s="2">
        <v>2.31</v>
      </c>
      <c r="AU780" s="1">
        <f t="shared" si="99"/>
        <v>1.275278598900315</v>
      </c>
      <c r="AV780" s="1">
        <f t="shared" si="100"/>
        <v>1.0131964618049307</v>
      </c>
      <c r="AW780" s="1">
        <f t="shared" si="101"/>
        <v>0.75111432470954609</v>
      </c>
    </row>
    <row r="781" spans="1:49" x14ac:dyDescent="0.2">
      <c r="A781">
        <v>779</v>
      </c>
      <c r="B781" t="s">
        <v>497</v>
      </c>
      <c r="F781" t="s">
        <v>496</v>
      </c>
      <c r="G781" t="s">
        <v>15</v>
      </c>
      <c r="H781" t="s">
        <v>14</v>
      </c>
      <c r="I781" t="s">
        <v>495</v>
      </c>
      <c r="J781">
        <v>60028673</v>
      </c>
      <c r="K781" t="s">
        <v>494</v>
      </c>
      <c r="L781" t="s">
        <v>493</v>
      </c>
      <c r="M781" t="s">
        <v>259</v>
      </c>
      <c r="N781">
        <v>3</v>
      </c>
      <c r="O781" t="s">
        <v>492</v>
      </c>
      <c r="P781" t="s">
        <v>491</v>
      </c>
      <c r="Q781" t="s">
        <v>490</v>
      </c>
      <c r="R781" s="7">
        <v>32509</v>
      </c>
      <c r="S781" s="8">
        <f t="shared" si="96"/>
        <v>1989</v>
      </c>
      <c r="T781" s="8">
        <v>1989</v>
      </c>
      <c r="U781" s="8">
        <f t="shared" si="97"/>
        <v>33</v>
      </c>
      <c r="V781" s="7">
        <v>32509</v>
      </c>
      <c r="W781" t="s">
        <v>489</v>
      </c>
      <c r="X781" s="2" t="s">
        <v>19</v>
      </c>
      <c r="Y781" s="6" t="e">
        <f t="shared" si="102"/>
        <v>#VALUE!</v>
      </c>
      <c r="AA781">
        <v>3444880</v>
      </c>
      <c r="AB781">
        <v>38773</v>
      </c>
      <c r="AD781" t="s">
        <v>5</v>
      </c>
      <c r="AE781">
        <v>12</v>
      </c>
      <c r="AF781">
        <v>1</v>
      </c>
      <c r="AH781" s="10">
        <v>41944</v>
      </c>
      <c r="AI781" t="s">
        <v>488</v>
      </c>
      <c r="AK781" t="s">
        <v>487</v>
      </c>
      <c r="AL781">
        <v>0</v>
      </c>
      <c r="AM781" s="5">
        <f t="shared" si="98"/>
        <v>0</v>
      </c>
      <c r="AN781" s="4">
        <f t="shared" si="103"/>
        <v>0</v>
      </c>
      <c r="AO781" s="3"/>
      <c r="AP781">
        <v>0</v>
      </c>
      <c r="AR781" t="s">
        <v>0</v>
      </c>
      <c r="AT781" s="2" t="s">
        <v>19</v>
      </c>
      <c r="AU781" s="1" t="e">
        <f t="shared" si="99"/>
        <v>#VALUE!</v>
      </c>
      <c r="AV781" s="1" t="e">
        <f t="shared" si="100"/>
        <v>#VALUE!</v>
      </c>
      <c r="AW781" s="1" t="e">
        <f t="shared" si="101"/>
        <v>#VALUE!</v>
      </c>
    </row>
    <row r="782" spans="1:49" x14ac:dyDescent="0.2">
      <c r="A782">
        <v>780</v>
      </c>
      <c r="B782" t="s">
        <v>486</v>
      </c>
      <c r="C782" t="s">
        <v>485</v>
      </c>
      <c r="F782" t="s">
        <v>484</v>
      </c>
      <c r="G782" t="s">
        <v>15</v>
      </c>
      <c r="H782" t="s">
        <v>14</v>
      </c>
      <c r="I782" t="s">
        <v>483</v>
      </c>
      <c r="J782">
        <v>60027550</v>
      </c>
      <c r="K782" t="s">
        <v>482</v>
      </c>
      <c r="L782" t="s">
        <v>481</v>
      </c>
      <c r="M782" t="s">
        <v>23</v>
      </c>
      <c r="N782">
        <v>1</v>
      </c>
      <c r="O782" t="s">
        <v>480</v>
      </c>
      <c r="P782">
        <v>7004643397</v>
      </c>
      <c r="Q782">
        <v>60027550</v>
      </c>
      <c r="R782" s="7">
        <v>32509</v>
      </c>
      <c r="S782" s="8">
        <f t="shared" si="96"/>
        <v>1989</v>
      </c>
      <c r="T782" s="8">
        <v>1989</v>
      </c>
      <c r="U782" s="8">
        <f t="shared" si="97"/>
        <v>33</v>
      </c>
      <c r="V782" s="7">
        <v>1989</v>
      </c>
      <c r="W782" t="s">
        <v>125</v>
      </c>
      <c r="X782" s="2">
        <v>1.1879999999999999</v>
      </c>
      <c r="Y782" s="6">
        <f t="shared" si="102"/>
        <v>3.1712981500760788E-2</v>
      </c>
      <c r="AA782">
        <v>8998221</v>
      </c>
      <c r="AB782">
        <v>8900153323</v>
      </c>
      <c r="AD782" t="s">
        <v>5</v>
      </c>
      <c r="AE782">
        <v>1</v>
      </c>
      <c r="AF782">
        <v>11</v>
      </c>
      <c r="AH782" t="s">
        <v>479</v>
      </c>
      <c r="AI782" t="s">
        <v>478</v>
      </c>
      <c r="AK782" t="s">
        <v>477</v>
      </c>
      <c r="AL782">
        <v>48</v>
      </c>
      <c r="AM782" s="5">
        <f t="shared" si="98"/>
        <v>1.4545454545454546</v>
      </c>
      <c r="AN782" s="4">
        <f t="shared" si="103"/>
        <v>2.2030222711782728E-3</v>
      </c>
      <c r="AO782" s="3"/>
      <c r="AP782">
        <v>0</v>
      </c>
      <c r="AR782" t="s">
        <v>0</v>
      </c>
      <c r="AT782" s="2" t="s">
        <v>19</v>
      </c>
      <c r="AU782" s="1">
        <f t="shared" si="99"/>
        <v>2.2859993731886035</v>
      </c>
      <c r="AV782" s="1">
        <f t="shared" si="100"/>
        <v>1.6958001885969531</v>
      </c>
      <c r="AW782" s="1">
        <f t="shared" si="101"/>
        <v>1.1056010040053028</v>
      </c>
    </row>
    <row r="783" spans="1:49" x14ac:dyDescent="0.2">
      <c r="A783">
        <v>781</v>
      </c>
      <c r="B783" t="s">
        <v>476</v>
      </c>
      <c r="C783" t="s">
        <v>475</v>
      </c>
      <c r="D783" t="s">
        <v>474</v>
      </c>
      <c r="F783" t="s">
        <v>473</v>
      </c>
      <c r="G783" t="s">
        <v>15</v>
      </c>
      <c r="H783" t="s">
        <v>14</v>
      </c>
      <c r="I783" t="s">
        <v>472</v>
      </c>
      <c r="J783" t="s">
        <v>471</v>
      </c>
      <c r="K783" t="s">
        <v>470</v>
      </c>
      <c r="L783" t="s">
        <v>469</v>
      </c>
      <c r="M783" t="s">
        <v>435</v>
      </c>
      <c r="N783">
        <v>6</v>
      </c>
      <c r="O783" t="s">
        <v>468</v>
      </c>
      <c r="P783" t="s">
        <v>467</v>
      </c>
      <c r="Q783" t="s">
        <v>466</v>
      </c>
      <c r="R783" s="7">
        <v>32509</v>
      </c>
      <c r="S783" s="8">
        <f t="shared" si="96"/>
        <v>1989</v>
      </c>
      <c r="T783" s="8">
        <v>1989</v>
      </c>
      <c r="U783" s="8">
        <f t="shared" si="97"/>
        <v>33</v>
      </c>
      <c r="V783" s="7" t="s">
        <v>465</v>
      </c>
      <c r="W783" t="s">
        <v>464</v>
      </c>
      <c r="X783" s="2">
        <v>1.1339999999999999</v>
      </c>
      <c r="Y783" s="6">
        <f t="shared" si="102"/>
        <v>3.0271482341635299E-2</v>
      </c>
      <c r="AA783">
        <v>945765</v>
      </c>
      <c r="AB783">
        <v>12372</v>
      </c>
      <c r="AD783" t="s">
        <v>5</v>
      </c>
      <c r="AE783">
        <v>19</v>
      </c>
      <c r="AF783" s="9">
        <v>44383</v>
      </c>
      <c r="AH783" t="s">
        <v>463</v>
      </c>
      <c r="AI783" t="s">
        <v>462</v>
      </c>
      <c r="AK783" t="s">
        <v>461</v>
      </c>
      <c r="AL783">
        <v>10</v>
      </c>
      <c r="AM783" s="5">
        <f t="shared" si="98"/>
        <v>0.30303030303030304</v>
      </c>
      <c r="AN783" s="4">
        <f t="shared" si="103"/>
        <v>4.5896297316214016E-4</v>
      </c>
      <c r="AO783" s="3"/>
      <c r="AP783">
        <v>0</v>
      </c>
      <c r="AR783" t="s">
        <v>0</v>
      </c>
      <c r="AT783" s="2">
        <v>2.4129999999999998</v>
      </c>
      <c r="AU783" s="1">
        <f t="shared" si="99"/>
        <v>2.1327726531093347</v>
      </c>
      <c r="AV783" s="1">
        <f t="shared" si="100"/>
        <v>1.5365222657398721</v>
      </c>
      <c r="AW783" s="1">
        <f t="shared" si="101"/>
        <v>0.94027187837040871</v>
      </c>
    </row>
    <row r="784" spans="1:49" x14ac:dyDescent="0.2">
      <c r="A784">
        <v>782</v>
      </c>
      <c r="B784" t="s">
        <v>460</v>
      </c>
      <c r="C784" t="s">
        <v>459</v>
      </c>
      <c r="D784" t="s">
        <v>458</v>
      </c>
      <c r="F784" t="s">
        <v>457</v>
      </c>
      <c r="G784" t="s">
        <v>15</v>
      </c>
      <c r="H784" t="s">
        <v>14</v>
      </c>
      <c r="I784" t="s">
        <v>456</v>
      </c>
      <c r="J784" t="s">
        <v>455</v>
      </c>
      <c r="K784" t="s">
        <v>454</v>
      </c>
      <c r="L784" t="s">
        <v>453</v>
      </c>
      <c r="M784" t="s">
        <v>452</v>
      </c>
      <c r="N784">
        <v>4</v>
      </c>
      <c r="O784" t="s">
        <v>451</v>
      </c>
      <c r="P784" t="s">
        <v>450</v>
      </c>
      <c r="Q784" t="s">
        <v>449</v>
      </c>
      <c r="R784" s="7">
        <v>32509</v>
      </c>
      <c r="S784" s="8">
        <f t="shared" si="96"/>
        <v>1989</v>
      </c>
      <c r="T784" s="8">
        <v>1989</v>
      </c>
      <c r="U784" s="8">
        <f t="shared" si="97"/>
        <v>33</v>
      </c>
      <c r="V784" s="7">
        <v>1989</v>
      </c>
      <c r="W784" t="s">
        <v>448</v>
      </c>
      <c r="X784" s="2">
        <v>1.032</v>
      </c>
      <c r="Y784" s="6">
        <f t="shared" si="102"/>
        <v>2.7548650596620487E-2</v>
      </c>
      <c r="AA784">
        <v>1761617</v>
      </c>
      <c r="AB784">
        <v>19257</v>
      </c>
      <c r="AD784" t="s">
        <v>5</v>
      </c>
      <c r="AE784">
        <v>135</v>
      </c>
      <c r="AF784">
        <v>2</v>
      </c>
      <c r="AH784" t="s">
        <v>447</v>
      </c>
      <c r="AI784" t="s">
        <v>446</v>
      </c>
      <c r="AJ784" t="s">
        <v>445</v>
      </c>
      <c r="AK784" t="s">
        <v>444</v>
      </c>
      <c r="AL784">
        <v>13</v>
      </c>
      <c r="AM784" s="5">
        <f t="shared" si="98"/>
        <v>0.39393939393939392</v>
      </c>
      <c r="AN784" s="4">
        <f t="shared" si="103"/>
        <v>5.9665186511078218E-4</v>
      </c>
      <c r="AO784" s="3"/>
      <c r="AP784">
        <v>0</v>
      </c>
      <c r="AR784" t="s">
        <v>0</v>
      </c>
      <c r="AT784" s="2">
        <v>3.5489999999999999</v>
      </c>
      <c r="AU784" s="1">
        <f t="shared" si="99"/>
        <v>1.9463050977167571</v>
      </c>
      <c r="AV784" s="1">
        <f t="shared" si="100"/>
        <v>1.4072651230865634</v>
      </c>
      <c r="AW784" s="1">
        <f t="shared" si="101"/>
        <v>0.86822514845636933</v>
      </c>
    </row>
    <row r="785" spans="1:49" x14ac:dyDescent="0.2">
      <c r="A785">
        <v>783</v>
      </c>
      <c r="B785" t="s">
        <v>443</v>
      </c>
      <c r="C785" t="s">
        <v>442</v>
      </c>
      <c r="D785" t="s">
        <v>441</v>
      </c>
      <c r="F785" t="s">
        <v>440</v>
      </c>
      <c r="G785" t="s">
        <v>15</v>
      </c>
      <c r="H785" t="s">
        <v>14</v>
      </c>
      <c r="I785" t="s">
        <v>439</v>
      </c>
      <c r="J785" t="s">
        <v>438</v>
      </c>
      <c r="K785" t="s">
        <v>437</v>
      </c>
      <c r="L785" t="s">
        <v>436</v>
      </c>
      <c r="M785" t="s">
        <v>435</v>
      </c>
      <c r="N785">
        <v>4</v>
      </c>
      <c r="O785" t="s">
        <v>434</v>
      </c>
      <c r="P785" t="s">
        <v>433</v>
      </c>
      <c r="Q785" t="s">
        <v>432</v>
      </c>
      <c r="R785" s="7">
        <v>32509</v>
      </c>
      <c r="S785" s="8">
        <f t="shared" si="96"/>
        <v>1989</v>
      </c>
      <c r="T785" s="8">
        <v>1989</v>
      </c>
      <c r="U785" s="8">
        <f t="shared" si="97"/>
        <v>33</v>
      </c>
      <c r="V785" s="7">
        <v>32660</v>
      </c>
      <c r="W785" t="s">
        <v>68</v>
      </c>
      <c r="X785" s="2">
        <v>1.59</v>
      </c>
      <c r="Y785" s="6">
        <f t="shared" si="102"/>
        <v>4.2444141907583888E-2</v>
      </c>
      <c r="AA785">
        <v>52728</v>
      </c>
      <c r="AB785">
        <v>16791</v>
      </c>
      <c r="AD785" t="s">
        <v>5</v>
      </c>
      <c r="AE785">
        <v>975</v>
      </c>
      <c r="AF785">
        <v>1</v>
      </c>
      <c r="AH785" t="s">
        <v>431</v>
      </c>
      <c r="AI785" t="s">
        <v>430</v>
      </c>
      <c r="AJ785" t="s">
        <v>429</v>
      </c>
      <c r="AK785" t="s">
        <v>428</v>
      </c>
      <c r="AL785">
        <v>24</v>
      </c>
      <c r="AM785" s="5">
        <f t="shared" si="98"/>
        <v>0.72727272727272729</v>
      </c>
      <c r="AN785" s="4">
        <f t="shared" si="103"/>
        <v>1.1015111355891364E-3</v>
      </c>
      <c r="AO785" s="3"/>
      <c r="AP785">
        <v>0</v>
      </c>
      <c r="AQ785" t="s">
        <v>427</v>
      </c>
      <c r="AR785">
        <v>62540520</v>
      </c>
      <c r="AS785" t="s">
        <v>426</v>
      </c>
      <c r="AT785" s="2" t="s">
        <v>19</v>
      </c>
      <c r="AU785" s="1">
        <f t="shared" si="99"/>
        <v>3.0041352675985462</v>
      </c>
      <c r="AV785" s="1">
        <f t="shared" si="100"/>
        <v>2.177282652158651</v>
      </c>
      <c r="AW785" s="1">
        <f t="shared" si="101"/>
        <v>1.3504300367187561</v>
      </c>
    </row>
    <row r="786" spans="1:49" x14ac:dyDescent="0.2">
      <c r="A786">
        <v>784</v>
      </c>
      <c r="B786" t="s">
        <v>425</v>
      </c>
      <c r="C786" t="s">
        <v>424</v>
      </c>
      <c r="F786" t="s">
        <v>423</v>
      </c>
      <c r="G786" t="s">
        <v>15</v>
      </c>
      <c r="H786" t="s">
        <v>14</v>
      </c>
      <c r="I786" t="s">
        <v>422</v>
      </c>
      <c r="J786" t="s">
        <v>416</v>
      </c>
      <c r="K786" t="s">
        <v>421</v>
      </c>
      <c r="L786" t="s">
        <v>420</v>
      </c>
      <c r="M786" t="s">
        <v>419</v>
      </c>
      <c r="N786">
        <v>2</v>
      </c>
      <c r="O786" t="s">
        <v>418</v>
      </c>
      <c r="P786" t="s">
        <v>417</v>
      </c>
      <c r="Q786" t="s">
        <v>416</v>
      </c>
      <c r="R786" s="7">
        <v>32509</v>
      </c>
      <c r="S786" s="8">
        <f t="shared" si="96"/>
        <v>1989</v>
      </c>
      <c r="T786" s="8">
        <v>1989</v>
      </c>
      <c r="U786" s="8">
        <f t="shared" si="97"/>
        <v>33</v>
      </c>
      <c r="V786" s="7" t="s">
        <v>415</v>
      </c>
      <c r="W786" t="s">
        <v>414</v>
      </c>
      <c r="X786" s="2">
        <v>0.51100000000000001</v>
      </c>
      <c r="Y786" s="6">
        <f t="shared" si="102"/>
        <v>1.3640853153946772E-2</v>
      </c>
      <c r="AA786">
        <v>222933</v>
      </c>
      <c r="AB786">
        <v>29630</v>
      </c>
      <c r="AC786">
        <v>14645262</v>
      </c>
      <c r="AD786" t="s">
        <v>5</v>
      </c>
      <c r="AE786">
        <v>23</v>
      </c>
      <c r="AF786">
        <v>4</v>
      </c>
      <c r="AH786" t="s">
        <v>413</v>
      </c>
      <c r="AI786" t="s">
        <v>412</v>
      </c>
      <c r="AJ786" t="s">
        <v>411</v>
      </c>
      <c r="AK786" t="s">
        <v>410</v>
      </c>
      <c r="AL786">
        <v>20</v>
      </c>
      <c r="AM786" s="5">
        <f t="shared" si="98"/>
        <v>0.60606060606060608</v>
      </c>
      <c r="AN786" s="4">
        <f t="shared" si="103"/>
        <v>9.1792594632428032E-4</v>
      </c>
      <c r="AO786" s="3"/>
      <c r="AP786">
        <v>0</v>
      </c>
      <c r="AR786" t="s">
        <v>0</v>
      </c>
      <c r="AT786" s="2">
        <v>1.016</v>
      </c>
      <c r="AU786" s="1">
        <f t="shared" si="99"/>
        <v>0.98239749916600239</v>
      </c>
      <c r="AV786" s="1">
        <f t="shared" si="100"/>
        <v>0.72793895501355266</v>
      </c>
      <c r="AW786" s="1">
        <f t="shared" si="101"/>
        <v>0.47348041086110276</v>
      </c>
    </row>
    <row r="787" spans="1:49" x14ac:dyDescent="0.2">
      <c r="A787">
        <v>785</v>
      </c>
      <c r="B787" t="s">
        <v>409</v>
      </c>
      <c r="C787" t="s">
        <v>408</v>
      </c>
      <c r="D787" t="s">
        <v>407</v>
      </c>
      <c r="F787" t="s">
        <v>406</v>
      </c>
      <c r="G787" t="s">
        <v>15</v>
      </c>
      <c r="H787" t="s">
        <v>14</v>
      </c>
      <c r="I787" t="s">
        <v>405</v>
      </c>
      <c r="J787">
        <v>60025038</v>
      </c>
      <c r="K787" t="s">
        <v>404</v>
      </c>
      <c r="L787" t="s">
        <v>403</v>
      </c>
      <c r="M787" t="s">
        <v>23</v>
      </c>
      <c r="N787">
        <v>2</v>
      </c>
      <c r="O787" t="s">
        <v>402</v>
      </c>
      <c r="P787" t="s">
        <v>401</v>
      </c>
      <c r="Q787" t="s">
        <v>400</v>
      </c>
      <c r="R787" s="7">
        <v>32509</v>
      </c>
      <c r="S787" s="8">
        <f t="shared" si="96"/>
        <v>1989</v>
      </c>
      <c r="T787" s="8">
        <v>1989</v>
      </c>
      <c r="U787" s="8">
        <f t="shared" si="97"/>
        <v>33</v>
      </c>
      <c r="V787" s="7">
        <v>1989</v>
      </c>
      <c r="W787" t="s">
        <v>399</v>
      </c>
      <c r="X787" s="2">
        <v>0.998</v>
      </c>
      <c r="Y787" s="6">
        <f t="shared" si="102"/>
        <v>2.664104001494888E-2</v>
      </c>
      <c r="AA787">
        <v>207322</v>
      </c>
      <c r="AB787">
        <v>90127</v>
      </c>
      <c r="AD787" t="s">
        <v>5</v>
      </c>
      <c r="AE787">
        <v>18</v>
      </c>
      <c r="AF787" s="9">
        <v>44257</v>
      </c>
      <c r="AH787" t="s">
        <v>398</v>
      </c>
      <c r="AI787" t="s">
        <v>397</v>
      </c>
      <c r="AJ787" t="s">
        <v>396</v>
      </c>
      <c r="AK787" t="s">
        <v>395</v>
      </c>
      <c r="AL787">
        <v>12</v>
      </c>
      <c r="AM787" s="5">
        <f t="shared" si="98"/>
        <v>0.36363636363636365</v>
      </c>
      <c r="AN787" s="4">
        <f t="shared" si="103"/>
        <v>5.5075556779456819E-4</v>
      </c>
      <c r="AO787" s="3"/>
      <c r="AP787">
        <v>0</v>
      </c>
      <c r="AR787" t="s">
        <v>0</v>
      </c>
      <c r="AS787" t="s">
        <v>394</v>
      </c>
      <c r="AT787" s="2" t="s">
        <v>19</v>
      </c>
      <c r="AU787" s="1">
        <f t="shared" si="99"/>
        <v>1.8813954680802585</v>
      </c>
      <c r="AV787" s="1">
        <f t="shared" si="100"/>
        <v>1.3595897791371725</v>
      </c>
      <c r="AW787" s="1">
        <f t="shared" si="101"/>
        <v>0.83778409019408617</v>
      </c>
    </row>
    <row r="788" spans="1:49" x14ac:dyDescent="0.2">
      <c r="A788">
        <v>786</v>
      </c>
      <c r="B788" t="s">
        <v>393</v>
      </c>
      <c r="C788" t="s">
        <v>392</v>
      </c>
      <c r="F788" t="s">
        <v>391</v>
      </c>
      <c r="G788" t="s">
        <v>15</v>
      </c>
      <c r="H788" t="s">
        <v>14</v>
      </c>
      <c r="I788" t="s">
        <v>390</v>
      </c>
      <c r="J788" t="s">
        <v>389</v>
      </c>
      <c r="K788" t="s">
        <v>388</v>
      </c>
      <c r="L788" t="s">
        <v>387</v>
      </c>
      <c r="M788" t="s">
        <v>86</v>
      </c>
      <c r="N788">
        <v>3</v>
      </c>
      <c r="O788" t="s">
        <v>386</v>
      </c>
      <c r="P788" t="s">
        <v>385</v>
      </c>
      <c r="Q788" t="s">
        <v>384</v>
      </c>
      <c r="R788" s="7">
        <v>32509</v>
      </c>
      <c r="S788" s="8">
        <f t="shared" si="96"/>
        <v>1989</v>
      </c>
      <c r="T788" s="8">
        <v>1989</v>
      </c>
      <c r="U788" s="8">
        <f t="shared" si="97"/>
        <v>33</v>
      </c>
      <c r="V788" s="7">
        <v>1989</v>
      </c>
      <c r="W788" t="s">
        <v>125</v>
      </c>
      <c r="X788" s="2">
        <v>1.1879999999999999</v>
      </c>
      <c r="Y788" s="6">
        <f t="shared" si="102"/>
        <v>3.1712981500760788E-2</v>
      </c>
      <c r="AA788">
        <v>8998221</v>
      </c>
      <c r="AB788">
        <v>8900153323</v>
      </c>
      <c r="AD788" t="s">
        <v>5</v>
      </c>
      <c r="AE788">
        <v>1</v>
      </c>
      <c r="AF788">
        <v>6</v>
      </c>
      <c r="AH788" t="s">
        <v>383</v>
      </c>
      <c r="AI788" t="s">
        <v>382</v>
      </c>
      <c r="AK788" t="s">
        <v>381</v>
      </c>
      <c r="AL788">
        <v>14</v>
      </c>
      <c r="AM788" s="5">
        <f t="shared" si="98"/>
        <v>0.42424242424242425</v>
      </c>
      <c r="AN788" s="4">
        <f t="shared" si="103"/>
        <v>6.4254816242699617E-4</v>
      </c>
      <c r="AO788" s="3"/>
      <c r="AP788">
        <v>0</v>
      </c>
      <c r="AR788" t="s">
        <v>0</v>
      </c>
      <c r="AT788" s="2" t="s">
        <v>19</v>
      </c>
      <c r="AU788" s="1">
        <f t="shared" si="99"/>
        <v>2.2391851499260649</v>
      </c>
      <c r="AV788" s="1">
        <f t="shared" si="100"/>
        <v>1.6177764831593893</v>
      </c>
      <c r="AW788" s="1">
        <f t="shared" si="101"/>
        <v>0.99636781639271343</v>
      </c>
    </row>
    <row r="789" spans="1:49" x14ac:dyDescent="0.2">
      <c r="A789">
        <v>787</v>
      </c>
      <c r="B789" t="s">
        <v>380</v>
      </c>
      <c r="C789" t="s">
        <v>379</v>
      </c>
      <c r="F789" t="s">
        <v>378</v>
      </c>
      <c r="G789" t="s">
        <v>15</v>
      </c>
      <c r="H789" t="s">
        <v>14</v>
      </c>
      <c r="I789" t="s">
        <v>377</v>
      </c>
      <c r="J789">
        <v>60022195</v>
      </c>
      <c r="K789" t="s">
        <v>376</v>
      </c>
      <c r="L789" t="s">
        <v>324</v>
      </c>
      <c r="M789" t="s">
        <v>23</v>
      </c>
      <c r="N789">
        <v>13</v>
      </c>
      <c r="O789" t="s">
        <v>375</v>
      </c>
      <c r="P789" t="s">
        <v>374</v>
      </c>
      <c r="Q789" t="s">
        <v>373</v>
      </c>
      <c r="R789" s="7">
        <v>32509</v>
      </c>
      <c r="S789" s="8">
        <f t="shared" si="96"/>
        <v>1989</v>
      </c>
      <c r="T789" s="8">
        <v>1989</v>
      </c>
      <c r="U789" s="8">
        <f t="shared" si="97"/>
        <v>33</v>
      </c>
      <c r="V789" s="7">
        <v>1989</v>
      </c>
      <c r="W789" t="s">
        <v>125</v>
      </c>
      <c r="X789" s="2">
        <v>1.1879999999999999</v>
      </c>
      <c r="Y789" s="6">
        <f t="shared" si="102"/>
        <v>3.1712981500760788E-2</v>
      </c>
      <c r="AA789">
        <v>8998221</v>
      </c>
      <c r="AB789">
        <v>8900153323</v>
      </c>
      <c r="AD789" t="s">
        <v>5</v>
      </c>
      <c r="AE789">
        <v>1</v>
      </c>
      <c r="AF789">
        <v>4</v>
      </c>
      <c r="AH789" t="s">
        <v>372</v>
      </c>
      <c r="AI789" t="s">
        <v>371</v>
      </c>
      <c r="AK789" t="s">
        <v>370</v>
      </c>
      <c r="AL789">
        <v>15</v>
      </c>
      <c r="AM789" s="5">
        <f t="shared" si="98"/>
        <v>0.45454545454545453</v>
      </c>
      <c r="AN789" s="4">
        <f t="shared" si="103"/>
        <v>6.8844445974321016E-4</v>
      </c>
      <c r="AO789" s="3"/>
      <c r="AP789">
        <v>0</v>
      </c>
      <c r="AR789" t="s">
        <v>0</v>
      </c>
      <c r="AT789" s="2" t="s">
        <v>19</v>
      </c>
      <c r="AU789" s="1">
        <f t="shared" si="99"/>
        <v>2.2405620388455514</v>
      </c>
      <c r="AV789" s="1">
        <f t="shared" si="100"/>
        <v>1.6200712980252001</v>
      </c>
      <c r="AW789" s="1">
        <f t="shared" si="101"/>
        <v>0.99958055720484829</v>
      </c>
    </row>
    <row r="790" spans="1:49" x14ac:dyDescent="0.2">
      <c r="A790">
        <v>788</v>
      </c>
      <c r="B790" t="s">
        <v>369</v>
      </c>
      <c r="C790" t="s">
        <v>368</v>
      </c>
      <c r="F790" t="s">
        <v>367</v>
      </c>
      <c r="G790" t="s">
        <v>15</v>
      </c>
      <c r="H790" t="s">
        <v>14</v>
      </c>
      <c r="I790" t="s">
        <v>366</v>
      </c>
      <c r="J790">
        <v>60020547</v>
      </c>
      <c r="K790" t="s">
        <v>365</v>
      </c>
      <c r="L790" t="s">
        <v>364</v>
      </c>
      <c r="M790" t="s">
        <v>23</v>
      </c>
      <c r="N790">
        <v>3</v>
      </c>
      <c r="O790" t="s">
        <v>363</v>
      </c>
      <c r="P790" t="s">
        <v>362</v>
      </c>
      <c r="Q790" t="s">
        <v>361</v>
      </c>
      <c r="R790" s="7">
        <v>32509</v>
      </c>
      <c r="S790" s="8">
        <f t="shared" si="96"/>
        <v>1989</v>
      </c>
      <c r="T790" s="8">
        <v>1989</v>
      </c>
      <c r="U790" s="8">
        <f t="shared" si="97"/>
        <v>33</v>
      </c>
      <c r="V790" s="7">
        <v>32690</v>
      </c>
      <c r="W790" t="s">
        <v>360</v>
      </c>
      <c r="X790" s="2">
        <v>1.3720000000000001</v>
      </c>
      <c r="Y790" s="6">
        <f t="shared" si="102"/>
        <v>3.662475641333654E-2</v>
      </c>
      <c r="AA790">
        <v>189480</v>
      </c>
      <c r="AB790">
        <v>17366</v>
      </c>
      <c r="AC790">
        <v>15579670</v>
      </c>
      <c r="AD790" t="s">
        <v>5</v>
      </c>
      <c r="AE790">
        <v>37</v>
      </c>
      <c r="AF790">
        <v>7</v>
      </c>
      <c r="AH790" t="s">
        <v>359</v>
      </c>
      <c r="AI790" t="s">
        <v>358</v>
      </c>
      <c r="AK790" t="s">
        <v>357</v>
      </c>
      <c r="AL790">
        <v>65</v>
      </c>
      <c r="AM790" s="5">
        <f t="shared" si="98"/>
        <v>1.9696969696969697</v>
      </c>
      <c r="AN790" s="4">
        <f t="shared" si="103"/>
        <v>2.9832593255539109E-3</v>
      </c>
      <c r="AO790" s="3"/>
      <c r="AP790">
        <v>0</v>
      </c>
      <c r="AQ790" t="s">
        <v>356</v>
      </c>
      <c r="AR790" t="s">
        <v>0</v>
      </c>
      <c r="AS790" t="s">
        <v>355</v>
      </c>
      <c r="AT790" s="2" t="s">
        <v>19</v>
      </c>
      <c r="AU790" s="1">
        <f t="shared" si="99"/>
        <v>2.6532307287001751</v>
      </c>
      <c r="AV790" s="1">
        <f t="shared" si="100"/>
        <v>1.9804007869445226</v>
      </c>
      <c r="AW790" s="1">
        <f t="shared" si="101"/>
        <v>1.3075708451888701</v>
      </c>
    </row>
    <row r="791" spans="1:49" x14ac:dyDescent="0.2">
      <c r="A791">
        <v>789</v>
      </c>
      <c r="B791" t="s">
        <v>354</v>
      </c>
      <c r="C791" t="s">
        <v>353</v>
      </c>
      <c r="F791" t="s">
        <v>352</v>
      </c>
      <c r="G791" t="s">
        <v>15</v>
      </c>
      <c r="H791" t="s">
        <v>14</v>
      </c>
      <c r="I791" t="s">
        <v>351</v>
      </c>
      <c r="J791">
        <v>60023208</v>
      </c>
      <c r="K791" t="s">
        <v>350</v>
      </c>
      <c r="L791" t="s">
        <v>349</v>
      </c>
      <c r="M791" t="s">
        <v>259</v>
      </c>
      <c r="N791">
        <v>2</v>
      </c>
      <c r="O791" t="s">
        <v>348</v>
      </c>
      <c r="P791" t="s">
        <v>347</v>
      </c>
      <c r="Q791" t="s">
        <v>346</v>
      </c>
      <c r="R791" s="7">
        <v>32509</v>
      </c>
      <c r="S791" s="8">
        <f t="shared" si="96"/>
        <v>1989</v>
      </c>
      <c r="T791" s="8">
        <v>1989</v>
      </c>
      <c r="U791" s="8">
        <f t="shared" si="97"/>
        <v>33</v>
      </c>
      <c r="V791" s="7">
        <v>1989</v>
      </c>
      <c r="W791" t="s">
        <v>49</v>
      </c>
      <c r="X791" s="2">
        <v>1.641</v>
      </c>
      <c r="Y791" s="6">
        <f t="shared" si="102"/>
        <v>4.3805557780091299E-2</v>
      </c>
      <c r="AA791">
        <v>223654</v>
      </c>
      <c r="AB791">
        <v>30422</v>
      </c>
      <c r="AD791" t="s">
        <v>5</v>
      </c>
      <c r="AE791">
        <v>93</v>
      </c>
      <c r="AF791">
        <v>16</v>
      </c>
      <c r="AH791" t="s">
        <v>345</v>
      </c>
      <c r="AI791" t="s">
        <v>344</v>
      </c>
      <c r="AK791" t="s">
        <v>343</v>
      </c>
      <c r="AL791">
        <v>14</v>
      </c>
      <c r="AM791" s="5">
        <f t="shared" si="98"/>
        <v>0.42424242424242425</v>
      </c>
      <c r="AN791" s="4">
        <f t="shared" si="103"/>
        <v>6.4254816242699617E-4</v>
      </c>
      <c r="AO791" s="3"/>
      <c r="AP791">
        <v>0</v>
      </c>
      <c r="AR791" t="s">
        <v>0</v>
      </c>
      <c r="AT791" s="2" t="s">
        <v>19</v>
      </c>
      <c r="AU791" s="1">
        <f t="shared" si="99"/>
        <v>3.0856654894792004</v>
      </c>
      <c r="AV791" s="1">
        <f t="shared" si="100"/>
        <v>2.2224052971259147</v>
      </c>
      <c r="AW791" s="1">
        <f t="shared" si="101"/>
        <v>1.3591451047726288</v>
      </c>
    </row>
    <row r="792" spans="1:49" x14ac:dyDescent="0.2">
      <c r="A792">
        <v>790</v>
      </c>
      <c r="B792" t="s">
        <v>342</v>
      </c>
      <c r="C792" t="s">
        <v>341</v>
      </c>
      <c r="F792" t="s">
        <v>340</v>
      </c>
      <c r="G792" t="s">
        <v>15</v>
      </c>
      <c r="H792" t="s">
        <v>14</v>
      </c>
      <c r="I792" t="s">
        <v>339</v>
      </c>
      <c r="N792">
        <v>7</v>
      </c>
      <c r="O792" t="s">
        <v>338</v>
      </c>
      <c r="P792" t="s">
        <v>337</v>
      </c>
      <c r="Q792" t="s">
        <v>336</v>
      </c>
      <c r="R792" s="7">
        <v>32509</v>
      </c>
      <c r="S792" s="8">
        <f t="shared" si="96"/>
        <v>1989</v>
      </c>
      <c r="T792" s="8">
        <v>1989</v>
      </c>
      <c r="U792" s="8">
        <f t="shared" si="97"/>
        <v>33</v>
      </c>
      <c r="V792" s="7" t="s">
        <v>335</v>
      </c>
      <c r="W792" t="s">
        <v>334</v>
      </c>
      <c r="X792" s="2">
        <v>0.371</v>
      </c>
      <c r="Y792" s="6">
        <f t="shared" si="102"/>
        <v>9.9036331117695747E-3</v>
      </c>
      <c r="AA792">
        <v>486604</v>
      </c>
      <c r="AB792">
        <v>28580</v>
      </c>
      <c r="AC792" t="s">
        <v>333</v>
      </c>
      <c r="AD792" t="s">
        <v>5</v>
      </c>
      <c r="AE792">
        <v>24</v>
      </c>
      <c r="AF792">
        <v>1</v>
      </c>
      <c r="AH792" t="s">
        <v>332</v>
      </c>
      <c r="AI792" t="s">
        <v>331</v>
      </c>
      <c r="AK792" t="s">
        <v>330</v>
      </c>
      <c r="AL792">
        <v>31</v>
      </c>
      <c r="AM792" s="5">
        <f t="shared" si="98"/>
        <v>0.93939393939393945</v>
      </c>
      <c r="AN792" s="4">
        <f t="shared" si="103"/>
        <v>1.4227852168026346E-3</v>
      </c>
      <c r="AO792" s="3"/>
      <c r="AP792">
        <v>0</v>
      </c>
      <c r="AR792" t="s">
        <v>0</v>
      </c>
      <c r="AT792" s="2">
        <v>1.431</v>
      </c>
      <c r="AU792" s="1">
        <f t="shared" si="99"/>
        <v>0.73593787432794922</v>
      </c>
      <c r="AV792" s="1">
        <f t="shared" si="100"/>
        <v>0.56632091642861049</v>
      </c>
      <c r="AW792" s="1">
        <f t="shared" si="101"/>
        <v>0.39670395852927165</v>
      </c>
    </row>
    <row r="793" spans="1:49" x14ac:dyDescent="0.2">
      <c r="A793">
        <v>791</v>
      </c>
      <c r="B793" t="s">
        <v>329</v>
      </c>
      <c r="C793" t="s">
        <v>328</v>
      </c>
      <c r="F793" t="s">
        <v>327</v>
      </c>
      <c r="G793" t="s">
        <v>15</v>
      </c>
      <c r="H793" t="s">
        <v>14</v>
      </c>
      <c r="I793" t="s">
        <v>326</v>
      </c>
      <c r="J793">
        <v>60009982</v>
      </c>
      <c r="K793" t="s">
        <v>325</v>
      </c>
      <c r="L793" t="s">
        <v>324</v>
      </c>
      <c r="M793" t="s">
        <v>23</v>
      </c>
      <c r="N793">
        <v>2</v>
      </c>
      <c r="O793" t="s">
        <v>323</v>
      </c>
      <c r="P793" t="s">
        <v>322</v>
      </c>
      <c r="Q793" t="s">
        <v>321</v>
      </c>
      <c r="R793" s="7">
        <v>32509</v>
      </c>
      <c r="S793" s="8">
        <f t="shared" si="96"/>
        <v>1989</v>
      </c>
      <c r="T793" s="8">
        <v>1989</v>
      </c>
      <c r="U793" s="8">
        <f t="shared" si="97"/>
        <v>33</v>
      </c>
      <c r="V793" s="7">
        <v>1989</v>
      </c>
      <c r="W793" t="s">
        <v>320</v>
      </c>
      <c r="X793" s="2">
        <v>0.70799999999999996</v>
      </c>
      <c r="Y793" s="6">
        <f t="shared" si="102"/>
        <v>1.8899655641867543E-2</v>
      </c>
      <c r="AA793">
        <v>222488</v>
      </c>
      <c r="AB793">
        <v>28544</v>
      </c>
      <c r="AD793" t="s">
        <v>5</v>
      </c>
      <c r="AE793">
        <v>30</v>
      </c>
      <c r="AF793">
        <v>11</v>
      </c>
      <c r="AH793" t="s">
        <v>319</v>
      </c>
      <c r="AI793" t="s">
        <v>318</v>
      </c>
      <c r="AK793" t="s">
        <v>317</v>
      </c>
      <c r="AL793">
        <v>9</v>
      </c>
      <c r="AM793" s="5">
        <f t="shared" si="98"/>
        <v>0.27272727272727271</v>
      </c>
      <c r="AN793" s="4">
        <f t="shared" si="103"/>
        <v>4.1306667584592612E-4</v>
      </c>
      <c r="AO793" s="3"/>
      <c r="AP793">
        <v>0</v>
      </c>
      <c r="AR793" t="s">
        <v>0</v>
      </c>
      <c r="AT793" s="2">
        <v>1.488</v>
      </c>
      <c r="AU793" s="1">
        <f t="shared" si="99"/>
        <v>1.3353678952061057</v>
      </c>
      <c r="AV793" s="1">
        <f t="shared" si="100"/>
        <v>0.96563611588567333</v>
      </c>
      <c r="AW793" s="1">
        <f t="shared" si="101"/>
        <v>0.59590433656524111</v>
      </c>
    </row>
    <row r="794" spans="1:49" x14ac:dyDescent="0.2">
      <c r="A794">
        <v>792</v>
      </c>
      <c r="B794" t="s">
        <v>316</v>
      </c>
      <c r="C794" t="s">
        <v>315</v>
      </c>
      <c r="F794" t="s">
        <v>314</v>
      </c>
      <c r="G794" t="s">
        <v>15</v>
      </c>
      <c r="H794" t="s">
        <v>14</v>
      </c>
      <c r="I794" t="s">
        <v>313</v>
      </c>
      <c r="J794">
        <v>60027090</v>
      </c>
      <c r="K794" t="s">
        <v>312</v>
      </c>
      <c r="L794" t="s">
        <v>311</v>
      </c>
      <c r="M794" t="s">
        <v>23</v>
      </c>
      <c r="N794">
        <v>2</v>
      </c>
      <c r="O794" t="s">
        <v>310</v>
      </c>
      <c r="P794" t="s">
        <v>309</v>
      </c>
      <c r="Q794" t="s">
        <v>308</v>
      </c>
      <c r="R794" s="7">
        <v>32509</v>
      </c>
      <c r="S794" s="8">
        <f t="shared" si="96"/>
        <v>1989</v>
      </c>
      <c r="T794" s="8">
        <v>1989</v>
      </c>
      <c r="U794" s="8">
        <f t="shared" si="97"/>
        <v>33</v>
      </c>
      <c r="V794" s="7">
        <v>32813</v>
      </c>
      <c r="W794" t="s">
        <v>307</v>
      </c>
      <c r="X794" s="2">
        <v>1.4179999999999999</v>
      </c>
      <c r="Y794" s="6">
        <f t="shared" si="102"/>
        <v>3.7852700141480469E-2</v>
      </c>
      <c r="AA794">
        <v>36900</v>
      </c>
      <c r="AB794">
        <v>15163</v>
      </c>
      <c r="AD794" t="s">
        <v>5</v>
      </c>
      <c r="AE794">
        <v>42</v>
      </c>
      <c r="AF794">
        <v>11</v>
      </c>
      <c r="AH794" t="s">
        <v>306</v>
      </c>
      <c r="AI794" t="s">
        <v>305</v>
      </c>
      <c r="AK794" t="s">
        <v>304</v>
      </c>
      <c r="AL794">
        <v>20</v>
      </c>
      <c r="AM794" s="5">
        <f t="shared" si="98"/>
        <v>0.60606060606060608</v>
      </c>
      <c r="AN794" s="4">
        <f t="shared" si="103"/>
        <v>9.1792594632428032E-4</v>
      </c>
      <c r="AO794" s="3"/>
      <c r="AP794">
        <v>0</v>
      </c>
      <c r="AR794" t="s">
        <v>0</v>
      </c>
      <c r="AT794" s="2">
        <v>7.2809999999999997</v>
      </c>
      <c r="AU794" s="1">
        <f t="shared" si="99"/>
        <v>2.6772267882933609</v>
      </c>
      <c r="AV794" s="1">
        <f t="shared" si="100"/>
        <v>1.9385313043902377</v>
      </c>
      <c r="AW794" s="1">
        <f t="shared" si="101"/>
        <v>1.1998358204871138</v>
      </c>
    </row>
    <row r="795" spans="1:49" x14ac:dyDescent="0.2">
      <c r="A795">
        <v>793</v>
      </c>
      <c r="B795" t="s">
        <v>303</v>
      </c>
      <c r="C795" t="s">
        <v>302</v>
      </c>
      <c r="D795" t="s">
        <v>301</v>
      </c>
      <c r="F795" t="s">
        <v>300</v>
      </c>
      <c r="G795" t="s">
        <v>15</v>
      </c>
      <c r="H795" t="s">
        <v>14</v>
      </c>
      <c r="I795" t="s">
        <v>299</v>
      </c>
      <c r="N795">
        <v>3</v>
      </c>
      <c r="O795" t="s">
        <v>298</v>
      </c>
      <c r="P795" t="s">
        <v>297</v>
      </c>
      <c r="Q795" t="s">
        <v>296</v>
      </c>
      <c r="R795" s="7">
        <v>32509</v>
      </c>
      <c r="S795" s="8">
        <f t="shared" si="96"/>
        <v>1989</v>
      </c>
      <c r="T795" s="8">
        <v>1989</v>
      </c>
      <c r="U795" s="8">
        <f t="shared" si="97"/>
        <v>33</v>
      </c>
      <c r="V795" s="7">
        <v>32660</v>
      </c>
      <c r="W795" t="s">
        <v>68</v>
      </c>
      <c r="X795" s="2">
        <v>1.59</v>
      </c>
      <c r="Y795" s="6">
        <f t="shared" si="102"/>
        <v>4.2444141907583888E-2</v>
      </c>
      <c r="AA795">
        <v>52728</v>
      </c>
      <c r="AB795">
        <v>16791</v>
      </c>
      <c r="AD795" t="s">
        <v>5</v>
      </c>
      <c r="AE795">
        <v>975</v>
      </c>
      <c r="AF795">
        <v>1</v>
      </c>
      <c r="AH795" t="s">
        <v>295</v>
      </c>
      <c r="AI795" t="s">
        <v>294</v>
      </c>
      <c r="AJ795" t="s">
        <v>293</v>
      </c>
      <c r="AK795" t="s">
        <v>292</v>
      </c>
      <c r="AL795">
        <v>14</v>
      </c>
      <c r="AM795" s="5">
        <f t="shared" si="98"/>
        <v>0.42424242424242425</v>
      </c>
      <c r="AN795" s="4">
        <f t="shared" si="103"/>
        <v>6.4254816242699617E-4</v>
      </c>
      <c r="AO795" s="3"/>
      <c r="AP795">
        <v>0</v>
      </c>
      <c r="AR795" t="s">
        <v>0</v>
      </c>
      <c r="AS795" t="s">
        <v>291</v>
      </c>
      <c r="AT795" s="2" t="s">
        <v>19</v>
      </c>
      <c r="AU795" s="1">
        <f t="shared" si="99"/>
        <v>2.990366378403682</v>
      </c>
      <c r="AV795" s="1">
        <f t="shared" si="100"/>
        <v>2.1543345035005443</v>
      </c>
      <c r="AW795" s="1">
        <f t="shared" si="101"/>
        <v>1.3183026285974062</v>
      </c>
    </row>
    <row r="796" spans="1:49" x14ac:dyDescent="0.2">
      <c r="A796">
        <v>794</v>
      </c>
      <c r="B796" t="s">
        <v>290</v>
      </c>
      <c r="C796" t="s">
        <v>289</v>
      </c>
      <c r="D796" t="s">
        <v>288</v>
      </c>
      <c r="F796" t="s">
        <v>287</v>
      </c>
      <c r="G796" t="s">
        <v>15</v>
      </c>
      <c r="H796" t="s">
        <v>14</v>
      </c>
      <c r="I796" t="s">
        <v>286</v>
      </c>
      <c r="J796">
        <v>60010365</v>
      </c>
      <c r="K796" t="s">
        <v>285</v>
      </c>
      <c r="L796" t="s">
        <v>284</v>
      </c>
      <c r="M796" t="s">
        <v>283</v>
      </c>
      <c r="N796">
        <v>2</v>
      </c>
      <c r="O796" t="s">
        <v>282</v>
      </c>
      <c r="P796" t="s">
        <v>281</v>
      </c>
      <c r="Q796" t="s">
        <v>280</v>
      </c>
      <c r="R796" s="7">
        <v>32509</v>
      </c>
      <c r="S796" s="8">
        <f t="shared" si="96"/>
        <v>1989</v>
      </c>
      <c r="T796" s="8">
        <v>1989</v>
      </c>
      <c r="U796" s="8">
        <f t="shared" si="97"/>
        <v>33</v>
      </c>
      <c r="V796" s="7">
        <v>32629</v>
      </c>
      <c r="W796" t="s">
        <v>68</v>
      </c>
      <c r="X796" s="2">
        <v>1.59</v>
      </c>
      <c r="Y796" s="6">
        <f t="shared" si="102"/>
        <v>4.2444141907583888E-2</v>
      </c>
      <c r="AA796">
        <v>52728</v>
      </c>
      <c r="AB796">
        <v>16791</v>
      </c>
      <c r="AD796" t="s">
        <v>5</v>
      </c>
      <c r="AE796">
        <v>974</v>
      </c>
      <c r="AF796">
        <v>2</v>
      </c>
      <c r="AH796" t="s">
        <v>279</v>
      </c>
      <c r="AI796" t="s">
        <v>278</v>
      </c>
      <c r="AJ796" t="s">
        <v>277</v>
      </c>
      <c r="AK796" t="s">
        <v>276</v>
      </c>
      <c r="AL796">
        <v>45</v>
      </c>
      <c r="AM796" s="5">
        <f t="shared" si="98"/>
        <v>1.3636363636363635</v>
      </c>
      <c r="AN796" s="4">
        <f t="shared" si="103"/>
        <v>2.0653333792296307E-3</v>
      </c>
      <c r="AO796" s="3"/>
      <c r="AP796">
        <v>0</v>
      </c>
      <c r="AR796" t="s">
        <v>0</v>
      </c>
      <c r="AT796" s="2" t="s">
        <v>19</v>
      </c>
      <c r="AU796" s="1">
        <f t="shared" si="99"/>
        <v>3.0330499349077611</v>
      </c>
      <c r="AV796" s="1">
        <f t="shared" si="100"/>
        <v>2.2254737643406757</v>
      </c>
      <c r="AW796" s="1">
        <f t="shared" si="101"/>
        <v>1.4178975937735907</v>
      </c>
    </row>
    <row r="797" spans="1:49" x14ac:dyDescent="0.2">
      <c r="A797">
        <v>795</v>
      </c>
      <c r="B797" t="s">
        <v>275</v>
      </c>
      <c r="C797" t="s">
        <v>274</v>
      </c>
      <c r="D797" t="s">
        <v>273</v>
      </c>
      <c r="F797" t="s">
        <v>272</v>
      </c>
      <c r="G797" t="s">
        <v>15</v>
      </c>
      <c r="H797" t="s">
        <v>14</v>
      </c>
      <c r="I797" t="s">
        <v>271</v>
      </c>
      <c r="J797">
        <v>60003878</v>
      </c>
      <c r="K797" t="s">
        <v>198</v>
      </c>
      <c r="L797" t="s">
        <v>197</v>
      </c>
      <c r="M797" t="s">
        <v>196</v>
      </c>
      <c r="N797">
        <v>3</v>
      </c>
      <c r="O797" t="s">
        <v>270</v>
      </c>
      <c r="P797" t="s">
        <v>269</v>
      </c>
      <c r="Q797" t="s">
        <v>193</v>
      </c>
      <c r="R797" s="7">
        <v>32509</v>
      </c>
      <c r="S797" s="8">
        <f t="shared" si="96"/>
        <v>1989</v>
      </c>
      <c r="T797" s="8">
        <v>1989</v>
      </c>
      <c r="U797" s="8">
        <f t="shared" si="97"/>
        <v>33</v>
      </c>
      <c r="V797" s="7">
        <v>32540</v>
      </c>
      <c r="W797" t="s">
        <v>68</v>
      </c>
      <c r="X797" s="2">
        <v>1.59</v>
      </c>
      <c r="Y797" s="6">
        <f t="shared" si="102"/>
        <v>4.2444141907583888E-2</v>
      </c>
      <c r="AA797">
        <v>52728</v>
      </c>
      <c r="AB797">
        <v>16791</v>
      </c>
      <c r="AD797" t="s">
        <v>5</v>
      </c>
      <c r="AE797">
        <v>973</v>
      </c>
      <c r="AF797">
        <v>2</v>
      </c>
      <c r="AH797" t="s">
        <v>268</v>
      </c>
      <c r="AI797" t="s">
        <v>267</v>
      </c>
      <c r="AJ797" t="s">
        <v>266</v>
      </c>
      <c r="AK797" t="s">
        <v>265</v>
      </c>
      <c r="AL797">
        <v>23</v>
      </c>
      <c r="AM797" s="5">
        <f t="shared" si="98"/>
        <v>0.69696969696969702</v>
      </c>
      <c r="AN797" s="4">
        <f t="shared" si="103"/>
        <v>1.0556148382729225E-3</v>
      </c>
      <c r="AO797" s="3"/>
      <c r="AP797">
        <v>0</v>
      </c>
      <c r="AQ797" t="s">
        <v>234</v>
      </c>
      <c r="AR797" t="s">
        <v>0</v>
      </c>
      <c r="AS797" t="s">
        <v>233</v>
      </c>
      <c r="AT797" s="2" t="s">
        <v>19</v>
      </c>
      <c r="AU797" s="1">
        <f t="shared" si="99"/>
        <v>3.0027583786790597</v>
      </c>
      <c r="AV797" s="1">
        <f t="shared" si="100"/>
        <v>2.1749878372928402</v>
      </c>
      <c r="AW797" s="1">
        <f t="shared" si="101"/>
        <v>1.3472172959066211</v>
      </c>
    </row>
    <row r="798" spans="1:49" x14ac:dyDescent="0.2">
      <c r="A798">
        <v>796</v>
      </c>
      <c r="B798" t="s">
        <v>264</v>
      </c>
      <c r="C798" t="s">
        <v>263</v>
      </c>
      <c r="F798" t="s">
        <v>262</v>
      </c>
      <c r="G798" t="s">
        <v>15</v>
      </c>
      <c r="H798" t="s">
        <v>14</v>
      </c>
      <c r="I798" t="s">
        <v>159</v>
      </c>
      <c r="J798">
        <v>60005460</v>
      </c>
      <c r="K798" t="s">
        <v>261</v>
      </c>
      <c r="L798" t="s">
        <v>260</v>
      </c>
      <c r="M798" t="s">
        <v>259</v>
      </c>
      <c r="N798">
        <v>3</v>
      </c>
      <c r="O798" t="s">
        <v>258</v>
      </c>
      <c r="P798" t="s">
        <v>257</v>
      </c>
      <c r="Q798" t="s">
        <v>256</v>
      </c>
      <c r="R798" s="7">
        <v>32509</v>
      </c>
      <c r="S798" s="8">
        <f t="shared" si="96"/>
        <v>1989</v>
      </c>
      <c r="T798" s="8">
        <v>1989</v>
      </c>
      <c r="U798" s="8">
        <f t="shared" si="97"/>
        <v>33</v>
      </c>
      <c r="V798" s="7">
        <v>32509</v>
      </c>
      <c r="W798" t="s">
        <v>255</v>
      </c>
      <c r="X798" s="2" t="s">
        <v>19</v>
      </c>
      <c r="Y798" s="6" t="e">
        <f t="shared" si="102"/>
        <v>#VALUE!</v>
      </c>
      <c r="AA798">
        <v>144754</v>
      </c>
      <c r="AB798">
        <v>74305</v>
      </c>
      <c r="AC798">
        <v>14209071</v>
      </c>
      <c r="AD798" t="s">
        <v>5</v>
      </c>
      <c r="AE798">
        <v>45</v>
      </c>
      <c r="AF798">
        <v>1</v>
      </c>
      <c r="AH798" t="s">
        <v>254</v>
      </c>
      <c r="AI798" t="s">
        <v>253</v>
      </c>
      <c r="AJ798" t="s">
        <v>252</v>
      </c>
      <c r="AK798" t="s">
        <v>251</v>
      </c>
      <c r="AL798">
        <v>34</v>
      </c>
      <c r="AM798" s="5">
        <f t="shared" si="98"/>
        <v>1.0303030303030303</v>
      </c>
      <c r="AN798" s="4">
        <f t="shared" si="103"/>
        <v>1.5604741087512765E-3</v>
      </c>
      <c r="AO798" s="3"/>
      <c r="AP798">
        <v>0</v>
      </c>
      <c r="AR798" t="s">
        <v>0</v>
      </c>
      <c r="AT798" s="2" t="s">
        <v>19</v>
      </c>
      <c r="AU798" s="1" t="e">
        <f t="shared" si="99"/>
        <v>#VALUE!</v>
      </c>
      <c r="AV798" s="1" t="e">
        <f t="shared" si="100"/>
        <v>#VALUE!</v>
      </c>
      <c r="AW798" s="1" t="e">
        <f t="shared" si="101"/>
        <v>#VALUE!</v>
      </c>
    </row>
    <row r="799" spans="1:49" x14ac:dyDescent="0.2">
      <c r="A799">
        <v>797</v>
      </c>
      <c r="B799" t="s">
        <v>250</v>
      </c>
      <c r="C799" t="s">
        <v>249</v>
      </c>
      <c r="D799" t="s">
        <v>248</v>
      </c>
      <c r="F799" t="s">
        <v>247</v>
      </c>
      <c r="G799" t="s">
        <v>15</v>
      </c>
      <c r="H799" t="s">
        <v>14</v>
      </c>
      <c r="I799" t="s">
        <v>246</v>
      </c>
      <c r="J799" t="s">
        <v>245</v>
      </c>
      <c r="K799" t="s">
        <v>244</v>
      </c>
      <c r="L799" t="s">
        <v>243</v>
      </c>
      <c r="M799" t="s">
        <v>242</v>
      </c>
      <c r="N799">
        <v>4</v>
      </c>
      <c r="O799" t="s">
        <v>241</v>
      </c>
      <c r="P799" t="s">
        <v>240</v>
      </c>
      <c r="Q799" t="s">
        <v>239</v>
      </c>
      <c r="R799" s="7">
        <v>32509</v>
      </c>
      <c r="S799" s="8">
        <f t="shared" si="96"/>
        <v>1989</v>
      </c>
      <c r="T799" s="8">
        <v>1989</v>
      </c>
      <c r="U799" s="8">
        <f t="shared" si="97"/>
        <v>33</v>
      </c>
      <c r="V799" s="7">
        <v>32721</v>
      </c>
      <c r="W799" t="s">
        <v>68</v>
      </c>
      <c r="X799" s="2">
        <v>1.59</v>
      </c>
      <c r="Y799" s="6">
        <f t="shared" si="102"/>
        <v>4.2444141907583888E-2</v>
      </c>
      <c r="AA799">
        <v>52728</v>
      </c>
      <c r="AB799">
        <v>16791</v>
      </c>
      <c r="AD799" t="s">
        <v>5</v>
      </c>
      <c r="AE799">
        <v>976</v>
      </c>
      <c r="AF799">
        <v>1</v>
      </c>
      <c r="AH799" t="s">
        <v>238</v>
      </c>
      <c r="AI799" t="s">
        <v>237</v>
      </c>
      <c r="AJ799" t="s">
        <v>236</v>
      </c>
      <c r="AK799" t="s">
        <v>235</v>
      </c>
      <c r="AL799">
        <v>24</v>
      </c>
      <c r="AM799" s="5">
        <f t="shared" si="98"/>
        <v>0.72727272727272729</v>
      </c>
      <c r="AN799" s="4">
        <f t="shared" si="103"/>
        <v>1.1015111355891364E-3</v>
      </c>
      <c r="AO799" s="3"/>
      <c r="AP799">
        <v>0</v>
      </c>
      <c r="AQ799" t="s">
        <v>234</v>
      </c>
      <c r="AR799" t="s">
        <v>0</v>
      </c>
      <c r="AS799" t="s">
        <v>233</v>
      </c>
      <c r="AT799" s="2" t="s">
        <v>19</v>
      </c>
      <c r="AU799" s="1">
        <f t="shared" si="99"/>
        <v>3.0041352675985462</v>
      </c>
      <c r="AV799" s="1">
        <f t="shared" si="100"/>
        <v>2.177282652158651</v>
      </c>
      <c r="AW799" s="1">
        <f t="shared" si="101"/>
        <v>1.3504300367187561</v>
      </c>
    </row>
    <row r="800" spans="1:49" x14ac:dyDescent="0.2">
      <c r="A800">
        <v>798</v>
      </c>
      <c r="B800" t="s">
        <v>232</v>
      </c>
      <c r="C800" t="s">
        <v>231</v>
      </c>
      <c r="F800" t="s">
        <v>230</v>
      </c>
      <c r="G800" t="s">
        <v>15</v>
      </c>
      <c r="H800" t="s">
        <v>14</v>
      </c>
      <c r="I800" t="s">
        <v>229</v>
      </c>
      <c r="J800" t="s">
        <v>228</v>
      </c>
      <c r="K800" t="s">
        <v>227</v>
      </c>
      <c r="L800" t="s">
        <v>226</v>
      </c>
      <c r="M800" t="s">
        <v>225</v>
      </c>
      <c r="N800">
        <v>7</v>
      </c>
      <c r="O800" t="s">
        <v>224</v>
      </c>
      <c r="P800" t="s">
        <v>223</v>
      </c>
      <c r="Q800" t="s">
        <v>222</v>
      </c>
      <c r="R800" s="7">
        <v>32509</v>
      </c>
      <c r="S800" s="8">
        <f t="shared" si="96"/>
        <v>1989</v>
      </c>
      <c r="T800" s="8">
        <v>1989</v>
      </c>
      <c r="U800" s="8">
        <f t="shared" si="97"/>
        <v>33</v>
      </c>
      <c r="V800" s="7">
        <v>32599</v>
      </c>
      <c r="W800" t="s">
        <v>34</v>
      </c>
      <c r="X800" s="2">
        <v>0.76500000000000001</v>
      </c>
      <c r="Y800" s="6">
        <f t="shared" si="102"/>
        <v>2.0421238087611118E-2</v>
      </c>
      <c r="AA800">
        <v>138703</v>
      </c>
      <c r="AB800">
        <v>19793</v>
      </c>
      <c r="AC800">
        <v>15707458</v>
      </c>
      <c r="AD800" t="s">
        <v>5</v>
      </c>
      <c r="AE800">
        <v>51</v>
      </c>
      <c r="AF800">
        <v>1</v>
      </c>
      <c r="AH800" t="s">
        <v>221</v>
      </c>
      <c r="AI800" t="s">
        <v>220</v>
      </c>
      <c r="AJ800" t="s">
        <v>219</v>
      </c>
      <c r="AK800" t="s">
        <v>218</v>
      </c>
      <c r="AL800">
        <v>20</v>
      </c>
      <c r="AM800" s="5">
        <f t="shared" si="98"/>
        <v>0.60606060606060608</v>
      </c>
      <c r="AN800" s="4">
        <f t="shared" si="103"/>
        <v>9.1792594632428032E-4</v>
      </c>
      <c r="AO800" s="3"/>
      <c r="AP800">
        <v>0</v>
      </c>
      <c r="AR800" t="s">
        <v>0</v>
      </c>
      <c r="AT800" s="2" t="s">
        <v>19</v>
      </c>
      <c r="AU800" s="1">
        <f t="shared" si="99"/>
        <v>1.4570244445225065</v>
      </c>
      <c r="AV800" s="1">
        <f t="shared" si="100"/>
        <v>1.0669582016967698</v>
      </c>
      <c r="AW800" s="1">
        <f t="shared" si="101"/>
        <v>0.67689195887103315</v>
      </c>
    </row>
    <row r="801" spans="1:49" x14ac:dyDescent="0.2">
      <c r="A801">
        <v>799</v>
      </c>
      <c r="B801" t="s">
        <v>217</v>
      </c>
      <c r="C801" t="s">
        <v>216</v>
      </c>
      <c r="D801" t="s">
        <v>215</v>
      </c>
      <c r="F801" t="s">
        <v>214</v>
      </c>
      <c r="G801" t="s">
        <v>15</v>
      </c>
      <c r="H801" t="s">
        <v>14</v>
      </c>
      <c r="I801" t="s">
        <v>213</v>
      </c>
      <c r="J801">
        <v>60068852</v>
      </c>
      <c r="K801" t="s">
        <v>212</v>
      </c>
      <c r="L801" t="s">
        <v>211</v>
      </c>
      <c r="M801" t="s">
        <v>210</v>
      </c>
      <c r="N801">
        <v>4</v>
      </c>
      <c r="O801" t="s">
        <v>209</v>
      </c>
      <c r="P801" t="s">
        <v>208</v>
      </c>
      <c r="Q801" t="s">
        <v>207</v>
      </c>
      <c r="R801" s="7">
        <v>32509</v>
      </c>
      <c r="S801" s="8">
        <f t="shared" si="96"/>
        <v>1989</v>
      </c>
      <c r="T801" s="8">
        <v>1989</v>
      </c>
      <c r="U801" s="8">
        <f t="shared" si="97"/>
        <v>33</v>
      </c>
      <c r="V801" s="7">
        <v>32509</v>
      </c>
      <c r="W801" t="s">
        <v>68</v>
      </c>
      <c r="X801" s="2">
        <v>1.59</v>
      </c>
      <c r="Y801" s="6">
        <f t="shared" si="102"/>
        <v>4.2444141907583888E-2</v>
      </c>
      <c r="AA801">
        <v>52728</v>
      </c>
      <c r="AB801">
        <v>16791</v>
      </c>
      <c r="AD801" t="s">
        <v>5</v>
      </c>
      <c r="AE801">
        <v>973</v>
      </c>
      <c r="AF801">
        <v>1</v>
      </c>
      <c r="AH801" t="s">
        <v>206</v>
      </c>
      <c r="AI801" t="s">
        <v>205</v>
      </c>
      <c r="AJ801" t="s">
        <v>204</v>
      </c>
      <c r="AK801" t="s">
        <v>203</v>
      </c>
      <c r="AL801">
        <v>65</v>
      </c>
      <c r="AM801" s="5">
        <f t="shared" si="98"/>
        <v>1.9696969696969697</v>
      </c>
      <c r="AN801" s="4">
        <f t="shared" si="103"/>
        <v>2.9832593255539109E-3</v>
      </c>
      <c r="AO801" s="3"/>
      <c r="AP801">
        <v>0</v>
      </c>
      <c r="AR801" t="s">
        <v>0</v>
      </c>
      <c r="AT801" s="2" t="s">
        <v>19</v>
      </c>
      <c r="AU801" s="1">
        <f t="shared" si="99"/>
        <v>3.0605877132974895</v>
      </c>
      <c r="AV801" s="1">
        <f t="shared" si="100"/>
        <v>2.2713700616568899</v>
      </c>
      <c r="AW801" s="1">
        <f t="shared" si="101"/>
        <v>1.4821524100162904</v>
      </c>
    </row>
    <row r="802" spans="1:49" x14ac:dyDescent="0.2">
      <c r="A802">
        <v>800</v>
      </c>
      <c r="B802" t="s">
        <v>202</v>
      </c>
      <c r="C802" t="s">
        <v>201</v>
      </c>
      <c r="F802" t="s">
        <v>200</v>
      </c>
      <c r="G802" t="s">
        <v>15</v>
      </c>
      <c r="H802" t="s">
        <v>14</v>
      </c>
      <c r="I802" t="s">
        <v>199</v>
      </c>
      <c r="J802">
        <v>60003878</v>
      </c>
      <c r="K802" t="s">
        <v>198</v>
      </c>
      <c r="L802" t="s">
        <v>197</v>
      </c>
      <c r="M802" t="s">
        <v>196</v>
      </c>
      <c r="N802">
        <v>3</v>
      </c>
      <c r="O802" t="s">
        <v>195</v>
      </c>
      <c r="P802" t="s">
        <v>194</v>
      </c>
      <c r="Q802" t="s">
        <v>193</v>
      </c>
      <c r="R802" s="7">
        <v>32509</v>
      </c>
      <c r="S802" s="8">
        <f t="shared" si="96"/>
        <v>1989</v>
      </c>
      <c r="T802" s="8">
        <v>1989</v>
      </c>
      <c r="U802" s="8">
        <f t="shared" si="97"/>
        <v>33</v>
      </c>
      <c r="V802" s="7">
        <v>32509</v>
      </c>
      <c r="W802" t="s">
        <v>192</v>
      </c>
      <c r="X802" s="2">
        <v>1.1579999999999999</v>
      </c>
      <c r="Y802" s="6">
        <f t="shared" si="102"/>
        <v>3.0912148634579962E-2</v>
      </c>
      <c r="AA802">
        <v>1668595</v>
      </c>
      <c r="AB802">
        <v>14223</v>
      </c>
      <c r="AC802">
        <v>15735079</v>
      </c>
      <c r="AD802" t="s">
        <v>5</v>
      </c>
      <c r="AE802">
        <v>22</v>
      </c>
      <c r="AF802">
        <v>1</v>
      </c>
      <c r="AH802" t="s">
        <v>191</v>
      </c>
      <c r="AI802" t="s">
        <v>190</v>
      </c>
      <c r="AJ802" t="s">
        <v>189</v>
      </c>
      <c r="AK802" t="s">
        <v>188</v>
      </c>
      <c r="AL802">
        <v>29</v>
      </c>
      <c r="AM802" s="5">
        <f t="shared" si="98"/>
        <v>0.87878787878787878</v>
      </c>
      <c r="AN802" s="4">
        <f t="shared" si="103"/>
        <v>1.3309926221702064E-3</v>
      </c>
      <c r="AO802" s="3"/>
      <c r="AP802">
        <v>0</v>
      </c>
      <c r="AR802" t="s">
        <v>0</v>
      </c>
      <c r="AT802" s="2">
        <v>3.573</v>
      </c>
      <c r="AU802" s="1">
        <f t="shared" si="99"/>
        <v>2.2037801830857036</v>
      </c>
      <c r="AV802" s="1">
        <f t="shared" si="100"/>
        <v>1.6121570628375084</v>
      </c>
      <c r="AW802" s="1">
        <f t="shared" si="101"/>
        <v>1.0205339425893132</v>
      </c>
    </row>
    <row r="803" spans="1:49" x14ac:dyDescent="0.2">
      <c r="A803">
        <v>801</v>
      </c>
      <c r="B803" t="s">
        <v>187</v>
      </c>
      <c r="C803" t="s">
        <v>186</v>
      </c>
      <c r="F803" t="s">
        <v>185</v>
      </c>
      <c r="G803" t="s">
        <v>15</v>
      </c>
      <c r="H803" t="s">
        <v>14</v>
      </c>
      <c r="I803" t="s">
        <v>184</v>
      </c>
      <c r="J803">
        <v>60026175</v>
      </c>
      <c r="K803" t="s">
        <v>183</v>
      </c>
      <c r="L803" t="s">
        <v>182</v>
      </c>
      <c r="M803" t="s">
        <v>23</v>
      </c>
      <c r="N803">
        <v>1</v>
      </c>
      <c r="O803" t="s">
        <v>181</v>
      </c>
      <c r="P803">
        <v>7006392487</v>
      </c>
      <c r="Q803">
        <v>60026175</v>
      </c>
      <c r="R803" s="7">
        <v>32509</v>
      </c>
      <c r="S803" s="8">
        <f t="shared" si="96"/>
        <v>1989</v>
      </c>
      <c r="T803" s="8">
        <v>1989</v>
      </c>
      <c r="U803" s="8">
        <f t="shared" si="97"/>
        <v>33</v>
      </c>
      <c r="V803" s="7">
        <v>1989</v>
      </c>
      <c r="W803" t="s">
        <v>180</v>
      </c>
      <c r="X803" s="2">
        <v>1.391</v>
      </c>
      <c r="Y803" s="6">
        <f t="shared" si="102"/>
        <v>3.7131950561917731E-2</v>
      </c>
      <c r="AA803">
        <v>10502947</v>
      </c>
      <c r="AB803">
        <v>29143</v>
      </c>
      <c r="AD803" t="s">
        <v>5</v>
      </c>
      <c r="AE803">
        <v>39</v>
      </c>
      <c r="AF803">
        <v>4</v>
      </c>
      <c r="AH803" t="s">
        <v>179</v>
      </c>
      <c r="AI803" t="s">
        <v>178</v>
      </c>
      <c r="AK803" t="s">
        <v>177</v>
      </c>
      <c r="AL803">
        <v>254</v>
      </c>
      <c r="AM803" s="5">
        <f t="shared" si="98"/>
        <v>7.6969696969696972</v>
      </c>
      <c r="AN803" s="4">
        <f t="shared" si="103"/>
        <v>1.1657659518318359E-2</v>
      </c>
      <c r="AO803" s="3"/>
      <c r="AP803">
        <v>0</v>
      </c>
      <c r="AR803" t="s">
        <v>0</v>
      </c>
      <c r="AT803" s="2">
        <v>3.14</v>
      </c>
      <c r="AU803" s="1">
        <f t="shared" si="99"/>
        <v>2.9489663248837918</v>
      </c>
      <c r="AV803" s="1">
        <f t="shared" si="100"/>
        <v>2.4394805040118048</v>
      </c>
      <c r="AW803" s="1">
        <f t="shared" si="101"/>
        <v>1.9299946831398171</v>
      </c>
    </row>
    <row r="804" spans="1:49" x14ac:dyDescent="0.2">
      <c r="A804">
        <v>802</v>
      </c>
      <c r="B804" t="s">
        <v>176</v>
      </c>
      <c r="C804" t="s">
        <v>175</v>
      </c>
      <c r="F804" t="s">
        <v>174</v>
      </c>
      <c r="G804" t="s">
        <v>15</v>
      </c>
      <c r="H804" t="s">
        <v>14</v>
      </c>
      <c r="I804" t="s">
        <v>173</v>
      </c>
      <c r="J804" t="s">
        <v>172</v>
      </c>
      <c r="K804" t="s">
        <v>171</v>
      </c>
      <c r="L804" t="s">
        <v>170</v>
      </c>
      <c r="M804" t="s">
        <v>169</v>
      </c>
      <c r="N804">
        <v>2</v>
      </c>
      <c r="O804" t="s">
        <v>168</v>
      </c>
      <c r="P804" t="s">
        <v>167</v>
      </c>
      <c r="Q804" t="s">
        <v>166</v>
      </c>
      <c r="R804" s="7">
        <v>32509</v>
      </c>
      <c r="S804" s="8">
        <f t="shared" ref="S804:S815" si="104">YEAR(R804)</f>
        <v>1989</v>
      </c>
      <c r="T804" s="8">
        <v>1989</v>
      </c>
      <c r="U804" s="8">
        <f t="shared" ref="U804:U815" si="105">2022-T804</f>
        <v>33</v>
      </c>
      <c r="V804" s="7">
        <v>32568</v>
      </c>
      <c r="W804" t="s">
        <v>165</v>
      </c>
      <c r="X804" s="2" t="s">
        <v>19</v>
      </c>
      <c r="Y804" s="6" t="e">
        <f t="shared" si="102"/>
        <v>#VALUE!</v>
      </c>
      <c r="AA804">
        <v>785326</v>
      </c>
      <c r="AB804">
        <v>12953</v>
      </c>
      <c r="AD804" t="s">
        <v>5</v>
      </c>
      <c r="AE804">
        <v>30</v>
      </c>
      <c r="AF804">
        <v>1</v>
      </c>
      <c r="AH804" s="10">
        <v>43466</v>
      </c>
      <c r="AI804" t="s">
        <v>164</v>
      </c>
      <c r="AK804" t="s">
        <v>163</v>
      </c>
      <c r="AL804">
        <v>25</v>
      </c>
      <c r="AM804" s="5">
        <f t="shared" ref="AM804:AM815" si="106">AL804/U804</f>
        <v>0.75757575757575757</v>
      </c>
      <c r="AN804" s="4">
        <f t="shared" si="103"/>
        <v>1.1474074329053503E-3</v>
      </c>
      <c r="AO804" s="3"/>
      <c r="AP804">
        <v>0</v>
      </c>
      <c r="AR804" t="s">
        <v>0</v>
      </c>
      <c r="AT804" s="2" t="s">
        <v>19</v>
      </c>
      <c r="AU804" s="1" t="e">
        <f t="shared" ref="AU804:AU815" si="107">(Y804*0.7+AN804*0.3)*100</f>
        <v>#VALUE!</v>
      </c>
      <c r="AV804" s="1" t="e">
        <f t="shared" ref="AV804:AV815" si="108">(Y804*0.5+AN804*0.5)*100</f>
        <v>#VALUE!</v>
      </c>
      <c r="AW804" s="1" t="e">
        <f t="shared" ref="AW804:AW815" si="109">(Y804*0.3+AN804*0.7)*100</f>
        <v>#VALUE!</v>
      </c>
    </row>
    <row r="805" spans="1:49" x14ac:dyDescent="0.2">
      <c r="A805">
        <v>803</v>
      </c>
      <c r="B805" t="s">
        <v>162</v>
      </c>
      <c r="C805" t="s">
        <v>161</v>
      </c>
      <c r="F805" t="s">
        <v>160</v>
      </c>
      <c r="G805" t="s">
        <v>15</v>
      </c>
      <c r="H805" t="s">
        <v>14</v>
      </c>
      <c r="I805" t="s">
        <v>159</v>
      </c>
      <c r="J805" t="s">
        <v>158</v>
      </c>
      <c r="K805" t="s">
        <v>157</v>
      </c>
      <c r="L805" t="s">
        <v>156</v>
      </c>
      <c r="M805" t="s">
        <v>155</v>
      </c>
      <c r="N805">
        <v>4</v>
      </c>
      <c r="O805" t="s">
        <v>154</v>
      </c>
      <c r="P805" t="s">
        <v>153</v>
      </c>
      <c r="Q805" t="s">
        <v>152</v>
      </c>
      <c r="R805" s="7">
        <v>32509</v>
      </c>
      <c r="S805" s="8">
        <f t="shared" si="104"/>
        <v>1989</v>
      </c>
      <c r="T805" s="8">
        <v>1989</v>
      </c>
      <c r="U805" s="8">
        <f t="shared" si="105"/>
        <v>33</v>
      </c>
      <c r="V805" s="7">
        <v>32843</v>
      </c>
      <c r="W805" t="s">
        <v>151</v>
      </c>
      <c r="X805" s="2">
        <v>0.30099999999999999</v>
      </c>
      <c r="Y805" s="6">
        <f t="shared" si="102"/>
        <v>8.0350230906809754E-3</v>
      </c>
      <c r="AA805">
        <v>9395075</v>
      </c>
      <c r="AB805">
        <v>14954</v>
      </c>
      <c r="AC805">
        <v>18657125</v>
      </c>
      <c r="AD805" t="s">
        <v>5</v>
      </c>
      <c r="AE805">
        <v>44</v>
      </c>
      <c r="AF805" s="9">
        <v>44541</v>
      </c>
      <c r="AH805" t="s">
        <v>150</v>
      </c>
      <c r="AI805" t="s">
        <v>149</v>
      </c>
      <c r="AJ805" t="s">
        <v>148</v>
      </c>
      <c r="AK805" t="s">
        <v>147</v>
      </c>
      <c r="AL805">
        <v>16</v>
      </c>
      <c r="AM805" s="5">
        <f t="shared" si="106"/>
        <v>0.48484848484848486</v>
      </c>
      <c r="AN805" s="4">
        <f t="shared" si="103"/>
        <v>7.3434075705942426E-4</v>
      </c>
      <c r="AO805" s="3"/>
      <c r="AP805">
        <v>1</v>
      </c>
      <c r="AR805" t="s">
        <v>0</v>
      </c>
      <c r="AT805" s="2" t="s">
        <v>19</v>
      </c>
      <c r="AU805" s="1">
        <f t="shared" si="107"/>
        <v>0.58448183905945095</v>
      </c>
      <c r="AV805" s="1">
        <f t="shared" si="108"/>
        <v>0.43846819238701995</v>
      </c>
      <c r="AW805" s="1">
        <f t="shared" si="109"/>
        <v>0.29245454571458895</v>
      </c>
    </row>
    <row r="806" spans="1:49" x14ac:dyDescent="0.2">
      <c r="A806">
        <v>804</v>
      </c>
      <c r="B806" t="s">
        <v>146</v>
      </c>
      <c r="C806" t="s">
        <v>145</v>
      </c>
      <c r="F806" t="s">
        <v>144</v>
      </c>
      <c r="G806" t="s">
        <v>15</v>
      </c>
      <c r="H806" t="s">
        <v>14</v>
      </c>
      <c r="I806" t="s">
        <v>143</v>
      </c>
      <c r="J806" t="s">
        <v>142</v>
      </c>
      <c r="K806" t="s">
        <v>141</v>
      </c>
      <c r="L806" t="s">
        <v>140</v>
      </c>
      <c r="M806" t="s">
        <v>86</v>
      </c>
      <c r="N806">
        <v>3</v>
      </c>
      <c r="O806" t="s">
        <v>139</v>
      </c>
      <c r="P806" t="s">
        <v>138</v>
      </c>
      <c r="Q806" t="s">
        <v>137</v>
      </c>
      <c r="R806" s="7">
        <v>32509</v>
      </c>
      <c r="S806" s="8">
        <f t="shared" si="104"/>
        <v>1989</v>
      </c>
      <c r="T806" s="8">
        <v>1989</v>
      </c>
      <c r="U806" s="8">
        <f t="shared" si="105"/>
        <v>33</v>
      </c>
      <c r="V806" s="7">
        <v>1989</v>
      </c>
      <c r="W806" t="s">
        <v>136</v>
      </c>
      <c r="X806" s="2">
        <v>12.555999999999999</v>
      </c>
      <c r="Y806" s="6">
        <f t="shared" si="102"/>
        <v>0.33517524892554923</v>
      </c>
      <c r="AA806">
        <v>368075</v>
      </c>
      <c r="AB806">
        <v>23571</v>
      </c>
      <c r="AD806" t="s">
        <v>5</v>
      </c>
      <c r="AE806">
        <v>246</v>
      </c>
      <c r="AF806">
        <v>4935</v>
      </c>
      <c r="AH806" t="s">
        <v>135</v>
      </c>
      <c r="AI806" t="s">
        <v>134</v>
      </c>
      <c r="AK806" t="s">
        <v>133</v>
      </c>
      <c r="AL806">
        <v>115</v>
      </c>
      <c r="AM806" s="5">
        <f t="shared" si="106"/>
        <v>3.4848484848484849</v>
      </c>
      <c r="AN806" s="4">
        <f t="shared" si="103"/>
        <v>5.2780741913646114E-3</v>
      </c>
      <c r="AO806" s="3"/>
      <c r="AP806">
        <v>0</v>
      </c>
      <c r="AR806" t="s">
        <v>0</v>
      </c>
      <c r="AT806" s="2">
        <v>47.728000000000002</v>
      </c>
      <c r="AU806" s="1">
        <f t="shared" si="107"/>
        <v>23.620609650529381</v>
      </c>
      <c r="AV806" s="1">
        <f t="shared" si="108"/>
        <v>17.022666155845691</v>
      </c>
      <c r="AW806" s="1">
        <f t="shared" si="109"/>
        <v>10.424722661161999</v>
      </c>
    </row>
    <row r="807" spans="1:49" x14ac:dyDescent="0.2">
      <c r="A807">
        <v>805</v>
      </c>
      <c r="B807" t="s">
        <v>132</v>
      </c>
      <c r="C807" t="s">
        <v>131</v>
      </c>
      <c r="F807" t="s">
        <v>130</v>
      </c>
      <c r="G807" t="s">
        <v>15</v>
      </c>
      <c r="H807" t="s">
        <v>14</v>
      </c>
      <c r="I807" t="s">
        <v>129</v>
      </c>
      <c r="J807">
        <v>60018020</v>
      </c>
      <c r="K807" t="s">
        <v>128</v>
      </c>
      <c r="L807" t="s">
        <v>127</v>
      </c>
      <c r="M807" t="s">
        <v>23</v>
      </c>
      <c r="N807">
        <v>1</v>
      </c>
      <c r="O807" t="s">
        <v>126</v>
      </c>
      <c r="P807">
        <v>7005603137</v>
      </c>
      <c r="Q807">
        <v>60018020</v>
      </c>
      <c r="R807" s="7">
        <v>32509</v>
      </c>
      <c r="S807" s="8">
        <f t="shared" si="104"/>
        <v>1989</v>
      </c>
      <c r="T807" s="8">
        <v>1989</v>
      </c>
      <c r="U807" s="8">
        <f t="shared" si="105"/>
        <v>33</v>
      </c>
      <c r="V807" s="7">
        <v>1989</v>
      </c>
      <c r="W807" t="s">
        <v>125</v>
      </c>
      <c r="X807" s="2">
        <v>1.1879999999999999</v>
      </c>
      <c r="Y807" s="6">
        <f t="shared" si="102"/>
        <v>3.1712981500760788E-2</v>
      </c>
      <c r="AA807">
        <v>8998221</v>
      </c>
      <c r="AB807">
        <v>8900153323</v>
      </c>
      <c r="AD807" t="s">
        <v>5</v>
      </c>
      <c r="AE807">
        <v>1</v>
      </c>
      <c r="AF807">
        <v>9</v>
      </c>
      <c r="AH807" t="s">
        <v>124</v>
      </c>
      <c r="AI807" t="s">
        <v>123</v>
      </c>
      <c r="AK807" t="s">
        <v>122</v>
      </c>
      <c r="AL807">
        <v>76</v>
      </c>
      <c r="AM807" s="5">
        <f t="shared" si="106"/>
        <v>2.3030303030303032</v>
      </c>
      <c r="AN807" s="4">
        <f t="shared" si="103"/>
        <v>3.4881185960322653E-3</v>
      </c>
      <c r="AO807" s="3"/>
      <c r="AP807">
        <v>0</v>
      </c>
      <c r="AR807" t="s">
        <v>0</v>
      </c>
      <c r="AT807" s="2" t="s">
        <v>19</v>
      </c>
      <c r="AU807" s="1">
        <f t="shared" si="107"/>
        <v>2.324552262934223</v>
      </c>
      <c r="AV807" s="1">
        <f t="shared" si="108"/>
        <v>1.7600550048396526</v>
      </c>
      <c r="AW807" s="1">
        <f t="shared" si="109"/>
        <v>1.1955577467450822</v>
      </c>
    </row>
    <row r="808" spans="1:49" x14ac:dyDescent="0.2">
      <c r="A808">
        <v>806</v>
      </c>
      <c r="B808" t="s">
        <v>121</v>
      </c>
      <c r="C808" t="s">
        <v>120</v>
      </c>
      <c r="F808" t="s">
        <v>119</v>
      </c>
      <c r="G808" t="s">
        <v>15</v>
      </c>
      <c r="H808" t="s">
        <v>14</v>
      </c>
      <c r="I808" t="s">
        <v>118</v>
      </c>
      <c r="J808">
        <v>60012288</v>
      </c>
      <c r="K808" t="s">
        <v>117</v>
      </c>
      <c r="L808" t="s">
        <v>116</v>
      </c>
      <c r="M808" t="s">
        <v>115</v>
      </c>
      <c r="N808">
        <v>24</v>
      </c>
      <c r="O808" t="s">
        <v>114</v>
      </c>
      <c r="P808" t="s">
        <v>113</v>
      </c>
      <c r="Q808" t="s">
        <v>112</v>
      </c>
      <c r="R808" s="7">
        <v>32509</v>
      </c>
      <c r="S808" s="8">
        <f t="shared" si="104"/>
        <v>1989</v>
      </c>
      <c r="T808" s="8">
        <v>1989</v>
      </c>
      <c r="U808" s="8">
        <f t="shared" si="105"/>
        <v>33</v>
      </c>
      <c r="V808" s="7">
        <v>1989</v>
      </c>
      <c r="W808" t="s">
        <v>111</v>
      </c>
      <c r="X808" s="2">
        <v>3.6880000000000002</v>
      </c>
      <c r="Y808" s="6">
        <f t="shared" si="102"/>
        <v>9.8449053682496471E-2</v>
      </c>
      <c r="AA808">
        <v>319007</v>
      </c>
      <c r="AB808">
        <v>29150</v>
      </c>
      <c r="AD808" t="s">
        <v>5</v>
      </c>
      <c r="AE808">
        <v>63</v>
      </c>
      <c r="AF808">
        <v>11</v>
      </c>
      <c r="AH808" t="s">
        <v>110</v>
      </c>
      <c r="AI808" t="s">
        <v>109</v>
      </c>
      <c r="AK808" t="s">
        <v>108</v>
      </c>
      <c r="AL808">
        <v>21</v>
      </c>
      <c r="AM808" s="5">
        <f t="shared" si="106"/>
        <v>0.63636363636363635</v>
      </c>
      <c r="AN808" s="4">
        <f t="shared" si="103"/>
        <v>9.6382224364049431E-4</v>
      </c>
      <c r="AO808" s="3"/>
      <c r="AP808">
        <v>0</v>
      </c>
      <c r="AR808" t="s">
        <v>0</v>
      </c>
      <c r="AT808" s="2">
        <v>9.1609999999999996</v>
      </c>
      <c r="AU808" s="1">
        <f t="shared" si="107"/>
        <v>6.9203484250839669</v>
      </c>
      <c r="AV808" s="1">
        <f t="shared" si="108"/>
        <v>4.9706437963068488</v>
      </c>
      <c r="AW808" s="1">
        <f t="shared" si="109"/>
        <v>3.0209391675297286</v>
      </c>
    </row>
    <row r="809" spans="1:49" x14ac:dyDescent="0.2">
      <c r="A809">
        <v>807</v>
      </c>
      <c r="B809" t="s">
        <v>107</v>
      </c>
      <c r="C809" t="s">
        <v>106</v>
      </c>
      <c r="F809" t="s">
        <v>105</v>
      </c>
      <c r="G809" t="s">
        <v>15</v>
      </c>
      <c r="H809" t="s">
        <v>14</v>
      </c>
      <c r="I809" t="s">
        <v>104</v>
      </c>
      <c r="J809">
        <v>60021199</v>
      </c>
      <c r="K809" t="s">
        <v>103</v>
      </c>
      <c r="L809" t="s">
        <v>102</v>
      </c>
      <c r="M809" t="s">
        <v>101</v>
      </c>
      <c r="N809">
        <v>3</v>
      </c>
      <c r="O809" t="s">
        <v>100</v>
      </c>
      <c r="P809" t="s">
        <v>99</v>
      </c>
      <c r="Q809" t="s">
        <v>98</v>
      </c>
      <c r="R809" s="7">
        <v>32509</v>
      </c>
      <c r="S809" s="8">
        <f t="shared" si="104"/>
        <v>1989</v>
      </c>
      <c r="T809" s="8">
        <v>1989</v>
      </c>
      <c r="U809" s="8">
        <f t="shared" si="105"/>
        <v>33</v>
      </c>
      <c r="V809" s="7">
        <v>32690</v>
      </c>
      <c r="W809" t="s">
        <v>97</v>
      </c>
      <c r="X809" s="2">
        <v>7.1150000000000002</v>
      </c>
      <c r="Y809" s="6">
        <f t="shared" si="102"/>
        <v>0.18993086142921972</v>
      </c>
      <c r="AA809">
        <v>27863</v>
      </c>
      <c r="AB809">
        <v>22680</v>
      </c>
      <c r="AC809">
        <v>15205126</v>
      </c>
      <c r="AD809" t="s">
        <v>5</v>
      </c>
      <c r="AE809">
        <v>111</v>
      </c>
      <c r="AF809">
        <v>14</v>
      </c>
      <c r="AH809" t="s">
        <v>96</v>
      </c>
      <c r="AI809" t="s">
        <v>95</v>
      </c>
      <c r="AK809" t="s">
        <v>94</v>
      </c>
      <c r="AL809">
        <v>58</v>
      </c>
      <c r="AM809" s="5">
        <f t="shared" si="106"/>
        <v>1.7575757575757576</v>
      </c>
      <c r="AN809" s="4">
        <f t="shared" si="103"/>
        <v>2.6619852443404129E-3</v>
      </c>
      <c r="AO809" s="3"/>
      <c r="AP809">
        <v>0</v>
      </c>
      <c r="AR809" t="s">
        <v>0</v>
      </c>
      <c r="AT809" s="2" t="s">
        <v>19</v>
      </c>
      <c r="AU809" s="1">
        <f t="shared" si="107"/>
        <v>13.375019857375591</v>
      </c>
      <c r="AV809" s="1">
        <f t="shared" si="108"/>
        <v>9.6296423336780066</v>
      </c>
      <c r="AW809" s="1">
        <f t="shared" si="109"/>
        <v>5.8842648099804205</v>
      </c>
    </row>
    <row r="810" spans="1:49" x14ac:dyDescent="0.2">
      <c r="A810">
        <v>808</v>
      </c>
      <c r="B810" t="s">
        <v>93</v>
      </c>
      <c r="C810" t="s">
        <v>92</v>
      </c>
      <c r="F810" t="s">
        <v>91</v>
      </c>
      <c r="G810" t="s">
        <v>15</v>
      </c>
      <c r="H810" t="s">
        <v>14</v>
      </c>
      <c r="I810" t="s">
        <v>90</v>
      </c>
      <c r="J810" t="s">
        <v>89</v>
      </c>
      <c r="K810" t="s">
        <v>88</v>
      </c>
      <c r="L810" t="s">
        <v>87</v>
      </c>
      <c r="M810" t="s">
        <v>86</v>
      </c>
      <c r="N810">
        <v>3</v>
      </c>
      <c r="O810" t="s">
        <v>85</v>
      </c>
      <c r="P810" t="s">
        <v>84</v>
      </c>
      <c r="Q810" t="s">
        <v>83</v>
      </c>
      <c r="R810" s="7">
        <v>32509</v>
      </c>
      <c r="S810" s="8">
        <f t="shared" si="104"/>
        <v>1989</v>
      </c>
      <c r="T810" s="8">
        <v>1989</v>
      </c>
      <c r="U810" s="8">
        <f t="shared" si="105"/>
        <v>33</v>
      </c>
      <c r="V810" s="7">
        <v>1989</v>
      </c>
      <c r="W810" t="s">
        <v>49</v>
      </c>
      <c r="X810" s="2">
        <v>1.641</v>
      </c>
      <c r="Y810" s="6">
        <f t="shared" si="102"/>
        <v>4.3805557780091299E-2</v>
      </c>
      <c r="AA810">
        <v>223654</v>
      </c>
      <c r="AB810">
        <v>30422</v>
      </c>
      <c r="AD810" t="s">
        <v>5</v>
      </c>
      <c r="AE810">
        <v>93</v>
      </c>
      <c r="AF810">
        <v>4</v>
      </c>
      <c r="AH810" t="s">
        <v>82</v>
      </c>
      <c r="AI810" t="s">
        <v>81</v>
      </c>
      <c r="AK810" t="s">
        <v>80</v>
      </c>
      <c r="AL810">
        <v>115</v>
      </c>
      <c r="AM810" s="5">
        <f t="shared" si="106"/>
        <v>3.4848484848484849</v>
      </c>
      <c r="AN810" s="4">
        <f t="shared" si="103"/>
        <v>5.2780741913646114E-3</v>
      </c>
      <c r="AO810" s="3"/>
      <c r="AP810">
        <v>0</v>
      </c>
      <c r="AR810" t="s">
        <v>0</v>
      </c>
      <c r="AT810" s="2" t="s">
        <v>19</v>
      </c>
      <c r="AU810" s="1">
        <f t="shared" si="107"/>
        <v>3.2247312703473292</v>
      </c>
      <c r="AV810" s="1">
        <f t="shared" si="108"/>
        <v>2.4541815985727955</v>
      </c>
      <c r="AW810" s="1">
        <f t="shared" si="109"/>
        <v>1.6836319267982618</v>
      </c>
    </row>
    <row r="811" spans="1:49" x14ac:dyDescent="0.2">
      <c r="A811">
        <v>809</v>
      </c>
      <c r="B811" t="s">
        <v>79</v>
      </c>
      <c r="C811" t="s">
        <v>78</v>
      </c>
      <c r="D811" t="s">
        <v>77</v>
      </c>
      <c r="F811" t="s">
        <v>76</v>
      </c>
      <c r="G811" t="s">
        <v>15</v>
      </c>
      <c r="H811" t="s">
        <v>14</v>
      </c>
      <c r="I811" t="s">
        <v>75</v>
      </c>
      <c r="J811">
        <v>60014849</v>
      </c>
      <c r="K811" t="s">
        <v>74</v>
      </c>
      <c r="L811" t="s">
        <v>73</v>
      </c>
      <c r="M811" t="s">
        <v>72</v>
      </c>
      <c r="N811">
        <v>2</v>
      </c>
      <c r="O811" t="s">
        <v>71</v>
      </c>
      <c r="P811" t="s">
        <v>70</v>
      </c>
      <c r="Q811" t="s">
        <v>69</v>
      </c>
      <c r="R811" s="7">
        <v>32509</v>
      </c>
      <c r="S811" s="8">
        <f t="shared" si="104"/>
        <v>1989</v>
      </c>
      <c r="T811" s="8">
        <v>1989</v>
      </c>
      <c r="U811" s="8">
        <f t="shared" si="105"/>
        <v>33</v>
      </c>
      <c r="V811" s="7">
        <v>32721</v>
      </c>
      <c r="W811" t="s">
        <v>68</v>
      </c>
      <c r="X811" s="2">
        <v>1.59</v>
      </c>
      <c r="Y811" s="6">
        <f t="shared" si="102"/>
        <v>4.2444141907583888E-2</v>
      </c>
      <c r="AA811">
        <v>52728</v>
      </c>
      <c r="AB811">
        <v>16791</v>
      </c>
      <c r="AD811" t="s">
        <v>5</v>
      </c>
      <c r="AE811">
        <v>975</v>
      </c>
      <c r="AF811">
        <v>3</v>
      </c>
      <c r="AH811" t="s">
        <v>67</v>
      </c>
      <c r="AI811" t="s">
        <v>66</v>
      </c>
      <c r="AJ811" t="s">
        <v>65</v>
      </c>
      <c r="AK811" t="s">
        <v>64</v>
      </c>
      <c r="AL811">
        <v>31</v>
      </c>
      <c r="AM811" s="5">
        <f t="shared" si="106"/>
        <v>0.93939393939393945</v>
      </c>
      <c r="AN811" s="4">
        <f t="shared" si="103"/>
        <v>1.4227852168026346E-3</v>
      </c>
      <c r="AO811" s="3"/>
      <c r="AP811">
        <v>0</v>
      </c>
      <c r="AQ811" t="s">
        <v>63</v>
      </c>
      <c r="AR811" t="s">
        <v>62</v>
      </c>
      <c r="AS811" t="s">
        <v>61</v>
      </c>
      <c r="AT811" s="2" t="s">
        <v>19</v>
      </c>
      <c r="AU811" s="1">
        <f t="shared" si="107"/>
        <v>3.0137734900349509</v>
      </c>
      <c r="AV811" s="1">
        <f t="shared" si="108"/>
        <v>2.1933463562193261</v>
      </c>
      <c r="AW811" s="1">
        <f t="shared" si="109"/>
        <v>1.3729192224037008</v>
      </c>
    </row>
    <row r="812" spans="1:49" x14ac:dyDescent="0.2">
      <c r="A812">
        <v>810</v>
      </c>
      <c r="B812" t="s">
        <v>60</v>
      </c>
      <c r="C812" t="s">
        <v>59</v>
      </c>
      <c r="F812" t="s">
        <v>58</v>
      </c>
      <c r="G812" t="s">
        <v>15</v>
      </c>
      <c r="H812" t="s">
        <v>14</v>
      </c>
      <c r="I812" t="s">
        <v>57</v>
      </c>
      <c r="J812" t="s">
        <v>56</v>
      </c>
      <c r="K812" t="s">
        <v>55</v>
      </c>
      <c r="L812" t="s">
        <v>54</v>
      </c>
      <c r="M812" t="s">
        <v>53</v>
      </c>
      <c r="N812">
        <v>4</v>
      </c>
      <c r="O812" t="s">
        <v>52</v>
      </c>
      <c r="P812" t="s">
        <v>51</v>
      </c>
      <c r="Q812" t="s">
        <v>50</v>
      </c>
      <c r="R812" s="7">
        <v>32509</v>
      </c>
      <c r="S812" s="8">
        <f t="shared" si="104"/>
        <v>1989</v>
      </c>
      <c r="T812" s="8">
        <v>1989</v>
      </c>
      <c r="U812" s="8">
        <f t="shared" si="105"/>
        <v>33</v>
      </c>
      <c r="V812" s="7">
        <v>1989</v>
      </c>
      <c r="W812" t="s">
        <v>49</v>
      </c>
      <c r="X812" s="2">
        <v>1.641</v>
      </c>
      <c r="Y812" s="6">
        <f t="shared" si="102"/>
        <v>4.3805557780091299E-2</v>
      </c>
      <c r="AA812">
        <v>223654</v>
      </c>
      <c r="AB812">
        <v>30422</v>
      </c>
      <c r="AD812" t="s">
        <v>5</v>
      </c>
      <c r="AE812">
        <v>93</v>
      </c>
      <c r="AF812">
        <v>6</v>
      </c>
      <c r="AH812" t="s">
        <v>48</v>
      </c>
      <c r="AI812" t="s">
        <v>47</v>
      </c>
      <c r="AK812" t="s">
        <v>46</v>
      </c>
      <c r="AL812">
        <v>21</v>
      </c>
      <c r="AM812" s="5">
        <f t="shared" si="106"/>
        <v>0.63636363636363635</v>
      </c>
      <c r="AN812" s="4">
        <f t="shared" si="103"/>
        <v>9.6382224364049431E-4</v>
      </c>
      <c r="AO812" s="3"/>
      <c r="AP812">
        <v>0</v>
      </c>
      <c r="AR812" t="s">
        <v>0</v>
      </c>
      <c r="AT812" s="2" t="s">
        <v>19</v>
      </c>
      <c r="AU812" s="1">
        <f t="shared" si="107"/>
        <v>3.0953037119156055</v>
      </c>
      <c r="AV812" s="1">
        <f t="shared" si="108"/>
        <v>2.2384690011865898</v>
      </c>
      <c r="AW812" s="1">
        <f t="shared" si="109"/>
        <v>1.3816342904575736</v>
      </c>
    </row>
    <row r="813" spans="1:49" x14ac:dyDescent="0.2">
      <c r="A813">
        <v>811</v>
      </c>
      <c r="B813" t="s">
        <v>45</v>
      </c>
      <c r="C813" t="s">
        <v>44</v>
      </c>
      <c r="F813" t="s">
        <v>43</v>
      </c>
      <c r="G813" t="s">
        <v>15</v>
      </c>
      <c r="H813" t="s">
        <v>14</v>
      </c>
      <c r="I813" t="s">
        <v>42</v>
      </c>
      <c r="J813" t="s">
        <v>41</v>
      </c>
      <c r="K813" t="s">
        <v>40</v>
      </c>
      <c r="L813" t="s">
        <v>39</v>
      </c>
      <c r="M813" t="s">
        <v>38</v>
      </c>
      <c r="N813">
        <v>3</v>
      </c>
      <c r="O813" t="s">
        <v>37</v>
      </c>
      <c r="P813" t="s">
        <v>36</v>
      </c>
      <c r="Q813" t="s">
        <v>35</v>
      </c>
      <c r="R813" s="7">
        <v>32509</v>
      </c>
      <c r="S813" s="8">
        <f t="shared" si="104"/>
        <v>1989</v>
      </c>
      <c r="T813" s="8">
        <v>1989</v>
      </c>
      <c r="U813" s="8">
        <f t="shared" si="105"/>
        <v>33</v>
      </c>
      <c r="V813" s="7">
        <v>32690</v>
      </c>
      <c r="W813" t="s">
        <v>34</v>
      </c>
      <c r="X813" s="2">
        <v>0.76500000000000001</v>
      </c>
      <c r="Y813" s="6">
        <f t="shared" si="102"/>
        <v>2.0421238087611118E-2</v>
      </c>
      <c r="AA813">
        <v>138703</v>
      </c>
      <c r="AB813">
        <v>19793</v>
      </c>
      <c r="AC813">
        <v>15707458</v>
      </c>
      <c r="AD813" t="s">
        <v>5</v>
      </c>
      <c r="AE813">
        <v>51</v>
      </c>
      <c r="AF813">
        <v>3</v>
      </c>
      <c r="AH813" t="s">
        <v>33</v>
      </c>
      <c r="AI813" t="s">
        <v>32</v>
      </c>
      <c r="AJ813" t="s">
        <v>31</v>
      </c>
      <c r="AK813" t="s">
        <v>30</v>
      </c>
      <c r="AL813">
        <v>14</v>
      </c>
      <c r="AM813" s="5">
        <f t="shared" si="106"/>
        <v>0.42424242424242425</v>
      </c>
      <c r="AN813" s="4">
        <f t="shared" si="103"/>
        <v>6.4254816242699617E-4</v>
      </c>
      <c r="AO813" s="3"/>
      <c r="AP813">
        <v>0</v>
      </c>
      <c r="AR813" t="s">
        <v>0</v>
      </c>
      <c r="AT813" s="2" t="s">
        <v>19</v>
      </c>
      <c r="AU813" s="1">
        <f t="shared" si="107"/>
        <v>1.4487631110055881</v>
      </c>
      <c r="AV813" s="1">
        <f t="shared" si="108"/>
        <v>1.0531893125019056</v>
      </c>
      <c r="AW813" s="1">
        <f t="shared" si="109"/>
        <v>0.65761551399822327</v>
      </c>
    </row>
    <row r="814" spans="1:49" x14ac:dyDescent="0.2">
      <c r="A814">
        <v>812</v>
      </c>
      <c r="B814" t="s">
        <v>29</v>
      </c>
      <c r="C814" t="s">
        <v>28</v>
      </c>
      <c r="F814" t="s">
        <v>27</v>
      </c>
      <c r="G814" t="s">
        <v>15</v>
      </c>
      <c r="H814" t="s">
        <v>14</v>
      </c>
      <c r="I814" t="s">
        <v>26</v>
      </c>
      <c r="J814">
        <v>60015033</v>
      </c>
      <c r="K814" t="s">
        <v>25</v>
      </c>
      <c r="L814" t="s">
        <v>24</v>
      </c>
      <c r="M814" t="s">
        <v>23</v>
      </c>
      <c r="N814">
        <v>1</v>
      </c>
      <c r="O814" t="s">
        <v>22</v>
      </c>
      <c r="P814">
        <v>7202460301</v>
      </c>
      <c r="Q814">
        <v>60015033</v>
      </c>
      <c r="R814" s="7">
        <v>32509</v>
      </c>
      <c r="S814" s="8">
        <f t="shared" si="104"/>
        <v>1989</v>
      </c>
      <c r="T814" s="8">
        <v>1989</v>
      </c>
      <c r="U814" s="8">
        <f t="shared" si="105"/>
        <v>33</v>
      </c>
      <c r="V814" s="7">
        <v>1989</v>
      </c>
      <c r="W814" t="s">
        <v>21</v>
      </c>
      <c r="X814" s="2" t="s">
        <v>19</v>
      </c>
      <c r="Y814" s="6" t="e">
        <f t="shared" si="102"/>
        <v>#VALUE!</v>
      </c>
      <c r="AA814">
        <v>332615</v>
      </c>
      <c r="AB814">
        <v>21100203931</v>
      </c>
      <c r="AC814">
        <v>16877438</v>
      </c>
      <c r="AD814" t="s">
        <v>5</v>
      </c>
      <c r="AE814">
        <v>96</v>
      </c>
      <c r="AF814" s="9">
        <v>44289</v>
      </c>
      <c r="AH814" t="s">
        <v>20</v>
      </c>
      <c r="AL814">
        <v>13</v>
      </c>
      <c r="AM814" s="5">
        <f t="shared" si="106"/>
        <v>0.39393939393939392</v>
      </c>
      <c r="AN814" s="4">
        <f t="shared" si="103"/>
        <v>5.9665186511078218E-4</v>
      </c>
      <c r="AO814" s="3"/>
      <c r="AP814">
        <v>1</v>
      </c>
      <c r="AR814" t="s">
        <v>0</v>
      </c>
      <c r="AT814" s="2" t="s">
        <v>19</v>
      </c>
      <c r="AU814" s="1" t="e">
        <f t="shared" si="107"/>
        <v>#VALUE!</v>
      </c>
      <c r="AV814" s="1" t="e">
        <f t="shared" si="108"/>
        <v>#VALUE!</v>
      </c>
      <c r="AW814" s="1" t="e">
        <f t="shared" si="109"/>
        <v>#VALUE!</v>
      </c>
    </row>
    <row r="815" spans="1:49" x14ac:dyDescent="0.2">
      <c r="A815">
        <v>813</v>
      </c>
      <c r="B815" t="s">
        <v>18</v>
      </c>
      <c r="C815" t="s">
        <v>17</v>
      </c>
      <c r="F815" t="s">
        <v>16</v>
      </c>
      <c r="G815" t="s">
        <v>15</v>
      </c>
      <c r="H815" t="s">
        <v>14</v>
      </c>
      <c r="I815" t="s">
        <v>13</v>
      </c>
      <c r="J815">
        <v>60029170</v>
      </c>
      <c r="K815" t="s">
        <v>12</v>
      </c>
      <c r="L815" t="s">
        <v>11</v>
      </c>
      <c r="M815" t="s">
        <v>10</v>
      </c>
      <c r="N815">
        <v>3</v>
      </c>
      <c r="O815" t="s">
        <v>9</v>
      </c>
      <c r="P815" t="s">
        <v>8</v>
      </c>
      <c r="Q815" t="s">
        <v>7</v>
      </c>
      <c r="R815" s="7">
        <v>32509</v>
      </c>
      <c r="S815" s="8">
        <f t="shared" si="104"/>
        <v>1989</v>
      </c>
      <c r="T815" s="8">
        <v>1989</v>
      </c>
      <c r="U815" s="8">
        <f t="shared" si="105"/>
        <v>33</v>
      </c>
      <c r="V815" s="7">
        <v>32660</v>
      </c>
      <c r="W815" t="s">
        <v>6</v>
      </c>
      <c r="X815" s="2">
        <v>0.69299999999999995</v>
      </c>
      <c r="Y815" s="6">
        <f t="shared" si="102"/>
        <v>1.8499239208777128E-2</v>
      </c>
      <c r="AA815">
        <v>3076962</v>
      </c>
      <c r="AB815">
        <v>21084</v>
      </c>
      <c r="AC815">
        <v>13653032</v>
      </c>
      <c r="AD815" t="s">
        <v>5</v>
      </c>
      <c r="AE815">
        <v>14</v>
      </c>
      <c r="AF815">
        <v>2</v>
      </c>
      <c r="AH815" t="s">
        <v>4</v>
      </c>
      <c r="AI815" t="s">
        <v>3</v>
      </c>
      <c r="AJ815" t="s">
        <v>2</v>
      </c>
      <c r="AK815" t="s">
        <v>1</v>
      </c>
      <c r="AL815">
        <v>69</v>
      </c>
      <c r="AM815" s="5">
        <f t="shared" si="106"/>
        <v>2.0909090909090908</v>
      </c>
      <c r="AN815" s="4">
        <f t="shared" si="103"/>
        <v>3.1668445148187669E-3</v>
      </c>
      <c r="AO815" s="3"/>
      <c r="AP815">
        <v>0</v>
      </c>
      <c r="AR815" t="s">
        <v>0</v>
      </c>
      <c r="AT815" s="2">
        <v>1.833</v>
      </c>
      <c r="AU815" s="1">
        <f t="shared" si="107"/>
        <v>1.389952080058962</v>
      </c>
      <c r="AV815" s="1">
        <f t="shared" si="108"/>
        <v>1.0833041861797947</v>
      </c>
      <c r="AW815" s="1">
        <f t="shared" si="109"/>
        <v>0.77665629230062749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1989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Young-Ok Cha</cp:lastModifiedBy>
  <dcterms:created xsi:type="dcterms:W3CDTF">2021-11-11T11:39:10Z</dcterms:created>
  <dcterms:modified xsi:type="dcterms:W3CDTF">2022-01-19T19:41:08Z</dcterms:modified>
</cp:coreProperties>
</file>