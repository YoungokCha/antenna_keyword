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0" documentId="8_{8A409ACB-6AC6-AE42-89DB-239D69EB0C51}" xr6:coauthVersionLast="47" xr6:coauthVersionMax="47" xr10:uidLastSave="{BBD2DB41-87B7-8046-9AD8-677E0341F209}"/>
  <bookViews>
    <workbookView xWindow="5100" yWindow="3520" windowWidth="27640" windowHeight="16940" xr2:uid="{75985975-CD6F-5448-BFD7-AE94D12C64E3}"/>
  </bookViews>
  <sheets>
    <sheet name="1986"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3" i="1" l="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1"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7" i="1"/>
  <c r="AN648" i="1"/>
  <c r="AN649" i="1"/>
  <c r="AN650" i="1"/>
  <c r="AN651" i="1"/>
  <c r="AN652" i="1"/>
  <c r="AN653" i="1"/>
  <c r="AN654" i="1"/>
  <c r="AN655" i="1"/>
  <c r="AN656" i="1"/>
  <c r="AN657" i="1"/>
  <c r="AN658" i="1"/>
  <c r="AN659" i="1"/>
  <c r="AN660" i="1"/>
  <c r="AN661" i="1"/>
  <c r="AN662" i="1"/>
  <c r="AN663" i="1"/>
  <c r="AN664" i="1"/>
  <c r="AN665" i="1"/>
  <c r="AN666" i="1"/>
  <c r="AN667" i="1"/>
  <c r="AN668" i="1"/>
  <c r="AN669" i="1"/>
  <c r="AN670" i="1"/>
  <c r="AN671" i="1"/>
  <c r="AN672" i="1"/>
  <c r="AN673" i="1"/>
  <c r="AN674" i="1"/>
  <c r="AN675" i="1"/>
  <c r="AN676" i="1"/>
  <c r="AN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2" i="1"/>
  <c r="S2" i="1" l="1"/>
  <c r="U2" i="1"/>
  <c r="AM2" i="1" s="1"/>
  <c r="S3" i="1"/>
  <c r="U3" i="1"/>
  <c r="AM3" i="1" s="1"/>
  <c r="S4" i="1"/>
  <c r="U4" i="1"/>
  <c r="AM4" i="1" s="1"/>
  <c r="S5" i="1"/>
  <c r="U5" i="1"/>
  <c r="AM5" i="1" s="1"/>
  <c r="AV5" i="1"/>
  <c r="S6" i="1"/>
  <c r="U6" i="1"/>
  <c r="AM6" i="1" s="1"/>
  <c r="AV6" i="1"/>
  <c r="S7" i="1"/>
  <c r="U7" i="1"/>
  <c r="AM7" i="1" s="1"/>
  <c r="AU7" i="1"/>
  <c r="S8" i="1"/>
  <c r="U8" i="1"/>
  <c r="AM8" i="1" s="1"/>
  <c r="S9" i="1"/>
  <c r="U9" i="1"/>
  <c r="AM9" i="1" s="1"/>
  <c r="S10" i="1"/>
  <c r="U10" i="1"/>
  <c r="AM10" i="1" s="1"/>
  <c r="S11" i="1"/>
  <c r="U11" i="1"/>
  <c r="AM11" i="1" s="1"/>
  <c r="S12" i="1"/>
  <c r="U12" i="1"/>
  <c r="AM12" i="1" s="1"/>
  <c r="S13" i="1"/>
  <c r="U13" i="1"/>
  <c r="AM13" i="1" s="1"/>
  <c r="S14" i="1"/>
  <c r="U14" i="1"/>
  <c r="AM14" i="1"/>
  <c r="S15" i="1"/>
  <c r="U15" i="1"/>
  <c r="AM15" i="1" s="1"/>
  <c r="S16" i="1"/>
  <c r="U16" i="1"/>
  <c r="AM16" i="1" s="1"/>
  <c r="S17" i="1"/>
  <c r="U17" i="1"/>
  <c r="AM17" i="1" s="1"/>
  <c r="S18" i="1"/>
  <c r="U18" i="1"/>
  <c r="AM18" i="1" s="1"/>
  <c r="AV18" i="1"/>
  <c r="S19" i="1"/>
  <c r="U19" i="1"/>
  <c r="AM19" i="1" s="1"/>
  <c r="S20" i="1"/>
  <c r="U20" i="1"/>
  <c r="AM20" i="1" s="1"/>
  <c r="S21" i="1"/>
  <c r="U21" i="1"/>
  <c r="AM21" i="1" s="1"/>
  <c r="AW21" i="1" s="1"/>
  <c r="S22" i="1"/>
  <c r="U22" i="1"/>
  <c r="AM22" i="1" s="1"/>
  <c r="S23" i="1"/>
  <c r="U23" i="1"/>
  <c r="AM23" i="1" s="1"/>
  <c r="S24" i="1"/>
  <c r="U24" i="1"/>
  <c r="AM24" i="1"/>
  <c r="S25" i="1"/>
  <c r="U25" i="1"/>
  <c r="AM25" i="1" s="1"/>
  <c r="AV25" i="1"/>
  <c r="S26" i="1"/>
  <c r="U26" i="1"/>
  <c r="AM26" i="1" s="1"/>
  <c r="AV26" i="1"/>
  <c r="S27" i="1"/>
  <c r="U27" i="1"/>
  <c r="AM27" i="1" s="1"/>
  <c r="S28" i="1"/>
  <c r="U28" i="1"/>
  <c r="AM28" i="1" s="1"/>
  <c r="S29" i="1"/>
  <c r="U29" i="1"/>
  <c r="AM29" i="1" s="1"/>
  <c r="S30" i="1"/>
  <c r="U30" i="1"/>
  <c r="AM30" i="1" s="1"/>
  <c r="S31" i="1"/>
  <c r="U31" i="1"/>
  <c r="AM31" i="1" s="1"/>
  <c r="S32" i="1"/>
  <c r="U32" i="1"/>
  <c r="AM32" i="1" s="1"/>
  <c r="S33" i="1"/>
  <c r="U33" i="1"/>
  <c r="AM33" i="1" s="1"/>
  <c r="S34" i="1"/>
  <c r="U34" i="1"/>
  <c r="AM34" i="1"/>
  <c r="S35" i="1"/>
  <c r="U35" i="1"/>
  <c r="AM35" i="1" s="1"/>
  <c r="AV35" i="1"/>
  <c r="S36" i="1"/>
  <c r="U36" i="1"/>
  <c r="AM36" i="1" s="1"/>
  <c r="AV36" i="1"/>
  <c r="S37" i="1"/>
  <c r="U37" i="1"/>
  <c r="AM37" i="1" s="1"/>
  <c r="S38" i="1"/>
  <c r="U38" i="1"/>
  <c r="AM38" i="1" s="1"/>
  <c r="S39" i="1"/>
  <c r="U39" i="1"/>
  <c r="AM39" i="1" s="1"/>
  <c r="S40" i="1"/>
  <c r="U40" i="1"/>
  <c r="AM40" i="1" s="1"/>
  <c r="S41" i="1"/>
  <c r="U41" i="1"/>
  <c r="AM41" i="1" s="1"/>
  <c r="S42" i="1"/>
  <c r="U42" i="1"/>
  <c r="AM42" i="1" s="1"/>
  <c r="AV42" i="1"/>
  <c r="S43" i="1"/>
  <c r="U43" i="1"/>
  <c r="AM43" i="1" s="1"/>
  <c r="AV43" i="1"/>
  <c r="S44" i="1"/>
  <c r="U44" i="1"/>
  <c r="AM44" i="1" s="1"/>
  <c r="S45" i="1"/>
  <c r="U45" i="1"/>
  <c r="AM45" i="1" s="1"/>
  <c r="S46" i="1"/>
  <c r="U46" i="1"/>
  <c r="AM46" i="1" s="1"/>
  <c r="S47" i="1"/>
  <c r="U47" i="1"/>
  <c r="AM47" i="1" s="1"/>
  <c r="AV47" i="1"/>
  <c r="S48" i="1"/>
  <c r="U48" i="1"/>
  <c r="AM48" i="1" s="1"/>
  <c r="AV48" i="1"/>
  <c r="S49" i="1"/>
  <c r="U49" i="1"/>
  <c r="AM49" i="1" s="1"/>
  <c r="S50" i="1"/>
  <c r="U50" i="1"/>
  <c r="AM50" i="1" s="1"/>
  <c r="S51" i="1"/>
  <c r="U51" i="1"/>
  <c r="AM51" i="1" s="1"/>
  <c r="S52" i="1"/>
  <c r="U52" i="1"/>
  <c r="AM52" i="1" s="1"/>
  <c r="AV52" i="1"/>
  <c r="S53" i="1"/>
  <c r="U53" i="1"/>
  <c r="AM53" i="1" s="1"/>
  <c r="S54" i="1"/>
  <c r="U54" i="1"/>
  <c r="AM54" i="1"/>
  <c r="S55" i="1"/>
  <c r="U55" i="1"/>
  <c r="AM55" i="1" s="1"/>
  <c r="S56" i="1"/>
  <c r="U56" i="1"/>
  <c r="AM56" i="1" s="1"/>
  <c r="S57" i="1"/>
  <c r="U57" i="1"/>
  <c r="AM57" i="1" s="1"/>
  <c r="S58" i="1"/>
  <c r="U58" i="1"/>
  <c r="AM58" i="1" s="1"/>
  <c r="AV58" i="1"/>
  <c r="S59" i="1"/>
  <c r="U59" i="1"/>
  <c r="AM59" i="1" s="1"/>
  <c r="S60" i="1"/>
  <c r="U60" i="1"/>
  <c r="AM60" i="1" s="1"/>
  <c r="AV60" i="1"/>
  <c r="S61" i="1"/>
  <c r="U61" i="1"/>
  <c r="AM61" i="1" s="1"/>
  <c r="S62" i="1"/>
  <c r="U62" i="1"/>
  <c r="AM62" i="1" s="1"/>
  <c r="S63" i="1"/>
  <c r="U63" i="1"/>
  <c r="AM63" i="1" s="1"/>
  <c r="S64" i="1"/>
  <c r="U64" i="1"/>
  <c r="AM64" i="1" s="1"/>
  <c r="S65" i="1"/>
  <c r="U65" i="1"/>
  <c r="AM65" i="1" s="1"/>
  <c r="AV65" i="1"/>
  <c r="S66" i="1"/>
  <c r="U66" i="1"/>
  <c r="AM66" i="1"/>
  <c r="S67" i="1"/>
  <c r="U67" i="1"/>
  <c r="AM67" i="1" s="1"/>
  <c r="S68" i="1"/>
  <c r="U68" i="1"/>
  <c r="AM68" i="1" s="1"/>
  <c r="AV68" i="1"/>
  <c r="S69" i="1"/>
  <c r="U69" i="1"/>
  <c r="AM69" i="1" s="1"/>
  <c r="AV69" i="1"/>
  <c r="S70" i="1"/>
  <c r="U70" i="1"/>
  <c r="AM70" i="1" s="1"/>
  <c r="S71" i="1"/>
  <c r="U71" i="1"/>
  <c r="AM71" i="1"/>
  <c r="S72" i="1"/>
  <c r="U72" i="1"/>
  <c r="AM72" i="1" s="1"/>
  <c r="S73" i="1"/>
  <c r="U73" i="1"/>
  <c r="AM73" i="1" s="1"/>
  <c r="S74" i="1"/>
  <c r="U74" i="1"/>
  <c r="AM74" i="1"/>
  <c r="S75" i="1"/>
  <c r="U75" i="1"/>
  <c r="AM75" i="1" s="1"/>
  <c r="AV75" i="1"/>
  <c r="S76" i="1"/>
  <c r="U76" i="1"/>
  <c r="AM76" i="1"/>
  <c r="AV76" i="1"/>
  <c r="S77" i="1"/>
  <c r="U77" i="1"/>
  <c r="AM77" i="1" s="1"/>
  <c r="S78" i="1"/>
  <c r="U78" i="1"/>
  <c r="AM78" i="1" s="1"/>
  <c r="S79" i="1"/>
  <c r="U79" i="1"/>
  <c r="AM79" i="1"/>
  <c r="S80" i="1"/>
  <c r="U80" i="1"/>
  <c r="AM80" i="1" s="1"/>
  <c r="AV80" i="1"/>
  <c r="S81" i="1"/>
  <c r="U81" i="1"/>
  <c r="AM81" i="1" s="1"/>
  <c r="S82" i="1"/>
  <c r="U82" i="1"/>
  <c r="AM82" i="1" s="1"/>
  <c r="S83" i="1"/>
  <c r="U83" i="1"/>
  <c r="AM83" i="1" s="1"/>
  <c r="S84" i="1"/>
  <c r="U84" i="1"/>
  <c r="AM84" i="1" s="1"/>
  <c r="AV84" i="1" s="1"/>
  <c r="S85" i="1"/>
  <c r="U85" i="1"/>
  <c r="AM85" i="1" s="1"/>
  <c r="S86" i="1"/>
  <c r="U86" i="1"/>
  <c r="AM86" i="1" s="1"/>
  <c r="S87" i="1"/>
  <c r="U87" i="1"/>
  <c r="AM87" i="1" s="1"/>
  <c r="S88" i="1"/>
  <c r="U88" i="1"/>
  <c r="AM88" i="1"/>
  <c r="AV88" i="1" s="1"/>
  <c r="S89" i="1"/>
  <c r="U89" i="1"/>
  <c r="AM89" i="1" s="1"/>
  <c r="S90" i="1"/>
  <c r="U90" i="1"/>
  <c r="AM90" i="1" s="1"/>
  <c r="S91" i="1"/>
  <c r="U91" i="1"/>
  <c r="AM91" i="1" s="1"/>
  <c r="S92" i="1"/>
  <c r="U92" i="1"/>
  <c r="AM92" i="1" s="1"/>
  <c r="S93" i="1"/>
  <c r="U93" i="1"/>
  <c r="AM93" i="1" s="1"/>
  <c r="S94" i="1"/>
  <c r="U94" i="1"/>
  <c r="AM94" i="1" s="1"/>
  <c r="S95" i="1"/>
  <c r="U95" i="1"/>
  <c r="AM95" i="1" s="1"/>
  <c r="AV95" i="1" s="1"/>
  <c r="S96" i="1"/>
  <c r="U96" i="1"/>
  <c r="AM96" i="1"/>
  <c r="S97" i="1"/>
  <c r="U97" i="1"/>
  <c r="AM97" i="1" s="1"/>
  <c r="AV97" i="1"/>
  <c r="S98" i="1"/>
  <c r="U98" i="1"/>
  <c r="AM98" i="1" s="1"/>
  <c r="S99" i="1"/>
  <c r="U99" i="1"/>
  <c r="AM99" i="1"/>
  <c r="AV99" i="1" s="1"/>
  <c r="S100" i="1"/>
  <c r="U100" i="1"/>
  <c r="AM100" i="1" s="1"/>
  <c r="S101" i="1"/>
  <c r="U101" i="1"/>
  <c r="AM101" i="1" s="1"/>
  <c r="S102" i="1"/>
  <c r="U102" i="1"/>
  <c r="AM102" i="1" s="1"/>
  <c r="S103" i="1"/>
  <c r="U103" i="1"/>
  <c r="AM103" i="1" s="1"/>
  <c r="S104" i="1"/>
  <c r="U104" i="1"/>
  <c r="AM104" i="1"/>
  <c r="AV104" i="1" s="1"/>
  <c r="S105" i="1"/>
  <c r="U105" i="1"/>
  <c r="AM105" i="1" s="1"/>
  <c r="S106" i="1"/>
  <c r="U106" i="1"/>
  <c r="AM106" i="1" s="1"/>
  <c r="S107" i="1"/>
  <c r="U107" i="1"/>
  <c r="AM107" i="1" s="1"/>
  <c r="S108" i="1"/>
  <c r="U108" i="1"/>
  <c r="AM108" i="1" s="1"/>
  <c r="S109" i="1"/>
  <c r="U109" i="1"/>
  <c r="AM109" i="1" s="1"/>
  <c r="AV109" i="1" s="1"/>
  <c r="S110" i="1"/>
  <c r="U110" i="1"/>
  <c r="AM110" i="1" s="1"/>
  <c r="S111" i="1"/>
  <c r="U111" i="1"/>
  <c r="AM111" i="1" s="1"/>
  <c r="S112" i="1"/>
  <c r="U112" i="1"/>
  <c r="AM112" i="1"/>
  <c r="S113" i="1"/>
  <c r="U113" i="1"/>
  <c r="AM113" i="1" s="1"/>
  <c r="S114" i="1"/>
  <c r="U114" i="1"/>
  <c r="AM114" i="1" s="1"/>
  <c r="AW114" i="1" s="1"/>
  <c r="S115" i="1"/>
  <c r="U115" i="1"/>
  <c r="AM115" i="1" s="1"/>
  <c r="S116" i="1"/>
  <c r="U116" i="1"/>
  <c r="AM116" i="1" s="1"/>
  <c r="S117" i="1"/>
  <c r="U117" i="1"/>
  <c r="AM117" i="1"/>
  <c r="S118" i="1"/>
  <c r="U118" i="1"/>
  <c r="AM118" i="1"/>
  <c r="S119" i="1"/>
  <c r="U119" i="1"/>
  <c r="AM119" i="1" s="1"/>
  <c r="S120" i="1"/>
  <c r="U120" i="1"/>
  <c r="AM120" i="1" s="1"/>
  <c r="S121" i="1"/>
  <c r="U121" i="1"/>
  <c r="AM121" i="1" s="1"/>
  <c r="S122" i="1"/>
  <c r="U122" i="1"/>
  <c r="AM122" i="1" s="1"/>
  <c r="S123" i="1"/>
  <c r="U123" i="1"/>
  <c r="AM123" i="1" s="1"/>
  <c r="S124" i="1"/>
  <c r="U124" i="1"/>
  <c r="AM124" i="1"/>
  <c r="AW124" i="1" s="1"/>
  <c r="S125" i="1"/>
  <c r="U125" i="1"/>
  <c r="AM125" i="1" s="1"/>
  <c r="S126" i="1"/>
  <c r="U126" i="1"/>
  <c r="AM126" i="1" s="1"/>
  <c r="S127" i="1"/>
  <c r="U127" i="1"/>
  <c r="AM127" i="1" s="1"/>
  <c r="S128" i="1"/>
  <c r="U128" i="1"/>
  <c r="AM128" i="1" s="1"/>
  <c r="S129" i="1"/>
  <c r="U129" i="1"/>
  <c r="AM129" i="1"/>
  <c r="S130" i="1"/>
  <c r="U130" i="1"/>
  <c r="AM130" i="1" s="1"/>
  <c r="S131" i="1"/>
  <c r="U131" i="1"/>
  <c r="AM131" i="1" s="1"/>
  <c r="S132" i="1"/>
  <c r="U132" i="1"/>
  <c r="AU132" i="1"/>
  <c r="AM132" i="1"/>
  <c r="S133" i="1"/>
  <c r="U133" i="1"/>
  <c r="AM133" i="1"/>
  <c r="S134" i="1"/>
  <c r="U134" i="1"/>
  <c r="AM134" i="1"/>
  <c r="AV134" i="1"/>
  <c r="S135" i="1"/>
  <c r="U135" i="1"/>
  <c r="AM135" i="1" s="1"/>
  <c r="S136" i="1"/>
  <c r="U136" i="1"/>
  <c r="AM136" i="1" s="1"/>
  <c r="S137" i="1"/>
  <c r="U137" i="1"/>
  <c r="AM137" i="1" s="1"/>
  <c r="S138" i="1"/>
  <c r="U138" i="1"/>
  <c r="AM138" i="1" s="1"/>
  <c r="S139" i="1"/>
  <c r="U139" i="1"/>
  <c r="AM139" i="1" s="1"/>
  <c r="AW139" i="1" s="1"/>
  <c r="AV139" i="1"/>
  <c r="S140" i="1"/>
  <c r="U140" i="1"/>
  <c r="AM140" i="1" s="1"/>
  <c r="S141" i="1"/>
  <c r="U141" i="1"/>
  <c r="AM141" i="1" s="1"/>
  <c r="S142" i="1"/>
  <c r="U142" i="1"/>
  <c r="AM142" i="1"/>
  <c r="S143" i="1"/>
  <c r="U143" i="1"/>
  <c r="AM143" i="1"/>
  <c r="S144" i="1"/>
  <c r="U144" i="1"/>
  <c r="AM144" i="1" s="1"/>
  <c r="AW144" i="1"/>
  <c r="S145" i="1"/>
  <c r="U145" i="1"/>
  <c r="AM145" i="1" s="1"/>
  <c r="S146" i="1"/>
  <c r="U146" i="1"/>
  <c r="AM146" i="1" s="1"/>
  <c r="S147" i="1"/>
  <c r="U147" i="1"/>
  <c r="AM147" i="1" s="1"/>
  <c r="S148" i="1"/>
  <c r="U148" i="1"/>
  <c r="AM148" i="1" s="1"/>
  <c r="S149" i="1"/>
  <c r="U149" i="1"/>
  <c r="AM149" i="1"/>
  <c r="AU149" i="1"/>
  <c r="S150" i="1"/>
  <c r="U150" i="1"/>
  <c r="AM150" i="1" s="1"/>
  <c r="S151" i="1"/>
  <c r="U151" i="1"/>
  <c r="AM151" i="1" s="1"/>
  <c r="S152" i="1"/>
  <c r="U152" i="1"/>
  <c r="AM152" i="1"/>
  <c r="S153" i="1"/>
  <c r="U153" i="1"/>
  <c r="AM153" i="1" s="1"/>
  <c r="S154" i="1"/>
  <c r="U154" i="1"/>
  <c r="AM154" i="1"/>
  <c r="AW154" i="1" s="1"/>
  <c r="S155" i="1"/>
  <c r="U155" i="1"/>
  <c r="AM155" i="1" s="1"/>
  <c r="S156" i="1"/>
  <c r="U156" i="1"/>
  <c r="AM156" i="1" s="1"/>
  <c r="S157" i="1"/>
  <c r="U157" i="1"/>
  <c r="AM157" i="1" s="1"/>
  <c r="S158" i="1"/>
  <c r="U158" i="1"/>
  <c r="AM158" i="1"/>
  <c r="S159" i="1"/>
  <c r="U159" i="1"/>
  <c r="AM159" i="1" s="1"/>
  <c r="S160" i="1"/>
  <c r="U160" i="1"/>
  <c r="AM160" i="1" s="1"/>
  <c r="S161" i="1"/>
  <c r="U161" i="1"/>
  <c r="AM161" i="1" s="1"/>
  <c r="S162" i="1"/>
  <c r="U162" i="1"/>
  <c r="AM162" i="1" s="1"/>
  <c r="S163" i="1"/>
  <c r="U163" i="1"/>
  <c r="AM163" i="1"/>
  <c r="S164" i="1"/>
  <c r="U164" i="1"/>
  <c r="AM164" i="1"/>
  <c r="S165" i="1"/>
  <c r="U165" i="1"/>
  <c r="AM165" i="1" s="1"/>
  <c r="S166" i="1"/>
  <c r="U166" i="1"/>
  <c r="AM166" i="1" s="1"/>
  <c r="S167" i="1"/>
  <c r="U167" i="1"/>
  <c r="AM167" i="1" s="1"/>
  <c r="S168" i="1"/>
  <c r="U168" i="1"/>
  <c r="AM168" i="1" s="1"/>
  <c r="S169" i="1"/>
  <c r="U169" i="1"/>
  <c r="AM169" i="1" s="1"/>
  <c r="S170" i="1"/>
  <c r="U170" i="1"/>
  <c r="AM170" i="1" s="1"/>
  <c r="S171" i="1"/>
  <c r="U171" i="1"/>
  <c r="AM171" i="1" s="1"/>
  <c r="S172" i="1"/>
  <c r="U172" i="1"/>
  <c r="AM172" i="1"/>
  <c r="S173" i="1"/>
  <c r="U173" i="1"/>
  <c r="AM173" i="1" s="1"/>
  <c r="S174" i="1"/>
  <c r="U174" i="1"/>
  <c r="AM174" i="1" s="1"/>
  <c r="S175" i="1"/>
  <c r="U175" i="1"/>
  <c r="AM175" i="1" s="1"/>
  <c r="S176" i="1"/>
  <c r="U176" i="1"/>
  <c r="AM176" i="1" s="1"/>
  <c r="S177" i="1"/>
  <c r="U177" i="1"/>
  <c r="AM177" i="1" s="1"/>
  <c r="S178" i="1"/>
  <c r="U178" i="1"/>
  <c r="AM178" i="1" s="1"/>
  <c r="S179" i="1"/>
  <c r="U179" i="1"/>
  <c r="AM179" i="1" s="1"/>
  <c r="AV179" i="1"/>
  <c r="S180" i="1"/>
  <c r="U180" i="1"/>
  <c r="AM180" i="1" s="1"/>
  <c r="AU180" i="1"/>
  <c r="S181" i="1"/>
  <c r="U181" i="1"/>
  <c r="AM181" i="1" s="1"/>
  <c r="S182" i="1"/>
  <c r="U182" i="1"/>
  <c r="AM182" i="1"/>
  <c r="S183" i="1"/>
  <c r="U183" i="1"/>
  <c r="AM183" i="1" s="1"/>
  <c r="S184" i="1"/>
  <c r="U184" i="1"/>
  <c r="AV184" i="1"/>
  <c r="AM184" i="1"/>
  <c r="S185" i="1"/>
  <c r="U185" i="1"/>
  <c r="AM185" i="1" s="1"/>
  <c r="S186" i="1"/>
  <c r="U186" i="1"/>
  <c r="AM186" i="1" s="1"/>
  <c r="S187" i="1"/>
  <c r="U187" i="1"/>
  <c r="AM187" i="1" s="1"/>
  <c r="S188" i="1"/>
  <c r="U188" i="1"/>
  <c r="AM188" i="1"/>
  <c r="S189" i="1"/>
  <c r="U189" i="1"/>
  <c r="AM189" i="1" s="1"/>
  <c r="AU189" i="1"/>
  <c r="AW189" i="1"/>
  <c r="S190" i="1"/>
  <c r="U190" i="1"/>
  <c r="AM190" i="1" s="1"/>
  <c r="AV190" i="1"/>
  <c r="S191" i="1"/>
  <c r="U191" i="1"/>
  <c r="AM191" i="1" s="1"/>
  <c r="S192" i="1"/>
  <c r="U192" i="1"/>
  <c r="AM192" i="1"/>
  <c r="S193" i="1"/>
  <c r="U193" i="1"/>
  <c r="AM193" i="1" s="1"/>
  <c r="S194" i="1"/>
  <c r="U194" i="1"/>
  <c r="AM194" i="1" s="1"/>
  <c r="S195" i="1"/>
  <c r="U195" i="1"/>
  <c r="AM195" i="1" s="1"/>
  <c r="AW195" i="1"/>
  <c r="AV195" i="1"/>
  <c r="S196" i="1"/>
  <c r="U196" i="1"/>
  <c r="AM196" i="1" s="1"/>
  <c r="S197" i="1"/>
  <c r="U197" i="1"/>
  <c r="AM197" i="1" s="1"/>
  <c r="S198" i="1"/>
  <c r="U198" i="1"/>
  <c r="AM198" i="1"/>
  <c r="S199" i="1"/>
  <c r="U199" i="1"/>
  <c r="AM199" i="1"/>
  <c r="AU199" i="1" s="1"/>
  <c r="S200" i="1"/>
  <c r="U200" i="1"/>
  <c r="AM200" i="1" s="1"/>
  <c r="AU200" i="1"/>
  <c r="S201" i="1"/>
  <c r="U201" i="1"/>
  <c r="AM201" i="1" s="1"/>
  <c r="S202" i="1"/>
  <c r="U202" i="1"/>
  <c r="AM202" i="1"/>
  <c r="S203" i="1"/>
  <c r="U203" i="1"/>
  <c r="AM203" i="1" s="1"/>
  <c r="S204" i="1"/>
  <c r="U204" i="1"/>
  <c r="AM204" i="1"/>
  <c r="S205" i="1"/>
  <c r="U205" i="1"/>
  <c r="AM205" i="1" s="1"/>
  <c r="S206" i="1"/>
  <c r="U206" i="1"/>
  <c r="AM206" i="1" s="1"/>
  <c r="S207" i="1"/>
  <c r="U207" i="1"/>
  <c r="AM207" i="1"/>
  <c r="S208" i="1"/>
  <c r="U208" i="1"/>
  <c r="AM208" i="1"/>
  <c r="S209" i="1"/>
  <c r="U209" i="1"/>
  <c r="AM209" i="1" s="1"/>
  <c r="AW209" i="1"/>
  <c r="AV209" i="1"/>
  <c r="S210" i="1"/>
  <c r="U210" i="1"/>
  <c r="AM210" i="1" s="1"/>
  <c r="S211" i="1"/>
  <c r="U211" i="1"/>
  <c r="AM211" i="1" s="1"/>
  <c r="S212" i="1"/>
  <c r="U212" i="1"/>
  <c r="AM212" i="1" s="1"/>
  <c r="S213" i="1"/>
  <c r="U213" i="1"/>
  <c r="AM213" i="1" s="1"/>
  <c r="S214" i="1"/>
  <c r="U214" i="1"/>
  <c r="AM214" i="1" s="1"/>
  <c r="S215" i="1"/>
  <c r="U215" i="1"/>
  <c r="AM215" i="1" s="1"/>
  <c r="S216" i="1"/>
  <c r="U216" i="1"/>
  <c r="AM216" i="1" s="1"/>
  <c r="S217" i="1"/>
  <c r="U217" i="1"/>
  <c r="AM217" i="1"/>
  <c r="S218" i="1"/>
  <c r="U218" i="1"/>
  <c r="AM218" i="1" s="1"/>
  <c r="S219" i="1"/>
  <c r="U219" i="1"/>
  <c r="AM219" i="1" s="1"/>
  <c r="S220" i="1"/>
  <c r="U220" i="1"/>
  <c r="AM220" i="1" s="1"/>
  <c r="S221" i="1"/>
  <c r="U221" i="1"/>
  <c r="AM221" i="1" s="1"/>
  <c r="S222" i="1"/>
  <c r="U222" i="1"/>
  <c r="AM222" i="1"/>
  <c r="S223" i="1"/>
  <c r="U223" i="1"/>
  <c r="AM223" i="1" s="1"/>
  <c r="S224" i="1"/>
  <c r="U224" i="1"/>
  <c r="AM224" i="1" s="1"/>
  <c r="S225" i="1"/>
  <c r="U225" i="1"/>
  <c r="AM225" i="1" s="1"/>
  <c r="S226" i="1"/>
  <c r="U226" i="1"/>
  <c r="AM226" i="1" s="1"/>
  <c r="AV226" i="1"/>
  <c r="S227" i="1"/>
  <c r="U227" i="1"/>
  <c r="AM227" i="1"/>
  <c r="S228" i="1"/>
  <c r="U228" i="1"/>
  <c r="AM228" i="1" s="1"/>
  <c r="S229" i="1"/>
  <c r="U229" i="1"/>
  <c r="AM229" i="1" s="1"/>
  <c r="S230" i="1"/>
  <c r="U230" i="1"/>
  <c r="AM230" i="1" s="1"/>
  <c r="S231" i="1"/>
  <c r="U231" i="1"/>
  <c r="AM231" i="1" s="1"/>
  <c r="AV231" i="1"/>
  <c r="S232" i="1"/>
  <c r="U232" i="1"/>
  <c r="AM232" i="1" s="1"/>
  <c r="S233" i="1"/>
  <c r="U233" i="1"/>
  <c r="AM233" i="1"/>
  <c r="S234" i="1"/>
  <c r="U234" i="1"/>
  <c r="AM234" i="1" s="1"/>
  <c r="S235" i="1"/>
  <c r="U235" i="1"/>
  <c r="AM235" i="1" s="1"/>
  <c r="S236" i="1"/>
  <c r="U236" i="1"/>
  <c r="AM236" i="1" s="1"/>
  <c r="S237" i="1"/>
  <c r="U237" i="1"/>
  <c r="AM237" i="1" s="1"/>
  <c r="S238" i="1"/>
  <c r="U238" i="1"/>
  <c r="AM238" i="1" s="1"/>
  <c r="S239" i="1"/>
  <c r="U239" i="1"/>
  <c r="AM239" i="1" s="1"/>
  <c r="S240" i="1"/>
  <c r="U240" i="1"/>
  <c r="AM240" i="1" s="1"/>
  <c r="S241" i="1"/>
  <c r="U241" i="1"/>
  <c r="AM241" i="1" s="1"/>
  <c r="AV241" i="1"/>
  <c r="S242" i="1"/>
  <c r="U242" i="1"/>
  <c r="AM242" i="1" s="1"/>
  <c r="S243" i="1"/>
  <c r="U243" i="1"/>
  <c r="AM243" i="1" s="1"/>
  <c r="S244" i="1"/>
  <c r="U244" i="1"/>
  <c r="AM244" i="1" s="1"/>
  <c r="S245" i="1"/>
  <c r="U245" i="1"/>
  <c r="AM245" i="1" s="1"/>
  <c r="S246" i="1"/>
  <c r="U246" i="1"/>
  <c r="AM246" i="1" s="1"/>
  <c r="S247" i="1"/>
  <c r="U247" i="1"/>
  <c r="AM247" i="1" s="1"/>
  <c r="S248" i="1"/>
  <c r="U248" i="1"/>
  <c r="AM248" i="1" s="1"/>
  <c r="S249" i="1"/>
  <c r="U249" i="1"/>
  <c r="AM249" i="1" s="1"/>
  <c r="S250" i="1"/>
  <c r="U250" i="1"/>
  <c r="AM250" i="1" s="1"/>
  <c r="S251" i="1"/>
  <c r="U251" i="1"/>
  <c r="AM251" i="1" s="1"/>
  <c r="S252" i="1"/>
  <c r="U252" i="1"/>
  <c r="AM252" i="1" s="1"/>
  <c r="S253" i="1"/>
  <c r="U253" i="1"/>
  <c r="AM253" i="1"/>
  <c r="S254" i="1"/>
  <c r="U254" i="1"/>
  <c r="AM254" i="1" s="1"/>
  <c r="AV254" i="1" s="1"/>
  <c r="S255" i="1"/>
  <c r="U255" i="1"/>
  <c r="AM255" i="1" s="1"/>
  <c r="S256" i="1"/>
  <c r="U256" i="1"/>
  <c r="AM256" i="1"/>
  <c r="S257" i="1"/>
  <c r="U257" i="1"/>
  <c r="AM257" i="1" s="1"/>
  <c r="S258" i="1"/>
  <c r="U258" i="1"/>
  <c r="AM258" i="1" s="1"/>
  <c r="AU258" i="1" s="1"/>
  <c r="S259" i="1"/>
  <c r="U259" i="1"/>
  <c r="AM259" i="1" s="1"/>
  <c r="AU259" i="1" s="1"/>
  <c r="S260" i="1"/>
  <c r="U260" i="1"/>
  <c r="AM260" i="1" s="1"/>
  <c r="S261" i="1"/>
  <c r="U261" i="1"/>
  <c r="AM261" i="1" s="1"/>
  <c r="S262" i="1"/>
  <c r="U262" i="1"/>
  <c r="AM262" i="1" s="1"/>
  <c r="S263" i="1"/>
  <c r="U263" i="1"/>
  <c r="AM263" i="1"/>
  <c r="S264" i="1"/>
  <c r="U264" i="1"/>
  <c r="AM264" i="1"/>
  <c r="S265" i="1"/>
  <c r="U265" i="1"/>
  <c r="AM265" i="1" s="1"/>
  <c r="S266" i="1"/>
  <c r="U266" i="1"/>
  <c r="AM266" i="1" s="1"/>
  <c r="S267" i="1"/>
  <c r="U267" i="1"/>
  <c r="AM267" i="1" s="1"/>
  <c r="S268" i="1"/>
  <c r="U268" i="1"/>
  <c r="AM268" i="1"/>
  <c r="S269" i="1"/>
  <c r="U269" i="1"/>
  <c r="AM269" i="1" s="1"/>
  <c r="S270" i="1"/>
  <c r="U270" i="1"/>
  <c r="AM270" i="1" s="1"/>
  <c r="AU270" i="1" s="1"/>
  <c r="AW270" i="1"/>
  <c r="S271" i="1"/>
  <c r="U271" i="1"/>
  <c r="AM271" i="1" s="1"/>
  <c r="AV271" i="1"/>
  <c r="S272" i="1"/>
  <c r="U272" i="1"/>
  <c r="AM272" i="1" s="1"/>
  <c r="S273" i="1"/>
  <c r="U273" i="1"/>
  <c r="AM273" i="1" s="1"/>
  <c r="S274" i="1"/>
  <c r="U274" i="1"/>
  <c r="AM274" i="1" s="1"/>
  <c r="S275" i="1"/>
  <c r="U275" i="1"/>
  <c r="AM275" i="1" s="1"/>
  <c r="S276" i="1"/>
  <c r="U276" i="1"/>
  <c r="AM276" i="1" s="1"/>
  <c r="S277" i="1"/>
  <c r="U277" i="1"/>
  <c r="AM277" i="1" s="1"/>
  <c r="S278" i="1"/>
  <c r="U278" i="1"/>
  <c r="AM278" i="1" s="1"/>
  <c r="S279" i="1"/>
  <c r="U279" i="1"/>
  <c r="AM279" i="1" s="1"/>
  <c r="S280" i="1"/>
  <c r="U280" i="1"/>
  <c r="AM280" i="1" s="1"/>
  <c r="AU280" i="1" s="1"/>
  <c r="AW280" i="1"/>
  <c r="S281" i="1"/>
  <c r="U281" i="1"/>
  <c r="AM281" i="1" s="1"/>
  <c r="S282" i="1"/>
  <c r="U282" i="1"/>
  <c r="AM282" i="1" s="1"/>
  <c r="S283" i="1"/>
  <c r="U283" i="1"/>
  <c r="AM283" i="1"/>
  <c r="AV283" i="1" s="1"/>
  <c r="S284" i="1"/>
  <c r="U284" i="1"/>
  <c r="AM284" i="1" s="1"/>
  <c r="S285" i="1"/>
  <c r="U285" i="1"/>
  <c r="AM285" i="1" s="1"/>
  <c r="AW285" i="1"/>
  <c r="AV285" i="1"/>
  <c r="S286" i="1"/>
  <c r="U286" i="1"/>
  <c r="AM286" i="1"/>
  <c r="AW286" i="1"/>
  <c r="S287" i="1"/>
  <c r="U287" i="1"/>
  <c r="AM287" i="1" s="1"/>
  <c r="S288" i="1"/>
  <c r="U288" i="1"/>
  <c r="AM288" i="1" s="1"/>
  <c r="AV288" i="1" s="1"/>
  <c r="S289" i="1"/>
  <c r="U289" i="1"/>
  <c r="AM289" i="1" s="1"/>
  <c r="S290" i="1"/>
  <c r="U290" i="1"/>
  <c r="AM290" i="1" s="1"/>
  <c r="S291" i="1"/>
  <c r="U291" i="1"/>
  <c r="AM291" i="1" s="1"/>
  <c r="S292" i="1"/>
  <c r="U292" i="1"/>
  <c r="AM292" i="1" s="1"/>
  <c r="S293" i="1"/>
  <c r="U293" i="1"/>
  <c r="AM293" i="1" s="1"/>
  <c r="AU293" i="1" s="1"/>
  <c r="S294" i="1"/>
  <c r="U294" i="1"/>
  <c r="AM294" i="1" s="1"/>
  <c r="S295" i="1"/>
  <c r="U295" i="1"/>
  <c r="AM295" i="1" s="1"/>
  <c r="AV295" i="1"/>
  <c r="S296" i="1"/>
  <c r="U296" i="1"/>
  <c r="AM296" i="1" s="1"/>
  <c r="S297" i="1"/>
  <c r="U297" i="1"/>
  <c r="AM297" i="1" s="1"/>
  <c r="S298" i="1"/>
  <c r="U298" i="1"/>
  <c r="AM298" i="1"/>
  <c r="AV298" i="1" s="1"/>
  <c r="AU298" i="1"/>
  <c r="S299" i="1"/>
  <c r="U299" i="1"/>
  <c r="AM299" i="1" s="1"/>
  <c r="S300" i="1"/>
  <c r="U300" i="1"/>
  <c r="AM300" i="1" s="1"/>
  <c r="S301" i="1"/>
  <c r="U301" i="1"/>
  <c r="AM301" i="1"/>
  <c r="S302" i="1"/>
  <c r="U302" i="1"/>
  <c r="AM302" i="1" s="1"/>
  <c r="S303" i="1"/>
  <c r="U303" i="1"/>
  <c r="AM303" i="1" s="1"/>
  <c r="S304" i="1"/>
  <c r="U304" i="1"/>
  <c r="AM304" i="1"/>
  <c r="AV304" i="1" s="1"/>
  <c r="S305" i="1"/>
  <c r="U305" i="1"/>
  <c r="AM305" i="1" s="1"/>
  <c r="S306" i="1"/>
  <c r="U306" i="1"/>
  <c r="AM306" i="1" s="1"/>
  <c r="S307" i="1"/>
  <c r="U307" i="1"/>
  <c r="AM307" i="1"/>
  <c r="S308" i="1"/>
  <c r="U308" i="1"/>
  <c r="AM308" i="1" s="1"/>
  <c r="S309" i="1"/>
  <c r="U309" i="1"/>
  <c r="AM309" i="1" s="1"/>
  <c r="S310" i="1"/>
  <c r="U310" i="1"/>
  <c r="AM310" i="1" s="1"/>
  <c r="S311" i="1"/>
  <c r="U311" i="1"/>
  <c r="AM311" i="1"/>
  <c r="AU311" i="1"/>
  <c r="S312" i="1"/>
  <c r="U312" i="1"/>
  <c r="AM312" i="1" s="1"/>
  <c r="S313" i="1"/>
  <c r="U313" i="1"/>
  <c r="AM313" i="1" s="1"/>
  <c r="S314" i="1"/>
  <c r="U314" i="1"/>
  <c r="AM314" i="1" s="1"/>
  <c r="S315" i="1"/>
  <c r="U315" i="1"/>
  <c r="AM315" i="1" s="1"/>
  <c r="S316" i="1"/>
  <c r="U316" i="1"/>
  <c r="AM316" i="1" s="1"/>
  <c r="S317" i="1"/>
  <c r="U317" i="1"/>
  <c r="AM317" i="1"/>
  <c r="S318" i="1"/>
  <c r="U318" i="1"/>
  <c r="AM318" i="1" s="1"/>
  <c r="S319" i="1"/>
  <c r="U319" i="1"/>
  <c r="AM319" i="1" s="1"/>
  <c r="S320" i="1"/>
  <c r="U320" i="1"/>
  <c r="AM320" i="1" s="1"/>
  <c r="AV320" i="1" s="1"/>
  <c r="S321" i="1"/>
  <c r="U321" i="1"/>
  <c r="AM321" i="1" s="1"/>
  <c r="S322" i="1"/>
  <c r="U322" i="1"/>
  <c r="AM322" i="1" s="1"/>
  <c r="S323" i="1"/>
  <c r="U323" i="1"/>
  <c r="AM323" i="1" s="1"/>
  <c r="AU323" i="1"/>
  <c r="S324" i="1"/>
  <c r="U324" i="1"/>
  <c r="AM324" i="1" s="1"/>
  <c r="S325" i="1"/>
  <c r="U325" i="1"/>
  <c r="AM325" i="1" s="1"/>
  <c r="AW325" i="1"/>
  <c r="S326" i="1"/>
  <c r="U326" i="1"/>
  <c r="AM326" i="1" s="1"/>
  <c r="S327" i="1"/>
  <c r="U327" i="1"/>
  <c r="AM327" i="1"/>
  <c r="S328" i="1"/>
  <c r="U328" i="1"/>
  <c r="AM328" i="1" s="1"/>
  <c r="S329" i="1"/>
  <c r="U329" i="1"/>
  <c r="AM329" i="1"/>
  <c r="S330" i="1"/>
  <c r="U330" i="1"/>
  <c r="AM330" i="1" s="1"/>
  <c r="S331" i="1"/>
  <c r="U331" i="1"/>
  <c r="AM331" i="1" s="1"/>
  <c r="S332" i="1"/>
  <c r="U332" i="1"/>
  <c r="AM332" i="1"/>
  <c r="S333" i="1"/>
  <c r="U333" i="1"/>
  <c r="AM333" i="1" s="1"/>
  <c r="S334" i="1"/>
  <c r="U334" i="1"/>
  <c r="AM334" i="1" s="1"/>
  <c r="S335" i="1"/>
  <c r="U335" i="1"/>
  <c r="AM335" i="1" s="1"/>
  <c r="S336" i="1"/>
  <c r="U336" i="1"/>
  <c r="AM336" i="1" s="1"/>
  <c r="S337" i="1"/>
  <c r="U337" i="1"/>
  <c r="AM337" i="1" s="1"/>
  <c r="S338" i="1"/>
  <c r="U338" i="1"/>
  <c r="AM338" i="1"/>
  <c r="AU338" i="1" s="1"/>
  <c r="S339" i="1"/>
  <c r="U339" i="1"/>
  <c r="AM339" i="1" s="1"/>
  <c r="AW339" i="1" s="1"/>
  <c r="S340" i="1"/>
  <c r="U340" i="1"/>
  <c r="AM340" i="1" s="1"/>
  <c r="S341" i="1"/>
  <c r="U341" i="1"/>
  <c r="AM341" i="1" s="1"/>
  <c r="S342" i="1"/>
  <c r="U342" i="1"/>
  <c r="AM342" i="1"/>
  <c r="S343" i="1"/>
  <c r="U343" i="1"/>
  <c r="AM343" i="1" s="1"/>
  <c r="S344" i="1"/>
  <c r="U344" i="1"/>
  <c r="AM344" i="1"/>
  <c r="AW344" i="1"/>
  <c r="S345" i="1"/>
  <c r="U345" i="1"/>
  <c r="AM345" i="1" s="1"/>
  <c r="S346" i="1"/>
  <c r="U346" i="1"/>
  <c r="AM346" i="1" s="1"/>
  <c r="S347" i="1"/>
  <c r="U347" i="1"/>
  <c r="AM347" i="1"/>
  <c r="S348" i="1"/>
  <c r="U348" i="1"/>
  <c r="AM348" i="1" s="1"/>
  <c r="AV348" i="1"/>
  <c r="S349" i="1"/>
  <c r="U349" i="1"/>
  <c r="AM349" i="1" s="1"/>
  <c r="AV349" i="1"/>
  <c r="S350" i="1"/>
  <c r="U350" i="1"/>
  <c r="AM350" i="1" s="1"/>
  <c r="AV350" i="1" s="1"/>
  <c r="S351" i="1"/>
  <c r="U351" i="1"/>
  <c r="AM351" i="1" s="1"/>
  <c r="S352" i="1"/>
  <c r="U352" i="1"/>
  <c r="AU352" i="1"/>
  <c r="AM352" i="1"/>
  <c r="S353" i="1"/>
  <c r="U353" i="1"/>
  <c r="AM353" i="1" s="1"/>
  <c r="AU353" i="1" s="1"/>
  <c r="S354" i="1"/>
  <c r="U354" i="1"/>
  <c r="AM354" i="1"/>
  <c r="AW354" i="1" s="1"/>
  <c r="S355" i="1"/>
  <c r="U355" i="1"/>
  <c r="AM355" i="1" s="1"/>
  <c r="S356" i="1"/>
  <c r="U356" i="1"/>
  <c r="AM356" i="1" s="1"/>
  <c r="S357" i="1"/>
  <c r="U357" i="1"/>
  <c r="AM357" i="1" s="1"/>
  <c r="S358" i="1"/>
  <c r="U358" i="1"/>
  <c r="AM358" i="1" s="1"/>
  <c r="S359" i="1"/>
  <c r="U359" i="1"/>
  <c r="AM359" i="1"/>
  <c r="AW359" i="1" s="1"/>
  <c r="S360" i="1"/>
  <c r="U360" i="1"/>
  <c r="AM360" i="1" s="1"/>
  <c r="AV360" i="1" s="1"/>
  <c r="S361" i="1"/>
  <c r="U361" i="1"/>
  <c r="AM361" i="1" s="1"/>
  <c r="S362" i="1"/>
  <c r="U362" i="1"/>
  <c r="AM362" i="1" s="1"/>
  <c r="S363" i="1"/>
  <c r="U363" i="1"/>
  <c r="AM363" i="1"/>
  <c r="S364" i="1"/>
  <c r="U364" i="1"/>
  <c r="AM364" i="1" s="1"/>
  <c r="AW364" i="1"/>
  <c r="S365" i="1"/>
  <c r="U365" i="1"/>
  <c r="AM365" i="1" s="1"/>
  <c r="S366" i="1"/>
  <c r="U366" i="1"/>
  <c r="AM366" i="1" s="1"/>
  <c r="S367" i="1"/>
  <c r="U367" i="1"/>
  <c r="AM367" i="1" s="1"/>
  <c r="S368" i="1"/>
  <c r="U368" i="1"/>
  <c r="AM368" i="1" s="1"/>
  <c r="S369" i="1"/>
  <c r="U369" i="1"/>
  <c r="AM369" i="1" s="1"/>
  <c r="AW369" i="1" s="1"/>
  <c r="S370" i="1"/>
  <c r="U370" i="1"/>
  <c r="AM370" i="1" s="1"/>
  <c r="S371" i="1"/>
  <c r="U371" i="1"/>
  <c r="AM371" i="1" s="1"/>
  <c r="S372" i="1"/>
  <c r="U372" i="1"/>
  <c r="AW372" i="1"/>
  <c r="AM372" i="1"/>
  <c r="AU372" i="1" s="1"/>
  <c r="S373" i="1"/>
  <c r="U373" i="1"/>
  <c r="AM373" i="1"/>
  <c r="S374" i="1"/>
  <c r="U374" i="1"/>
  <c r="AM374" i="1"/>
  <c r="AW374" i="1" s="1"/>
  <c r="S375" i="1"/>
  <c r="U375" i="1"/>
  <c r="AM375" i="1" s="1"/>
  <c r="S376" i="1"/>
  <c r="U376" i="1"/>
  <c r="AM376" i="1" s="1"/>
  <c r="S377" i="1"/>
  <c r="U377" i="1"/>
  <c r="AM377" i="1" s="1"/>
  <c r="S378" i="1"/>
  <c r="U378" i="1"/>
  <c r="AM378" i="1" s="1"/>
  <c r="AU378" i="1" s="1"/>
  <c r="S379" i="1"/>
  <c r="U379" i="1"/>
  <c r="AM379" i="1" s="1"/>
  <c r="S380" i="1"/>
  <c r="U380" i="1"/>
  <c r="AM380" i="1" s="1"/>
  <c r="S381" i="1"/>
  <c r="U381" i="1"/>
  <c r="AM381" i="1" s="1"/>
  <c r="S382" i="1"/>
  <c r="U382" i="1"/>
  <c r="AM382" i="1"/>
  <c r="S383" i="1"/>
  <c r="U383" i="1"/>
  <c r="AM383" i="1" s="1"/>
  <c r="S384" i="1"/>
  <c r="U384" i="1"/>
  <c r="AM384" i="1" s="1"/>
  <c r="S385" i="1"/>
  <c r="U385" i="1"/>
  <c r="AM385" i="1" s="1"/>
  <c r="S386" i="1"/>
  <c r="U386" i="1"/>
  <c r="AM386" i="1" s="1"/>
  <c r="S387" i="1"/>
  <c r="U387" i="1"/>
  <c r="AV387" i="1"/>
  <c r="AM387" i="1"/>
  <c r="AW387" i="1" s="1"/>
  <c r="S388" i="1"/>
  <c r="U388" i="1"/>
  <c r="AM388" i="1" s="1"/>
  <c r="AU388" i="1" s="1"/>
  <c r="S389" i="1"/>
  <c r="U389" i="1"/>
  <c r="AM389" i="1"/>
  <c r="S390" i="1"/>
  <c r="U390" i="1"/>
  <c r="AM390" i="1" s="1"/>
  <c r="S391" i="1"/>
  <c r="U391" i="1"/>
  <c r="AM391" i="1" s="1"/>
  <c r="S392" i="1"/>
  <c r="U392" i="1"/>
  <c r="AM392" i="1" s="1"/>
  <c r="S393" i="1"/>
  <c r="U393" i="1"/>
  <c r="AM393" i="1" s="1"/>
  <c r="S394" i="1"/>
  <c r="U394" i="1"/>
  <c r="AM394" i="1"/>
  <c r="AW394" i="1" s="1"/>
  <c r="S395" i="1"/>
  <c r="U395" i="1"/>
  <c r="AM395" i="1" s="1"/>
  <c r="S396" i="1"/>
  <c r="U396" i="1"/>
  <c r="AM396" i="1" s="1"/>
  <c r="S397" i="1"/>
  <c r="U397" i="1"/>
  <c r="AM397" i="1" s="1"/>
  <c r="S398" i="1"/>
  <c r="U398" i="1"/>
  <c r="AM398" i="1" s="1"/>
  <c r="S399" i="1"/>
  <c r="U399" i="1"/>
  <c r="AM399" i="1" s="1"/>
  <c r="AV399" i="1" s="1"/>
  <c r="S400" i="1"/>
  <c r="U400" i="1"/>
  <c r="AM400" i="1" s="1"/>
  <c r="AU400" i="1" s="1"/>
  <c r="AV400" i="1"/>
  <c r="S401" i="1"/>
  <c r="U401" i="1"/>
  <c r="AM401" i="1" s="1"/>
  <c r="S402" i="1"/>
  <c r="U402" i="1"/>
  <c r="AM402" i="1"/>
  <c r="S403" i="1"/>
  <c r="U403" i="1"/>
  <c r="AM403" i="1" s="1"/>
  <c r="S404" i="1"/>
  <c r="U404" i="1"/>
  <c r="AM404" i="1" s="1"/>
  <c r="S405" i="1"/>
  <c r="U405" i="1"/>
  <c r="AM405" i="1" s="1"/>
  <c r="S406" i="1"/>
  <c r="U406" i="1"/>
  <c r="AM406" i="1" s="1"/>
  <c r="S407" i="1"/>
  <c r="U407" i="1"/>
  <c r="AM407" i="1" s="1"/>
  <c r="S408" i="1"/>
  <c r="U408" i="1"/>
  <c r="AM408" i="1" s="1"/>
  <c r="S409" i="1"/>
  <c r="U409" i="1"/>
  <c r="AM409" i="1" s="1"/>
  <c r="AV409" i="1"/>
  <c r="S410" i="1"/>
  <c r="U410" i="1"/>
  <c r="AM410" i="1"/>
  <c r="S411" i="1"/>
  <c r="U411" i="1"/>
  <c r="AM411" i="1" s="1"/>
  <c r="S412" i="1"/>
  <c r="U412" i="1"/>
  <c r="AM412" i="1" s="1"/>
  <c r="AU412" i="1" s="1"/>
  <c r="S413" i="1"/>
  <c r="U413" i="1"/>
  <c r="AM413" i="1" s="1"/>
  <c r="S414" i="1"/>
  <c r="U414" i="1"/>
  <c r="AM414" i="1" s="1"/>
  <c r="S415" i="1"/>
  <c r="U415" i="1"/>
  <c r="AM415" i="1" s="1"/>
  <c r="S416" i="1"/>
  <c r="U416" i="1"/>
  <c r="AM416" i="1" s="1"/>
  <c r="S417" i="1"/>
  <c r="U417" i="1"/>
  <c r="AM417" i="1" s="1"/>
  <c r="AU417" i="1" s="1"/>
  <c r="S418" i="1"/>
  <c r="U418" i="1"/>
  <c r="AM418" i="1" s="1"/>
  <c r="S419" i="1"/>
  <c r="U419" i="1"/>
  <c r="AM419" i="1" s="1"/>
  <c r="AW419" i="1" s="1"/>
  <c r="AV419" i="1"/>
  <c r="S420" i="1"/>
  <c r="U420" i="1"/>
  <c r="AM420" i="1"/>
  <c r="AU420" i="1" s="1"/>
  <c r="S421" i="1"/>
  <c r="U421" i="1"/>
  <c r="AM421" i="1" s="1"/>
  <c r="S422" i="1"/>
  <c r="U422" i="1"/>
  <c r="AM422" i="1" s="1"/>
  <c r="S423" i="1"/>
  <c r="U423" i="1"/>
  <c r="AM423" i="1" s="1"/>
  <c r="S424" i="1"/>
  <c r="U424" i="1"/>
  <c r="AM424" i="1" s="1"/>
  <c r="AV424" i="1" s="1"/>
  <c r="S425" i="1"/>
  <c r="U425" i="1"/>
  <c r="AM425" i="1" s="1"/>
  <c r="S426" i="1"/>
  <c r="U426" i="1"/>
  <c r="AM426" i="1" s="1"/>
  <c r="S427" i="1"/>
  <c r="U427" i="1"/>
  <c r="AM427" i="1"/>
  <c r="S428" i="1"/>
  <c r="U428" i="1"/>
  <c r="AM428" i="1" s="1"/>
  <c r="AU428" i="1"/>
  <c r="S429" i="1"/>
  <c r="U429" i="1"/>
  <c r="AM429" i="1" s="1"/>
  <c r="S430" i="1"/>
  <c r="U430" i="1"/>
  <c r="AM430" i="1" s="1"/>
  <c r="AU430" i="1" s="1"/>
  <c r="S431" i="1"/>
  <c r="U431" i="1"/>
  <c r="AM431" i="1" s="1"/>
  <c r="S432" i="1"/>
  <c r="U432" i="1"/>
  <c r="AM432" i="1"/>
  <c r="AU432" i="1" s="1"/>
  <c r="S433" i="1"/>
  <c r="U433" i="1"/>
  <c r="AM433" i="1" s="1"/>
  <c r="S434" i="1"/>
  <c r="U434" i="1"/>
  <c r="AM434" i="1"/>
  <c r="S435" i="1"/>
  <c r="U435" i="1"/>
  <c r="AM435" i="1" s="1"/>
  <c r="AV435" i="1" s="1"/>
  <c r="S436" i="1"/>
  <c r="U436" i="1"/>
  <c r="AM436" i="1" s="1"/>
  <c r="S437" i="1"/>
  <c r="U437" i="1"/>
  <c r="AM437" i="1" s="1"/>
  <c r="S438" i="1"/>
  <c r="U438" i="1"/>
  <c r="AM438" i="1" s="1"/>
  <c r="S439" i="1"/>
  <c r="U439" i="1"/>
  <c r="AM439" i="1" s="1"/>
  <c r="S440" i="1"/>
  <c r="U440" i="1"/>
  <c r="AM440" i="1" s="1"/>
  <c r="S441" i="1"/>
  <c r="U441" i="1"/>
  <c r="AM441" i="1" s="1"/>
  <c r="AW441" i="1"/>
  <c r="S442" i="1"/>
  <c r="U442" i="1"/>
  <c r="AM442" i="1" s="1"/>
  <c r="S443" i="1"/>
  <c r="U443" i="1"/>
  <c r="AM443" i="1" s="1"/>
  <c r="S444" i="1"/>
  <c r="U444" i="1"/>
  <c r="AM444" i="1" s="1"/>
  <c r="AV444" i="1" s="1"/>
  <c r="S445" i="1"/>
  <c r="U445" i="1"/>
  <c r="AM445" i="1" s="1"/>
  <c r="S446" i="1"/>
  <c r="U446" i="1"/>
  <c r="AM446" i="1" s="1"/>
  <c r="AU446" i="1"/>
  <c r="AW446" i="1"/>
  <c r="S447" i="1"/>
  <c r="U447" i="1"/>
  <c r="AM447" i="1" s="1"/>
  <c r="AV447" i="1" s="1"/>
  <c r="S448" i="1"/>
  <c r="U448" i="1"/>
  <c r="AM448" i="1" s="1"/>
  <c r="S449" i="1"/>
  <c r="U449" i="1"/>
  <c r="AM449" i="1"/>
  <c r="AV449" i="1" s="1"/>
  <c r="AW449" i="1"/>
  <c r="S450" i="1"/>
  <c r="U450" i="1"/>
  <c r="AM450" i="1" s="1"/>
  <c r="S451" i="1"/>
  <c r="U451" i="1"/>
  <c r="AM451" i="1" s="1"/>
  <c r="S452" i="1"/>
  <c r="U452" i="1"/>
  <c r="AM452" i="1" s="1"/>
  <c r="AU452" i="1" s="1"/>
  <c r="S453" i="1"/>
  <c r="U453" i="1"/>
  <c r="AM453" i="1" s="1"/>
  <c r="AV453" i="1"/>
  <c r="S454" i="1"/>
  <c r="U454" i="1"/>
  <c r="AM454" i="1" s="1"/>
  <c r="S455" i="1"/>
  <c r="U455" i="1"/>
  <c r="AM455" i="1" s="1"/>
  <c r="S456" i="1"/>
  <c r="U456" i="1"/>
  <c r="AM456" i="1" s="1"/>
  <c r="AV456" i="1" s="1"/>
  <c r="S457" i="1"/>
  <c r="U457" i="1"/>
  <c r="AM457" i="1" s="1"/>
  <c r="S458" i="1"/>
  <c r="U458" i="1"/>
  <c r="AM458" i="1" s="1"/>
  <c r="S459" i="1"/>
  <c r="U459" i="1"/>
  <c r="AM459" i="1" s="1"/>
  <c r="S460" i="1"/>
  <c r="U460" i="1"/>
  <c r="AM460" i="1" s="1"/>
  <c r="S461" i="1"/>
  <c r="U461" i="1"/>
  <c r="AM461" i="1" s="1"/>
  <c r="AU461" i="1"/>
  <c r="S462" i="1"/>
  <c r="U462" i="1"/>
  <c r="AM462" i="1" s="1"/>
  <c r="S463" i="1"/>
  <c r="U463" i="1"/>
  <c r="AM463" i="1"/>
  <c r="AV463" i="1"/>
  <c r="S464" i="1"/>
  <c r="U464" i="1"/>
  <c r="AM464" i="1" s="1"/>
  <c r="S465" i="1"/>
  <c r="U465" i="1"/>
  <c r="AM465" i="1" s="1"/>
  <c r="S466" i="1"/>
  <c r="U466" i="1"/>
  <c r="AM466" i="1" s="1"/>
  <c r="AV466" i="1"/>
  <c r="S467" i="1"/>
  <c r="U467" i="1"/>
  <c r="AM467" i="1" s="1"/>
  <c r="S468" i="1"/>
  <c r="U468" i="1"/>
  <c r="AM468" i="1" s="1"/>
  <c r="S469" i="1"/>
  <c r="U469" i="1"/>
  <c r="AM469" i="1"/>
  <c r="S470" i="1"/>
  <c r="U470" i="1"/>
  <c r="AM470" i="1" s="1"/>
  <c r="S471" i="1"/>
  <c r="U471" i="1"/>
  <c r="AM471" i="1" s="1"/>
  <c r="S472" i="1"/>
  <c r="U472" i="1"/>
  <c r="AM472" i="1" s="1"/>
  <c r="AV472" i="1"/>
  <c r="S473" i="1"/>
  <c r="U473" i="1"/>
  <c r="AM473" i="1" s="1"/>
  <c r="S474" i="1"/>
  <c r="U474" i="1"/>
  <c r="AM474" i="1" s="1"/>
  <c r="AU474" i="1" s="1"/>
  <c r="S475" i="1"/>
  <c r="U475" i="1"/>
  <c r="AM475" i="1" s="1"/>
  <c r="S476" i="1"/>
  <c r="U476" i="1"/>
  <c r="AM476" i="1" s="1"/>
  <c r="S477" i="1"/>
  <c r="U477" i="1"/>
  <c r="AM477" i="1" s="1"/>
  <c r="AV477" i="1"/>
  <c r="S478" i="1"/>
  <c r="U478" i="1"/>
  <c r="AM478" i="1" s="1"/>
  <c r="S479" i="1"/>
  <c r="U479" i="1"/>
  <c r="AM479" i="1"/>
  <c r="S480" i="1"/>
  <c r="U480" i="1"/>
  <c r="AM480" i="1" s="1"/>
  <c r="S481" i="1"/>
  <c r="U481" i="1"/>
  <c r="AM481" i="1" s="1"/>
  <c r="AU481" i="1" s="1"/>
  <c r="AV481" i="1"/>
  <c r="S482" i="1"/>
  <c r="U482" i="1"/>
  <c r="AM482" i="1" s="1"/>
  <c r="S483" i="1"/>
  <c r="U483" i="1"/>
  <c r="AM483" i="1" s="1"/>
  <c r="S484" i="1"/>
  <c r="U484" i="1"/>
  <c r="AM484" i="1" s="1"/>
  <c r="S485" i="1"/>
  <c r="U485" i="1"/>
  <c r="AM485" i="1" s="1"/>
  <c r="S486" i="1"/>
  <c r="U486" i="1"/>
  <c r="AM486" i="1" s="1"/>
  <c r="S487" i="1"/>
  <c r="U487" i="1"/>
  <c r="AM487" i="1" s="1"/>
  <c r="S488" i="1"/>
  <c r="U488" i="1"/>
  <c r="AM488" i="1" s="1"/>
  <c r="S489" i="1"/>
  <c r="U489" i="1"/>
  <c r="AM489" i="1" s="1"/>
  <c r="S490" i="1"/>
  <c r="U490" i="1"/>
  <c r="AM490" i="1" s="1"/>
  <c r="S491" i="1"/>
  <c r="U491" i="1"/>
  <c r="AM491" i="1"/>
  <c r="S492" i="1"/>
  <c r="U492" i="1"/>
  <c r="AM492" i="1" s="1"/>
  <c r="S493" i="1"/>
  <c r="U493" i="1"/>
  <c r="AM493" i="1" s="1"/>
  <c r="S494" i="1"/>
  <c r="U494" i="1"/>
  <c r="AM494" i="1" s="1"/>
  <c r="AU494" i="1" s="1"/>
  <c r="S495" i="1"/>
  <c r="U495" i="1"/>
  <c r="AM495" i="1" s="1"/>
  <c r="S496" i="1"/>
  <c r="U496" i="1"/>
  <c r="AM496" i="1" s="1"/>
  <c r="S497" i="1"/>
  <c r="U497" i="1"/>
  <c r="AM497" i="1" s="1"/>
  <c r="S498" i="1"/>
  <c r="U498" i="1"/>
  <c r="AM498" i="1" s="1"/>
  <c r="S499" i="1"/>
  <c r="U499" i="1"/>
  <c r="AM499" i="1" s="1"/>
  <c r="S500" i="1"/>
  <c r="U500" i="1"/>
  <c r="AM500" i="1" s="1"/>
  <c r="AU500" i="1" s="1"/>
  <c r="AV500" i="1"/>
  <c r="S501" i="1"/>
  <c r="U501" i="1"/>
  <c r="AM501" i="1"/>
  <c r="AU501" i="1" s="1"/>
  <c r="S502" i="1"/>
  <c r="U502" i="1"/>
  <c r="AM502" i="1" s="1"/>
  <c r="AV502" i="1"/>
  <c r="S503" i="1"/>
  <c r="U503" i="1"/>
  <c r="AM503" i="1" s="1"/>
  <c r="S504" i="1"/>
  <c r="U504" i="1"/>
  <c r="AM504" i="1" s="1"/>
  <c r="S505" i="1"/>
  <c r="U505" i="1"/>
  <c r="AM505" i="1" s="1"/>
  <c r="S506" i="1"/>
  <c r="U506" i="1"/>
  <c r="AM506" i="1" s="1"/>
  <c r="AU506" i="1" s="1"/>
  <c r="S507" i="1"/>
  <c r="U507" i="1"/>
  <c r="AM507" i="1" s="1"/>
  <c r="AU507" i="1" s="1"/>
  <c r="S508" i="1"/>
  <c r="U508" i="1"/>
  <c r="AM508" i="1" s="1"/>
  <c r="S509" i="1"/>
  <c r="U509" i="1"/>
  <c r="AM509" i="1"/>
  <c r="S510" i="1"/>
  <c r="U510" i="1"/>
  <c r="AM510" i="1" s="1"/>
  <c r="AW510" i="1"/>
  <c r="S511" i="1"/>
  <c r="U511" i="1"/>
  <c r="AM511" i="1"/>
  <c r="AU511" i="1" s="1"/>
  <c r="S512" i="1"/>
  <c r="U512" i="1"/>
  <c r="AM512" i="1" s="1"/>
  <c r="S513" i="1"/>
  <c r="U513" i="1"/>
  <c r="AM513" i="1" s="1"/>
  <c r="S514" i="1"/>
  <c r="U514" i="1"/>
  <c r="AM514" i="1" s="1"/>
  <c r="S515" i="1"/>
  <c r="U515" i="1"/>
  <c r="AM515" i="1" s="1"/>
  <c r="AW515" i="1"/>
  <c r="S516" i="1"/>
  <c r="U516" i="1"/>
  <c r="AM516" i="1" s="1"/>
  <c r="AV516" i="1"/>
  <c r="S517" i="1"/>
  <c r="U517" i="1"/>
  <c r="AM517" i="1" s="1"/>
  <c r="AU517" i="1" s="1"/>
  <c r="S518" i="1"/>
  <c r="U518" i="1"/>
  <c r="AM518" i="1" s="1"/>
  <c r="S519" i="1"/>
  <c r="U519" i="1"/>
  <c r="AM519" i="1" s="1"/>
  <c r="S520" i="1"/>
  <c r="U520" i="1"/>
  <c r="AM520" i="1" s="1"/>
  <c r="S521" i="1"/>
  <c r="U521" i="1"/>
  <c r="AM521" i="1"/>
  <c r="AU521" i="1" s="1"/>
  <c r="S522" i="1"/>
  <c r="U522" i="1"/>
  <c r="AM522" i="1" s="1"/>
  <c r="AV522" i="1"/>
  <c r="S523" i="1"/>
  <c r="U523" i="1"/>
  <c r="AM523" i="1" s="1"/>
  <c r="S524" i="1"/>
  <c r="U524" i="1"/>
  <c r="AM524" i="1" s="1"/>
  <c r="S525" i="1"/>
  <c r="U525" i="1"/>
  <c r="AM525" i="1" s="1"/>
  <c r="S526" i="1"/>
  <c r="U526" i="1"/>
  <c r="AM526" i="1" s="1"/>
  <c r="S527" i="1"/>
  <c r="U527" i="1"/>
  <c r="AM527" i="1" s="1"/>
  <c r="S528" i="1"/>
  <c r="U528" i="1"/>
  <c r="AM528" i="1" s="1"/>
  <c r="S529" i="1"/>
  <c r="U529" i="1"/>
  <c r="AM529" i="1" s="1"/>
  <c r="S530" i="1"/>
  <c r="U530" i="1"/>
  <c r="AM530" i="1" s="1"/>
  <c r="AV530" i="1"/>
  <c r="S531" i="1"/>
  <c r="U531" i="1"/>
  <c r="AM531" i="1" s="1"/>
  <c r="S532" i="1"/>
  <c r="U532" i="1"/>
  <c r="AM532" i="1" s="1"/>
  <c r="AU532" i="1" s="1"/>
  <c r="S533" i="1"/>
  <c r="U533" i="1"/>
  <c r="AM533" i="1" s="1"/>
  <c r="S534" i="1"/>
  <c r="U534" i="1"/>
  <c r="AM534" i="1" s="1"/>
  <c r="S535" i="1"/>
  <c r="U535" i="1"/>
  <c r="AM535" i="1" s="1"/>
  <c r="S536" i="1"/>
  <c r="U536" i="1"/>
  <c r="AM536" i="1" s="1"/>
  <c r="AU536" i="1" s="1"/>
  <c r="S537" i="1"/>
  <c r="U537" i="1"/>
  <c r="AM537" i="1" s="1"/>
  <c r="AU537" i="1" s="1"/>
  <c r="S538" i="1"/>
  <c r="U538" i="1"/>
  <c r="AM538" i="1" s="1"/>
  <c r="S539" i="1"/>
  <c r="U539" i="1"/>
  <c r="AM539" i="1" s="1"/>
  <c r="S540" i="1"/>
  <c r="U540" i="1"/>
  <c r="AM540" i="1" s="1"/>
  <c r="AV540" i="1" s="1"/>
  <c r="S541" i="1"/>
  <c r="U541" i="1"/>
  <c r="AM541" i="1"/>
  <c r="S542" i="1"/>
  <c r="U542" i="1"/>
  <c r="AM542" i="1" s="1"/>
  <c r="S543" i="1"/>
  <c r="U543" i="1"/>
  <c r="AM543" i="1" s="1"/>
  <c r="S544" i="1"/>
  <c r="U544" i="1"/>
  <c r="AM544" i="1" s="1"/>
  <c r="S545" i="1"/>
  <c r="U545" i="1"/>
  <c r="AM545" i="1" s="1"/>
  <c r="S546" i="1"/>
  <c r="U546" i="1"/>
  <c r="AM546" i="1" s="1"/>
  <c r="S547" i="1"/>
  <c r="U547" i="1"/>
  <c r="AM547" i="1" s="1"/>
  <c r="S548" i="1"/>
  <c r="U548" i="1"/>
  <c r="AM548" i="1" s="1"/>
  <c r="S549" i="1"/>
  <c r="U549" i="1"/>
  <c r="AM549" i="1" s="1"/>
  <c r="S550" i="1"/>
  <c r="U550" i="1"/>
  <c r="AM550" i="1" s="1"/>
  <c r="S551" i="1"/>
  <c r="U551" i="1"/>
  <c r="AM551" i="1"/>
  <c r="S552" i="1"/>
  <c r="U552" i="1"/>
  <c r="AM552" i="1" s="1"/>
  <c r="AV552" i="1"/>
  <c r="S553" i="1"/>
  <c r="U553" i="1"/>
  <c r="AM553" i="1" s="1"/>
  <c r="S554" i="1"/>
  <c r="U554" i="1"/>
  <c r="AM554" i="1" s="1"/>
  <c r="S555" i="1"/>
  <c r="U555" i="1"/>
  <c r="AM555" i="1" s="1"/>
  <c r="AV555" i="1"/>
  <c r="S556" i="1"/>
  <c r="U556" i="1"/>
  <c r="AM556" i="1" s="1"/>
  <c r="S557" i="1"/>
  <c r="U557" i="1"/>
  <c r="AM557" i="1" s="1"/>
  <c r="AU557" i="1" s="1"/>
  <c r="S558" i="1"/>
  <c r="U558" i="1"/>
  <c r="AM558" i="1" s="1"/>
  <c r="S559" i="1"/>
  <c r="U559" i="1"/>
  <c r="AM559" i="1" s="1"/>
  <c r="S560" i="1"/>
  <c r="U560" i="1"/>
  <c r="AM560" i="1" s="1"/>
  <c r="S561" i="1"/>
  <c r="U561" i="1"/>
  <c r="AM561" i="1" s="1"/>
  <c r="S562" i="1"/>
  <c r="U562" i="1"/>
  <c r="AM562" i="1" s="1"/>
  <c r="S563" i="1"/>
  <c r="U563" i="1"/>
  <c r="AM563" i="1" s="1"/>
  <c r="S564" i="1"/>
  <c r="U564" i="1"/>
  <c r="AM564" i="1" s="1"/>
  <c r="S565" i="1"/>
  <c r="U565" i="1"/>
  <c r="AM565" i="1" s="1"/>
  <c r="AW565" i="1"/>
  <c r="S566" i="1"/>
  <c r="U566" i="1"/>
  <c r="AM566" i="1" s="1"/>
  <c r="S567" i="1"/>
  <c r="U567" i="1"/>
  <c r="AM567" i="1" s="1"/>
  <c r="AW567" i="1"/>
  <c r="S568" i="1"/>
  <c r="U568" i="1"/>
  <c r="AM568" i="1" s="1"/>
  <c r="S569" i="1"/>
  <c r="U569" i="1"/>
  <c r="AM569" i="1" s="1"/>
  <c r="S570" i="1"/>
  <c r="U570" i="1"/>
  <c r="AM570" i="1" s="1"/>
  <c r="S571" i="1"/>
  <c r="U571" i="1"/>
  <c r="AM571" i="1" s="1"/>
  <c r="S572" i="1"/>
  <c r="U572" i="1"/>
  <c r="AM572" i="1" s="1"/>
  <c r="AU572" i="1"/>
  <c r="S573" i="1"/>
  <c r="U573" i="1"/>
  <c r="AM573" i="1" s="1"/>
  <c r="S574" i="1"/>
  <c r="U574" i="1"/>
  <c r="AM574" i="1" s="1"/>
  <c r="S575" i="1"/>
  <c r="U575" i="1"/>
  <c r="AM575" i="1" s="1"/>
  <c r="S576" i="1"/>
  <c r="U576" i="1"/>
  <c r="AM576" i="1" s="1"/>
  <c r="S577" i="1"/>
  <c r="U577" i="1"/>
  <c r="AM577" i="1" s="1"/>
  <c r="AU577" i="1" s="1"/>
  <c r="S578" i="1"/>
  <c r="U578" i="1"/>
  <c r="AM578" i="1" s="1"/>
  <c r="S579" i="1"/>
  <c r="U579" i="1"/>
  <c r="AM579" i="1" s="1"/>
  <c r="AV579" i="1"/>
  <c r="S580" i="1"/>
  <c r="U580" i="1"/>
  <c r="AM580" i="1" s="1"/>
  <c r="S581" i="1"/>
  <c r="U581" i="1"/>
  <c r="AM581" i="1"/>
  <c r="AU581" i="1" s="1"/>
  <c r="S582" i="1"/>
  <c r="U582" i="1"/>
  <c r="AM582" i="1" s="1"/>
  <c r="AV582" i="1"/>
  <c r="S583" i="1"/>
  <c r="U583" i="1"/>
  <c r="AM583" i="1" s="1"/>
  <c r="S584" i="1"/>
  <c r="U584" i="1"/>
  <c r="AM584" i="1" s="1"/>
  <c r="S585" i="1"/>
  <c r="U585" i="1"/>
  <c r="AM585" i="1" s="1"/>
  <c r="AV585" i="1" s="1"/>
  <c r="S586" i="1"/>
  <c r="U586" i="1"/>
  <c r="AM586" i="1" s="1"/>
  <c r="S587" i="1"/>
  <c r="U587" i="1"/>
  <c r="AM587" i="1" s="1"/>
  <c r="AV587" i="1"/>
  <c r="S588" i="1"/>
  <c r="U588" i="1"/>
  <c r="AM588" i="1" s="1"/>
  <c r="S589" i="1"/>
  <c r="U589" i="1"/>
  <c r="AM589" i="1" s="1"/>
  <c r="S590" i="1"/>
  <c r="U590" i="1"/>
  <c r="AM590" i="1" s="1"/>
  <c r="AV590" i="1" s="1"/>
  <c r="S591" i="1"/>
  <c r="U591" i="1"/>
  <c r="AM591" i="1" s="1"/>
  <c r="S592" i="1"/>
  <c r="U592" i="1"/>
  <c r="AM592" i="1" s="1"/>
  <c r="S593" i="1"/>
  <c r="U593" i="1"/>
  <c r="AM593" i="1" s="1"/>
  <c r="S594" i="1"/>
  <c r="U594" i="1"/>
  <c r="AM594" i="1" s="1"/>
  <c r="S595" i="1"/>
  <c r="U595" i="1"/>
  <c r="AM595" i="1" s="1"/>
  <c r="S596" i="1"/>
  <c r="U596" i="1"/>
  <c r="AM596" i="1" s="1"/>
  <c r="S597" i="1"/>
  <c r="U597" i="1"/>
  <c r="AM597" i="1"/>
  <c r="S598" i="1"/>
  <c r="U598" i="1"/>
  <c r="AM598" i="1" s="1"/>
  <c r="S599" i="1"/>
  <c r="U599" i="1"/>
  <c r="AM599" i="1" s="1"/>
  <c r="AV599" i="1"/>
  <c r="S600" i="1"/>
  <c r="U600" i="1"/>
  <c r="AM600" i="1" s="1"/>
  <c r="S601" i="1"/>
  <c r="U601" i="1"/>
  <c r="AM601" i="1" s="1"/>
  <c r="S602" i="1"/>
  <c r="U602" i="1"/>
  <c r="AM602" i="1" s="1"/>
  <c r="S603" i="1"/>
  <c r="U603" i="1"/>
  <c r="AM603" i="1" s="1"/>
  <c r="S604" i="1"/>
  <c r="U604" i="1"/>
  <c r="AM604" i="1"/>
  <c r="S605" i="1"/>
  <c r="U605" i="1"/>
  <c r="AM605" i="1" s="1"/>
  <c r="S606" i="1"/>
  <c r="U606" i="1"/>
  <c r="AM606" i="1" s="1"/>
  <c r="S607" i="1"/>
  <c r="U607" i="1"/>
  <c r="AM607" i="1" s="1"/>
  <c r="AU607" i="1" s="1"/>
  <c r="S608" i="1"/>
  <c r="U608" i="1"/>
  <c r="AM608" i="1" s="1"/>
  <c r="S609" i="1"/>
  <c r="U609" i="1"/>
  <c r="AM609" i="1" s="1"/>
  <c r="AV609" i="1"/>
  <c r="S610" i="1"/>
  <c r="U610" i="1"/>
  <c r="AM610" i="1" s="1"/>
  <c r="S611" i="1"/>
  <c r="U611" i="1"/>
  <c r="AM611" i="1" s="1"/>
  <c r="AU611" i="1"/>
  <c r="S612" i="1"/>
  <c r="U612" i="1"/>
  <c r="AM612" i="1" s="1"/>
  <c r="S613" i="1"/>
  <c r="U613" i="1"/>
  <c r="AM613" i="1" s="1"/>
  <c r="S614" i="1"/>
  <c r="U614" i="1"/>
  <c r="AM614" i="1" s="1"/>
  <c r="AU614" i="1"/>
  <c r="S615" i="1"/>
  <c r="U615" i="1"/>
  <c r="AM615" i="1"/>
  <c r="AV615" i="1" s="1"/>
  <c r="S616" i="1"/>
  <c r="U616" i="1"/>
  <c r="AM616" i="1" s="1"/>
  <c r="S617" i="1"/>
  <c r="U617" i="1"/>
  <c r="AM617" i="1" s="1"/>
  <c r="S618" i="1"/>
  <c r="U618" i="1"/>
  <c r="AM618" i="1" s="1"/>
  <c r="S619" i="1"/>
  <c r="U619" i="1"/>
  <c r="AM619" i="1" s="1"/>
  <c r="AU619" i="1" s="1"/>
  <c r="S620" i="1"/>
  <c r="U620" i="1"/>
  <c r="AV620" i="1"/>
  <c r="AM620" i="1"/>
  <c r="S621" i="1"/>
  <c r="U621" i="1"/>
  <c r="AM621" i="1" s="1"/>
  <c r="AV621" i="1" s="1"/>
  <c r="S622" i="1"/>
  <c r="U622" i="1"/>
  <c r="AM622" i="1"/>
  <c r="S623" i="1"/>
  <c r="U623" i="1"/>
  <c r="AM623" i="1" s="1"/>
  <c r="S624" i="1"/>
  <c r="U624" i="1"/>
  <c r="AM624" i="1" s="1"/>
  <c r="S625" i="1"/>
  <c r="U625" i="1"/>
  <c r="AM625" i="1" s="1"/>
  <c r="AU625" i="1"/>
  <c r="S626" i="1"/>
  <c r="U626" i="1"/>
  <c r="AM626" i="1" s="1"/>
  <c r="AV626" i="1" s="1"/>
  <c r="S627" i="1"/>
  <c r="U627" i="1"/>
  <c r="AM627" i="1" s="1"/>
  <c r="AU627" i="1" s="1"/>
  <c r="S628" i="1"/>
  <c r="U628" i="1"/>
  <c r="AM628" i="1" s="1"/>
  <c r="S629" i="1"/>
  <c r="U629" i="1"/>
  <c r="AM629" i="1" s="1"/>
  <c r="AU629" i="1"/>
  <c r="S630" i="1"/>
  <c r="U630" i="1"/>
  <c r="AM630" i="1" s="1"/>
  <c r="S631" i="1"/>
  <c r="U631" i="1"/>
  <c r="AM631" i="1" s="1"/>
  <c r="S632" i="1"/>
  <c r="U632" i="1"/>
  <c r="AM632" i="1" s="1"/>
  <c r="S633" i="1"/>
  <c r="U633" i="1"/>
  <c r="AM633" i="1" s="1"/>
  <c r="S634" i="1"/>
  <c r="U634" i="1"/>
  <c r="AM634" i="1" s="1"/>
  <c r="S635" i="1"/>
  <c r="U635" i="1"/>
  <c r="AM635" i="1" s="1"/>
  <c r="S636" i="1"/>
  <c r="U636" i="1"/>
  <c r="AM636" i="1" s="1"/>
  <c r="AV636" i="1"/>
  <c r="S637" i="1"/>
  <c r="U637" i="1"/>
  <c r="AM637" i="1"/>
  <c r="S638" i="1"/>
  <c r="U638" i="1"/>
  <c r="AM638" i="1" s="1"/>
  <c r="S639" i="1"/>
  <c r="U639" i="1"/>
  <c r="AM639" i="1" s="1"/>
  <c r="S640" i="1"/>
  <c r="U640" i="1"/>
  <c r="AM640" i="1" s="1"/>
  <c r="AU640" i="1"/>
  <c r="S641" i="1"/>
  <c r="U641" i="1"/>
  <c r="AM641" i="1" s="1"/>
  <c r="AV641" i="1" s="1"/>
  <c r="S642" i="1"/>
  <c r="U642" i="1"/>
  <c r="AM642" i="1"/>
  <c r="S643" i="1"/>
  <c r="U643" i="1"/>
  <c r="AM643" i="1" s="1"/>
  <c r="S644" i="1"/>
  <c r="U644" i="1"/>
  <c r="AM644" i="1" s="1"/>
  <c r="S645" i="1"/>
  <c r="U645" i="1"/>
  <c r="AM645" i="1" s="1"/>
  <c r="S646" i="1"/>
  <c r="U646" i="1"/>
  <c r="AM646" i="1" s="1"/>
  <c r="S647" i="1"/>
  <c r="U647" i="1"/>
  <c r="AM647" i="1" s="1"/>
  <c r="S648" i="1"/>
  <c r="U648" i="1"/>
  <c r="AM648" i="1" s="1"/>
  <c r="S649" i="1"/>
  <c r="U649" i="1"/>
  <c r="AM649" i="1" s="1"/>
  <c r="S650" i="1"/>
  <c r="U650" i="1"/>
  <c r="AM650" i="1" s="1"/>
  <c r="AU650" i="1" s="1"/>
  <c r="S651" i="1"/>
  <c r="U651" i="1"/>
  <c r="AM651" i="1" s="1"/>
  <c r="AV651" i="1" s="1"/>
  <c r="S652" i="1"/>
  <c r="U652" i="1"/>
  <c r="AM652" i="1"/>
  <c r="S653" i="1"/>
  <c r="U653" i="1"/>
  <c r="AM653" i="1" s="1"/>
  <c r="S654" i="1"/>
  <c r="U654" i="1"/>
  <c r="AM654" i="1" s="1"/>
  <c r="AU654" i="1"/>
  <c r="S655" i="1"/>
  <c r="U655" i="1"/>
  <c r="AM655" i="1" s="1"/>
  <c r="AU655" i="1"/>
  <c r="S656" i="1"/>
  <c r="U656" i="1"/>
  <c r="AM656" i="1" s="1"/>
  <c r="AV656" i="1" s="1"/>
  <c r="S657" i="1"/>
  <c r="U657" i="1"/>
  <c r="AM657" i="1" s="1"/>
  <c r="S658" i="1"/>
  <c r="U658" i="1"/>
  <c r="AM658" i="1" s="1"/>
  <c r="S659" i="1"/>
  <c r="U659" i="1"/>
  <c r="AM659" i="1" s="1"/>
  <c r="S660" i="1"/>
  <c r="U660" i="1"/>
  <c r="AM660" i="1" s="1"/>
  <c r="S661" i="1"/>
  <c r="U661" i="1"/>
  <c r="AM661" i="1" s="1"/>
  <c r="AU661" i="1"/>
  <c r="S662" i="1"/>
  <c r="U662" i="1"/>
  <c r="AM662" i="1" s="1"/>
  <c r="S663" i="1"/>
  <c r="U663" i="1"/>
  <c r="AM663" i="1" s="1"/>
  <c r="S664" i="1"/>
  <c r="U664" i="1"/>
  <c r="AM664" i="1" s="1"/>
  <c r="S665" i="1"/>
  <c r="U665" i="1"/>
  <c r="AM665" i="1" s="1"/>
  <c r="S666" i="1"/>
  <c r="U666" i="1"/>
  <c r="AM666" i="1" s="1"/>
  <c r="S667" i="1"/>
  <c r="U667" i="1"/>
  <c r="AM667" i="1"/>
  <c r="S668" i="1"/>
  <c r="U668" i="1"/>
  <c r="AM668" i="1" s="1"/>
  <c r="S669" i="1"/>
  <c r="U669" i="1"/>
  <c r="AM669" i="1" s="1"/>
  <c r="S670" i="1"/>
  <c r="U670" i="1"/>
  <c r="AM670" i="1" s="1"/>
  <c r="S671" i="1"/>
  <c r="U671" i="1"/>
  <c r="AM671" i="1" s="1"/>
  <c r="S672" i="1"/>
  <c r="U672" i="1"/>
  <c r="AM672" i="1" s="1"/>
  <c r="S673" i="1"/>
  <c r="U673" i="1"/>
  <c r="AM673" i="1" s="1"/>
  <c r="S674" i="1"/>
  <c r="U674" i="1"/>
  <c r="AM674" i="1" s="1"/>
  <c r="S675" i="1"/>
  <c r="U675" i="1"/>
  <c r="AM675" i="1"/>
  <c r="S676" i="1"/>
  <c r="U676" i="1"/>
  <c r="AM676" i="1" s="1"/>
  <c r="AU676" i="1" s="1"/>
  <c r="AV404" i="1" l="1"/>
  <c r="AW404" i="1"/>
  <c r="AU408" i="1"/>
  <c r="AV408" i="1"/>
  <c r="AU489" i="1"/>
  <c r="AV489" i="1"/>
  <c r="AV289" i="1"/>
  <c r="AW289" i="1"/>
  <c r="AU574" i="1"/>
  <c r="AV574" i="1"/>
  <c r="AU659" i="1"/>
  <c r="AV629" i="1"/>
  <c r="AV525" i="1"/>
  <c r="AV512" i="1"/>
  <c r="AV506" i="1"/>
  <c r="AU207" i="1"/>
  <c r="AU190" i="1"/>
  <c r="AV57" i="1"/>
  <c r="AV38" i="1"/>
  <c r="AV339" i="1"/>
  <c r="AV248" i="1"/>
  <c r="AV103" i="1"/>
  <c r="AV605" i="1"/>
  <c r="AV441" i="1"/>
  <c r="AV236" i="1"/>
  <c r="AU179" i="1"/>
  <c r="AV44" i="1"/>
  <c r="AV20" i="1"/>
  <c r="AW550" i="1"/>
  <c r="AW505" i="1"/>
  <c r="AU463" i="1"/>
  <c r="AV388" i="1"/>
  <c r="AV359" i="1"/>
  <c r="AV315" i="1"/>
  <c r="AU206" i="1"/>
  <c r="AV154" i="1"/>
  <c r="AW91" i="1"/>
  <c r="AV74" i="1"/>
  <c r="AV511" i="1"/>
  <c r="AV592" i="1"/>
  <c r="AU645" i="1"/>
  <c r="AV604" i="1"/>
  <c r="AV451" i="1"/>
  <c r="AW382" i="1"/>
  <c r="AU154" i="1"/>
  <c r="AV96" i="1"/>
  <c r="AV90" i="1"/>
  <c r="AV536" i="1"/>
  <c r="AW399" i="1"/>
  <c r="AW119" i="1"/>
  <c r="AV73" i="1"/>
  <c r="AV55" i="1"/>
  <c r="AU491" i="1"/>
  <c r="AW415" i="1"/>
  <c r="AU263" i="1"/>
  <c r="AV199" i="1"/>
  <c r="AV107" i="1"/>
  <c r="AV101" i="1"/>
  <c r="AW36" i="1"/>
  <c r="AV24" i="1"/>
  <c r="AV668" i="1"/>
  <c r="AU516" i="1"/>
  <c r="AU479" i="1"/>
  <c r="AU467" i="1"/>
  <c r="AU433" i="1"/>
  <c r="AV369" i="1"/>
  <c r="AV358" i="1"/>
  <c r="AU285" i="1"/>
  <c r="AV216" i="1"/>
  <c r="AW204" i="1"/>
  <c r="AV72" i="1"/>
  <c r="AU485" i="1"/>
  <c r="AV325" i="1"/>
  <c r="AV66" i="1"/>
  <c r="AW673" i="1"/>
  <c r="AV661" i="1"/>
  <c r="AU596" i="1"/>
  <c r="AV560" i="1"/>
  <c r="AV547" i="1"/>
  <c r="AU515" i="1"/>
  <c r="AV330" i="1"/>
  <c r="AV221" i="1"/>
  <c r="AV655" i="1"/>
  <c r="AV625" i="1"/>
  <c r="AV527" i="1"/>
  <c r="AV490" i="1"/>
  <c r="AV368" i="1"/>
  <c r="AV324" i="1"/>
  <c r="AU295" i="1"/>
  <c r="AV607" i="1"/>
  <c r="AU601" i="1"/>
  <c r="AV595" i="1"/>
  <c r="AW129" i="1"/>
  <c r="AU71" i="1"/>
  <c r="AV28" i="1"/>
  <c r="AU385" i="1"/>
  <c r="AW379" i="1"/>
  <c r="AW255" i="1"/>
  <c r="AV572" i="1"/>
  <c r="AU495" i="1"/>
  <c r="AW471" i="1"/>
  <c r="AW76" i="1"/>
  <c r="AV630" i="1"/>
  <c r="AU453" i="1"/>
  <c r="AW260" i="1"/>
  <c r="AV646" i="1"/>
  <c r="AW545" i="1"/>
  <c r="AV384" i="1"/>
  <c r="AV243" i="1"/>
  <c r="AV70" i="1"/>
  <c r="AV45" i="1"/>
  <c r="AV39" i="1"/>
  <c r="AU21" i="1"/>
  <c r="AU159" i="1"/>
  <c r="AV159" i="1"/>
  <c r="AW159" i="1"/>
  <c r="AV377" i="1"/>
  <c r="AW377" i="1"/>
  <c r="AU499" i="1"/>
  <c r="AV499" i="1"/>
  <c r="AU380" i="1"/>
  <c r="AU229" i="1"/>
  <c r="AV229" i="1"/>
  <c r="AV200" i="1"/>
  <c r="AW200" i="1"/>
  <c r="AU184" i="1"/>
  <c r="AV64" i="1"/>
  <c r="AU630" i="1"/>
  <c r="AU349" i="1"/>
  <c r="AW349" i="1"/>
  <c r="AU484" i="1"/>
  <c r="AV484" i="1"/>
  <c r="AU526" i="1"/>
  <c r="AV526" i="1"/>
  <c r="AU551" i="1"/>
  <c r="AV551" i="1"/>
  <c r="AU442" i="1"/>
  <c r="AW436" i="1"/>
  <c r="AU195" i="1"/>
  <c r="AV86" i="1"/>
  <c r="AW134" i="1"/>
  <c r="AU134" i="1"/>
  <c r="AU387" i="1"/>
  <c r="AV270" i="1"/>
  <c r="AU616" i="1"/>
  <c r="AV616" i="1"/>
  <c r="AV494" i="1"/>
  <c r="AV374" i="1"/>
  <c r="AV149" i="1"/>
  <c r="AW149" i="1"/>
  <c r="AV51" i="1"/>
  <c r="AW51" i="1"/>
  <c r="AU348" i="1"/>
  <c r="AU604" i="1"/>
  <c r="AW570" i="1"/>
  <c r="AV570" i="1"/>
  <c r="AW464" i="1"/>
  <c r="AU402" i="1"/>
  <c r="AV402" i="1"/>
  <c r="AW402" i="1"/>
  <c r="AW199" i="1"/>
  <c r="AU26" i="1"/>
  <c r="AW26" i="1"/>
  <c r="AV174" i="1"/>
  <c r="AU144" i="1"/>
  <c r="AV144" i="1"/>
  <c r="AW632" i="1"/>
  <c r="AW435" i="1"/>
  <c r="AV390" i="1"/>
  <c r="AW390" i="1"/>
  <c r="AV354" i="1"/>
  <c r="AU496" i="1"/>
  <c r="AV496" i="1"/>
  <c r="AW224" i="1"/>
  <c r="AV673" i="1"/>
  <c r="AU632" i="1"/>
  <c r="AV632" i="1"/>
  <c r="AW417" i="1"/>
  <c r="AU204" i="1"/>
  <c r="AV204" i="1"/>
  <c r="AU194" i="1"/>
  <c r="AV194" i="1"/>
  <c r="AW194" i="1"/>
  <c r="AW96" i="1"/>
  <c r="AU635" i="1"/>
  <c r="AV635" i="1"/>
  <c r="AV521" i="1"/>
  <c r="AV365" i="1"/>
  <c r="AW365" i="1"/>
  <c r="AV420" i="1"/>
  <c r="AV501" i="1"/>
  <c r="AW575" i="1"/>
  <c r="AV575" i="1"/>
  <c r="AV389" i="1"/>
  <c r="AW389" i="1"/>
  <c r="AU384" i="1"/>
  <c r="AW384" i="1"/>
  <c r="AU324" i="1"/>
  <c r="AW324" i="1"/>
  <c r="AV56" i="1"/>
  <c r="AW56" i="1"/>
  <c r="AV31" i="1"/>
  <c r="AW31" i="1"/>
  <c r="AV393" i="1"/>
  <c r="AU393" i="1"/>
  <c r="AU174" i="1"/>
  <c r="AW174" i="1"/>
  <c r="AV443" i="1"/>
  <c r="AU81" i="1"/>
  <c r="AV81" i="1"/>
  <c r="AW81" i="1"/>
  <c r="AU139" i="1"/>
  <c r="AU423" i="1"/>
  <c r="AV423" i="1"/>
  <c r="AV417" i="1"/>
  <c r="AU329" i="1"/>
  <c r="AV329" i="1"/>
  <c r="AW329" i="1"/>
  <c r="AV239" i="1"/>
  <c r="AW239" i="1"/>
  <c r="AU40" i="1"/>
  <c r="AV40" i="1"/>
  <c r="AW580" i="1"/>
  <c r="AV580" i="1"/>
  <c r="AU649" i="1"/>
  <c r="AV649" i="1"/>
  <c r="AW649" i="1"/>
  <c r="AU209" i="1"/>
  <c r="AU169" i="1"/>
  <c r="AV169" i="1"/>
  <c r="AW169" i="1"/>
  <c r="AU589" i="1"/>
  <c r="AV589" i="1"/>
  <c r="AU224" i="1"/>
  <c r="AV224" i="1"/>
  <c r="AV414" i="1"/>
  <c r="AW414" i="1"/>
  <c r="AV180" i="1"/>
  <c r="AW180" i="1"/>
  <c r="AU15" i="1"/>
  <c r="AV15" i="1"/>
  <c r="AU475" i="1"/>
  <c r="AV475" i="1"/>
  <c r="AU631" i="1"/>
  <c r="AV631" i="1"/>
  <c r="AU340" i="1"/>
  <c r="AW340" i="1"/>
  <c r="AV244" i="1"/>
  <c r="AV214" i="1"/>
  <c r="AW214" i="1"/>
  <c r="AU164" i="1"/>
  <c r="AV164" i="1"/>
  <c r="AW164" i="1"/>
  <c r="AV432" i="1"/>
  <c r="AU639" i="1"/>
  <c r="AV639" i="1"/>
  <c r="AW639" i="1"/>
  <c r="AW480" i="1"/>
  <c r="AV480" i="1"/>
  <c r="AV474" i="1"/>
  <c r="AV394" i="1"/>
  <c r="AU355" i="1"/>
  <c r="AV355" i="1"/>
  <c r="AW355" i="1"/>
  <c r="AV345" i="1"/>
  <c r="AW323" i="1"/>
  <c r="AU283" i="1"/>
  <c r="AW283" i="1"/>
  <c r="AV61" i="1"/>
  <c r="AW61" i="1"/>
  <c r="AU30" i="1"/>
  <c r="AV30" i="1"/>
  <c r="AV344" i="1"/>
  <c r="AU457" i="1"/>
  <c r="AV457" i="1"/>
  <c r="AW607" i="1"/>
  <c r="AU602" i="1"/>
  <c r="AV596" i="1"/>
  <c r="AU579" i="1"/>
  <c r="AW535" i="1"/>
  <c r="AV535" i="1"/>
  <c r="AU486" i="1"/>
  <c r="AV486" i="1"/>
  <c r="AU450" i="1"/>
  <c r="AW450" i="1"/>
  <c r="AU410" i="1"/>
  <c r="AV410" i="1"/>
  <c r="AW410" i="1"/>
  <c r="AV334" i="1"/>
  <c r="AW334" i="1"/>
  <c r="AW288" i="1"/>
  <c r="AV100" i="1"/>
  <c r="AV364" i="1"/>
  <c r="AV286" i="1"/>
  <c r="AU519" i="1"/>
  <c r="AV519" i="1"/>
  <c r="AU541" i="1"/>
  <c r="AV541" i="1"/>
  <c r="AU509" i="1"/>
  <c r="AV509" i="1"/>
  <c r="AV479" i="1"/>
  <c r="AU266" i="1"/>
  <c r="AV219" i="1"/>
  <c r="AU219" i="1"/>
  <c r="AU527" i="1"/>
  <c r="AU458" i="1"/>
  <c r="AV375" i="1"/>
  <c r="AW363" i="1"/>
  <c r="AU359" i="1"/>
  <c r="AV340" i="1"/>
  <c r="AU327" i="1"/>
  <c r="AW298" i="1"/>
  <c r="AW179" i="1"/>
  <c r="AU108" i="1"/>
  <c r="AV85" i="1"/>
  <c r="AU2" i="1"/>
  <c r="AV645" i="1"/>
  <c r="AW629" i="1"/>
  <c r="AV610" i="1"/>
  <c r="AU606" i="1"/>
  <c r="AW592" i="1"/>
  <c r="AW582" i="1"/>
  <c r="AV550" i="1"/>
  <c r="AU379" i="1"/>
  <c r="AV312" i="1"/>
  <c r="AU226" i="1"/>
  <c r="AV89" i="1"/>
  <c r="AV62" i="1"/>
  <c r="AV29" i="1"/>
  <c r="AV13" i="1"/>
  <c r="AU587" i="1"/>
  <c r="AU435" i="1"/>
  <c r="AV601" i="1"/>
  <c r="AV577" i="1"/>
  <c r="AW555" i="1"/>
  <c r="AV532" i="1"/>
  <c r="AV487" i="1"/>
  <c r="AU424" i="1"/>
  <c r="AW350" i="1"/>
  <c r="AU344" i="1"/>
  <c r="AU317" i="1"/>
  <c r="AW265" i="1"/>
  <c r="AW254" i="1"/>
  <c r="AW190" i="1"/>
  <c r="AV93" i="1"/>
  <c r="AV33" i="1"/>
  <c r="AU669" i="1"/>
  <c r="AU636" i="1"/>
  <c r="AV581" i="1"/>
  <c r="AV491" i="1"/>
  <c r="AV452" i="1"/>
  <c r="AU330" i="1"/>
  <c r="AU322" i="1"/>
  <c r="AW311" i="1"/>
  <c r="AU284" i="1"/>
  <c r="AU254" i="1"/>
  <c r="AU399" i="1"/>
  <c r="AU390" i="1"/>
  <c r="AU288" i="1"/>
  <c r="AU147" i="1"/>
  <c r="AV23" i="1"/>
  <c r="AV600" i="1"/>
  <c r="AU443" i="1"/>
  <c r="AU394" i="1"/>
  <c r="AU382" i="1"/>
  <c r="AU374" i="1"/>
  <c r="AU354" i="1"/>
  <c r="AU347" i="1"/>
  <c r="AU339" i="1"/>
  <c r="AU244" i="1"/>
  <c r="AU66" i="1"/>
  <c r="AW577" i="1"/>
  <c r="AU542" i="1"/>
  <c r="AU520" i="1"/>
  <c r="AV515" i="1"/>
  <c r="AU510" i="1"/>
  <c r="AV505" i="1"/>
  <c r="AW500" i="1"/>
  <c r="AW466" i="1"/>
  <c r="AU415" i="1"/>
  <c r="AU350" i="1"/>
  <c r="AU269" i="1"/>
  <c r="AV92" i="1"/>
  <c r="AW6" i="1"/>
  <c r="AV658" i="1"/>
  <c r="AW525" i="1"/>
  <c r="AV495" i="1"/>
  <c r="AV471" i="1"/>
  <c r="AU447" i="1"/>
  <c r="AU306" i="1"/>
  <c r="AU234" i="1"/>
  <c r="AU122" i="1"/>
  <c r="AU61" i="1"/>
  <c r="AU56" i="1"/>
  <c r="AU662" i="1"/>
  <c r="AU505" i="1"/>
  <c r="AV428" i="1"/>
  <c r="AV398" i="1"/>
  <c r="AU334" i="1"/>
  <c r="AU315" i="1"/>
  <c r="AU239" i="1"/>
  <c r="AW229" i="1"/>
  <c r="AU137" i="1"/>
  <c r="AU101" i="1"/>
  <c r="AV87" i="1"/>
  <c r="AU51" i="1"/>
  <c r="AU46" i="1"/>
  <c r="AU11" i="1"/>
  <c r="AW572" i="1"/>
  <c r="AW530" i="1"/>
  <c r="AU419" i="1"/>
  <c r="AU369" i="1"/>
  <c r="AW310" i="1"/>
  <c r="AV263" i="1"/>
  <c r="AU672" i="1"/>
  <c r="AW661" i="1"/>
  <c r="AV594" i="1"/>
  <c r="AU547" i="1"/>
  <c r="AU490" i="1"/>
  <c r="AW485" i="1"/>
  <c r="AU389" i="1"/>
  <c r="AW353" i="1"/>
  <c r="AW345" i="1"/>
  <c r="AU342" i="1"/>
  <c r="AU290" i="1"/>
  <c r="AV189" i="1"/>
  <c r="AV105" i="1"/>
  <c r="AW86" i="1"/>
  <c r="AV82" i="1"/>
  <c r="AV78" i="1"/>
  <c r="AV50" i="1"/>
  <c r="AU617" i="1"/>
  <c r="AV565" i="1"/>
  <c r="AU552" i="1"/>
  <c r="AW475" i="1"/>
  <c r="AU377" i="1"/>
  <c r="AU360" i="1"/>
  <c r="AU299" i="1"/>
  <c r="AU214" i="1"/>
  <c r="AW184" i="1"/>
  <c r="AU91" i="1"/>
  <c r="AU41" i="1"/>
  <c r="AU31" i="1"/>
  <c r="AV10" i="1"/>
  <c r="AU671" i="1"/>
  <c r="AU666" i="1"/>
  <c r="AU647" i="1"/>
  <c r="AU634" i="1"/>
  <c r="AU480" i="1"/>
  <c r="AW426" i="1"/>
  <c r="AU364" i="1"/>
  <c r="AU286" i="1"/>
  <c r="AV77" i="1"/>
  <c r="AV54" i="1"/>
  <c r="AU20" i="1"/>
  <c r="AU464" i="1"/>
  <c r="AV436" i="1"/>
  <c r="AU409" i="1"/>
  <c r="AU345" i="1"/>
  <c r="AU337" i="1"/>
  <c r="AU313" i="1"/>
  <c r="AU309" i="1"/>
  <c r="AU86" i="1"/>
  <c r="AV49" i="1"/>
  <c r="AV665" i="1"/>
  <c r="AU637" i="1"/>
  <c r="AU621" i="1"/>
  <c r="AV611" i="1"/>
  <c r="AV606" i="1"/>
  <c r="AW597" i="1"/>
  <c r="AU592" i="1"/>
  <c r="AU582" i="1"/>
  <c r="AV545" i="1"/>
  <c r="AU522" i="1"/>
  <c r="AV517" i="1"/>
  <c r="AU512" i="1"/>
  <c r="AW431" i="1"/>
  <c r="AW421" i="1"/>
  <c r="AW400" i="1"/>
  <c r="AV379" i="1"/>
  <c r="AU332" i="1"/>
  <c r="AU289" i="1"/>
  <c r="AV53" i="1"/>
  <c r="AU664" i="1"/>
  <c r="AV664" i="1"/>
  <c r="AW664" i="1"/>
  <c r="AU674" i="1"/>
  <c r="AV674" i="1"/>
  <c r="AW674" i="1"/>
  <c r="AU624" i="1"/>
  <c r="AV624" i="1"/>
  <c r="AW624" i="1"/>
  <c r="AV662" i="1"/>
  <c r="AW662" i="1"/>
  <c r="AU644" i="1"/>
  <c r="AU667" i="1"/>
  <c r="AV667" i="1"/>
  <c r="AW667" i="1"/>
  <c r="AU652" i="1"/>
  <c r="AV652" i="1"/>
  <c r="AW652" i="1"/>
  <c r="AU622" i="1"/>
  <c r="AV622" i="1"/>
  <c r="AW622" i="1"/>
  <c r="AU657" i="1"/>
  <c r="AV627" i="1"/>
  <c r="AU612" i="1"/>
  <c r="AV612" i="1"/>
  <c r="AW612" i="1"/>
  <c r="AU642" i="1"/>
  <c r="AV642" i="1"/>
  <c r="AW642" i="1"/>
  <c r="AV671" i="1"/>
  <c r="AW671" i="1"/>
  <c r="AU670" i="1"/>
  <c r="AV670" i="1"/>
  <c r="AU675" i="1"/>
  <c r="AV675" i="1"/>
  <c r="AW675" i="1"/>
  <c r="AU665" i="1"/>
  <c r="AU613" i="1"/>
  <c r="AV613" i="1"/>
  <c r="AW613" i="1"/>
  <c r="AU583" i="1"/>
  <c r="AV583" i="1"/>
  <c r="AW583" i="1"/>
  <c r="AU571" i="1"/>
  <c r="AV571" i="1"/>
  <c r="AW571" i="1"/>
  <c r="AU472" i="1"/>
  <c r="AW472" i="1"/>
  <c r="AU462" i="1"/>
  <c r="AV462" i="1"/>
  <c r="AW462" i="1"/>
  <c r="AV434" i="1"/>
  <c r="AW434" i="1"/>
  <c r="AU383" i="1"/>
  <c r="AV383" i="1"/>
  <c r="AW660" i="1"/>
  <c r="AW620" i="1"/>
  <c r="AU620" i="1"/>
  <c r="AU609" i="1"/>
  <c r="AW609" i="1"/>
  <c r="AU588" i="1"/>
  <c r="AV588" i="1"/>
  <c r="AW588" i="1"/>
  <c r="AU558" i="1"/>
  <c r="AV558" i="1"/>
  <c r="AW558" i="1"/>
  <c r="AU477" i="1"/>
  <c r="AW477" i="1"/>
  <c r="AV429" i="1"/>
  <c r="AW429" i="1"/>
  <c r="AU403" i="1"/>
  <c r="AU653" i="1"/>
  <c r="AV653" i="1"/>
  <c r="AW653" i="1"/>
  <c r="AW650" i="1"/>
  <c r="AU643" i="1"/>
  <c r="AV643" i="1"/>
  <c r="AW643" i="1"/>
  <c r="AW640" i="1"/>
  <c r="AU623" i="1"/>
  <c r="AV623" i="1"/>
  <c r="AW623" i="1"/>
  <c r="AW605" i="1"/>
  <c r="AU605" i="1"/>
  <c r="AW495" i="1"/>
  <c r="AU438" i="1"/>
  <c r="AV438" i="1"/>
  <c r="AU370" i="1"/>
  <c r="AV370" i="1"/>
  <c r="AW370" i="1"/>
  <c r="AV335" i="1"/>
  <c r="AW335" i="1"/>
  <c r="AU633" i="1"/>
  <c r="AV633" i="1"/>
  <c r="AW633" i="1"/>
  <c r="AU608" i="1"/>
  <c r="AV608" i="1"/>
  <c r="AW608" i="1"/>
  <c r="AU564" i="1"/>
  <c r="AV564" i="1"/>
  <c r="AW564" i="1"/>
  <c r="AU546" i="1"/>
  <c r="AV546" i="1"/>
  <c r="AW546" i="1"/>
  <c r="AU524" i="1"/>
  <c r="AV524" i="1"/>
  <c r="AW524" i="1"/>
  <c r="AU358" i="1"/>
  <c r="AW676" i="1"/>
  <c r="AW659" i="1"/>
  <c r="AW630" i="1"/>
  <c r="AW619" i="1"/>
  <c r="AV557" i="1"/>
  <c r="AU529" i="1"/>
  <c r="AV529" i="1"/>
  <c r="AW529" i="1"/>
  <c r="AU514" i="1"/>
  <c r="AV514" i="1"/>
  <c r="AW514" i="1"/>
  <c r="AW490" i="1"/>
  <c r="AU476" i="1"/>
  <c r="AV476" i="1"/>
  <c r="AW476" i="1"/>
  <c r="AV433" i="1"/>
  <c r="AU301" i="1"/>
  <c r="AW301" i="1"/>
  <c r="AV301" i="1"/>
  <c r="AV676" i="1"/>
  <c r="AU668" i="1"/>
  <c r="AW668" i="1"/>
  <c r="AV659" i="1"/>
  <c r="AU656" i="1"/>
  <c r="AU646" i="1"/>
  <c r="AU626" i="1"/>
  <c r="AV619" i="1"/>
  <c r="AU563" i="1"/>
  <c r="AV563" i="1"/>
  <c r="AW563" i="1"/>
  <c r="AW540" i="1"/>
  <c r="AU523" i="1"/>
  <c r="AV523" i="1"/>
  <c r="AW523" i="1"/>
  <c r="AU504" i="1"/>
  <c r="AV504" i="1"/>
  <c r="AW504" i="1"/>
  <c r="AV485" i="1"/>
  <c r="AU407" i="1"/>
  <c r="AV407" i="1"/>
  <c r="AW407" i="1"/>
  <c r="AU343" i="1"/>
  <c r="AV343" i="1"/>
  <c r="AU578" i="1"/>
  <c r="AV578" i="1"/>
  <c r="AW578" i="1"/>
  <c r="AU528" i="1"/>
  <c r="AV528" i="1"/>
  <c r="AW528" i="1"/>
  <c r="AU513" i="1"/>
  <c r="AV513" i="1"/>
  <c r="AW513" i="1"/>
  <c r="AU465" i="1"/>
  <c r="AV465" i="1"/>
  <c r="AW465" i="1"/>
  <c r="AU460" i="1"/>
  <c r="AV460" i="1"/>
  <c r="AW460" i="1"/>
  <c r="AU437" i="1"/>
  <c r="AV437" i="1"/>
  <c r="AW437" i="1"/>
  <c r="AU398" i="1"/>
  <c r="AW665" i="1"/>
  <c r="AW600" i="1"/>
  <c r="AU600" i="1"/>
  <c r="AU569" i="1"/>
  <c r="AV569" i="1"/>
  <c r="AW569" i="1"/>
  <c r="AU518" i="1"/>
  <c r="AV518" i="1"/>
  <c r="AW518" i="1"/>
  <c r="AU503" i="1"/>
  <c r="AV503" i="1"/>
  <c r="AW503" i="1"/>
  <c r="AU470" i="1"/>
  <c r="AU455" i="1"/>
  <c r="AV455" i="1"/>
  <c r="AU559" i="1"/>
  <c r="AV559" i="1"/>
  <c r="AW559" i="1"/>
  <c r="AW562" i="1"/>
  <c r="AU556" i="1"/>
  <c r="AV556" i="1"/>
  <c r="AW556" i="1"/>
  <c r="AU534" i="1"/>
  <c r="AV534" i="1"/>
  <c r="AW534" i="1"/>
  <c r="AU508" i="1"/>
  <c r="AV508" i="1"/>
  <c r="AW508" i="1"/>
  <c r="AW455" i="1"/>
  <c r="AU427" i="1"/>
  <c r="AV427" i="1"/>
  <c r="AW427" i="1"/>
  <c r="AU346" i="1"/>
  <c r="AV346" i="1"/>
  <c r="AW346" i="1"/>
  <c r="AU591" i="1"/>
  <c r="AV591" i="1"/>
  <c r="AW591" i="1"/>
  <c r="AU573" i="1"/>
  <c r="AV573" i="1"/>
  <c r="AW573" i="1"/>
  <c r="AU568" i="1"/>
  <c r="AV568" i="1"/>
  <c r="AW568" i="1"/>
  <c r="AU562" i="1"/>
  <c r="AV562" i="1"/>
  <c r="AU539" i="1"/>
  <c r="AV539" i="1"/>
  <c r="AW539" i="1"/>
  <c r="AU498" i="1"/>
  <c r="AV498" i="1"/>
  <c r="AW498" i="1"/>
  <c r="AU397" i="1"/>
  <c r="AV397" i="1"/>
  <c r="AW397" i="1"/>
  <c r="AV385" i="1"/>
  <c r="AU448" i="1"/>
  <c r="AV448" i="1"/>
  <c r="AW615" i="1"/>
  <c r="AU615" i="1"/>
  <c r="AU544" i="1"/>
  <c r="AV544" i="1"/>
  <c r="AW544" i="1"/>
  <c r="AU533" i="1"/>
  <c r="AV533" i="1"/>
  <c r="AW533" i="1"/>
  <c r="AU469" i="1"/>
  <c r="AV469" i="1"/>
  <c r="AU445" i="1"/>
  <c r="AV445" i="1"/>
  <c r="AW445" i="1"/>
  <c r="AU418" i="1"/>
  <c r="AV418" i="1"/>
  <c r="AU663" i="1"/>
  <c r="AW663" i="1"/>
  <c r="AU673" i="1"/>
  <c r="AU618" i="1"/>
  <c r="AV618" i="1"/>
  <c r="AW618" i="1"/>
  <c r="AU603" i="1"/>
  <c r="AV603" i="1"/>
  <c r="AW603" i="1"/>
  <c r="AW595" i="1"/>
  <c r="AU595" i="1"/>
  <c r="AU586" i="1"/>
  <c r="AV586" i="1"/>
  <c r="AW586" i="1"/>
  <c r="AU538" i="1"/>
  <c r="AV538" i="1"/>
  <c r="AW538" i="1"/>
  <c r="AV507" i="1"/>
  <c r="AU502" i="1"/>
  <c r="AW502" i="1"/>
  <c r="AU493" i="1"/>
  <c r="AV493" i="1"/>
  <c r="AW493" i="1"/>
  <c r="AW469" i="1"/>
  <c r="AU459" i="1"/>
  <c r="AU454" i="1"/>
  <c r="AV454" i="1"/>
  <c r="AW454" i="1"/>
  <c r="AU422" i="1"/>
  <c r="AV422" i="1"/>
  <c r="AW422" i="1"/>
  <c r="AU405" i="1"/>
  <c r="AV405" i="1"/>
  <c r="AW405" i="1"/>
  <c r="AU333" i="1"/>
  <c r="AV333" i="1"/>
  <c r="AU658" i="1"/>
  <c r="AW658" i="1"/>
  <c r="AW655" i="1"/>
  <c r="AU648" i="1"/>
  <c r="AV648" i="1"/>
  <c r="AW648" i="1"/>
  <c r="AW645" i="1"/>
  <c r="AU638" i="1"/>
  <c r="AV638" i="1"/>
  <c r="AW638" i="1"/>
  <c r="AW625" i="1"/>
  <c r="AU599" i="1"/>
  <c r="AW599" i="1"/>
  <c r="AW590" i="1"/>
  <c r="AU590" i="1"/>
  <c r="AU561" i="1"/>
  <c r="AV561" i="1"/>
  <c r="AW561" i="1"/>
  <c r="AU543" i="1"/>
  <c r="AV543" i="1"/>
  <c r="AW543" i="1"/>
  <c r="AV497" i="1"/>
  <c r="AV319" i="1"/>
  <c r="AW319" i="1"/>
  <c r="AU482" i="1"/>
  <c r="AW482" i="1"/>
  <c r="AW670" i="1"/>
  <c r="AW635" i="1"/>
  <c r="AW614" i="1"/>
  <c r="AU567" i="1"/>
  <c r="AV567" i="1"/>
  <c r="AU497" i="1"/>
  <c r="AW497" i="1"/>
  <c r="AU488" i="1"/>
  <c r="AV488" i="1"/>
  <c r="AW488" i="1"/>
  <c r="AU440" i="1"/>
  <c r="AV440" i="1"/>
  <c r="AW440" i="1"/>
  <c r="AU392" i="1"/>
  <c r="AV392" i="1"/>
  <c r="AW392" i="1"/>
  <c r="AU368" i="1"/>
  <c r="AU328" i="1"/>
  <c r="AV328" i="1"/>
  <c r="AW672" i="1"/>
  <c r="AU628" i="1"/>
  <c r="AV628" i="1"/>
  <c r="AW628" i="1"/>
  <c r="AW617" i="1"/>
  <c r="AV614" i="1"/>
  <c r="AW602" i="1"/>
  <c r="AU598" i="1"/>
  <c r="AV598" i="1"/>
  <c r="AW598" i="1"/>
  <c r="AW585" i="1"/>
  <c r="AU585" i="1"/>
  <c r="AU549" i="1"/>
  <c r="AV549" i="1"/>
  <c r="AW549" i="1"/>
  <c r="AV537" i="1"/>
  <c r="AV492" i="1"/>
  <c r="AV458" i="1"/>
  <c r="AV672" i="1"/>
  <c r="AW657" i="1"/>
  <c r="AW654" i="1"/>
  <c r="AU651" i="1"/>
  <c r="AW647" i="1"/>
  <c r="AW644" i="1"/>
  <c r="AU641" i="1"/>
  <c r="AW637" i="1"/>
  <c r="AV617" i="1"/>
  <c r="AV602" i="1"/>
  <c r="AW560" i="1"/>
  <c r="AU554" i="1"/>
  <c r="AV554" i="1"/>
  <c r="AW554" i="1"/>
  <c r="AV542" i="1"/>
  <c r="AU492" i="1"/>
  <c r="AW492" i="1"/>
  <c r="AU483" i="1"/>
  <c r="AV483" i="1"/>
  <c r="AW483" i="1"/>
  <c r="AU468" i="1"/>
  <c r="AV468" i="1"/>
  <c r="AU425" i="1"/>
  <c r="AU413" i="1"/>
  <c r="AV413" i="1"/>
  <c r="AW669" i="1"/>
  <c r="AW666" i="1"/>
  <c r="AV657" i="1"/>
  <c r="AV654" i="1"/>
  <c r="AV647" i="1"/>
  <c r="AV644" i="1"/>
  <c r="AV637" i="1"/>
  <c r="AW634" i="1"/>
  <c r="AW610" i="1"/>
  <c r="AU610" i="1"/>
  <c r="AU594" i="1"/>
  <c r="AW594" i="1"/>
  <c r="AU566" i="1"/>
  <c r="AV566" i="1"/>
  <c r="AW566" i="1"/>
  <c r="AU548" i="1"/>
  <c r="AV548" i="1"/>
  <c r="AW548" i="1"/>
  <c r="AU473" i="1"/>
  <c r="AV473" i="1"/>
  <c r="AW473" i="1"/>
  <c r="AV425" i="1"/>
  <c r="AW425" i="1"/>
  <c r="AU395" i="1"/>
  <c r="AV395" i="1"/>
  <c r="AW395" i="1"/>
  <c r="AU318" i="1"/>
  <c r="AV318" i="1"/>
  <c r="AV669" i="1"/>
  <c r="AV666" i="1"/>
  <c r="AV660" i="1"/>
  <c r="AV634" i="1"/>
  <c r="AW627" i="1"/>
  <c r="AV597" i="1"/>
  <c r="AU576" i="1"/>
  <c r="AV576" i="1"/>
  <c r="AW576" i="1"/>
  <c r="AU553" i="1"/>
  <c r="AV553" i="1"/>
  <c r="AW553" i="1"/>
  <c r="AU531" i="1"/>
  <c r="AV531" i="1"/>
  <c r="AW531" i="1"/>
  <c r="AV520" i="1"/>
  <c r="AU487" i="1"/>
  <c r="AW487" i="1"/>
  <c r="AU478" i="1"/>
  <c r="AV478" i="1"/>
  <c r="AW478" i="1"/>
  <c r="AV467" i="1"/>
  <c r="AV430" i="1"/>
  <c r="AV663" i="1"/>
  <c r="AU660" i="1"/>
  <c r="AV650" i="1"/>
  <c r="AV640" i="1"/>
  <c r="AU597" i="1"/>
  <c r="AU593" i="1"/>
  <c r="AV593" i="1"/>
  <c r="AW593" i="1"/>
  <c r="AU584" i="1"/>
  <c r="AV584" i="1"/>
  <c r="AW584" i="1"/>
  <c r="AW520" i="1"/>
  <c r="AV510" i="1"/>
  <c r="AV482" i="1"/>
  <c r="AW467" i="1"/>
  <c r="AW430" i="1"/>
  <c r="AW375" i="1"/>
  <c r="AU367" i="1"/>
  <c r="AU580" i="1"/>
  <c r="AU575" i="1"/>
  <c r="AU570" i="1"/>
  <c r="AU565" i="1"/>
  <c r="AU560" i="1"/>
  <c r="AU555" i="1"/>
  <c r="AU550" i="1"/>
  <c r="AU545" i="1"/>
  <c r="AU540" i="1"/>
  <c r="AU535" i="1"/>
  <c r="AU530" i="1"/>
  <c r="AU525" i="1"/>
  <c r="AV464" i="1"/>
  <c r="AU456" i="1"/>
  <c r="AV450" i="1"/>
  <c r="AW424" i="1"/>
  <c r="AV415" i="1"/>
  <c r="AW409" i="1"/>
  <c r="AV403" i="1"/>
  <c r="AV382" i="1"/>
  <c r="AU376" i="1"/>
  <c r="AV376" i="1"/>
  <c r="AW376" i="1"/>
  <c r="AV363" i="1"/>
  <c r="AW343" i="1"/>
  <c r="AU331" i="1"/>
  <c r="AV331" i="1"/>
  <c r="AW331" i="1"/>
  <c r="AV323" i="1"/>
  <c r="AU319" i="1"/>
  <c r="AU274" i="1"/>
  <c r="AW274" i="1"/>
  <c r="AW447" i="1"/>
  <c r="AU439" i="1"/>
  <c r="AU436" i="1"/>
  <c r="AW412" i="1"/>
  <c r="AU391" i="1"/>
  <c r="AV391" i="1"/>
  <c r="AW391" i="1"/>
  <c r="AW373" i="1"/>
  <c r="AU363" i="1"/>
  <c r="AU356" i="1"/>
  <c r="AV356" i="1"/>
  <c r="AW356" i="1"/>
  <c r="AU296" i="1"/>
  <c r="AW587" i="1"/>
  <c r="AW557" i="1"/>
  <c r="AW552" i="1"/>
  <c r="AW547" i="1"/>
  <c r="AW542" i="1"/>
  <c r="AW537" i="1"/>
  <c r="AW532" i="1"/>
  <c r="AW527" i="1"/>
  <c r="AW522" i="1"/>
  <c r="AW517" i="1"/>
  <c r="AW512" i="1"/>
  <c r="AW507" i="1"/>
  <c r="AW461" i="1"/>
  <c r="AW444" i="1"/>
  <c r="AV412" i="1"/>
  <c r="AU406" i="1"/>
  <c r="AV406" i="1"/>
  <c r="AW406" i="1"/>
  <c r="AV338" i="1"/>
  <c r="AV314" i="1"/>
  <c r="AW314" i="1"/>
  <c r="AU310" i="1"/>
  <c r="AV310" i="1"/>
  <c r="AU291" i="1"/>
  <c r="AV291" i="1"/>
  <c r="AW291" i="1"/>
  <c r="AU279" i="1"/>
  <c r="AV279" i="1"/>
  <c r="AW279" i="1"/>
  <c r="AU273" i="1"/>
  <c r="AV273" i="1"/>
  <c r="AW273" i="1"/>
  <c r="AU102" i="1"/>
  <c r="AW102" i="1"/>
  <c r="AV102" i="1"/>
  <c r="AV461" i="1"/>
  <c r="AW453" i="1"/>
  <c r="AW433" i="1"/>
  <c r="AU421" i="1"/>
  <c r="AV421" i="1"/>
  <c r="AW388" i="1"/>
  <c r="AW330" i="1"/>
  <c r="AU314" i="1"/>
  <c r="AU287" i="1"/>
  <c r="AV287" i="1"/>
  <c r="AW287" i="1"/>
  <c r="AU264" i="1"/>
  <c r="AV264" i="1"/>
  <c r="AW264" i="1"/>
  <c r="AU249" i="1"/>
  <c r="AV249" i="1"/>
  <c r="AW249" i="1"/>
  <c r="AW403" i="1"/>
  <c r="AU366" i="1"/>
  <c r="AV366" i="1"/>
  <c r="AW366" i="1"/>
  <c r="AU305" i="1"/>
  <c r="AV305" i="1"/>
  <c r="AW305" i="1"/>
  <c r="AU300" i="1"/>
  <c r="AV300" i="1"/>
  <c r="AW300" i="1"/>
  <c r="AV269" i="1"/>
  <c r="AW269" i="1"/>
  <c r="AV259" i="1"/>
  <c r="AW259" i="1"/>
  <c r="AV211" i="1"/>
  <c r="AW211" i="1"/>
  <c r="AU198" i="1"/>
  <c r="AV198" i="1"/>
  <c r="AW198" i="1"/>
  <c r="AU156" i="1"/>
  <c r="AV156" i="1"/>
  <c r="AW156" i="1"/>
  <c r="AU128" i="1"/>
  <c r="AV128" i="1"/>
  <c r="AW128" i="1"/>
  <c r="AW418" i="1"/>
  <c r="AV378" i="1"/>
  <c r="AV372" i="1"/>
  <c r="AW604" i="1"/>
  <c r="AW589" i="1"/>
  <c r="AW579" i="1"/>
  <c r="AW574" i="1"/>
  <c r="AW519" i="1"/>
  <c r="AW509" i="1"/>
  <c r="AW499" i="1"/>
  <c r="AW494" i="1"/>
  <c r="AW489" i="1"/>
  <c r="AW484" i="1"/>
  <c r="AW479" i="1"/>
  <c r="AW474" i="1"/>
  <c r="AW452" i="1"/>
  <c r="AU444" i="1"/>
  <c r="AU441" i="1"/>
  <c r="AW432" i="1"/>
  <c r="AW420" i="1"/>
  <c r="AW338" i="1"/>
  <c r="AU326" i="1"/>
  <c r="AV326" i="1"/>
  <c r="AW326" i="1"/>
  <c r="AV313" i="1"/>
  <c r="AU278" i="1"/>
  <c r="AU220" i="1"/>
  <c r="AV220" i="1"/>
  <c r="AW220" i="1"/>
  <c r="AW458" i="1"/>
  <c r="AU381" i="1"/>
  <c r="AV381" i="1"/>
  <c r="AW381" i="1"/>
  <c r="AU375" i="1"/>
  <c r="AW318" i="1"/>
  <c r="AU304" i="1"/>
  <c r="AW304" i="1"/>
  <c r="AU268" i="1"/>
  <c r="AV268" i="1"/>
  <c r="AW268" i="1"/>
  <c r="AU466" i="1"/>
  <c r="AW438" i="1"/>
  <c r="AU396" i="1"/>
  <c r="AV396" i="1"/>
  <c r="AW396" i="1"/>
  <c r="AU341" i="1"/>
  <c r="AV341" i="1"/>
  <c r="AW341" i="1"/>
  <c r="AW313" i="1"/>
  <c r="AU294" i="1"/>
  <c r="AV294" i="1"/>
  <c r="AW294" i="1"/>
  <c r="AU426" i="1"/>
  <c r="AV426" i="1"/>
  <c r="AU411" i="1"/>
  <c r="AV411" i="1"/>
  <c r="AW411" i="1"/>
  <c r="AW378" i="1"/>
  <c r="AU362" i="1"/>
  <c r="AV362" i="1"/>
  <c r="AW362" i="1"/>
  <c r="AU253" i="1"/>
  <c r="AV253" i="1"/>
  <c r="AW253" i="1"/>
  <c r="AW656" i="1"/>
  <c r="AW651" i="1"/>
  <c r="AW646" i="1"/>
  <c r="AW641" i="1"/>
  <c r="AW636" i="1"/>
  <c r="AW631" i="1"/>
  <c r="AW626" i="1"/>
  <c r="AW621" i="1"/>
  <c r="AW616" i="1"/>
  <c r="AW611" i="1"/>
  <c r="AW606" i="1"/>
  <c r="AW601" i="1"/>
  <c r="AW596" i="1"/>
  <c r="AW581" i="1"/>
  <c r="AW551" i="1"/>
  <c r="AW541" i="1"/>
  <c r="AW536" i="1"/>
  <c r="AW526" i="1"/>
  <c r="AW521" i="1"/>
  <c r="AW516" i="1"/>
  <c r="AW511" i="1"/>
  <c r="AW506" i="1"/>
  <c r="AW501" i="1"/>
  <c r="AW496" i="1"/>
  <c r="AW491" i="1"/>
  <c r="AW486" i="1"/>
  <c r="AW481" i="1"/>
  <c r="AW457" i="1"/>
  <c r="AV446" i="1"/>
  <c r="AU429" i="1"/>
  <c r="AW393" i="1"/>
  <c r="AW380" i="1"/>
  <c r="AU365" i="1"/>
  <c r="AU351" i="1"/>
  <c r="AV351" i="1"/>
  <c r="AW351" i="1"/>
  <c r="AU325" i="1"/>
  <c r="AW463" i="1"/>
  <c r="AU449" i="1"/>
  <c r="AW423" i="1"/>
  <c r="AU414" i="1"/>
  <c r="AW408" i="1"/>
  <c r="AV380" i="1"/>
  <c r="AW348" i="1"/>
  <c r="AU308" i="1"/>
  <c r="AV308" i="1"/>
  <c r="AW308" i="1"/>
  <c r="AU303" i="1"/>
  <c r="AV303" i="1"/>
  <c r="AW303" i="1"/>
  <c r="AU271" i="1"/>
  <c r="AW271" i="1"/>
  <c r="AU471" i="1"/>
  <c r="AU371" i="1"/>
  <c r="AV371" i="1"/>
  <c r="AW371" i="1"/>
  <c r="AU361" i="1"/>
  <c r="AV361" i="1"/>
  <c r="AW361" i="1"/>
  <c r="AW333" i="1"/>
  <c r="AU321" i="1"/>
  <c r="AV321" i="1"/>
  <c r="AW321" i="1"/>
  <c r="AW443" i="1"/>
  <c r="AW368" i="1"/>
  <c r="AW358" i="1"/>
  <c r="AU276" i="1"/>
  <c r="AV276" i="1"/>
  <c r="AW276" i="1"/>
  <c r="AW451" i="1"/>
  <c r="AU386" i="1"/>
  <c r="AV386" i="1"/>
  <c r="AW386" i="1"/>
  <c r="AU336" i="1"/>
  <c r="AV336" i="1"/>
  <c r="AW336" i="1"/>
  <c r="AU281" i="1"/>
  <c r="AU256" i="1"/>
  <c r="AV256" i="1"/>
  <c r="AW256" i="1"/>
  <c r="AW470" i="1"/>
  <c r="AW468" i="1"/>
  <c r="AW459" i="1"/>
  <c r="AU431" i="1"/>
  <c r="AV431" i="1"/>
  <c r="AU401" i="1"/>
  <c r="AV401" i="1"/>
  <c r="AW401" i="1"/>
  <c r="AW360" i="1"/>
  <c r="AW320" i="1"/>
  <c r="AU316" i="1"/>
  <c r="AV316" i="1"/>
  <c r="AW316" i="1"/>
  <c r="AV293" i="1"/>
  <c r="AW293" i="1"/>
  <c r="AV470" i="1"/>
  <c r="AV459" i="1"/>
  <c r="AU451" i="1"/>
  <c r="AW442" i="1"/>
  <c r="AU434" i="1"/>
  <c r="AU416" i="1"/>
  <c r="AV416" i="1"/>
  <c r="AW416" i="1"/>
  <c r="AW383" i="1"/>
  <c r="AW367" i="1"/>
  <c r="AU320" i="1"/>
  <c r="AU275" i="1"/>
  <c r="AV275" i="1"/>
  <c r="AW275" i="1"/>
  <c r="AU261" i="1"/>
  <c r="AV261" i="1"/>
  <c r="AW261" i="1"/>
  <c r="AV442" i="1"/>
  <c r="AW439" i="1"/>
  <c r="AW428" i="1"/>
  <c r="AU404" i="1"/>
  <c r="AW398" i="1"/>
  <c r="AW385" i="1"/>
  <c r="AV373" i="1"/>
  <c r="AV367" i="1"/>
  <c r="AV266" i="1"/>
  <c r="AW266" i="1"/>
  <c r="AW456" i="1"/>
  <c r="AW448" i="1"/>
  <c r="AV439" i="1"/>
  <c r="AW413" i="1"/>
  <c r="AU373" i="1"/>
  <c r="AU357" i="1"/>
  <c r="AV357" i="1"/>
  <c r="AW357" i="1"/>
  <c r="AV353" i="1"/>
  <c r="AU335" i="1"/>
  <c r="AW328" i="1"/>
  <c r="AW315" i="1"/>
  <c r="AV274" i="1"/>
  <c r="AV251" i="1"/>
  <c r="AW251" i="1"/>
  <c r="AU246" i="1"/>
  <c r="AU242" i="1"/>
  <c r="AV242" i="1"/>
  <c r="AW242" i="1"/>
  <c r="AU238" i="1"/>
  <c r="AW238" i="1"/>
  <c r="AU225" i="1"/>
  <c r="AV225" i="1"/>
  <c r="AW225" i="1"/>
  <c r="AU170" i="1"/>
  <c r="AV170" i="1"/>
  <c r="AW170" i="1"/>
  <c r="AU143" i="1"/>
  <c r="AV143" i="1"/>
  <c r="AW143" i="1"/>
  <c r="AU113" i="1"/>
  <c r="AV113" i="1"/>
  <c r="AW113" i="1"/>
  <c r="AU67" i="1"/>
  <c r="AW67" i="1"/>
  <c r="AV67" i="1"/>
  <c r="AU34" i="1"/>
  <c r="AW34" i="1"/>
  <c r="AV34" i="1"/>
  <c r="AU216" i="1"/>
  <c r="AU202" i="1"/>
  <c r="AU161" i="1"/>
  <c r="AV161" i="1"/>
  <c r="AW161" i="1"/>
  <c r="AU152" i="1"/>
  <c r="AU118" i="1"/>
  <c r="AV118" i="1"/>
  <c r="AW118" i="1"/>
  <c r="AU211" i="1"/>
  <c r="AU187" i="1"/>
  <c r="AU165" i="1"/>
  <c r="AV165" i="1"/>
  <c r="AW165" i="1"/>
  <c r="AU138" i="1"/>
  <c r="AV138" i="1"/>
  <c r="AW138" i="1"/>
  <c r="AU123" i="1"/>
  <c r="AV123" i="1"/>
  <c r="AW123" i="1"/>
  <c r="AU307" i="1"/>
  <c r="AV307" i="1"/>
  <c r="AW307" i="1"/>
  <c r="AU245" i="1"/>
  <c r="AV245" i="1"/>
  <c r="AW245" i="1"/>
  <c r="AU233" i="1"/>
  <c r="AV233" i="1"/>
  <c r="AW233" i="1"/>
  <c r="AV206" i="1"/>
  <c r="AW206" i="1"/>
  <c r="AU182" i="1"/>
  <c r="AU160" i="1"/>
  <c r="AV160" i="1"/>
  <c r="AW160" i="1"/>
  <c r="AU133" i="1"/>
  <c r="AV133" i="1"/>
  <c r="AW133" i="1"/>
  <c r="AW295" i="1"/>
  <c r="AV280" i="1"/>
  <c r="AU241" i="1"/>
  <c r="AW241" i="1"/>
  <c r="AU237" i="1"/>
  <c r="AV237" i="1"/>
  <c r="AW237" i="1"/>
  <c r="AW219" i="1"/>
  <c r="AU215" i="1"/>
  <c r="AV215" i="1"/>
  <c r="AW215" i="1"/>
  <c r="AU201" i="1"/>
  <c r="AV201" i="1"/>
  <c r="AW201" i="1"/>
  <c r="AU151" i="1"/>
  <c r="AV151" i="1"/>
  <c r="AW151" i="1"/>
  <c r="AU142" i="1"/>
  <c r="AU112" i="1"/>
  <c r="AU277" i="1"/>
  <c r="AV277" i="1"/>
  <c r="AW277" i="1"/>
  <c r="AU262" i="1"/>
  <c r="AV262" i="1"/>
  <c r="AW262" i="1"/>
  <c r="AW244" i="1"/>
  <c r="AU210" i="1"/>
  <c r="AV210" i="1"/>
  <c r="AW210" i="1"/>
  <c r="AU186" i="1"/>
  <c r="AV186" i="1"/>
  <c r="AW186" i="1"/>
  <c r="AU178" i="1"/>
  <c r="AV178" i="1"/>
  <c r="AW178" i="1"/>
  <c r="AU155" i="1"/>
  <c r="AV155" i="1"/>
  <c r="AW155" i="1"/>
  <c r="AU117" i="1"/>
  <c r="AW352" i="1"/>
  <c r="AW347" i="1"/>
  <c r="AW342" i="1"/>
  <c r="AW337" i="1"/>
  <c r="AW332" i="1"/>
  <c r="AW327" i="1"/>
  <c r="AW322" i="1"/>
  <c r="AW317" i="1"/>
  <c r="AW309" i="1"/>
  <c r="AW306" i="1"/>
  <c r="AU292" i="1"/>
  <c r="AV292" i="1"/>
  <c r="AW292" i="1"/>
  <c r="AU228" i="1"/>
  <c r="AV228" i="1"/>
  <c r="AW228" i="1"/>
  <c r="AU205" i="1"/>
  <c r="AV205" i="1"/>
  <c r="AW205" i="1"/>
  <c r="AU146" i="1"/>
  <c r="AV146" i="1"/>
  <c r="AW146" i="1"/>
  <c r="AU79" i="1"/>
  <c r="AW79" i="1"/>
  <c r="AV79" i="1"/>
  <c r="AV352" i="1"/>
  <c r="AV347" i="1"/>
  <c r="AV342" i="1"/>
  <c r="AV337" i="1"/>
  <c r="AV332" i="1"/>
  <c r="AV327" i="1"/>
  <c r="AV322" i="1"/>
  <c r="AV317" i="1"/>
  <c r="AV309" i="1"/>
  <c r="AV306" i="1"/>
  <c r="AU265" i="1"/>
  <c r="AV265" i="1"/>
  <c r="AU252" i="1"/>
  <c r="AV252" i="1"/>
  <c r="AW252" i="1"/>
  <c r="AU197" i="1"/>
  <c r="AU181" i="1"/>
  <c r="AV181" i="1"/>
  <c r="AW181" i="1"/>
  <c r="AU173" i="1"/>
  <c r="AV173" i="1"/>
  <c r="AW173" i="1"/>
  <c r="AU150" i="1"/>
  <c r="AV150" i="1"/>
  <c r="AW150" i="1"/>
  <c r="AU127" i="1"/>
  <c r="AU312" i="1"/>
  <c r="AW312" i="1"/>
  <c r="AW258" i="1"/>
  <c r="AU248" i="1"/>
  <c r="AW248" i="1"/>
  <c r="AU240" i="1"/>
  <c r="AV240" i="1"/>
  <c r="AW240" i="1"/>
  <c r="AU232" i="1"/>
  <c r="AV232" i="1"/>
  <c r="AW232" i="1"/>
  <c r="AU185" i="1"/>
  <c r="AV185" i="1"/>
  <c r="AW185" i="1"/>
  <c r="AU141" i="1"/>
  <c r="AV141" i="1"/>
  <c r="AW141" i="1"/>
  <c r="AU111" i="1"/>
  <c r="AV111" i="1"/>
  <c r="AW111" i="1"/>
  <c r="AU83" i="1"/>
  <c r="AW83" i="1"/>
  <c r="AV83" i="1"/>
  <c r="AV258" i="1"/>
  <c r="AU255" i="1"/>
  <c r="AV255" i="1"/>
  <c r="AU236" i="1"/>
  <c r="AU223" i="1"/>
  <c r="AV223" i="1"/>
  <c r="AW223" i="1"/>
  <c r="AU193" i="1"/>
  <c r="AV193" i="1"/>
  <c r="AW193" i="1"/>
  <c r="AU168" i="1"/>
  <c r="AV168" i="1"/>
  <c r="AW168" i="1"/>
  <c r="AU145" i="1"/>
  <c r="AV145" i="1"/>
  <c r="AW145" i="1"/>
  <c r="AU116" i="1"/>
  <c r="AV116" i="1"/>
  <c r="AW116" i="1"/>
  <c r="AU16" i="1"/>
  <c r="AV16" i="1"/>
  <c r="AW16" i="1"/>
  <c r="AU177" i="1"/>
  <c r="AU136" i="1"/>
  <c r="AV136" i="1"/>
  <c r="AW136" i="1"/>
  <c r="AU121" i="1"/>
  <c r="AV121" i="1"/>
  <c r="AW121" i="1"/>
  <c r="AU227" i="1"/>
  <c r="AV227" i="1"/>
  <c r="AW227" i="1"/>
  <c r="AU196" i="1"/>
  <c r="AV196" i="1"/>
  <c r="AW196" i="1"/>
  <c r="AU163" i="1"/>
  <c r="AV163" i="1"/>
  <c r="AW163" i="1"/>
  <c r="AU140" i="1"/>
  <c r="AV140" i="1"/>
  <c r="AW140" i="1"/>
  <c r="AU126" i="1"/>
  <c r="AV126" i="1"/>
  <c r="AW126" i="1"/>
  <c r="AU110" i="1"/>
  <c r="AV110" i="1"/>
  <c r="AW110" i="1"/>
  <c r="AV311" i="1"/>
  <c r="AU282" i="1"/>
  <c r="AV282" i="1"/>
  <c r="AW282" i="1"/>
  <c r="AU231" i="1"/>
  <c r="AU218" i="1"/>
  <c r="AV218" i="1"/>
  <c r="AW218" i="1"/>
  <c r="AU172" i="1"/>
  <c r="AU131" i="1"/>
  <c r="AV131" i="1"/>
  <c r="AW131" i="1"/>
  <c r="AU115" i="1"/>
  <c r="AV115" i="1"/>
  <c r="AW115" i="1"/>
  <c r="AU297" i="1"/>
  <c r="AV297" i="1"/>
  <c r="AW297" i="1"/>
  <c r="AU251" i="1"/>
  <c r="AU247" i="1"/>
  <c r="AV247" i="1"/>
  <c r="AW247" i="1"/>
  <c r="AU235" i="1"/>
  <c r="AV235" i="1"/>
  <c r="AW235" i="1"/>
  <c r="AU213" i="1"/>
  <c r="AV213" i="1"/>
  <c r="AW213" i="1"/>
  <c r="AU158" i="1"/>
  <c r="AV158" i="1"/>
  <c r="AW158" i="1"/>
  <c r="AU135" i="1"/>
  <c r="AV135" i="1"/>
  <c r="AW135" i="1"/>
  <c r="AU120" i="1"/>
  <c r="AV120" i="1"/>
  <c r="AW120" i="1"/>
  <c r="AU267" i="1"/>
  <c r="AV267" i="1"/>
  <c r="AW267" i="1"/>
  <c r="AU243" i="1"/>
  <c r="AW243" i="1"/>
  <c r="AU222" i="1"/>
  <c r="AV222" i="1"/>
  <c r="AW222" i="1"/>
  <c r="AU208" i="1"/>
  <c r="AV208" i="1"/>
  <c r="AW208" i="1"/>
  <c r="AU192" i="1"/>
  <c r="AU176" i="1"/>
  <c r="AV176" i="1"/>
  <c r="AW176" i="1"/>
  <c r="AU167" i="1"/>
  <c r="AU125" i="1"/>
  <c r="AV125" i="1"/>
  <c r="AW125" i="1"/>
  <c r="AW284" i="1"/>
  <c r="AW281" i="1"/>
  <c r="AW234" i="1"/>
  <c r="AU203" i="1"/>
  <c r="AV203" i="1"/>
  <c r="AW203" i="1"/>
  <c r="AU153" i="1"/>
  <c r="AV153" i="1"/>
  <c r="AW153" i="1"/>
  <c r="AU130" i="1"/>
  <c r="AV130" i="1"/>
  <c r="AW130" i="1"/>
  <c r="AU114" i="1"/>
  <c r="AV114" i="1"/>
  <c r="AU59" i="1"/>
  <c r="AW59" i="1"/>
  <c r="AV59" i="1"/>
  <c r="AW299" i="1"/>
  <c r="AW296" i="1"/>
  <c r="AV284" i="1"/>
  <c r="AV281" i="1"/>
  <c r="AW278" i="1"/>
  <c r="AU257" i="1"/>
  <c r="AV257" i="1"/>
  <c r="AW257" i="1"/>
  <c r="AW246" i="1"/>
  <c r="AV234" i="1"/>
  <c r="AU230" i="1"/>
  <c r="AV230" i="1"/>
  <c r="AW230" i="1"/>
  <c r="AU188" i="1"/>
  <c r="AV188" i="1"/>
  <c r="AW188" i="1"/>
  <c r="AU171" i="1"/>
  <c r="AV171" i="1"/>
  <c r="AW171" i="1"/>
  <c r="AU162" i="1"/>
  <c r="AU119" i="1"/>
  <c r="AV119" i="1"/>
  <c r="AV299" i="1"/>
  <c r="AV296" i="1"/>
  <c r="AW290" i="1"/>
  <c r="AV278" i="1"/>
  <c r="AW263" i="1"/>
  <c r="AU250" i="1"/>
  <c r="AV250" i="1"/>
  <c r="AW250" i="1"/>
  <c r="AV246" i="1"/>
  <c r="AU217" i="1"/>
  <c r="AV217" i="1"/>
  <c r="AW217" i="1"/>
  <c r="AU175" i="1"/>
  <c r="AV175" i="1"/>
  <c r="AW175" i="1"/>
  <c r="AU148" i="1"/>
  <c r="AV148" i="1"/>
  <c r="AW148" i="1"/>
  <c r="AU124" i="1"/>
  <c r="AV124" i="1"/>
  <c r="AU63" i="1"/>
  <c r="AW63" i="1"/>
  <c r="AV63" i="1"/>
  <c r="AU302" i="1"/>
  <c r="AV302" i="1"/>
  <c r="AW302" i="1"/>
  <c r="AV290" i="1"/>
  <c r="AU272" i="1"/>
  <c r="AV272" i="1"/>
  <c r="AW272" i="1"/>
  <c r="AU260" i="1"/>
  <c r="AV260" i="1"/>
  <c r="AV238" i="1"/>
  <c r="AU221" i="1"/>
  <c r="AU212" i="1"/>
  <c r="AU191" i="1"/>
  <c r="AV191" i="1"/>
  <c r="AW191" i="1"/>
  <c r="AU183" i="1"/>
  <c r="AV183" i="1"/>
  <c r="AW183" i="1"/>
  <c r="AU166" i="1"/>
  <c r="AV166" i="1"/>
  <c r="AW166" i="1"/>
  <c r="AU157" i="1"/>
  <c r="AU129" i="1"/>
  <c r="AV129" i="1"/>
  <c r="AU106" i="1"/>
  <c r="AU98" i="1"/>
  <c r="AW98" i="1"/>
  <c r="AU94" i="1"/>
  <c r="AW94" i="1"/>
  <c r="AU75" i="1"/>
  <c r="AW75" i="1"/>
  <c r="AU25" i="1"/>
  <c r="AU6" i="1"/>
  <c r="AU50" i="1"/>
  <c r="AW50" i="1"/>
  <c r="AU109" i="1"/>
  <c r="AW109" i="1"/>
  <c r="AW101" i="1"/>
  <c r="AU90" i="1"/>
  <c r="AW90" i="1"/>
  <c r="AW66" i="1"/>
  <c r="AU54" i="1"/>
  <c r="AW54" i="1"/>
  <c r="AU42" i="1"/>
  <c r="AW42" i="1"/>
  <c r="AU38" i="1"/>
  <c r="AW38" i="1"/>
  <c r="AU29" i="1"/>
  <c r="AW29" i="1"/>
  <c r="AW236" i="1"/>
  <c r="AW231" i="1"/>
  <c r="AW226" i="1"/>
  <c r="AW221" i="1"/>
  <c r="AW216" i="1"/>
  <c r="AU82" i="1"/>
  <c r="AW82" i="1"/>
  <c r="AU62" i="1"/>
  <c r="AW62" i="1"/>
  <c r="AU58" i="1"/>
  <c r="AW58" i="1"/>
  <c r="AU33" i="1"/>
  <c r="AW33" i="1"/>
  <c r="AU97" i="1"/>
  <c r="AW97" i="1"/>
  <c r="AU5" i="1"/>
  <c r="AW108" i="1"/>
  <c r="AU105" i="1"/>
  <c r="AW105" i="1"/>
  <c r="AU93" i="1"/>
  <c r="AW93" i="1"/>
  <c r="AU78" i="1"/>
  <c r="AW78" i="1"/>
  <c r="AU74" i="1"/>
  <c r="AW74" i="1"/>
  <c r="AW41" i="1"/>
  <c r="AU37" i="1"/>
  <c r="AV37" i="1"/>
  <c r="AW37" i="1"/>
  <c r="AU24" i="1"/>
  <c r="AW24" i="1"/>
  <c r="AU19" i="1"/>
  <c r="AV19" i="1"/>
  <c r="AW19" i="1"/>
  <c r="AU10" i="1"/>
  <c r="AV108" i="1"/>
  <c r="AU70" i="1"/>
  <c r="AW70" i="1"/>
  <c r="AU53" i="1"/>
  <c r="AW53" i="1"/>
  <c r="AU49" i="1"/>
  <c r="AW49" i="1"/>
  <c r="AV41" i="1"/>
  <c r="AU32" i="1"/>
  <c r="AV32" i="1"/>
  <c r="AW32" i="1"/>
  <c r="AU28" i="1"/>
  <c r="AW28" i="1"/>
  <c r="AU89" i="1"/>
  <c r="AW89" i="1"/>
  <c r="AU57" i="1"/>
  <c r="AW57" i="1"/>
  <c r="AU45" i="1"/>
  <c r="AW45" i="1"/>
  <c r="AU14" i="1"/>
  <c r="AV14" i="1"/>
  <c r="AW14" i="1"/>
  <c r="AU85" i="1"/>
  <c r="AW85" i="1"/>
  <c r="AU4" i="1"/>
  <c r="AV4" i="1"/>
  <c r="AW4" i="1"/>
  <c r="AU77" i="1"/>
  <c r="AW77" i="1"/>
  <c r="AU73" i="1"/>
  <c r="AW73" i="1"/>
  <c r="AU27" i="1"/>
  <c r="AV27" i="1"/>
  <c r="AW27" i="1"/>
  <c r="AU23" i="1"/>
  <c r="AW23" i="1"/>
  <c r="AU18" i="1"/>
  <c r="AW18" i="1"/>
  <c r="AU9" i="1"/>
  <c r="AV9" i="1"/>
  <c r="AW9" i="1"/>
  <c r="AU104" i="1"/>
  <c r="AW104" i="1"/>
  <c r="AU100" i="1"/>
  <c r="AW100" i="1"/>
  <c r="AU65" i="1"/>
  <c r="AW65" i="1"/>
  <c r="AU52" i="1"/>
  <c r="AW52" i="1"/>
  <c r="AU48" i="1"/>
  <c r="AW48" i="1"/>
  <c r="AU36" i="1"/>
  <c r="AU96" i="1"/>
  <c r="AU92" i="1"/>
  <c r="AW92" i="1"/>
  <c r="AU69" i="1"/>
  <c r="AW69" i="1"/>
  <c r="AU13" i="1"/>
  <c r="AW13" i="1"/>
  <c r="AU3" i="1"/>
  <c r="AV3" i="1"/>
  <c r="AW3" i="1"/>
  <c r="AU44" i="1"/>
  <c r="AW44" i="1"/>
  <c r="AU22" i="1"/>
  <c r="AU17" i="1"/>
  <c r="AU8" i="1"/>
  <c r="AV8" i="1"/>
  <c r="AW8" i="1"/>
  <c r="AU88" i="1"/>
  <c r="AW88" i="1"/>
  <c r="AU84" i="1"/>
  <c r="AW84" i="1"/>
  <c r="AU72" i="1"/>
  <c r="AW72" i="1"/>
  <c r="AU107" i="1"/>
  <c r="AW107" i="1"/>
  <c r="AU80" i="1"/>
  <c r="AW80" i="1"/>
  <c r="AU60" i="1"/>
  <c r="AW60" i="1"/>
  <c r="AU47" i="1"/>
  <c r="AW47" i="1"/>
  <c r="AU35" i="1"/>
  <c r="AU12" i="1"/>
  <c r="AW212" i="1"/>
  <c r="AW207" i="1"/>
  <c r="AW202" i="1"/>
  <c r="AW197" i="1"/>
  <c r="AW192" i="1"/>
  <c r="AW187" i="1"/>
  <c r="AW182" i="1"/>
  <c r="AW177" i="1"/>
  <c r="AW172" i="1"/>
  <c r="AW167" i="1"/>
  <c r="AW162" i="1"/>
  <c r="AW157" i="1"/>
  <c r="AW152" i="1"/>
  <c r="AW147" i="1"/>
  <c r="AW142" i="1"/>
  <c r="AW137" i="1"/>
  <c r="AW132" i="1"/>
  <c r="AW127" i="1"/>
  <c r="AW122" i="1"/>
  <c r="AW117" i="1"/>
  <c r="AW112" i="1"/>
  <c r="AU103" i="1"/>
  <c r="AW103" i="1"/>
  <c r="AU99" i="1"/>
  <c r="AW99" i="1"/>
  <c r="AU95" i="1"/>
  <c r="AW95" i="1"/>
  <c r="AV91" i="1"/>
  <c r="AU68" i="1"/>
  <c r="AW68" i="1"/>
  <c r="AU64" i="1"/>
  <c r="AW64" i="1"/>
  <c r="AV212" i="1"/>
  <c r="AV207" i="1"/>
  <c r="AV202" i="1"/>
  <c r="AV197" i="1"/>
  <c r="AV192" i="1"/>
  <c r="AV187" i="1"/>
  <c r="AV182" i="1"/>
  <c r="AV177" i="1"/>
  <c r="AV172" i="1"/>
  <c r="AV167" i="1"/>
  <c r="AV162" i="1"/>
  <c r="AV157" i="1"/>
  <c r="AV152" i="1"/>
  <c r="AV147" i="1"/>
  <c r="AV142" i="1"/>
  <c r="AV137" i="1"/>
  <c r="AV132" i="1"/>
  <c r="AV127" i="1"/>
  <c r="AV122" i="1"/>
  <c r="AV117" i="1"/>
  <c r="AV112" i="1"/>
  <c r="AU76" i="1"/>
  <c r="AW71" i="1"/>
  <c r="AV21" i="1"/>
  <c r="AW106" i="1"/>
  <c r="AU87" i="1"/>
  <c r="AW87" i="1"/>
  <c r="AV71" i="1"/>
  <c r="AU55" i="1"/>
  <c r="AW55" i="1"/>
  <c r="AW46" i="1"/>
  <c r="AW11" i="1"/>
  <c r="AV106" i="1"/>
  <c r="AV98" i="1"/>
  <c r="AV94" i="1"/>
  <c r="AV46" i="1"/>
  <c r="AU43" i="1"/>
  <c r="AW43" i="1"/>
  <c r="AU39" i="1"/>
  <c r="AW39" i="1"/>
  <c r="AV11" i="1"/>
  <c r="AW40" i="1"/>
  <c r="AW35" i="1"/>
  <c r="AW30" i="1"/>
  <c r="AW25" i="1"/>
  <c r="AW20" i="1"/>
  <c r="AW15" i="1"/>
  <c r="AW10" i="1"/>
  <c r="AW5" i="1"/>
  <c r="AW22" i="1"/>
  <c r="AW17" i="1"/>
  <c r="AW12" i="1"/>
  <c r="AW7" i="1"/>
  <c r="AW2" i="1"/>
  <c r="AV22" i="1"/>
  <c r="AV17" i="1"/>
  <c r="AV12" i="1"/>
  <c r="AV7" i="1"/>
  <c r="AV2" i="1"/>
</calcChain>
</file>

<file path=xl/sharedStrings.xml><?xml version="1.0" encoding="utf-8"?>
<sst xmlns="http://schemas.openxmlformats.org/spreadsheetml/2006/main" count="12611" uniqueCount="7362">
  <si>
    <t>n</t>
  </si>
  <si>
    <t>undefined</t>
  </si>
  <si>
    <t>['wave devices', 'resonator circuit', 'resistivity silicon', 'resistivity characteristics', 'ray lithography', 'process compatibility', 'output power', 'microstrip resonators', 'measured using', 'linear geometry', 'hall measurements', 'electronics engineers', 'combined monolithic', '95 ghz', '90 ghz', '8 mw', '6 db']</t>
  </si>
  <si>
    <t>The application of molecular beam epitaxy (MBE) And X-ray lithography for the fabrication of monolithic integrated millimeter-wave devices on high-resistivity silicon has been investigated. Process compatibility and the retention of high-resistivity characteristics were measured using the spreading resistance method and Hall measurements after various process steps. Microstrip resonators of ring and linear geometry were fabricated on 10 000 Œ©.cm silicon substrates. For linear microstrip resonators, the attenuation was found to be less than 0.6 dB/cm at 90 GHz. A 95-GHz IMPATT oscillator circuit and a planar microstrip antenna array have been fabricated on highly insulating silicon substrates. For the oscillator, a combined monolithic-hybrid integration technique was used to attach the discrete IMPATT diode to the resonator circuit. The oscillator does not require tuning elements. Preliminary experimental results are 8 mW of output power with 0.2 percent efficiency at 95 GHz. Copyright ¬© 1986 by The Institute of Electrical and Electronics Engineers, Inc.</t>
  </si>
  <si>
    <t>1516-1521</t>
  </si>
  <si>
    <t>Journal</t>
  </si>
  <si>
    <t>IEEE Transactions on Microwave Theory and Techniques</t>
  </si>
  <si>
    <t>60019722;60019722;60075697;60075697</t>
  </si>
  <si>
    <t>7003971679;7103208487;24802091400;7003507147</t>
  </si>
  <si>
    <t>Buechler, Josef;Russer, Peter;Kasper, Erich;Strohm, Karl M.</t>
  </si>
  <si>
    <t>Germany;Germany</t>
  </si>
  <si>
    <t>Nurnberg;Munich</t>
  </si>
  <si>
    <t>AEG;Technical University of Munich</t>
  </si>
  <si>
    <t>60075697;60019722</t>
  </si>
  <si>
    <t>Buechler J.</t>
  </si>
  <si>
    <t>Article</t>
  </si>
  <si>
    <t>ar</t>
  </si>
  <si>
    <t>Silicon High-Resistivity-Substrate Millimeter-Wave Technology</t>
  </si>
  <si>
    <t>10.1109/TMTT.1986.1133572</t>
  </si>
  <si>
    <t>2-s2.0-0000092929</t>
  </si>
  <si>
    <t>['¬© 1986', 'woll .)', 'trissolcus basalis', 'segment processes', 'segment due', 'secretion appears', 'protease digestion', 'exocrine gland', 'class 3', 'also considered', '5th antennomere']</t>
  </si>
  <si>
    <t>antennal plate | complex exocrine gland | courtship | Sex-segment (= 5th antennomere or 3rd flagellomere) | tyloid</t>
  </si>
  <si>
    <t>The 5th antennomere, beginning with the scape, of the male Scelionidae antenna has been referred to as a sex-segment due to its morphological and presumed sexual function. A study of the sex-segment of the parasitoid, Trissolcus basalis (Woll.) (Hymenoptera : Scelionidae) revealed a single ventral peg that is involved in releasing a secretion from an exocrine gland located in the antennomere. This is a "class 3" exocrine gland and the secretion appears to be partially proteinaceous since it is susceptible to protease digestion. Although the function of the sex-segment and gland remains unknown, the suggestion that it is involved in courtship is supported. Some sex-segment processes of other Scelionidae are also considered. ¬© 1986.</t>
  </si>
  <si>
    <t>129-138</t>
  </si>
  <si>
    <t>International Journal of Insect Morphology and Embryology</t>
  </si>
  <si>
    <t>60003003;60020547</t>
  </si>
  <si>
    <t>7003961743;7006727340</t>
  </si>
  <si>
    <t>Bin, F.;Vinson, S. B.</t>
  </si>
  <si>
    <t>United States;Italy</t>
  </si>
  <si>
    <t>College Station;Perugia</t>
  </si>
  <si>
    <t>Texas A&amp;M University;Universit√† degli Studi di Perugia</t>
  </si>
  <si>
    <t>60020547;60003003</t>
  </si>
  <si>
    <t>Bin F.</t>
  </si>
  <si>
    <t>Morphology of the antennal sex-gland in male Trissolcus basalis (Woll.) (Hymenoptera : Scelionidae), an egg parasitoid of the green stink bug, Nezara viridula (Hemiptera : Pentatomidae)</t>
  </si>
  <si>
    <t>0020-7322(86)90052-8</t>
  </si>
  <si>
    <t>10.1016/0020-7322(86)90052-8</t>
  </si>
  <si>
    <t>2-s2.0-0000243736</t>
  </si>
  <si>
    <t>['¬© 1986', 'yields water', 'thus confirming', 'soluble copolymers', 'singlet energy', 'rights reserved', 'rapid migration', 'preferential trapping', 'partial sulfonation', 'naphthalene groups', 'much higher', 'ionic strength', 'hypercoiled conformations', 'hypercoiled conformation', 'fluorescence decay', 'exhibit hypercoiling', 'excimer sites', 'excimer emission', 'counting measurements', 'conventional solvents', 'closer packing', 'aqueous solution', 'aqueous media', 'also presented', 'almost exclusively']</t>
  </si>
  <si>
    <t>Partial sulfonation of poly(2-vinylnaphthalene) (P2VN) yields water-soluble copolymers (SP2VN) that appear to exhibit hypercoiling in aqueous media. Luminescence emission studies show that excimer emission is much higher in aqueous solution than in conventional organic solvents, presumably because of closer packing of the naphthalene groups in the interior of the hydrophobic ‚Äúcore‚Äù. Photon-counting measurements of fluorescence decay are consistent with very rapid migration and trapping of singlet energy in the hypercoiled conformation. Evidence is also presented for the preferential trapping of large aromatic groups such as perylene in the interior of the coil. Luminescence emission depends strongly on the pH and ionic strength of the medium. In frozen aqueous media at 77 K delayed emission is almost exclusively from the naphthalene excimer rather than from the ‚Äúmonomer‚Äù as in conventional solvents, thus confirming the ease of population of excimer sites in hypercoiled conformations. ¬© 1986, American Chemical Society. All rights reserved.</t>
  </si>
  <si>
    <t>2793-2798</t>
  </si>
  <si>
    <t>Macromolecules</t>
  </si>
  <si>
    <t>60016849;60024542;60026601</t>
  </si>
  <si>
    <t>7102379256;15130338800;7202674958</t>
  </si>
  <si>
    <t>Guillet, James E.;Wang, Jiayuan;Gu, Liying</t>
  </si>
  <si>
    <t>China;China;Canada</t>
  </si>
  <si>
    <t>Beijing;Guangzhou;Toronto</t>
  </si>
  <si>
    <t>Institute of Chemistry Chinese Academy of Sciences;South China University of Technology;University of Toronto</t>
  </si>
  <si>
    <t>60026601;60024542;60016849</t>
  </si>
  <si>
    <t>Guillet J.</t>
  </si>
  <si>
    <t>Studies of the Antenna Effect in Polymer Molecules. 10. Preparation and Luminescence Studies of Sulfonated Poly(2-vinylnaphthalene)</t>
  </si>
  <si>
    <t>10.1021/ma00165a022</t>
  </si>
  <si>
    <t>2-s2.0-0000455055</t>
  </si>
  <si>
    <t>['¬© 1986', 'vary widely', 'various components', 'specific constant', 'slightly decreases', 'preimaginal phase', 'last nymphal', 'identified glomerulus', 'growth rates', 'growth rate', 'growing antenna', 'group comprising', 'greatly increases', 'glomerulus 106', 'glomerular population', 'glomerular growth', 'female nymphs', 'developmental stage', 'blaberus craniifer', 'blaberidae ),', 'antennal lobe', 'antenna decreases', 'allowing estimates', 'adult stages', 'adult dimorphism']</t>
  </si>
  <si>
    <t>Deutocerebrum | olfactory system | sexual dimorphism</t>
  </si>
  <si>
    <t>In the growing antenna and antennal lobe of the cockroach, Blaberus craniifer (Dictyoptera : Blaberidae), the sizes of the various components, when expressed as a function of developmental stage, follow biphasic exponential kinetics. From first to last nymphal stage, the growth rates are constant. They vary widely with components. In the preimaginal phase, between the last nymphal and adult stages, these rates are generally not maintained, with the exception of deutocerebral cell bodies and some glomeruli. The rate of growth of the antenna decreases, whereas it increases for most glomeruli and antennal lobe. The growth rate of each identified glomerulus is characterized by a specific constant. The growth rate of glomerulus 106, the adult male macroglomerulus, is the same in male and female nymphs. During the preimaginal phase, however, it slightly decreases in the female and greatly increases in the male, resulting in adult dimorphism. The distribution of growth rates in the glomerular population is Gaussian. The slowest and most rapidly growing glomeruli are gathered into 3 spatially separate groups. Only one of them (the group comprising the macroglomerulus), includes both rapid and slow growing glomeruli. Glomerular growth in volume paralles growth of the antenna, allowing estimates of the number of antennal neurons per glomerulus to be determined. ¬© 1986.</t>
  </si>
  <si>
    <t>393-415</t>
  </si>
  <si>
    <t>60003274;60003274</t>
  </si>
  <si>
    <t>7003680929;6602272315</t>
  </si>
  <si>
    <t>Rospars, Jean Pierre;Chambille, Ir√®ne</t>
  </si>
  <si>
    <t>France</t>
  </si>
  <si>
    <t>Versailles</t>
  </si>
  <si>
    <t>Centre de recherche √éle-de-France-Versailles - Grignon</t>
  </si>
  <si>
    <t>Rospars J.P.</t>
  </si>
  <si>
    <t>Postembryonic growth of the antennal lobes and their identified glomeruli in the cockroach Blaberus craniifer burm. (Dictyoptera : Blaberidae): A morphometric study</t>
  </si>
  <si>
    <t>0020-7322(86)90033-4</t>
  </si>
  <si>
    <t>10.1016/0020-7322(86)90033-4</t>
  </si>
  <si>
    <t>2-s2.0-0001169745</t>
  </si>
  <si>
    <t>['shows explicitly', 'resonant frequency', 'present method', 'patch antenna', 'new method', 'microstrip line', 'measured values', 'fed either', 'electronics engineers', 'easily obtained', 'dielectric constant', 'coaxial line', 'characteristic parameters', 'analytical expression']</t>
  </si>
  <si>
    <t>An analytical expression is given for the resonant frequency of a rectangular patch antenna. It shows explicitly the dependence of the resonant frequency on the characteristic parameters of a patch antenna. Based on this result, a new method is developed for the measurement of the dielectric constant of a thin slab substrate. Basically, the test equipment consists of a rectangular microstrip antenna, the patch of which is fed either by a microstrip line or coaxial line. From the measured resonance parameters of the rectangular patch antenna, the dielectric constant can be easily obtained. The measured values of the present method are in agreement with the precision standard cavity resonator method. Accuracy of the dielectric constant so obtained is satisfactory. Copyright ¬© 1986 by The Institute of Electrical and Electronics Engineers, Inc.</t>
  </si>
  <si>
    <t>923-931</t>
  </si>
  <si>
    <t>Shimin, Du</t>
  </si>
  <si>
    <t>Japan</t>
  </si>
  <si>
    <t>Beijing Institute of Radio Measurement</t>
  </si>
  <si>
    <t>Shimin D.</t>
  </si>
  <si>
    <t>A New Method for Measuring Dielectric Constant Using the Resonant Frequency of a Patch Antenna</t>
  </si>
  <si>
    <t>10.1109/TMTT.1986.1133472</t>
  </si>
  <si>
    <t>2-s2.0-0001424411</t>
  </si>
  <si>
    <t>['upper limit', 'time resolution', 'temperature slightly', 'tail smaller', 'tail axis', 'spacecraft body', 'shot noise', 'relative density', 'plasma tail', 'particle mass', 'highly asymmetrical', 'grain impacts', 'dust flux', 'density fluctuated', 'comet giacobini', 'closest approach', '54 seconds', '370 kilometers', '2000 kilometers', '2 hours', '18 seconds', '1100 kilometers', '000 kilometers']</t>
  </si>
  <si>
    <t>Thermal noise spectroscopy was used to measure the density and temperature of the main (cold) electron plasma population during 2 hours (1.5 x 10 5 kilometers perpendicular to the tail axis) around the point of closest approach of the International Cometary Explorer (ICE) to comet Giacobini-Zinner. The time resolution was 18 seconds (370 kilometers) in the plasma tail and 54 seconds (1100 kilometers) elsewhere. Near the tail axis, the maximum plasma density was 670 per cubic centimeter and the temperature slightly above 1 electron volt. Away from the axis, the plasma density dropped to 100 per cubic centimeter (temperature, 2 x 104 K) over 2000 kilometers, then decreased to 10 (1.5 x 105 K) over 15,000 kilometers; outside that region (plasma tail), the density fluctuated between 10 and 30 per cubic centimeter and the temperature between 1 x 105 and 4 x 105 K. The relative density of the hot population rarely exceeded a few percent. The tail was highly asymmetrical and showed much structure. On the other antenna, shot noise was recorded from the plasma particle impacts on the spacecraft body. No evidence was found of grain impacts on the antennas or spacecraft in the plasma tail. This yields an upper limit few the dust flux or particle mass, indicating other fluxes, or masses in the tail smaller than implied by the models or an anomalous grain structure. This seems to support earlier suggestions that these grains are featherlike. Outside the tail, and particularly near 105 kilometers from its axis, impulsive noises indicating plasma turbulence were observed.</t>
  </si>
  <si>
    <t>370-374</t>
  </si>
  <si>
    <t>Science</t>
  </si>
  <si>
    <t>60003674;60003674;60003674;60003674;60003674;60006337;100335963</t>
  </si>
  <si>
    <t>6603962056;7003360820;56091788700;6603346586;35556475100;8376495100;6506671373</t>
  </si>
  <si>
    <t>Meyer-Vernet, N.;Couturier, P.;Hoang, S.;Perche, C.;Steinberg, J. L.;Fainberg, J.;Meetre, C.</t>
  </si>
  <si>
    <t>United States;France;United States</t>
  </si>
  <si>
    <t>Greenbelt;Paris;Lanham</t>
  </si>
  <si>
    <t>NASA Goddard Space Flight Center;L'Observatoire de Paris;Science Applications Research</t>
  </si>
  <si>
    <t>60006337;60003674;100335963</t>
  </si>
  <si>
    <t>Meyer-Vernet N.</t>
  </si>
  <si>
    <t>Plasma diagnosis from thermal noise and limits on dust flux or mass in comet Giacobini-Zinner</t>
  </si>
  <si>
    <t>10.1126/science.232.4748.370</t>
  </si>
  <si>
    <t>2-s2.0-0001511013</t>
  </si>
  <si>
    <t>['weaker interactions', 'spectroscopic properties', 'several models', 'protein complexes', 'junk publishers', 'bacteriochlorophyll dimer', 'available information', 'antenna complexes', 'accounted fully']</t>
  </si>
  <si>
    <t>Several models have been proposed for the arrangements of the bacteriochlorophylls in the antenna complexes of purple photosynthetic bacteria, but none of the models has accounted fully for the spectroscopic properties of the bacteriochlorophyll-protein complexes. We suggest a model involving strong exciton interactions within a bacteriochlorophyll dimer, and weaker interactions of each dimer with other, relatively distant dimers. The model is shown to account for the spectroscopic properties of the complexes, and to be consistent with other available information. ¬© 1986 Martinus Nijhoff/Dr. W. Junk Publishers.</t>
  </si>
  <si>
    <t>21-32</t>
  </si>
  <si>
    <t>Photosynthesis Research</t>
  </si>
  <si>
    <t>60017563;60015481</t>
  </si>
  <si>
    <t>7006347719;7006623893</t>
  </si>
  <si>
    <t>Scherz, Avigdor;Parson, William W.</t>
  </si>
  <si>
    <t>Israel;United States</t>
  </si>
  <si>
    <t>Rehovot;Seattle</t>
  </si>
  <si>
    <t>Weizmann Institute of Science Israel;University of Washington</t>
  </si>
  <si>
    <t>Scherz A.</t>
  </si>
  <si>
    <t>Interactions of the bacteriochlorophylls in antenna bacteriochlorophyll-protein complexes of photosynthetic bacteria</t>
  </si>
  <si>
    <t>10.1007/BF00029728</t>
  </si>
  <si>
    <t>2-s2.0-0001795513</t>
  </si>
  <si>
    <t>['presumed precursor', 'morphological parameters', 'larval lobsters', 'jh iii', 'homarus americanus', 'farnesol treatment', 'chelae lengths', 'also measured']</t>
  </si>
  <si>
    <t>Crustacean larvae | Juvenile hormone | Lobsters</t>
  </si>
  <si>
    <t>The insect developmental regulator, juvenile hormone III, or its presumed precursor, farnesol, (10‚àí7 M and 10 ‚àí6 M), were added to water in which larval lobsters (Homarus americanus) were allowed to develop. The most reproducible effect observed was a prolonging of the time to metamorphosis (hatching to fourth stage). Only JH III was effective. Morphological parameters such as carapace, antennae, and chelae lengths were also measured after metamorphosis. It was observed that JH III generally decreased carapace length, but increased the lengths of the antennae and chelae. These latter morphological alterations were occasionally also seen with farnesol treatment. ¬© 1986 Elsevier Science Publishers B.V.</t>
  </si>
  <si>
    <t>71-77</t>
  </si>
  <si>
    <t>International Journal of Invertebrate Reproduction and Development</t>
  </si>
  <si>
    <t>60000000;60000000</t>
  </si>
  <si>
    <t>24431802900;13310245100</t>
  </si>
  <si>
    <t>Hertz, William A.;Chang, Ernest S.</t>
  </si>
  <si>
    <t>United States</t>
  </si>
  <si>
    <t>Bodega Bay</t>
  </si>
  <si>
    <t>Bodega Marine Laboratory</t>
  </si>
  <si>
    <t>Hertz W.A.</t>
  </si>
  <si>
    <t>Juvenile hormone effects on metamorphosis of lobster larvae</t>
  </si>
  <si>
    <t>10.1080/01688170.1986.10510226</t>
  </si>
  <si>
    <t>2-s2.0-0002094954</t>
  </si>
  <si>
    <t>['¬© 1986', 'time basis', 'stepwise commisioning', 'ssrt along', 'solar scanning', 'solar observations', 'solar atmosphere', 'solar activity', 'operative representation', 'nonpolarized emission', 'microwave band', 'keep track', 'high two', 'frequency recording', 'flare processes', 'element 5', 'dimensional resolution', 'data collection', 'considerable changes', 'circularly polarized', 'brightness distribution', 'allowed us', 'adjustment work', 'active regions']</t>
  </si>
  <si>
    <t>At the SibIZMIR, the Siberian Solar Radio-Telescope (SSRT) has been devised, built and aimed to diagnose the state of solar activity in the microwave band, and to study the structure and development of active regions and flares in the solar atmosphere with high two-dimensional resolution on a real-time basis. The SSRT is a 256-element 5.2 cm cross interferometer oriented in E-W and N-S directions. Each linear interferometer consists of 128 antennas spaced by 4.9 m, with parabolic dishes 2.5 m in diameter. The brightness distribution of circularly polarized and nonpolarized emission is recorded. Radio-images are synthesized in the course of solar scanning as a consequence of co-rotation with the Earth of the multi-lobe antenna pattern of the SSRT along with multi-frequency recording of the radio brightness distribution in the angle of elevation. All SSRT systems control, data collection, operative representation and preprocessing are automatized. Solar observations have been carried out simultaneously with adjustment work during a stepwise commisioning of the SSRT since 1981. The observations revealed sudden, considerable changes of active regions and allowed us to keep track of the process of microwave emission source polarization, localization, and development of flare processes, and of other phenomena. ¬© 1986 D. Reidel Publishing Company.</t>
  </si>
  <si>
    <t>1572946X</t>
  </si>
  <si>
    <t>0004640X</t>
  </si>
  <si>
    <t>Astrophysics and Space Science</t>
  </si>
  <si>
    <t>100346215;100346215;100346215;100346215;100346215;100346215</t>
  </si>
  <si>
    <t>6602879763;16469912900;6505802916;6506505955;6602788152;57084754100</t>
  </si>
  <si>
    <t>Smolkov, G. Ya;Pistolkors, A. A.;Treskov, T. A.;Krissinel, B. B.;Putilov, V. A.;Potapov, N. N.</t>
  </si>
  <si>
    <t>Russia</t>
  </si>
  <si>
    <t>Irkutsk</t>
  </si>
  <si>
    <t>SibIZMIR</t>
  </si>
  <si>
    <t>Smolkov G.</t>
  </si>
  <si>
    <t>The Siberian Solar Radio-Telescope: Parameters and principle of operation, objectives and results of first observations of spatio-temporal properties of development of active regions and flares</t>
  </si>
  <si>
    <t>10.1007/BF00648801</t>
  </si>
  <si>
    <t>2-s2.0-0002733282</t>
  </si>
  <si>
    <t>['¬© 1986', 'tokamak plasmas', 'theoretical problem', 'plasma facing', 'plasma bulk', 'planar geometry', 'minority heating', 'initial conditions', 'global solution', 'field distribution', 'coupling problem', 'allowing computation']</t>
  </si>
  <si>
    <t>The global solution of the theoretical problem of Ion Cyclotron Resonance Heating in tokamak plasmas is obtained by a subdivision of the problem into two simpler ones by virtue of the "single pass absorption" hypothesis. The coupling problem is solved in planar geometry, allowing computation of both the antenna electrical properties and the Radio-Frequency (RF) field distribution in the plasma facing the antenna. Starting from this field distribution, the initial conditions for ray-tracing are derived and the propagation and absorption of waves in the plasma bulk is solved in the geometric optics limit taking into account the full tohamak geometry and the kinetic wave description. In the minority heating, redistribution of the minority absorbed power to the other species is carried out using standard quasilinear theory. ¬© 1986.</t>
  </si>
  <si>
    <t>Computer Physics Communications</t>
  </si>
  <si>
    <t>60004280;60004280;60004280;60004280</t>
  </si>
  <si>
    <t>7403189436;7102660576;7006450633;6603835365</t>
  </si>
  <si>
    <t>Koch, R.;Bhatnagar, V. P.;Messiaen, A. M.;Van Eester, D.</t>
  </si>
  <si>
    <t>Belgium</t>
  </si>
  <si>
    <t>Brussels</t>
  </si>
  <si>
    <t>Koninklijke Militaire School - Ecole Royale Militaire</t>
  </si>
  <si>
    <t>Koch R.</t>
  </si>
  <si>
    <t>A global solution of the ICRH problem based on the combined use of a planar coupling model and hot-plasma ray-tracing in tokamak geometry</t>
  </si>
  <si>
    <t>10.1016/0010-4655(86)90145-1</t>
  </si>
  <si>
    <t>2-s2.0-0003156141</t>
  </si>
  <si>
    <t>['radiation characteristics', 'power gain', 'parasitic helix', 'monofilar helix', 'helical antenna', 'hap radiates', 'half turns', 'frequency band', 'experimental work', 'driven helix', 'axial ratio', 'axial mode', '3 db']</t>
  </si>
  <si>
    <t>The radiation characteristics of helical antennas operating in the axial mode are evaluated on the basis of the theoretical current distributions and are verified by experimental work. A comparison between monofilar helix and bifilar helix antennas is made, and a helical antenna with a parasitic helix (HAP) is proposed in order to enhance the power gain. It is found that the gain of the HAP in which the parasitic helix is wound from a point diametrically opposite to that of one and one-half turns of the driven helix is about 1 dB higher than that of the monofilar helix. The ratio of the frequency band in which the HAP radiates a circularly polarized wave within an axial ratio of 3 dB is calculated to be 1:1.8. ¬© 1986 IEEE</t>
  </si>
  <si>
    <t>1143-1148</t>
  </si>
  <si>
    <t>0018926X</t>
  </si>
  <si>
    <t>IEEE Transactions on Antennas and Propagation</t>
  </si>
  <si>
    <t>60030526;60030526;60082079</t>
  </si>
  <si>
    <t>55633340100;6507783771;56405174700</t>
  </si>
  <si>
    <t>Nakano, Hisamatsu;Samada, Yuji;Yamauchi, Junji</t>
  </si>
  <si>
    <t>Japan;Japan</t>
  </si>
  <si>
    <t>Tokyo;Tokyo</t>
  </si>
  <si>
    <t>Tokyo Metropolitan College of Technology;Hosei University</t>
  </si>
  <si>
    <t>60082079;60030526</t>
  </si>
  <si>
    <t>Nakano H.</t>
  </si>
  <si>
    <t>Axial Mode Helical Antennas</t>
  </si>
  <si>
    <t>10.1109/TAP.1986.1143944</t>
  </si>
  <si>
    <t>2-s2.0-0003330970</t>
  </si>
  <si>
    <t>['¬© 1986', 'work represents', 'transfer time', 'transfer process', 'transfer efficiency', 'transfer efficiencies', 'time scale', 'substantially shorter', 'several tens', 'rights reserved', 'polymeric systems', 'naphthylmethyl methacrylate', 'naphthalene chromophores', 'greatly enhanced', 'first investigation', 'energy transfer', 'average energy', 'aqueous phase', 'aqueous media', 'acrylic acid', '70 %.']</t>
  </si>
  <si>
    <t>Intramolecular singlet electronic energy transfer from naphthalene to anthracene end groups in copolymers of acrylic acid with 1-naphthylmethyl methacrylate has been studied. This work represents the first investigation of efficient singlet electronic energy transfer in such polymeric systems in the aqueous phase. Results in the aqueous phase are compared with those for the same polymers in dioxane. The efficiency of the energy-transfer process was greatly enhanced in aqueous media. In dioxane the energy-transfer efficiency was roughly 15%, while the same copolymers in the aqueous phase exhibited energy-transfer efficiencies up to 70%. Fluorescence decay measurements and time-resolved emission spectroscopy provide further details about the time scale of the energy-transfer process. In the aqueous phase the average energy-transfer time was substantially shorter than in dioxane. In addition, energy transfer to anthracene was observed to occur over a period of several tens of nanoseconds following excitation of the naphthalene chromophores. ¬© 1986, American Chemical Society. All rights reserved.</t>
  </si>
  <si>
    <t>224-230</t>
  </si>
  <si>
    <t>60016849;60030835</t>
  </si>
  <si>
    <t>7102379256;57194817219</t>
  </si>
  <si>
    <t>Guillet, James E.;Rendal, W. Alan</t>
  </si>
  <si>
    <t>Canada;Canada</t>
  </si>
  <si>
    <t>Edmonton;Toronto</t>
  </si>
  <si>
    <t>University of Alberta;University of Toronto</t>
  </si>
  <si>
    <t>60030835;60016849</t>
  </si>
  <si>
    <t>Guillet J.E.</t>
  </si>
  <si>
    <t>Studies of the Antenna Effect in Polymer Molecules. 8. Photophysics of Water-Soluble Copolymers of 1-Naphthylmethyl Methacrylate and Acrylic Acid</t>
  </si>
  <si>
    <t>10.1021/ma00155a035</t>
  </si>
  <si>
    <t>2-s2.0-0006367428</t>
  </si>
  <si>
    <t>['√† l', '√© crites', 'varivestis mulsant', 'usually sufficient', 'susceptible genotypes', 'susceptible cv', 'que l', 'presumably olfactory', 'pi 229358', 'oligophagous insect', 'maxillary palpi', 'labial palpi', 'insecte oligophage', 'gustatory sensilla', 'glycine max', 'found antennal', 'food discrimination', 'est chimique', 'consid √®', 'comme aliment', 'coccinellidae ),', 'cause rejection', 'apr √®', 'accepts leaves']</t>
  </si>
  <si>
    <t>ablation | chemoreceptors | Epilachna varivestis | food preference | host plant resistance | host selection | Mexican bean beetle | olfaction | SEM | taste</t>
  </si>
  <si>
    <t>The Mexican bean beetle, Epilachna varivestis Mulsant (Coleoptera; Coccinellidae), is an oligophagous insect that accepts leaves of soybean, Glycine max (L.) Merrill, as food but exhibits distinct preferences among varieties. It is believed that the basis for discrimination between the resistant PI 229358 and the susceptible cv. ‚ÄòWilliams‚Äô is chemical. By the ablation of chemosensilla on antennae, maxillary palpi, labial palpi, and foretarsi, followed with leaf disc preference tests, we found antennal and maxillary palp chemosensilla to be almost entirely responsible for Mexican bean beetles' discrimination between foliage of the resistant and susceptible genotypes. All appendages, and the epipharynx, were observed by scanning electron microscopy and, except for foretarsi, were found to bear several types of presumably olfactory and gustatory sensilla, which are figured and described. Since behavioral observations show that olfaction is usually sufficient to cause rejection of PI 229358, we conclude that olfactory sensilla mainly on antennae and maxillary palpi are critical in food discrimination in this system. Chimiorecepteurs d' Epilachna varivestis adultes: Structures et importance dans la selection des aliments E. varivestis Mulsant, insecte oligophage, accepte les feuilles de Glycine max (L.) Merrill (soja) comme aliment, mais pr√©sente des pr√©f√©rences marqu√©es parmi les vari√©t√©s. On consid√®re que l'origine de la discrimination entre le cultivar sensible ‚ÄòWilliams‚Äô et PI 229358 r√©sistant, est chimique. Des exp√©riences de choix avec des rondelles de feuilles, apr√®s ablation des sensilles chimiques des antennes et des palpes maxillaires et labiaux, et des tarses ant√©rieurs, ont montr√© que les sensilles chimiques √©taient presque enti√®rement responsables de la discrimination entre les feuillages de g√©notypes r√©sistant et sensible. Tous les appendices ont √©t√© observ√©s au microscope √† balayage, et, √† l'exception des tarses ant√©rieurs, ils portaient plusieurs types de sensilles gustatives et olfactives, qui ont √©t√© repr√©sent√©es et d√©crites. Puisque les observations comportementales montrent que l'olfaction est normalement suffisante pour provoquer le rejet de PI 229358, nous concluons que les sensilles olfactives des antennes et des palpes maxillaires jouent un r√¥le crucial dans le choix de l'aliment. 1986 The Netherlands Entomological Society</t>
  </si>
  <si>
    <t>Entomologia Experimentalis et Applicata</t>
  </si>
  <si>
    <t>60007313;60007313</t>
  </si>
  <si>
    <t>36726352400;7102617426</t>
  </si>
  <si>
    <t>Fischer, Daniel C.;Kogan, Marcos</t>
  </si>
  <si>
    <t>Champaign</t>
  </si>
  <si>
    <t>Illinois Natural History Survey</t>
  </si>
  <si>
    <t>Fischer D.</t>
  </si>
  <si>
    <t>Chemoreceptors of adult Mexican bean beetles: External morphology and role in food preference</t>
  </si>
  <si>
    <t>10.1111/j.1570-7458.1986.tb02149.x</t>
  </si>
  <si>
    <t>2-s2.0-0008060482</t>
  </si>
  <si>
    <t>['uv irradiation', 'still present', 'relative amplitude', 'quadripartite model', 'ps2 would', 'proteolytic digestions', 'protein complex', 'pg27 mutant', 'less mutant', 'junk publishers', 'immunodetections demonstrated', 'fluorescence inductions', 'energy transfers', 'dr w', 'cp2 respectively', 'cp2 chlorophyll', 'chlorophyll b', 'chlamydomonas reinhardtii', 'biosynthesis pathway']</t>
  </si>
  <si>
    <t>Chlamydomonas reinhardtii | chlorophyll b-less mutant | chlorophyll protein complexes | CP -less mutant 1 | fluorescence kinetics | in vivo fluorescence spectra</t>
  </si>
  <si>
    <t>A chlorophyll b-less mutant of Chlamydomonas reinhardtii (Pg27) was isolated after UV irradiation of the wild type cells. This photosynthetically competent mutant totally lacks chlorophyll b and the CP2 chlorophyll-protein complex. However, SDS-PAGE, proteolytic digestions and immunodetections demonstrated that the 24-25 Kd apoproteins of the lacking CP2 complex are still present in thylakoids of the Pg27 mutant. It is concluded that this CP2-less mutant is affected in the biosynthesis pathway of chlorophyll b. This CP2-less mutant was crossed with a CP1-less mutant (Fl5) Fluorescence emission spectra and fluorescence inductions in the presence of DCMU were analysed in the resulting (cp2-, cp1+), (cp2+, cp1-), (cp2+, cp1+), cp2-, cp1-)tetratype. Differences in PS 2 optical cross section and in the relative amplitude or localisation of fluorescence emission peaks fit well with a quadripartite model where PS1 and PS2 would each correspond to a reaction centre core complex (CP1 and CP2 respectively) associated to a light harvesting antenna (LHC1 and LHC2 respectively). The occurrence of energy transfers from PS1 peripheral antenna to PS2 in the Fl5 mutant shows that, in absence of CP1, at least a part of its associated PS1 light harvesting antenna migrates in the PS2 containing appressed thylakoids. ¬© 1986 Martinus Nijhoff/Dr W. Junk Publishers.</t>
  </si>
  <si>
    <t>221-236</t>
  </si>
  <si>
    <t>60008134;60008134</t>
  </si>
  <si>
    <t>57195389397;6603141799</t>
  </si>
  <si>
    <t>Picaud, A.;Dubertret, G.</t>
  </si>
  <si>
    <t>Paris</t>
  </si>
  <si>
    <t>CNRS Centre National de la Recherche Scientifique</t>
  </si>
  <si>
    <t>Picaud A.</t>
  </si>
  <si>
    <t>Pigment protein complexes and functional properties of tetratype resulting from crosses between CP&lt;inf&gt;1&lt;/inf&gt; and CP&lt;inf&gt;2&lt;/inf&gt; less Chlamydomonas mutants</t>
  </si>
  <si>
    <t>10.1007/BF00014676</t>
  </si>
  <si>
    <t>2-s2.0-0008196189</t>
  </si>
  <si>
    <t>['qy transitions', 'purple bacteria', 'pigment arrangement', 'membrane plane', 'maximal distance', 'linear dichroism', 'junk publishers', 'harvesting complex', 'energy transfer', 'dr w', 'bchl 866', 'bchl 808', 'average angle', 'accurate determination', '866 light', '866 complex', '850 complex', '44 ¬∞']</t>
  </si>
  <si>
    <t>(Chloroflexus aurantiacus) | bacteriochlorophyll a | energy transfer | fluorescence polarization | green photosynthetic bacteria | light-harvesting complex | linear dichroism</t>
  </si>
  <si>
    <t>We have studied the pigment arrangement in purified cytoplasmic membranes of the thermophilic green bacterium Chloroflexus aurantiacus. The membranes contain 30-35 antenna bacteriochlorophyll a molecules per reaction center; these are organized in the B808-866 light-harvesting complex, together with carotenoids in a 2:1 molar ratio. Measurements of linear dichroism in a pressed polyacrylamide gel permitted the accurate determination of the orientation of the optical transition dipole moments with respect to the membrane plane. Combination of linear dichroism and low temperature fluorescence polarization data shows that the Qy transitions of the BChl 866 molecules all lie almost perfectly parallel to the membrane plane, but have no preferred orientation within the plane. The BChl 808 Qy transitions make an average angle of about 44¬∞ with this plane. This demonstrates that there are clear structural differences between the B808-866 complex of C. aurantiacus and the B800-850 complex of purple bacteria. Excitation energy transfer from carotenoid to BChl a proceeds with about 40% efficiency, while the efficiency of energy transfer from BChl 808 to BChl 866 approaches 100%. From the minimal energy transfer rate between the two spectral forms of BChl a, obtained by analysis of low temperature fluorescence emission spectra, a maximal distance between BChl 808 and BChl 866 of 23 √Ö was derived. ¬© 1986 Martinus Nijhoff/Dr W. Junk Publishers.</t>
  </si>
  <si>
    <t>281-294</t>
  </si>
  <si>
    <t>60003878;60003878;60003878;60003878</t>
  </si>
  <si>
    <t>6506168927;7801620289;16467174100;7004456032</t>
  </si>
  <si>
    <t>Vasmel, Henk;Van Dorssen, Rob J.;De Vos, Gert J.;Amesz, Jan</t>
  </si>
  <si>
    <t>Netherlands</t>
  </si>
  <si>
    <t>Leiden</t>
  </si>
  <si>
    <t>Sterrewacht Leiden</t>
  </si>
  <si>
    <t>Vasmel H.</t>
  </si>
  <si>
    <t>Pigment organization and energy transfer in the green photosynthetic bacterium Chloroflexus aurantiacus - I. The cytoplasmic membrane</t>
  </si>
  <si>
    <t>10.1007/BF00014681</t>
  </si>
  <si>
    <t>2-s2.0-0008841821</t>
  </si>
  <si>
    <t>['‚ äêline', 'temporal resolution', 'scale sizes', 'remote probing', 'rapid progress', 'radio wavelength', 'polar cap', 'one half', 'observables contained', 'incidence angle', 'horizontal gradients', 'frequency expanded', 'desired spatial', 'current emphasis', 'copyright 1986', 'classical ionosonde', 'better understanding', 'auroral zone']</t>
  </si>
  <si>
    <t>Rapid progress in the integrated circuit market has led to new advanced techniques in the remote probing of the ionosphere with HF radio waves. The classical ionosonde which measured virtual height as a function of frequency expanded into a geophysical research tool by measuring all the observables contained in the electromagnetic signals reflected from the ionosphere: amplitude, phase, Doppler, incidence angle, and polarization. A receiving antenna array and high speed digital processing provide the desired spatial and temporal resolution. The current emphasis is on both the on‚Äêline and off‚Äêline postprocessing of the multiparameter ionogram data to extract the geophysically important ionospheric characteristics: the vertical electron density profiles, horizontal gradients (tilts and waves), plasma drift, the mid‚Äêlatitude F region trough, and auroral and equatorial spread F. Digital ionosonds deployed in the polar cap and the auroral zone have helped to obtain a better understanding of some of the high‚Äêlatitude features, and measurements of the equatorial spread F have shown the development and motion of the F region bubbles. HF coherent radar techniques for studying ionospheric irregularity structures measure the velocity of irregularities with scale sizes of one half the radio wavelength. They have mainly been used in the northern auroral zone. Copyright 1986 by the American Geophysical Union.</t>
  </si>
  <si>
    <t>331-341</t>
  </si>
  <si>
    <t>1944799X</t>
  </si>
  <si>
    <t>Radio Science</t>
  </si>
  <si>
    <t>May-June 1986</t>
  </si>
  <si>
    <t>Reinisch, Bodo W.</t>
  </si>
  <si>
    <t>Reinisch B.</t>
  </si>
  <si>
    <t>New techniques in ground‚Äêbased ionospheric sounding and studies</t>
  </si>
  <si>
    <t>10.1029/RS021i003p00331</t>
  </si>
  <si>
    <t>2-s2.0-0022062953</t>
  </si>
  <si>
    <t>['electronics engineers', 'concerned primarily', 'compact ranges']</t>
  </si>
  <si>
    <t>Current development efforts with compact ranges are concerned primarily with optimizing the performance of compact ranges. Copyright ¬© 1986 by The Institute of Electrical and Electronics Engineers, Inc.</t>
  </si>
  <si>
    <t>845-847</t>
  </si>
  <si>
    <t>Johnson, Richard C.</t>
  </si>
  <si>
    <t>Atlanta</t>
  </si>
  <si>
    <t>Georgia Tech Research Institute</t>
  </si>
  <si>
    <t>Johnson R.</t>
  </si>
  <si>
    <t>Some Design Parameters for Point-Source Compact Ranges</t>
  </si>
  <si>
    <t>10.1109/TAP.1986.1143907</t>
  </si>
  <si>
    <t>2-s2.0-0022079364</t>
  </si>
  <si>
    <t>['numerical applications', 'idemen e', 'homogeneous medium', 'frequency solution', 'forms appropriate', 'electronics engineers']</t>
  </si>
  <si>
    <t>The construction of a high-frequency solution for the generation of edge-diffracted space rays and edge-excited surface rays by Ana electromagnetic wave normally incident on the edge of a curved perfectly conducting surface surrounded by an homogeneous medium is considered. The solution is a collection of the results of second degree canonical problems considered by idemen e? ul. which will be cast into forms appropriate to numerical applications. Copyright ¬© 1986 by The Institute of Electrical and Electronics Engineers, Inc.</t>
  </si>
  <si>
    <t>837-841</t>
  </si>
  <si>
    <t>Serbest, A. Hamit</t>
  </si>
  <si>
    <t>Turkey</t>
  </si>
  <si>
    <t>Adana</t>
  </si>
  <si>
    <t>√áukurova √úniversitesi</t>
  </si>
  <si>
    <t>Serbest A.</t>
  </si>
  <si>
    <t>An Extension to GTD for an Edge on a Curved Perfectly Conducting Surface</t>
  </si>
  <si>
    <t>10.1109/TAP.1986.1143905</t>
  </si>
  <si>
    <t>2-s2.0-0022079738</t>
  </si>
  <si>
    <t>['¬© 1986', 'systematic way', 'statistical method', 'resonant responses', 'resonant region', 'relatively larger', 'proper evaluation', 'major importance', 'guyed mast', 'factor depends', 'dynamic response', 'background response', 'background region']</t>
  </si>
  <si>
    <t>The dynamic response of a guyed mast is relatively larger than for other structures. Thus a proper evaluation of the dynamic response is of major importance. The proposed simplified method separates the dynamic response into a low-frequency, background region and a high-frequency, resonant region. The background response has been estimated using patch loading. The resonant responses can be taken into account by multiplying the background response by a dynamic magnification factor. This factor depends, in a systematic way, on the average structural properties of the mast. The approach is illustrated by examples, and compared to a statistical method. ¬© 1986.</t>
  </si>
  <si>
    <t>487-499</t>
  </si>
  <si>
    <t>C</t>
  </si>
  <si>
    <t>Journal of Wind Engineering and Industrial Aerodynamics</t>
  </si>
  <si>
    <t>60011373;60010884</t>
  </si>
  <si>
    <t>7003479114;7202454110</t>
  </si>
  <si>
    <t>Gerstoft, Peter;Davenport, A. G.</t>
  </si>
  <si>
    <t>Denmark;Canada</t>
  </si>
  <si>
    <t>Lyngby;London</t>
  </si>
  <si>
    <t>Danmarks Tekniske Universitet;The University of Western Ontario</t>
  </si>
  <si>
    <t>Gerstoft P.</t>
  </si>
  <si>
    <t>A simplified method for dynamic analysis of a guyed mast</t>
  </si>
  <si>
    <t>0167-6105(86)90065-6</t>
  </si>
  <si>
    <t>10.1016/0167-6105(86)90065-6</t>
  </si>
  <si>
    <t>2-s2.0-0022086795</t>
  </si>
  <si>
    <t>['¬© 1986', 'wind loads', 'wind loading', 'surrounding terrain', 'strouhal frequencies', 'significant movements', 'pressure tappings', 'pressure measurements', 'present work', 'paraboloid aerial', 'natural frequencies', 'model aerial', 'method rather', 'first eigenvalues', 'experimental results', 'dynamic analysis', 'analysis suggests', 'also carried', 'aerials show', 'aerial disk', 'aerial could']</t>
  </si>
  <si>
    <t>The present work is concerned with the wind loads of a semi-paraboloid aerial. Experimental results from the wind tunnel test on models of such aerials show that the wind loading on these types of structures is very sensitive to the topography of the surrounding terrain. Results display differences in overall static loading of up to 40% between tests where both terrain and aerial were modelled and tests where only the model aerial was included. Significant movements of the centre of pressure were also observed due to variation in the terrain. The experimental work consisted of pressure measurements on the aerial disk. Positioning of the pressure tappings was carried out in conjuncion with the finite element mesh of the structural analysis programme so that the strength and weight of the aerial could be optimised. Dynamic analysis of the aerial was also carried out and the first eigenvalues of the aerial were estimated by the finite element programme. No correlation between the natural frequencies of the aerial and the Strouhal frequencies or the turbulence in the airflow was found to exist. The analysis suggests a structural improvement using the above method rather than overall loading considerations. ¬© 1986.</t>
  </si>
  <si>
    <t>141-148</t>
  </si>
  <si>
    <t>60068732;60004205</t>
  </si>
  <si>
    <t>6507797957;7006132916</t>
  </si>
  <si>
    <t>Arnesen, G.;Hold√∏, A. E.</t>
  </si>
  <si>
    <t>Norway;Norway</t>
  </si>
  <si>
    <t>Skedsmokorset;Trondheim</t>
  </si>
  <si>
    <t>Norwegian Defence Research Establishment;SINTEF Foundation for Scientific and Industrial Research</t>
  </si>
  <si>
    <t>Arnesen G.</t>
  </si>
  <si>
    <t>The wind loading on a disk shaped aerial placed in hilly terrain</t>
  </si>
  <si>
    <t>0167-6105(86)90038-3</t>
  </si>
  <si>
    <t>10.1016/0167-6105(86)90038-3</t>
  </si>
  <si>
    <t>2-s2.0-0022086975</t>
  </si>
  <si>
    <t>['¬© 1986', 'vibration characteristics', 'support locations', 'segment locations', 'ritz method', 'rights reserved', 'point joints', 'point conjunctions', 'numerical results', 'mechanical engineers', 'lagrange multipliers', 'japan society', 'geometric parameters', 'free vibration', 'elliptical planform', 'demonstrate effects', 'considered analytically', 'communication satellite', 'basic approach', 'antenna reflector']</t>
  </si>
  <si>
    <t>Natural frequency | Point Support | Satellite Antenna | Shallow Shell | Vibration of Continuous System</t>
  </si>
  <si>
    <t>The free vibration of a deployable antenna used in the communication satellite is considered analytically. The antenna reflector is modelled as the point supported shallow shell of elliptical planform, consisting of small shell segments combined each other by point joints. In the analysis, a Ritz method is used as a basic approach and Lagrange multipliers are introduced to accommodate constraint conditions on the point conjunctions, as well as on the supports. Numerical results are presented which demonstrate effects of varying the geometric parameters of segment locations, curvature and support locations on the vibration characteristics. ¬© 1986, The Japan Society of Mechanical Engineers. All rights reserved.</t>
  </si>
  <si>
    <t>288-293</t>
  </si>
  <si>
    <t>transactions of the japan society of mechanical engineers series c</t>
  </si>
  <si>
    <t>Narita, Yoshihiro</t>
  </si>
  <si>
    <t>Narita Y.</t>
  </si>
  <si>
    <t>Vibration Analysis of Antenna Structural Elements (2nd Report, Deployable Antenna for Communication Satellite)</t>
  </si>
  <si>
    <t>10.1299/kikaic.52.288</t>
  </si>
  <si>
    <t>2-s2.0-0022436531</t>
  </si>
  <si>
    <t>['specified range', 'region 2', 'region 1', 'poynting vector', 'power associated', 'plane boundary', 'maximum depth', 'magnetic dipole', 'lateral wave', 'horizontal antennas', 'geophysical exploration', 'effectively generates', 'copyright 1986', '2 ¬´']</t>
  </si>
  <si>
    <t>The formulas for the complete electromagnetic field in region 1 (z ‚â• 0, k1) due to a horizontal electric dipole also located in region 1 near its plane boundary with region 2 (z ‚â§ 0, k2; | k2 |2 ¬´ | k1 |2) are reviewed and applied to determine the moment of a magnetic dipole that effectively generates the field in region 2. Use is made of this field to determine the locus of the Poynting vector, the maximum depth of penetration into region 2 of the lateral wave part of the field, and the fraction of power associated with the lateral wave in a specified range. Application is made to the use of horizontal antennas on the seafloor for geophysical exploration of the lithosphere. Copyright 1986 by the American Geophysical Union.</t>
  </si>
  <si>
    <t>13-23</t>
  </si>
  <si>
    <t>January-February 1986</t>
  </si>
  <si>
    <t>;;</t>
  </si>
  <si>
    <t>35586046100;36899562000;7404816148</t>
  </si>
  <si>
    <t>King, Ronold W.P.;Owens, Margaret;Wu, Tai Tsun</t>
  </si>
  <si>
    <t>King R.W.P.</t>
  </si>
  <si>
    <t>Properties of lateral electromagnetic fields and their application</t>
  </si>
  <si>
    <t>10.1029/RS021i001p00013</t>
  </si>
  <si>
    <t>2-s2.0-0022439685</t>
  </si>
  <si>
    <t>['substantial mixture', 'simply matching', 'quite significant', 'one shortcoming', 'model predictions', 'modal polarization', 'matching equations', 'laterally homogeneous', 'ionospheric disturbances', 'commonly used', 'broadside component']</t>
  </si>
  <si>
    <t>A simple surface propagation model is commonly used to estimate the effects of ionospheric disturbances on extremely low frequency (ELF) propagation. Though often adequate, one shortcoming of the model is its failure to allow for excitation by the broadside component of a horizontal electric dipole. That excitation can be quite significant in a sporadic E environment because the modal polarization can then contain a substantial mixture of transverse electric component. This is demonstrated by considering a flat earth geometry with a vertical geomagnetic field superimposed on a laterally homogeneous, cylindrically symmetric disturbance centered over the transmitter. The method utilizes normal mode decomposition. Matching equations at the boundary of the disturbance are developed by evaluating height gain integrals, and it is shown that this method is tantamount to simply matching the ground vertical electric and azimuthal magnetic fields at the boundary. Results for a sporadic E type environment indicate substantial departures from other model predictions. This paper is not subject to U.S. copyright. Published in 1986 by the American Geophysical Union.</t>
  </si>
  <si>
    <t>106-116</t>
  </si>
  <si>
    <t>Pappert, Richard A.</t>
  </si>
  <si>
    <t>Pappert R.</t>
  </si>
  <si>
    <t>Broadside excitation of ELF by a horizontal dipole beneath a sporadic E environment: Theory</t>
  </si>
  <si>
    <t>10.1029/RS021i001p00106</t>
  </si>
  <si>
    <t>2-s2.0-0022440273</t>
  </si>
  <si>
    <t>['taking account', 'sleeve length', 'plasma wavelength', 'landau damping', 'frequency region', 'experimental results', 'copyright 1986', '1 mm']</t>
  </si>
  <si>
    <t>A sleeve monopole antenna whose length is comparable to a plasma wavelength has been studied both theoretically and experimentally in the frequency region for which there is electron plasma wave propagation. In taking account of Landau damping, it is found that if the sleeve length is larger than 25 Debye lengths, for the monopole of length 4 cm with a radius of 1 mm, then the input impedance becomes insensitive to further increase in sleeve length. The theoretical input impedances are found to be in good quantitative agreement with the experimental results. Copyright 1986 by the American Geophysical Union.</t>
  </si>
  <si>
    <t>159-165</t>
  </si>
  <si>
    <t>;</t>
  </si>
  <si>
    <t>35608208100;7402316805</t>
  </si>
  <si>
    <t>Egashira, S.;Morita, Y.</t>
  </si>
  <si>
    <t>Egashira S.</t>
  </si>
  <si>
    <t>A sleeve monopole antenna in a warm plasma</t>
  </si>
  <si>
    <t>10.1029/RS021i001p00159</t>
  </si>
  <si>
    <t>2-s2.0-0022440274</t>
  </si>
  <si>
    <t>['tropospheric turbulence', 'reflector antennas', 'practical circumstances', 'polarisation purity', 'existing theories', 'computed results']</t>
  </si>
  <si>
    <t>The random phase errors in the antenna aperture caused by tropospheric turbulence are put in a form such that existing theories for the analysis of reflector antennas with random surface errors can be used to determine the antenna pattern degradation. Some computed results are presented and discussed, indicating the practical circumstances in which tropospheric turbulence may influence the polarisation purity of reflector antennas.</t>
  </si>
  <si>
    <t>19-21</t>
  </si>
  <si>
    <t>AEU. Archiv fur Elektronik und Ubertragungstechnik</t>
  </si>
  <si>
    <t>Herben, Mathieu H.A.J.</t>
  </si>
  <si>
    <t>Eindhoven</t>
  </si>
  <si>
    <t>Technische Universiteit Eindhoven</t>
  </si>
  <si>
    <t>Herben M.</t>
  </si>
  <si>
    <t>CROSS-POLARISATION PROPERTIES OF REFLECTOR ANTENNAS IN THE PRESENCE OF TROPOSPHERIC TURBULENCE.</t>
  </si>
  <si>
    <t>2-s2.0-0022440567</t>
  </si>
  <si>
    <t>['unknowns required', 'scattering problems', 'numerical results', 'method enables', 'input impedance', 'general class', 'cylindrical antenna', 'current distribution', 'basis functions']</t>
  </si>
  <si>
    <t>A method has been developed to extend the spectral iteration technique to encompass a more general class of subdomain type basis functions. While retaining the advantages of the spectral iteration technique, this method enables the usage of basis functions other than piecewise constant basis functions in expressing the unknown current distribution. Advantages of this technique with the choice of piecewise sinusoidal basis functions as compared to piecewise constant basis functions have been demonstrated for both antenna and scattering problems. This choice of basis functions is found to result in a further reduction in the number of unknowns required to represent the current distribution. Numerical results of the input impedance for a cylindrical antenna and the scattering cross section of a thin flat plate are presented and discussed. ¬© 1986 IEEE</t>
  </si>
  <si>
    <t>51-57</t>
  </si>
  <si>
    <t>60014097;60014097</t>
  </si>
  <si>
    <t>7006898765;57198008972</t>
  </si>
  <si>
    <t>Bokhari, S. A.;Balakrishnan, N.</t>
  </si>
  <si>
    <t>India</t>
  </si>
  <si>
    <t>Bengaluru</t>
  </si>
  <si>
    <t>Indian Institute of Science</t>
  </si>
  <si>
    <t>Bokhari S.A.</t>
  </si>
  <si>
    <t>A Method to Extend the Spectral Iteration Technique</t>
  </si>
  <si>
    <t>10.1109/TAP.1986.1143730</t>
  </si>
  <si>
    <t>2-s2.0-0022441604</t>
  </si>
  <si>
    <t>['used routinely', 'spectrum equipments', 'space techniques', 'routine basis', 'present goal', 'ordinary links', 'longer observations', 'ground tv', 'f transfers', 'daily basis', 'cs link', '100 ns', '10 ns']</t>
  </si>
  <si>
    <t>Time and Frequency (T/F) transfer systems using space links developed at the Radio Research Laboratories (RRL) are described. The domestic T/F transfer system uses the Japanese communication satellite CS-2/broadcasting satellite BS-2 and the Global Positioning System (GPS) in addition to the ordinary links of ground TV and Loran-C. The Asian area transfer system makes use of the Geostationary Meteorological Satellite (GMS) and a Very Long Baseline Interferometer (VLBI) as well as Loran-C. Other systems for international T/F transfers depend on the space techniques of the GPS and the VLBI. Spread-spectrum equipments for T/F transfers have recently been built to realize both precision and accuracy of about 1 ns via the CS link, together with a 1-m mobile antenna station. Receivers have been developed at RRL to be used routinely for the GPS and GMS T/F transfers on a daily basis with a precision of 10 ns or more and an accuracy of less than 100 ns. T/F transfer experiments using a VLBI system developed at RRL have been conducted on a routine basis about once a month with the U.S. Naval Observatory since April of 1985. The present goal of accuracy is 10 ns with 10-min or longer observations. ¬© 1986 IEEE</t>
  </si>
  <si>
    <t>157-160</t>
  </si>
  <si>
    <t>Proceedings of the IEEE</t>
  </si>
  <si>
    <t>;;;;;;</t>
  </si>
  <si>
    <t>7402330553;7004670082;6506043550;7201878418;35417993000;56307183900;57220720119</t>
  </si>
  <si>
    <t>Yoshimura, Kazuyuki;Imae, Michito;Urazuka, Makoto;Morikawa, Takao;Yoshino, Taizo;Kobayashi, Saburo;Igarashi, Takashi</t>
  </si>
  <si>
    <t>Yoshimura K.</t>
  </si>
  <si>
    <t>Research Activities on Time and Frequency Transfer Using Space Links</t>
  </si>
  <si>
    <t>10.1109/PROC.1986.13427</t>
  </si>
  <si>
    <t>2-s2.0-0022443065</t>
  </si>
  <si>
    <t>['numerical tecbnique', 'metallic masts', 'experimental results']</t>
  </si>
  <si>
    <t>A numerical tecbnique has been presented for analysis of practical folded dipole antennas mounted on metallic masts. Results have been compared against experimental results and excellent agreement obtained demonstrates the capability of this method. ¬© 1986 IEEE</t>
  </si>
  <si>
    <t>99-103</t>
  </si>
  <si>
    <t>60033021;60089314</t>
  </si>
  <si>
    <t>6701798691;6507001698</t>
  </si>
  <si>
    <t>Kalhor, Hassan A.;Mallahzadeh, A. R.</t>
  </si>
  <si>
    <t>Iran;United States</t>
  </si>
  <si>
    <t>Tehran;Albuquerque</t>
  </si>
  <si>
    <t>Iran Electronics Industries;The University of New Mexico</t>
  </si>
  <si>
    <t>60089314;60033021</t>
  </si>
  <si>
    <t>Kalhor H.A.</t>
  </si>
  <si>
    <t>Analysis of a Folded Dipole Antenna Mounted on a Cylindrical Metallic Mast</t>
  </si>
  <si>
    <t>10.1109/TAP.1986.1143732</t>
  </si>
  <si>
    <t>2-s2.0-0022445208</t>
  </si>
  <si>
    <t>['thoracic ganglia', 'suboesophageal ganglion', 'small commissures', 'several fibers', 'receptor cells', 'may descend', 'compound eyes', 'cervical connective', 'antisera generated', 'antennal lobes', 'also labelled']</t>
  </si>
  <si>
    <t>Apis mellifera | immunohistochemistry | insect nervous system | Œ≥‚Äêaminobutyric acid</t>
  </si>
  <si>
    <t>The distribution of GABA‚Äêlike immunoreactivity in the brain of the honeybee was investigated with antisera generated against GABA protein conjugates. The binding of the antisera in paraffin serial sections was studied with the peroxidase‚Äêantiperoxidase method. GABA‚Äêlike immunoreactive fibers appeared in all main neuropile areas. The staining of the optic lobes showed pronounced stratification. The receptor cells of compound eyes, ocelli, and antennae were not labelled. Several prominent fiber tracts showed GABA‚Äêlike immunoreactivity, whereas other tracts were devoid of staining. There are no major immunoreactive commissures linking the two brain hemispheres with the exception of small commissures that bridge short distances between the Œ≤‚Äêlobes and the antennal lobes. Several fibers in the cervical connective were also labelled; some of those may descend from the suboesophageal ganglion to the thoracic ganglia. The dense reactivity seen in the optic and antennal neuropiles implies that GABA is more important in mediating local rather than more distant neural interactions. Copyright ¬© 1986 Alan R. Liss, Inc.</t>
  </si>
  <si>
    <t>287-300</t>
  </si>
  <si>
    <t>Journal of Comparative Neurology</t>
  </si>
  <si>
    <t>60000762;60000762</t>
  </si>
  <si>
    <t>7103283215;7006119207</t>
  </si>
  <si>
    <t>Sch√§fer, Sabine;Bicker, Gerd</t>
  </si>
  <si>
    <t>Germany</t>
  </si>
  <si>
    <t>Berlin</t>
  </si>
  <si>
    <t>Humboldt-Universit√§t zu Berlin</t>
  </si>
  <si>
    <t>Sch√§fer S.</t>
  </si>
  <si>
    <t>Distribution of GABA‚Äêlike immunoreactivity in the brain of the honeybee</t>
  </si>
  <si>
    <t>10.1002/cne.902460302</t>
  </si>
  <si>
    <t>2-s2.0-0022453187</t>
  </si>
  <si>
    <t>['wallops island', 'va .,', 'specifically demonstrated', 'simulation example', 'rain measurements', 'rain .-', 'lower troposphere', 'improved measurements', 'directed toward', 'deconvolution methods', 'considered vital', 'beam averaging', 'altimeter data']</t>
  </si>
  <si>
    <t>The method uses deconvolution and Fourier transform procedures and assumes a knowledge of the antenna beam pattern. As an example, the method is directed toward the application of future spaceborne radar altimeters that may contain additional range gates to permit the measurement of rain in the lower troposphere. Using a radar-measured rain reflectivity profile acquired at Wallops Island, Va., in a simulation example, it is specifically demonstrated that improved measurements of the spatial frequency spectrum of the rain structure may be deduced by means of deconvolution methods, as compared to the measured spectrum derived by beam averaging. Rain measurements are considered vital from the standpoint of providing a flag for altimeter data that may be corrupted by rain.-from Authors</t>
  </si>
  <si>
    <t>2338-2344</t>
  </si>
  <si>
    <t>C2</t>
  </si>
  <si>
    <t>Journal of Geophysical Research</t>
  </si>
  <si>
    <t>60022054;60022054</t>
  </si>
  <si>
    <t>7005208323;7006181448</t>
  </si>
  <si>
    <t>Goldhirsh, J.;Monaldo, F. M.</t>
  </si>
  <si>
    <t>Laurel</t>
  </si>
  <si>
    <t>Johns Hopkins University Applied Physics Laboratory</t>
  </si>
  <si>
    <t>Goldhirsh J.</t>
  </si>
  <si>
    <t>Achieving improved frequency response of the rain structure from spaceborne radar altimeters by employing deconvolution methods.</t>
  </si>
  <si>
    <t>10.1029/JC091iC02p02338</t>
  </si>
  <si>
    <t>2-s2.0-0022463108</t>
  </si>
  <si>
    <t>['vibration results', 'specific geometries', 'size associated', 'rotational symmetry', 'rights reserved', 'repetitive geometry', 'repeating element', 'rectangular platforms', 'previous work', 'inc .,', 'developed incorporating', 'coordinate directions', 'computer program', 'cablestiffened rings', 'buckling analysis', 'axial load', 'also given']</t>
  </si>
  <si>
    <t>A method is presented for vibration and buckling analysis of arbitrary lattice structures having repetitive geometry in any combination of coordinate directions. The approach is based on exact member theory representing the stiffness of an individual member subject to axial load and, in the case of vibration, undergoing harmonic oscillation. The method is an extension of previous work that was limited to specific geometries. The resulting eigenvalue problem is of the size associated with the repeating element of the structure. A computer program has been developed incorporating the theory, and results are given for vibration of rectangular platforms and a large antenna structure having rotational symmetry. Buckling and vibration results for cablestiffened rings are also given. ¬© 1986 American Institute of Aeronautics and Astronautics, Inc., All rights reserved.</t>
  </si>
  <si>
    <t>163-169</t>
  </si>
  <si>
    <t>AIAA Journal</t>
  </si>
  <si>
    <t>60000854-60023998</t>
  </si>
  <si>
    <t>Anderson, M. S.</t>
  </si>
  <si>
    <t>United Kingdom;United States</t>
  </si>
  <si>
    <t>Cardiff;Hampton</t>
  </si>
  <si>
    <t>Cardiff University;NASA Langley Research Center</t>
  </si>
  <si>
    <t>60023998;60000854</t>
  </si>
  <si>
    <t>Anderson M.</t>
  </si>
  <si>
    <t>Natural vibration and buckling of general periodic lattice structures</t>
  </si>
  <si>
    <t>10.2514/3.9237</t>
  </si>
  <si>
    <t>2-s2.0-0022463351</t>
  </si>
  <si>
    <t>['tracing code', 'single transit', 'real space', 'per cent', 'minority heating', 'like parameters', 'large tokamak', 'ioncyclotron range', 'intor plasmas', 'increased considerably', 'heating produced', 'greatly reduced', 'first time', 'elongation k', 'demonstrated explicitly', 'coaxial modes', 'circular net', 'case treated', 'antenna configuration', 'absorption layer']</t>
  </si>
  <si>
    <t>The heating produced by magnetosonic waves launched from phased antenna arrays in the ioncyclotron range of frequencies is studied for a large tokamak with NET/INTOR-like parameters. The model used combines a 3-D planar, cold-plasma, antenna-plasma coupling code and a 3-D non-circular, toroidal, hot-plasma/ ray-tracing code. First, the fractional power absorption of a ray during a single transit through the absorption layer is studied in a D-T plasma indicating total absorption in all INTOR cases except during the initial state characterized by low plasma temperature and density. However, in this case the single-pass wave absorption can be increased considerably by adding a few per cent of hydrogen. Further, complete power deposition profiles and Poynting vector distributions are presented for ‚Äòsymmetric‚Äô and ‚Äòantisymmetric‚Äô 2X2 antenna array configurations with k-shaping. Excitation of coaxial modes has, for the first time, been demonstrated explicitly by analysis of the Poynting vector distribution in real space. An antenna configuration with a œÄ-phasing in the z-direction (such that the radiated power spectrum peaks at k = 5 m-1) and the choice of 3Œª/4 long antenna elements with ‚Äòsymmetric‚Äô excitation in the y-direction, are found to produce central RF power deposition profiles in the second- harmonic and minority heating of INTOR. Finally, from a comparison of results for circular and non-circular NET/INTOR plasmas with elongation k = 1.6, it is found that in the latter wave focusing is greatly reduced and that the power density figures are lower by approximately a factor of 1.9 for the case treated. ¬© 1986 IOP Publishing Ltd.</t>
  </si>
  <si>
    <t>61-72</t>
  </si>
  <si>
    <t>Nuclear Fusion</t>
  </si>
  <si>
    <t>60025104;60004280</t>
  </si>
  <si>
    <t>7102660576;7403189436</t>
  </si>
  <si>
    <t>Bhatnagar, V. P.;Koch, R.</t>
  </si>
  <si>
    <t>United Kingdom;Belgium</t>
  </si>
  <si>
    <t>;Brussels</t>
  </si>
  <si>
    <t>EFDA-JET;Koninklijke Militaire School - Ecole Royale Militaire</t>
  </si>
  <si>
    <t>Bhatnagar V.P.</t>
  </si>
  <si>
    <t>Power deposition profiles and poynting vector distribution of phased antenna arrays in the ion-cyclotron resonance heating of a net/intor-type tokamak</t>
  </si>
  <si>
    <t>10.1088/0029-5515/26/1/006</t>
  </si>
  <si>
    <t>2-s2.0-0022463985</t>
  </si>
  <si>
    <t>['wallops island', 'transverse magnetic', 'transverse electric', 'tm signal', 'tm fields', 'te signal', 'propagates via', 'measured ones', 'copyright 1986', '10 km']</t>
  </si>
  <si>
    <t>Airborne VLF antennas radiate energy that propagates via both transverse electric (TE) and transverse magnetic (TM) modes in the earth‚Äêionosphere waveguide. In order to compare the structure of such signals, measurements were made using rocket probes launched from Wallops Island, Virginia. The probes measured TE and TM fields at all altitudes between the ground and the base of the ionosphere. The nearly horizontal airborne transmitting antenna radiated a TE signal that was stronger than its TM signal at altitudes above about 10 km. The signals comprised one or more well‚Äêdefined TE or TM waveguide modes. Calculated height profiles agree well with the measured ones and correctly reproduce details of profile structure caused by interaction between two or more modes. Copyright 1986 by the American Geophysical Union.</t>
  </si>
  <si>
    <t>141-149</t>
  </si>
  <si>
    <t>;;;;</t>
  </si>
  <si>
    <t>7201526033;6603008043;6603752383;57216295367;7403907213</t>
  </si>
  <si>
    <t>Field, E. C.;Warber, C. R.;Kossey, P. A.;Lewis, E. A.;Harrison, R. P.</t>
  </si>
  <si>
    <t>Field E.C.</t>
  </si>
  <si>
    <t>Comparison of calculated and measured height profiles of transverse electric VLF signals across the daytime earth‚Äêionosphere waveguide</t>
  </si>
  <si>
    <t>10.1029/RS021i001p00141</t>
  </si>
  <si>
    <t>2-s2.0-0022470084</t>
  </si>
  <si>
    <t>['reflector antenna', 'phenomenon must', 'null shift', 'different values', 'beam squint']</t>
  </si>
  <si>
    <t>A formula for the null shift of the difference mode pattern of an offset-reflector antenna is derived. It is shown that this null shift and the beam squint of the sum mode pattern have different values. Such a phenomenon must be considered in the design of a two-channel tracking system. ¬© 1986 IEEE</t>
  </si>
  <si>
    <t>97-99</t>
  </si>
  <si>
    <t>60011688;60011688</t>
  </si>
  <si>
    <t>7003568836;7004488715</t>
  </si>
  <si>
    <t>Luh, Howard H.S.;Tsao, Alex C.H.</t>
  </si>
  <si>
    <t>Palo Alto</t>
  </si>
  <si>
    <t>Space Systems Loral</t>
  </si>
  <si>
    <t>Luh H.</t>
  </si>
  <si>
    <t>Null Shift and Beam Squint in Circularly Polarized Offset-Reflector Antenna</t>
  </si>
  <si>
    <t>10.1109/TAP.1986.1143724</t>
  </si>
  <si>
    <t>2-s2.0-0022471357</t>
  </si>
  <si>
    <t>['national oceanic', 'doppler velocities', 'crossed dipole', 'copyright 1986', 'atmospheric administration']</t>
  </si>
  <si>
    <t>The reconfiguration of both the receiver dipole array and the pulse set used by the National Oceanic and Atmospheric Administration (NOAA) HF radar enables all ambiguity in polarization to be removed. Further, it enables the aliasing of Doppler velocities to be reduced by a factor of 2, which allows more flexibility in the pulse repetition rate used and permits lower velocities to be detected above the noise. The revised four‚Äêdipole array is L‚Äêshaped, with a crossed dipole at the corner. The addition of two extra dipoles provides the facility for unambiguous ‚Äúsky map‚Äù echo location. Copyright 1986 by the American Geophysical Union.</t>
  </si>
  <si>
    <t>151-158</t>
  </si>
  <si>
    <t>57198249844;6603207884</t>
  </si>
  <si>
    <t>Jarvis, M. J.;Dudeney, J. R.</t>
  </si>
  <si>
    <t>Jarvis M.</t>
  </si>
  <si>
    <t>Reduction of ambiguities in HF radar results through a revised receiving antenna array and sounding pattern</t>
  </si>
  <si>
    <t>10.1029/RS021i001p00151</t>
  </si>
  <si>
    <t>2-s2.0-0022475141</t>
  </si>
  <si>
    <t>['three second', 'separation constant', 'radiation fields', 'positive integer', 'length excited', 'e .,', 'differential equations', 'asymptotic solutions', 'arbitrary source']</t>
  </si>
  <si>
    <t>Maxwell's equations in prolate spheroidal coordinates have been separated into three second-order differential equations. These differential equations, satisfied by Œæ and n, were solved for the frequency parameter c &gt; 10 and the separation constant m = 1, i.e., the uniform circumferential excitations. The asymptotic solutions of the equations for any positive integer m &gt; 1 and c &gt; 10 are given. Thereby, the radiation fields of the metallic prolate spheroid of any length excited by an arbitrary source can be calculated. ¬© 1986 IEEE</t>
  </si>
  <si>
    <t>114-119</t>
  </si>
  <si>
    <t>Hu, Chuan Shi</t>
  </si>
  <si>
    <t>China</t>
  </si>
  <si>
    <t>Xi'an</t>
  </si>
  <si>
    <t>Xian Institute of Radio Technology</t>
  </si>
  <si>
    <t>Hu C.S.</t>
  </si>
  <si>
    <t>Prolate Spheroidal wave Functions of Large Frequency Parameters c = kf and their Applications in Electromagnetic Theory</t>
  </si>
  <si>
    <t>10.1109/TAP.1986.1143731</t>
  </si>
  <si>
    <t>2-s2.0-0022482209</t>
  </si>
  <si>
    <t>['treatment modalities', 'previously demonstrated', 'oncolytic effect', 'modality clinically', 'malignant gliomas', 'interstitial hyperthermia', 'implanted using', 'controlled hyperthermia', 'computerized tomography', 'cell culture', 'assisted technique', 'animal models', '42 ¬∞', '192 irradiation']</t>
  </si>
  <si>
    <t>An oncolytic effect of hyperthermia in the 42¬∞ to 43¬∞C range has been previously demonstrated in cell culture and animal models. To apply this modality clinically, an interstitial microwave antenna array system has been developed for the delivery of controlled hyperthermia to an intracranial tumor volume, and a Phase I clinical trial involving six patients with malignant gliomas was undertaken. The protocol to study technical feasibility and patient tolerance combined interstitial iridium-192 irradiation and interstitial hyperthermia with 60-minute hyperthermia sessions immediately before and after brachytherapy. After-loading catheters suitable for both treatment modalities were implanted using a computerized tomography-assisted technique. Thermometry data confirmed the ability of a microwave antenna system to achieve reliable temperature distributions, and reasonable patient tolerance was documented.</t>
  </si>
  <si>
    <t>581-587</t>
  </si>
  <si>
    <t>Journal of Neurosurgery</t>
  </si>
  <si>
    <t>60001844;60001844;60001844;;;</t>
  </si>
  <si>
    <t>14023621200;7007000893;7403531361;7003432435;7003894176;7005534211</t>
  </si>
  <si>
    <t>Roberts, D. W.;Coughlin, C. T.;Wong, T. Z.;Fratkin, J. D.;Douple, E. B.;Strohbehn, J. W.</t>
  </si>
  <si>
    <t>Lebanon</t>
  </si>
  <si>
    <t>Dartmouth-Hitchcock Medical Center</t>
  </si>
  <si>
    <t>Roberts D.</t>
  </si>
  <si>
    <t>Interstitial hyperthermia and iridium brachytherapy in treatment of malignant glioma. A phase I clinical trial</t>
  </si>
  <si>
    <t>10.3171/jns.1986.64.4.0581</t>
  </si>
  <si>
    <t>2-s2.0-0022485614</t>
  </si>
  <si>
    <t>['wiley company', 'represented taking', 'practical method', 'numerical examples', 'normal use', 'input impedance', 'inc .,', 'fundamental characteristics', 'element lengths', 'earlier papers', 'design conditions', 'coupling gaps', 'circular polarization', 'antenna gain']</t>
  </si>
  <si>
    <t>In earlier papers, we proposed a circularly polarized printed array antenna composed of strips and slots (CP‚ÄêPASS). We showed that it possessed good properties such as a good axial ratio, a relatively high gain, and had sufficient frequency bandwidths. The purpose of this paper is to obtain a practical design method for CP‚ÄêPASS in order to realize a desired radiation pattern or to increase further its antenna gain. First, an equivalent circuit model of a basic element set of CP‚ÄêPASS is represented taking into account interelement couplings and a feed line loss. On the basis of the equivalent circuit model, design conditions of circular polarization and input impedance matching are formulated for a normal use of CP‚ÄêPASS. Second, satisfying the above conditions, a procedure for determination of an arrangement, dimensions and input impedance of the elements is described to realize desired antenna properties. Numerical examples of CP‚ÄêPASS with uniform aperture distributions are shown to clarify its fundamental characteristics. Third, a practical method for determination of the element lengths and coupling gaps is described on the basis of the basic radiating‚Äêelement characteristics obtained before. Finally, to demonstrate the validity of the design method presented here, a Chebyshevarray CP‚ÄêPASS consisting of four element sets is designed and tested as an example. Copyright ¬© 1986 Wiley Periodicals, Inc., A Wiley Company</t>
  </si>
  <si>
    <t>65-74</t>
  </si>
  <si>
    <t>Electronics and Communications in Japan (Part I: Communications)</t>
  </si>
  <si>
    <t>60002787;60002787</t>
  </si>
  <si>
    <t>57223664212;7102682169</t>
  </si>
  <si>
    <t>Ito, Koichi;Kitajima, Hiroshi</t>
  </si>
  <si>
    <t>Chiba</t>
  </si>
  <si>
    <t>Chiba University</t>
  </si>
  <si>
    <t>Ito K.</t>
  </si>
  <si>
    <t>A practical design of circularly polarized printed array antenna composed of strip dipoles and slots</t>
  </si>
  <si>
    <t>10.1002/ecja.4410690108</t>
  </si>
  <si>
    <t>2-s2.0-0022487245</t>
  </si>
  <si>
    <t>['¬± 1', 'wiley company', 'several hours', 'operated continuously', 'occupational safety', 'nbs ).', 'national institute', 'national bureau', 'monitor developed', 'measured 5', 'loop applicators', 'induction heaters', 'inc .,', 'heaters ),', 'frequency range', 'fields ranged', 'dynamic range', 'approximately 30', '76 cm', '51 cm', '500 a2', '300 khz', '300 a2', '3 db', '100 mhz', '000 a2', '0 db']</t>
  </si>
  <si>
    <t>magnetic field strength monitor | occupational RF exposures | RF induction heaters</t>
  </si>
  <si>
    <t>We discuss initial magnetic field strength measurements made around radiofrequency (RF) induction heaters. These measurements were made with a monitor developed for the National Institute for Occupational Safety and Health (NIOSH) by the National Bureau of Standards (NBS). The monitor has a dynamic range of .01 to 10,000 A2/m2, a frequency range of 300 kHz to 100 MHz, an isotropic response (¬± .3 dB) with three mutally orthogonal loop antennas that have the ability to measure and display each of three orthogonal magnetic field components, a high probe burnout protection level of 20,000 A2/m2, and an accuracy of ¬± 1.0 dB at 13 calibration frequencies. The portable survey monitor was used to measure the magnetic field strengths in the vicinity of 16 RF induction heaters. Typically these induction heaters are operated continuously for several hours. The maximum field strengths (without duty factor correction) ranged from 15 to 4,500 A2/m2 and were measured 5 to 51 cm from the loop applicators of the induction heaters. At locations commonly occupied by workers (ie, approximately 30 to 76 cm from heaters), the fields ranged from .01 to 300 A2/m2 (without duty factor correction). Copyright ¬© 1986 Wiley‚ÄêLiss, Inc., A Wiley Company</t>
  </si>
  <si>
    <t>83-90</t>
  </si>
  <si>
    <t>1521186X</t>
  </si>
  <si>
    <t>Bioelectromagnetics</t>
  </si>
  <si>
    <t>60003103;60003103;60003103;60003103</t>
  </si>
  <si>
    <t>57201608518;7201983296;7004638377;56390604200</t>
  </si>
  <si>
    <t>Conover, David L.;Murray, William E.;Lary, Joseph M.;Johnson, Peggy H.</t>
  </si>
  <si>
    <t>Washington, D.C.</t>
  </si>
  <si>
    <t>National Institute for Occupational Safety and Health</t>
  </si>
  <si>
    <t>Conover D.</t>
  </si>
  <si>
    <t>Magnetic field measurements near RF induction heaters</t>
  </si>
  <si>
    <t>10.1002/bem.2250070109</t>
  </si>
  <si>
    <t>2-s2.0-0022487993</t>
  </si>
  <si>
    <t>['sumitomo electric', 'rf circuit', 'microstrip pattern', 'local oscillator', 'fiber substrate']</t>
  </si>
  <si>
    <t>Sumitomo Electric has developed a low noise converter for use in satellite broadcasting reception. The low noise converter is composed of a LNA (Low Noise Amplifier), a mixer, a local oscillator, and an IF amplifier. A 2-stage GaAs FET amplifier and a dielectric-resonator-stabilized FET oscillator have been used in the LNA and the local oscillator respectively. In the mixer, the single-ended mixer method has been employed. The rf circuit which comprises them is made up of a microstrip pattern on a Teflon/glass-fiber substrate.</t>
  </si>
  <si>
    <t>104-109</t>
  </si>
  <si>
    <t>Sumitomo Electric Technical Review</t>
  </si>
  <si>
    <t>7003652097;7102486396;6507197305</t>
  </si>
  <si>
    <t>Shibano, Yoshizo;Ikeda, Jun ichi;Norikane, Toshio</t>
  </si>
  <si>
    <t>Shibano Y.</t>
  </si>
  <si>
    <t>LOW NOISE RECEIVER FOR SATELLITE BROADCASTING.</t>
  </si>
  <si>
    <t>2-s2.0-0022488223</t>
  </si>
  <si>
    <t>['rights reserved', 'results show', 'radio communications', 'plume chemistry', 'path contributions', 'motor propellants', 'model relies', 'missile antenna', 'minor role', 'ionized plume', 'individual components', 'increased accuracy', 'final results', 'fields outside', 'electromagnetic waves', 'electromagnetic wave', 'dimensional propagation', 'diffraction cases', 'diffraction around', 'dead zones', 'dead zone', 'computational model', 'classical refraction', 'analytical model', 'adverse effects']</t>
  </si>
  <si>
    <t>An analytical model has been developed to define the adverse effects that missile exhaust plumes have on radio communications with the missile. The computational model, RD3D, describes the three-dimensional propagation of electromagnetic waves through an ionized plume by refraction, the formation of blackout or dead zones, and dual-path contributions by diffraction from the fields outside the dead zone to the missile. The model relies on highly refined computations of the nozzle and plume chemistry and flowfields to establish the electron density distributions in the plume. These distributions are collapsed to a closed-form plume model for use in RD3D, a technique that contributes to computational time savings and increased accuracy. Results show the distortion of an electromagnetic wave as it encounters the plume and the received signal strength at the missile antenna. In order to verify the model and the individual components, comparisons are made to a number of classical refraction and diffraction cases, subscale missile diffraction tests, and full-scale missile development flight data. Results indicate refraction plays only a minor role in the received signal strength, while diffraction around an opaque circular disk may closely approximate the final results for motor propellants having high alkali content. ¬© American Institute of Aeronautics and Astronautics, Inc., 1986, All rights reserved.</t>
  </si>
  <si>
    <t>39-46</t>
  </si>
  <si>
    <t>Journal of Spacecraft and Rockets</t>
  </si>
  <si>
    <t>60073775;60073775</t>
  </si>
  <si>
    <t>7003634613;6602616689</t>
  </si>
  <si>
    <t>Senol, A. J.;Romine, G. L.</t>
  </si>
  <si>
    <t>Martin Marietta Corporation</t>
  </si>
  <si>
    <t>Senol A.</t>
  </si>
  <si>
    <t>Three-dimensional refraction/diffraction of electromagnetic waves through rocket exhaust plumes</t>
  </si>
  <si>
    <t>10.2514/3.25081</t>
  </si>
  <si>
    <t>2-s2.0-0022488235</t>
  </si>
  <si>
    <t>['simpler design', 'simple design', 'similar cross', 'polar bandwidth', 'new horn', 'metal wall', 'lower permittivity', 'low sidelobes', 'loaded corrugations', 'dielectric losses', 'corrugated horns', 'core material', 'attractive alternative', 'analyzed theoretically']</t>
  </si>
  <si>
    <t>A hybrid-mode horn antenna has been analyzed theoretically and experimentally. It consists of a conical metal horn with a dielectric core inside, separated from the metal wall by another dielectric layer with lower permittivity than for the core material. It is characterized by a very simple design and excellent electrical performance. The horn can support the balanced hybrid HEn-mode, and exhibits low cross polarization and low sidelobes over wvntsa wide frequency range. Compared to corrugated horns, the new horn has a simpler design, is easier to analyze, and has the potential of similar cross-polar bandwidth as for corrugated horns with ring-loaded corrugations. Drawbacks are the effects of dielectric losses. Thus the new horn represents an attractive alternative to the corrugated horn antenna. ¬© 1986 IEEE</t>
  </si>
  <si>
    <t>21-29</t>
  </si>
  <si>
    <t>Lier, Erik</t>
  </si>
  <si>
    <t>Norway</t>
  </si>
  <si>
    <t>Trondheim</t>
  </si>
  <si>
    <t>Norges Teknisk-Naturvitenskapelige Universitet</t>
  </si>
  <si>
    <t>Lier E.</t>
  </si>
  <si>
    <t>A Dielectric Hybrid Mode Antenna Feed: A Simple Alternative to the Corrugated Horn</t>
  </si>
  <si>
    <t>10.1109/TAP.1986.1143728</t>
  </si>
  <si>
    <t>2-s2.0-0022488556</t>
  </si>
  <si>
    <t>['representative selection', 'repetitively changed', 'rendered secure', 'relative dimensions', 'military communications', 'maintain security', 'fully broad', 'frequency changes', 'enemy eavesdropping', 'conveniently met', 'carrier frequency', 'banded designs', 'author reports', 'antenna requirement', 'airborne service', 'agile capability']</t>
  </si>
  <si>
    <t>One of the means by which military communications are rendered secure against enemy eavesdropping is the process of frequency-agility or 'hopping,' whereby the carrier frequency is repetitively changed at rates of up to a thousand per second, according to some pre-arranged random pattern. The pattern of frequency changes or 'hops' can be varied whenever necessary to maintain security. The antenna requirement for frequency-agile capability is most conveniently met by fully broad-banded designs, covering the full frequency range without tuning or other adjustment, in circumstances where acceptable dimensions make this possible. The author reports the relative dimensions and form of a representative selection of antenna blade designs for airborne service.</t>
  </si>
  <si>
    <t>17-22</t>
  </si>
  <si>
    <t>Electronics &amp; wireless world</t>
  </si>
  <si>
    <t>Cooper, Charles E.</t>
  </si>
  <si>
    <t>Cooper C.</t>
  </si>
  <si>
    <t>REMOTELY TUNABLE ANTENNAS FOR FREQUENCY-HOPPING.</t>
  </si>
  <si>
    <t>2-s2.0-0022488924</t>
  </si>
  <si>
    <t>['¬© 1986', 'two classes', 'sialylated polylactosamine', 'sialylated n', 'sialic acid', 'rights reserved', 'results demonstrate', 'resistant mutants', 'previous studies', 'poorly metastatic', 'phenotypic class', 'organ colonization', 'metastatic potential', 'metastatic phenotypes', 'linked oligosaccharide', 'lectin binding', 'glycoconjugate structure', 'genetic complimentation', 'd2 depends', 'containing antennae', 'characteristic changes', 'cancer research', 'bind wga', 'american association', 'acetylneuraminic acid', 'acetyllactosamine found']</t>
  </si>
  <si>
    <t>Spontaneous wheat germ agglutinin (WGA)-resistant mutants of the highly metastatic tumor line MDAY-D2 have been grouped into two classes by (a) genetic complimentation in somatic cell hybrids, (b) lectin binding to plasma membrane glycoproteins, and (c) metastatic phenotypes. Class 1 mutants were recessive in somatic cell hybrids between mutant and wild type cells; they were poorly metastatic in an organ colonization assay and nonmetastatic in the spontaneous metastasis assay. The class 1 mutants had prematurely truncated asparagine-linked oligosaccharides terminating in N-acetylglucosamine, rather than the sialylated N-acetyllactosamine found in wild type cells. The class 2 mutation was dominant in somatic cell hybrids between mutant and wild type cells. The cell lines retained the highly metastatic phenotype in both organ colonization and spontaneous metastasis assays. The plasma membrane glycoproteins of the class 2 mutants were similar to those of MDAY-D2 cells including the presence of sialylated polylactosamine-containing antennae in the asparagine-linked oligosaccharide. However, the cells synthesized N-glycolylneuraminic acid rather than the N-acetylneuraminic acid, a form of sialic acid that does not bind WGA. Previous studies by other investigators have shown that lectin-resistant mutants selected in WGA were often less metastatic than their respective wild type cell. Our results demonstrate that the loss of metastatic potential in WGA-resistant mutants of MDAY-D2 depends on the phenotypic class of the isolates and their characteristic changes in glycoconjugate structure. ¬© 1986, American Association for Cancer Research. All rights reserved.</t>
  </si>
  <si>
    <t>4594-4600</t>
  </si>
  <si>
    <t>Cancer Research</t>
  </si>
  <si>
    <t>Dennis, James W.</t>
  </si>
  <si>
    <t>New York</t>
  </si>
  <si>
    <t>The Mount Sinai Hospital</t>
  </si>
  <si>
    <t>Dennis J.</t>
  </si>
  <si>
    <t>Different Metastatic Phenotypes in Two Genetic Classes of Wheat Germ Agglutinin-resistant Tumor Cell Mutants</t>
  </si>
  <si>
    <t>2-s2.0-0022489292</t>
  </si>
  <si>
    <t>['white mountain', 'typical values', 'microwave emission', 'measurements taken', 'larger experiment', 'good weather', 'differ greatly', 'copyright 1986', 'climatic conditions', '90 ghz', '5 k', '1 k']</t>
  </si>
  <si>
    <t>As part of a larger experiment to measure the cosmic microwave background radiation spectrum, frequent simultaneous measurements of microwave thermal emissions from the earth's atmosphere have been made at 10, 33, and 90 GHz. We have performed these measurements at two separate locations, Berkeley, California, and the White Mountain Research Station located near Bishop, California, which differ greatly in altitude and climatic conditions. Typical values of the atmospheric antenna temperature measured in Berkeley (250‚Äêm elevation) during good weather are 2.54¬±0.29, 12.4¬±0.3, and 34.3¬±0.5 K for 10, 33, and 90 GHz, respectively. Corresponding values measured at White Mountain (3800 m) are 1.11¬± 0.04, 4.48¬±0.18, and 11.0¬±0.1 K. Because the measurements are simultaneous in nature, correlations between the measurements taken at the various frequencies provide constraints on models of the microwave emission of the earth's atmosphere, especially models describing atmospheric emission as a function of precipitable water content. Copyright 1986 by the American Geophysical Union.</t>
  </si>
  <si>
    <t>47-55</t>
  </si>
  <si>
    <t>6701387233;24497446500;6602516329;6603725955;57214036868</t>
  </si>
  <si>
    <t>Costales, James B.;Smoot, George F.;Witebsky, Chris;De Amici, Giovanni;Friedman, Scott D.</t>
  </si>
  <si>
    <t>Costales J.B.</t>
  </si>
  <si>
    <t>Simultaneous measurements of atmospheric emissions at 10, 33, and 90 GHz</t>
  </si>
  <si>
    <t>10.1029/RS021i001p00047</t>
  </si>
  <si>
    <t>2-s2.0-0022497536</t>
  </si>
  <si>
    <t>['yagi antennas', 'vertical current', 'subelement center', 'numerical consideration', 'mu radar', 'mast supporting', 'intersecting point', 'essentially valid', 'element properties', 'crossed subelements', 'copyright 1986', 'array patterns', 'antenna subelements', 'antenna element']</t>
  </si>
  <si>
    <t>A numerical consideration is performed on degradation of element properties and array patterns of a planar phased array owing to the effects of antenna element structure. By using a crossed 3‚Äêsubelement Yagi antenna specially designed for the VHP‚Äêband MST radar in Japan (the MU radar) as a model of antenna element, the following two subjects are investigated: (1) mutual coupling effects induced by deviation of the intersecting point of a pair of crossed subelements from each subelement center, and (2) effects of vertical current which flows on the mast supporting the antenna subelements. It is concluded that neither of them provide significant degradation of either element properties or array patterns. Although this conclusion is derived for specific phased arrays composed of specific antenna elements, it will be essentially valid for ordinary planar phased arrays composed of dipoles or Yagi antennas. Copyright 1986 by the American Geophysical Union.</t>
  </si>
  <si>
    <t>56-64</t>
  </si>
  <si>
    <t>55398698300;7403584142;7102337542;7402952086;35425453600</t>
  </si>
  <si>
    <t>Fukao, Shoichiro;Sato, Toru;Hojo, Hiroshi;Kimura, Iwane;Kato, Susumu</t>
  </si>
  <si>
    <t>Fukao S.</t>
  </si>
  <si>
    <t>Effects of antenna element structure on element properties and array pattern of a planar phased array</t>
  </si>
  <si>
    <t>10.1029/RS021i001p00056</t>
  </si>
  <si>
    <t>2-s2.0-0022497537</t>
  </si>
  <si>
    <t>['¬© 1986', 'rights reserved', 'prototype design', 'one substrate', 'new technique', 'microstrip antenna', 'feed functions', 'electrical engineers', 'direct connection']</t>
  </si>
  <si>
    <t>Indexing terms: Antennas | Microstrip antennas</t>
  </si>
  <si>
    <t>A new technique is described for feeding printed antennas. A microstrip antenna on one substrate is coupled through an electrically small aperture to a microstrip feed line on a perpendicularly oriented substrate. No direct connection is made to the patch. Such a geometry allows two separate substrates to be used for the antenna and feed functions. Measurements of a prototype design are presented. ¬© 1986, The Institution of Electrical Engineers. All rights reserved.</t>
  </si>
  <si>
    <t>125-126</t>
  </si>
  <si>
    <t>Electronics Letters</t>
  </si>
  <si>
    <t>60014313;60014313</t>
  </si>
  <si>
    <t>7102306681;7006061921</t>
  </si>
  <si>
    <t>Buck, A. C.;Pozar, D. M.</t>
  </si>
  <si>
    <t>Amherst MA</t>
  </si>
  <si>
    <t>University of Massachusetts Amherst</t>
  </si>
  <si>
    <t>Buck A.</t>
  </si>
  <si>
    <t>Aperture-Coupled Microstrip Antenna with A Perpendicular Feed</t>
  </si>
  <si>
    <t>10.1049/el:19860087</t>
  </si>
  <si>
    <t>2-s2.0-0022497596</t>
  </si>
  <si>
    <t>['tracking null', 'thinner substrates', 'significant differences', 'resonant resistance', 'relative permittivities', 'radiation patterns', 'qualitatively similar', 'moderately thick', 'fed antennas', 'experimental study', '03 œª0']</t>
  </si>
  <si>
    <t>The results of an experimental study of microstrip patch antennas on moderately thick (0.02-0.03 Œª0) substrates with relative permittivities of 10 and 13 are reported. Measured input impedances are qualitatively similar to those of antennas on thinner substrates with lower ‚àär, but significant differences in resonant resistance are observed for probe-fed and microstripline-fed antennas. Radiation patterns of individual elements exhibit deep scallops that appear to be caused by surface wave diffraction at the edges of the substrate, but four-element monopulse patterns exhibit a usable main beam and tracking null. ¬© 1986 IEEE</t>
  </si>
  <si>
    <t>92-97</t>
  </si>
  <si>
    <t>7006791463;6505466704</t>
  </si>
  <si>
    <t>Schaubert, Daniel H.;Sigfrid Yngvesson, K.</t>
  </si>
  <si>
    <t>Schaubert D.H.</t>
  </si>
  <si>
    <t>Experimental Study of a Microstrip Array on High Permittivity Substrate</t>
  </si>
  <si>
    <t>10.1109/TAP.1986.1143723</t>
  </si>
  <si>
    <t>2-s2.0-0022499835</t>
  </si>
  <si>
    <t>['typically measured', 'test material', 'simply stated', 'shield material', 'sample size', 'questions arise', 'potential difficulties', 'one attempts', 'large range', 'insertion loss', 'given sample', 'fields coupled', 'electromagnetic shielding', 'discussed briefly']</t>
  </si>
  <si>
    <t>Electromagnetic shielding is typically measured in terms of insertion loss, that is, the reduction in the fields coupled between a transmitter and a receiver which results from interposing the shield material. Although the insertion loss concept is simply stated, questions arise when one attempts to interpret specific insertion loss measurements Insertion loss data depend not only on the inherent shielding effectiveness of the material, but also on the antenna types used for the measurement, the incident field distribution, the sample size, a possible contact impedance between the test material and its mount, and other factors. For a given sample of shield material, varying these factors can lead to a large range of possible measured insertion loss values. Both the above considerations and existing shielding effectiveness measurement systems will be discussed briefly in this paper. The emphasis will be on the potential difficulties in making even relative comparisons of results and on the importance of understanding how the measurement system used affects data. ¬© 1986 IEEE</t>
  </si>
  <si>
    <t>112-115</t>
  </si>
  <si>
    <t>60023053;60023053;60023053</t>
  </si>
  <si>
    <t>7404348667;56725971700;7202444834</t>
  </si>
  <si>
    <t>Wilson, Perry F.;Adams, J. W.;Ma, Mark T.</t>
  </si>
  <si>
    <t>Gaithersburg</t>
  </si>
  <si>
    <t>National Institute of Standards and Technology</t>
  </si>
  <si>
    <t>Wilson P.</t>
  </si>
  <si>
    <t>Measurement of the Electromagnetic Shielding Capabilities of Materials</t>
  </si>
  <si>
    <t>10.1109/PROC.1986.13415</t>
  </si>
  <si>
    <t>2-s2.0-0022499836</t>
  </si>
  <si>
    <t>['lag arrays']</t>
  </si>
  <si>
    <t>The results of an exhaustive computer search for linear, nonredundant minimum missing-lag arrays are presented. The procedure provides arrays having the most densely packed autocorrelation estimates under the constraint that each estimate be at a distinct correlation lag. ¬© 1986 IEEE</t>
  </si>
  <si>
    <t>60031828;60031828</t>
  </si>
  <si>
    <t>6602500606;7101764513</t>
  </si>
  <si>
    <t>Vertatschitsch, E.;Haykin, S.</t>
  </si>
  <si>
    <t>Canada</t>
  </si>
  <si>
    <t>Hamilton</t>
  </si>
  <si>
    <t>McMaster University</t>
  </si>
  <si>
    <t>Vertatschitsch E.</t>
  </si>
  <si>
    <t>Nonredundant Arrays</t>
  </si>
  <si>
    <t>10.1109/PROC.1986.13435</t>
  </si>
  <si>
    <t>2-s2.0-0022503509</t>
  </si>
  <si>
    <t>121-135</t>
  </si>
  <si>
    <t>International Journal of Infrared and Millimeter Waves</t>
  </si>
  <si>
    <t>Greve, A.</t>
  </si>
  <si>
    <t>Saint Martin d'Heres</t>
  </si>
  <si>
    <t>IRAM Institut de RadioAstronomie Millim√©trique</t>
  </si>
  <si>
    <t>Greve A.</t>
  </si>
  <si>
    <t>Reflector surface measurements of the IRAM 30-m radio telescope</t>
  </si>
  <si>
    <t>10.1007/BF01011066</t>
  </si>
  <si>
    <t>2-s2.0-0022503558</t>
  </si>
  <si>
    <t>76-79</t>
  </si>
  <si>
    <t>Radiophysics and Quantum Electronics</t>
  </si>
  <si>
    <t>Kovalenko, A. G.</t>
  </si>
  <si>
    <t>Kovalenko A.G.</t>
  </si>
  <si>
    <t>Experimental study of discontinuities in a cylindrical slot line</t>
  </si>
  <si>
    <t>10.1007/BF01034005</t>
  </si>
  <si>
    <t>2-s2.0-0022505140</t>
  </si>
  <si>
    <t>['radiation field', 'experimental results', 'conformal mapping']</t>
  </si>
  <si>
    <t>A pentagonal microstrip antenna is transformed into a circular microstrip antenna by conformal mapping, so that we obtain the formulas of the radiation field and patterns of the pentagonal microstrip antenna, which will be compared with experimental results. ¬© 1986 IEEE</t>
  </si>
  <si>
    <t>103-106</t>
  </si>
  <si>
    <t>60025084;60025084;106403198</t>
  </si>
  <si>
    <t>56782609800;56782536500;56782574700</t>
  </si>
  <si>
    <t>Ju-Liang, Cao;Wen-Long, Dong;Wen-Xiang, Li</t>
  </si>
  <si>
    <t>China;China</t>
  </si>
  <si>
    <t>Shanghai;Shanghai</t>
  </si>
  <si>
    <t>Shanghai Jiao Tong University;Shanghai Research Institute of Microwave Technology</t>
  </si>
  <si>
    <t>60025084;106403198</t>
  </si>
  <si>
    <t>Ju-Liang C.</t>
  </si>
  <si>
    <t>Radiation Field of Pentagonal Microstrip Antenna</t>
  </si>
  <si>
    <t>10.1109/TAP.1986.1143734</t>
  </si>
  <si>
    <t>2-s2.0-0022507735</t>
  </si>
  <si>
    <t>['threshold angle', 'strongly dependent', 'simple formulas', 'polar degradation', 'horn aperture', 'flare angle', 'cross polarization']</t>
  </si>
  <si>
    <t>The cross polarization from dual mode horn antennas supporting the TE11- and TM11-modes has been analyzed both theoretically and experimentally. The cross polarization has been shown to be strongly dependent on the length and flare angle of the horn. When the flare angle for a given horn length becomes larger than a certain threshold angle, the cross-polar sidelobes increase rapidly. Simple formulas for this threshold angle are presented. This cross-polar degradation will not occur if a plane phase front is provided over the horn aperture, either by profiling the horn or by applying a lens in the aperture. ¬© 1986 IEEE</t>
  </si>
  <si>
    <t>106-110</t>
  </si>
  <si>
    <t>Lier, Erlk</t>
  </si>
  <si>
    <t>Cross Polarization from Dual Mode Horn Antennas</t>
  </si>
  <si>
    <t>10.1109/TAP.1986.1143733</t>
  </si>
  <si>
    <t>2-s2.0-0022511089</t>
  </si>
  <si>
    <t>['œ ∏)', 'time variability', 'theory developed', 'theoretical framework', 'study reveals', 'small angle', 'receiver antenna', 'product cn2l', 'noise floor', 'microwave region', 'low elevation', 'limitations due', 'investigate angle', 'important parameter', 'great variability', 'experimental values', 'experimental results', 'arrival fluctuations', 'apparatus together', 'amplitude scintillations', 'amplitude fluctuations', '30 ¬∞)', '20 mdeg', '1 mdeg']</t>
  </si>
  <si>
    <t>The theoretical framework and experimental results of an - antenna offsetting technique which has been used to investigate angle of arrival fluctuations in the microwave region for medium (30¬∞) and low elevation (9¬∞) angles is presented. The receiver antenna is depointed by a small angle and the antenna gain slope in dB/deg transforms angle fluctuations into amplitude fluctuations. The sensitivity and resolution of the apparatus together with the limitations due to amplitude scintillations, their time variability, and the noise floor of the system are discussed in detail. Experimental results are presented and compared with the theory developed in the paper. The study reveals that the important parameter is the product Cn2L and values are presented and discussed. The experimental values for the root mean square (rms) angular deviation œÉ(Œ∏) and of the spectral density WŒ∏(f) show a great variability between day and night and between winter and summer with values of œÉ(Œ∏) ranging from below 1 mdeg up to 20 mdeg. Low elevation studies at 9¬∞ indicate angular scintillations less intense than expected, and never exceeding 4 mdeg. ¬© 1986 IEEE</t>
  </si>
  <si>
    <t>60025475;60025475</t>
  </si>
  <si>
    <t>7005360728;55474493500</t>
  </si>
  <si>
    <t>Vilar, Enric;Smith, Howard</t>
  </si>
  <si>
    <t>United Kingdom</t>
  </si>
  <si>
    <t>Portsmouth</t>
  </si>
  <si>
    <t>University of Portsmouth</t>
  </si>
  <si>
    <t>Vilar E.</t>
  </si>
  <si>
    <t>A Theoretical and Experimental Study of Angular Scintillations in Earth Space Paths</t>
  </si>
  <si>
    <t>10.1109/TAP.1986.1143720</t>
  </si>
  <si>
    <t>2-s2.0-0022511519</t>
  </si>
  <si>
    <t>['wire due', 'wire bend', 'wire antenna', 'wave along', 'scale model', 'computer model', 'beam pattern', 'antenna pattern']</t>
  </si>
  <si>
    <t>A computer model for the calculation of the beam pattern and the main beam efficiency of corner cube reflectors used in submillimeter heterodyne systems is described. The model includes possible mismatches at the termination of the wire antenna, the attenuation of the wave along the wire due to emission and the contribution of the wire bend to the antenna pattern. Measurements with a scale model at 15 GHz show good agreement between experiment and theory. ¬© 1986 Plenum Publishing Corporation.</t>
  </si>
  <si>
    <t>155-169</t>
  </si>
  <si>
    <t>Vowinkel, B.</t>
  </si>
  <si>
    <t>Koln</t>
  </si>
  <si>
    <t>University of Cologne</t>
  </si>
  <si>
    <t>Vowinkel B.</t>
  </si>
  <si>
    <t>The main beam efficiency of corner cube reflectors</t>
  </si>
  <si>
    <t>10.1007/BF01011069</t>
  </si>
  <si>
    <t>2-s2.0-0022511556</t>
  </si>
  <si>
    <t>['weighted output', 'target beam', 'signals derived', 'pic varies', 'paper analyzes', 'output signal', 'one beam', 'interference ratio', 'interference beam', 'directional sources', 'beam referred', 'antenna array', 'analytical expressions']</t>
  </si>
  <si>
    <t>A postbeamformer interference canceller, PIC, processes the signals derived from an antenna array by forming two beams using fixed beamforming weights. The weighted output of one beam, referred to as the interference beam, is subtracted from the other beam referred to as the target beam. This paper analyzes the performance of PIC in the presence of narrow-band directional interference by deriving the analytical expressions for the output signal power, the output interference power, and the output signal to interference ratio, and presents the results of a computer study showing how the performance of PIC varies as a function of bandwidth of the directional sources. ¬© 1986 Acoustical Society of America</t>
  </si>
  <si>
    <t>794-803</t>
  </si>
  <si>
    <t>NA</t>
  </si>
  <si>
    <t>Journal of the Acoustical Society of America</t>
  </si>
  <si>
    <t>60022193-60010571</t>
  </si>
  <si>
    <t>Godara, Lai C.</t>
  </si>
  <si>
    <t>Australia;Australia</t>
  </si>
  <si>
    <t>Canberra;Callaghan</t>
  </si>
  <si>
    <t>University of Canberra;The University of Newcastle, Australia</t>
  </si>
  <si>
    <t>60022193;60010571</t>
  </si>
  <si>
    <t>Godara L.C.</t>
  </si>
  <si>
    <t>The effect of bandwidth on the performance of a postbeamformer interference canceller</t>
  </si>
  <si>
    <t>10.1121/1.393954</t>
  </si>
  <si>
    <t>2-s2.0-0022515027</t>
  </si>
  <si>
    <t>['whole cells', 'subsequent trapping', 'slower phase', 'relative amplitudes', 'redox state', 'reaction center', 'primary donor', 'photochemically ).', 'located halfway', 'gradient type', 'fast pulse', 'excitation energy', 'electric measurements', 'either chemically', 'biphasic increase', 'acta 806', '144 ].']</t>
  </si>
  <si>
    <t>The transmembrane primary charge separation in the photosynthetic bacterium Rhodopseudomonas viridis was monitored by electric measurements of the light-gradient type [Trissl, H.W. &amp; Kunze, U. (1985) Biochim. Biophys. Acta 806, 136-144]. Excitation of whole cells with 30-ps laser pulses at either 532 nm or 1064 nm gave rise to a biphasic increase of the photovoltage. The fast pulse, contributing about 50% of the total, rose with an exponential time constant ‚â§40 ps and was independent of the redox state of the quinone electron acceptor. It is assigned to the migration of the excitation energy in the antenna and its subsequent trapping by the reaction center, monitored by the ultrafast charge separation between the primary electron donor and the bacteriopheophytin intermediary acceptor. The slower phase (125 ¬± 50 ps) only occurred when the quinone was oxidized and disappeared when it was reduced (either chemically or photochemically). It is assigned to the forward electron transfer from the bacteriopheophytin to the quinone. The relative amplitudes of these two electrogenic steps demonstrate that the bacteriopheophytin intermediary acceptor is located halfway between the primary donor and the quinone.</t>
  </si>
  <si>
    <t>1699-1703</t>
  </si>
  <si>
    <t>Proceedings of the National Academy of Sciences of the United States of America</t>
  </si>
  <si>
    <t>60019615;60019615;60019615</t>
  </si>
  <si>
    <t>16439434700;57202396392;24310010600</t>
  </si>
  <si>
    <t>Deprez, J.;Trissl, H. W.;Breton, J.</t>
  </si>
  <si>
    <t>Gif-sur-Yvette</t>
  </si>
  <si>
    <t>CEA Saclay</t>
  </si>
  <si>
    <t>Deprez J.</t>
  </si>
  <si>
    <t>Excitation trapping and primary charge stabilization in Rhodopseudomonas viridis cells, measured electrically with picosecond resolution</t>
  </si>
  <si>
    <t>10.1073/pnas.83.6.1699</t>
  </si>
  <si>
    <t>2-s2.0-0022515872</t>
  </si>
  <si>
    <t>['well approximated', 'reverse proportion', 'numerically investigated', 'infinite array', 'higher accuracy', 'finite arrays', 'edge effect', 'copyright 1986', 'arrays composed', 'array size', 'array pattern', 'array factor', 'analysis incorporates', 'also made', 'active impedance', '200 elements']</t>
  </si>
  <si>
    <t>The edge effect of planar phased hexagonal arrays is numerically investigated by comparing exact solutions of active impedance and array element pattern of finite arrays with those determined with infinite array approximation. The analysis incorporates the improved circuit theory, which has a higher accuracy than the electro‚Äêmotive‚Äêforce method. Considerations are also made for the edge effect on the total array pattern. It is found that the edge effect is in reverse proportion to array size. It can be neglected for arrays composed of more than 200 elements, for which the array pattern can be well approximated by the product of the array factor and array element pattern of an infinite array. Copyright 1986 by the American Geophysical Union.</t>
  </si>
  <si>
    <t>A numerical consideration on edge effect of planar dipole phased arrays</t>
  </si>
  <si>
    <t>10.1029/RS021i001p00001</t>
  </si>
  <si>
    <t>2-s2.0-0022518725</t>
  </si>
  <si>
    <t>['transmission lines', 'transmission coefficient', 'transmission characteristics', 'scalar analyzers', 'reflection coefficient', 'power level', 'output port', 'microwave equipment', 'many purposes', 'linear components', 'input port', 'incident signal', 'important advantages', 'entirely satisfactory', 'coefficients vary', 'characterize performance', 'buy depends']</t>
  </si>
  <si>
    <t>Network analyzers serve to characterize performance of RF and microwave equipment in terms of power level, transmission characteristics and impedance as functions of frequency. Scalar analyzers measure only amplitude, whereas vector analyzers measure both amplitude and phase. Linear components such as filters, amplifiers, attenuators, switches, semiconductors, transmission lines and antennas receive incident energy through an input port and transmit a portion of this energy through an output port. Two parameters characterize their operation: a transmission coefficient and a reflection coefficient. Both coefficients vary with the incident signal's frequency. As with most test equipment purchases, deciding which type of analyzer to buy depends on knowing the tests the instrument has to perform. Vector analyzers offer some important advantages, but they cost roughly four times as much as scalar analyzers, which are entirely satisfactory for many purposes.</t>
  </si>
  <si>
    <t>Test &amp; measurement world</t>
  </si>
  <si>
    <t>Masi, Charles G.</t>
  </si>
  <si>
    <t>Newtown</t>
  </si>
  <si>
    <t>Test &amp; Measurement World</t>
  </si>
  <si>
    <t>Masi C.</t>
  </si>
  <si>
    <t>SCALAR VS. VECTOR: WHICH NETWORK ANALYZER TO CHOOSE.</t>
  </si>
  <si>
    <t>2-s2.0-0022520278</t>
  </si>
  <si>
    <t>['œ ¶', 'regularly spaced', 'planar arrays', 'new design', 'multibeam antennas', 'lightweight lenses', 'displacement also', 'displaced radially', 'beamforming lens']</t>
  </si>
  <si>
    <t>A new design for a beamforming lens is presented. Both faces are planar arrays of radiating elements interconnected by transmission lines whose length varies as a function of radius. While the front face elements are regularly spaced, the back face elements are displaced radially from their corresponding front face elements, the amount of displacement also being a function of radius. We show that such a lens is capable of forming low sidelobe beams over an angular sector 36 beamwidths across in all planes of Œ¶ by switching between clusters of only seven feed elements. Because both faces are planar, construction of lightweight lenses for multibeam antennas should be feasible. ¬© 1986 IEEE</t>
  </si>
  <si>
    <t>46-50</t>
  </si>
  <si>
    <t>Mcgrath, Daniel T.</t>
  </si>
  <si>
    <t>Hanscom AFB</t>
  </si>
  <si>
    <t>Mcgrath D.T.</t>
  </si>
  <si>
    <t>Planar Three-Dimensional Constrained Lenses</t>
  </si>
  <si>
    <t>10.1109/TAP.1986.1143726</t>
  </si>
  <si>
    <t>2-s2.0-0022524179</t>
  </si>
  <si>
    <t>['spherical surfaces', 'spherical near', 'slight modification', 'sampling theorems', 'required data', 'probe correction', 'present limitations', 'point spacing', 'outlined beginning', 'major sources', 'field scanning', 'brief history', 'arbitrary surfaces']</t>
  </si>
  <si>
    <t>After a brief history of near-field antenna measurements with and without probe correction, the theory of near-field antenna measurements is outlined beginning with ideal probes scanning on arbitrary surfaces and ending with arbitrary probes scanning on planar, cylindrical, and spherical surfaces. Probe correction is introduced for all three measurement geometries as a slight modification to the ideal probe expressions. Sampling theorems are applied to determine the required data-point spacing, and efficient computational methods along with their computer run times are discussed. The major sources of experimental error defining the accuracy of typical planar near-field measurement facilities are reviewed, and present limitations of planar, cylindrical, and spherical near-field scanning are identified. ¬© 1986 IEEE</t>
  </si>
  <si>
    <t>30-45</t>
  </si>
  <si>
    <t>Yaghjian, Arthur D.</t>
  </si>
  <si>
    <t>Yaghjian A.D.</t>
  </si>
  <si>
    <t>An Overview of Near-Field Antenna Measurements</t>
  </si>
  <si>
    <t>10.1109/TAP.1986.1143727</t>
  </si>
  <si>
    <t>2-s2.0-0022530128</t>
  </si>
  <si>
    <t>['transmission line', 'system element', 'signal bandwidth', 'outer loop', 'moment methods', 'miniloop antenna', 'equivalent circuit', 'e .,', 'circuit parameters']</t>
  </si>
  <si>
    <t>The equivalent circuit and principles of operation of a miniloop antenna (i.e., a larger, tuned outer loop inductively coupled to a smaller inner loop) are established and verified. Both classical and moment methods for determining the circuit parameters are presented and compared. Based on the equivalent circuit, the features of the miniloop are contrasted to those of the single, outer loop as a system element, where factors such as signal bandwidth, efficiency, and problems of matching to the transmission line are considered. ¬© 1986 IEEE</t>
  </si>
  <si>
    <t>111-114</t>
  </si>
  <si>
    <t>Barrick, Donald E.</t>
  </si>
  <si>
    <t>Boulder</t>
  </si>
  <si>
    <t>Ocean Surface Research</t>
  </si>
  <si>
    <t>Barrick D.E.</t>
  </si>
  <si>
    <t>Miniloop Antenna Operation and Equivalent Circuit</t>
  </si>
  <si>
    <t>10.1109/TAP.1986.1143722</t>
  </si>
  <si>
    <t>2-s2.0-0022532074</t>
  </si>
  <si>
    <t>['¬© 1986', 'single far', 'rights reserved', 'pattern must', 'nyquist rate', 'electrical engineers']</t>
  </si>
  <si>
    <t>Antenna aperture distributions | Antenna radiation patterns | Antennas | Phase retrieval</t>
  </si>
  <si>
    <t>Computer simulations indicate that antenna aperture phase distributions can be obtained, by invoking the Gerchberg-Saxton algorithm appropriately modified, from a single far-field radiation pattern, only the magnitude of which is measured. The pattern must be sampled at significantly more than the Nyquist rate, and a sequence of initial phase estimates must be tried. ¬© 1986, The Institution of Electrical Engineers. All rights reserved.</t>
  </si>
  <si>
    <t>113-115</t>
  </si>
  <si>
    <t>60020585;60020585;60020585;60020585</t>
  </si>
  <si>
    <t>6507885735;56290708000;56187540700;7201690184</t>
  </si>
  <si>
    <t>Gardenier, P. H.;Lim, C. A.;Tan, D. G.H.;Bates, R. H.T.</t>
  </si>
  <si>
    <t>New Zealand</t>
  </si>
  <si>
    <t>Christchurch</t>
  </si>
  <si>
    <t>University of Canterbury</t>
  </si>
  <si>
    <t>Gardenier P.</t>
  </si>
  <si>
    <t>Aperture Distribution Phase from single Radiation Pattern Measurement Via Gerchberg-Saxton Algorithm</t>
  </si>
  <si>
    <t>10.1049/el:19860080</t>
  </si>
  <si>
    <t>2-s2.0-0022532989</t>
  </si>
  <si>
    <t>['tests simple', 'test data', 'sweep generator', 'skirt selectivity', 'return loss', 'microwave tests', 'filter engineers', 'amplifier tests', 'accurate enough']</t>
  </si>
  <si>
    <t>Swept-frequency capability makes possible any number of microwave tests. Filter engineers, for example, must measure insertion loss, skirt selectivity, and return loss (mismatch) as functions of a continuous frequency band. The nature of filters generally requires that these tests be performed over a wide dynamic range - often 60 db or more. The measurement should be accurate enough to prevent the need for large and costly guard bands between the test data and guaranteed production specifications. Today's microwave sweepers make the tests simple and straightforward. Examples of filter, antenna and amplifier tests with sweep generator are presented.</t>
  </si>
  <si>
    <t>125-128</t>
  </si>
  <si>
    <t>Microwaves &amp; RF</t>
  </si>
  <si>
    <t>105328052;105328052</t>
  </si>
  <si>
    <t>7401667441;6507309153</t>
  </si>
  <si>
    <t>Foster, Charles E.;Hagins, Michael R.</t>
  </si>
  <si>
    <t>San Diego</t>
  </si>
  <si>
    <t>San Diego University</t>
  </si>
  <si>
    <t>Foster C.</t>
  </si>
  <si>
    <t>MICROWAVE GENERATORS SIMPLIFY SWEPT TESTS.</t>
  </si>
  <si>
    <t>2-s2.0-0022540536</t>
  </si>
  <si>
    <t>['transmitted polarization', 'signal quality', 'residential paths', 'random orientation', 'polarization coupling', 'orthogonal polarization', 'high cross', 'high co', 'diversity combining']</t>
  </si>
  <si>
    <t>The scatterers and reflectors that produce multipath propagation in the portable radiotelephone environment also scatter energy from the transmitted polarization into the orthogonal polarization. This cross-polarization coupling improves the signal quality on portable radio links by mitigating the effects of random antenna orientation and by providing an additional signal path for diversity combining. Measurements were made of cross-polarization coupling at 800 MHz within and around eight suburban houses and within two commercial buildings. Nearly complete coupling between polarization was seen for all propagation paths except for a few residential paths having high co-polarized signal levels. Because of the high cross-polarization coupling, random orientation of portable radio sets will not cause significant degradation of signal quality. ¬© 1986 IEEE</t>
  </si>
  <si>
    <t>83-87</t>
  </si>
  <si>
    <t>60023456;60023456;60023456;60021378;60021378</t>
  </si>
  <si>
    <t>7403241218;7403021599;7202379465;56782612200;6506672116</t>
  </si>
  <si>
    <t>Cox, Donald C.;Murray, Roy R.;Arnold, Hamilton W.;William Norris, A.;Wazowicz, Marvin F.</t>
  </si>
  <si>
    <t>United States;United States</t>
  </si>
  <si>
    <t>Piscataway;Murray</t>
  </si>
  <si>
    <t>Telcordia Technologies, Inc.;Nokia Bell Labs</t>
  </si>
  <si>
    <t>60023456;60021378</t>
  </si>
  <si>
    <t>Cox D.</t>
  </si>
  <si>
    <t>Cross-Polarization Coupling Measured for 800 MHz Radio Transmission in and Around Houses and Large Buildings</t>
  </si>
  <si>
    <t>10.1109/TAP.1986.1143714</t>
  </si>
  <si>
    <t>2-s2.0-0022542677</t>
  </si>
  <si>
    <t>['three years', 'sirio spacecraft', 'rain rate', 'radiometric attenuation', 'polarization discrimination', 'month statistics', 'fade durations', 'depolarization measurements', 'cumulative distributions', 'beacon attenuation', '6 ghz']</t>
  </si>
  <si>
    <t>The results of three years of attenuation and depolarization measurements at 11.6 GHz on a 10.7¬∞ elevation angle downlink from the SIRIO spacecraft are summarized. Cumulative distributions and worst-month statistics for rain rate, attenuation, and cross-polarization discrimination (XPD) are presented. Beacon attenuation and radiometric attenuation are compared, and the statistics of fade durations and of rapid XPD changes are discussed. ¬© 1986 IEEE</t>
  </si>
  <si>
    <t>58-65</t>
  </si>
  <si>
    <t>60027090;60027090;60027090</t>
  </si>
  <si>
    <t>7004142938;57195376782;7006247497</t>
  </si>
  <si>
    <t>Bostian, Charles W.;Pratt, Timothy;Stutzman, Warren L.</t>
  </si>
  <si>
    <t>Blacksburg</t>
  </si>
  <si>
    <t>Virginia Polytechnic Institute and State University</t>
  </si>
  <si>
    <t>Bostian C.W.</t>
  </si>
  <si>
    <t>Results of a Three-Year 11.6 GHz Low-Angle Propagation Experiment Using The SIRIO Satellite</t>
  </si>
  <si>
    <t>10.1109/TAP.1986.1143717</t>
  </si>
  <si>
    <t>2-s2.0-0022546378</t>
  </si>
  <si>
    <t>['thick substrate', 'superstrate layer', 'substrate loss', 'space problems', 'radiated power', 'printed antenna', 'microstrip dipoles', 'dipoles printed', 'dielectric half', 'asymptotic formulas', 'adequate amount']</t>
  </si>
  <si>
    <t>efficiency | half-space | Microstrip dipoles | printed circuit antennas | radiation patterns | thick substrates</t>
  </si>
  <si>
    <t>Certain basic radiation properties of microstrip dipoles on electrically thick substrates are investigated, and a comparison is made with the case of dipoles printed on a dielectric half-space. It is concluded that the microstrip dipole radiation properties become sensitive to substrate loss as the substrate thickness increases, with the half-space properties obtained for an adequate amount of loss. Asymptotic formulas for radiated power and efficiency are given for both the thick substrate and half-space problems, showing the behavior with increasing dielectric constant. The method of moments is used to extend the analysis to center-fed strip dipoles, and a method of improving both the efficiency and gain of a printed antenna by using a superstrate layer is discussed. ¬© 1986 Plenum Publishing Corporation.</t>
  </si>
  <si>
    <t>60027550;60027550</t>
  </si>
  <si>
    <t>7404289310;7004468161</t>
  </si>
  <si>
    <t>Jackson, D. R.;Alexopoulos, N. G.</t>
  </si>
  <si>
    <t>Los Angeles</t>
  </si>
  <si>
    <t>University of California, Los Angeles</t>
  </si>
  <si>
    <t>Jackson D.</t>
  </si>
  <si>
    <t>Microstrip dipoles on electrically thick substrates</t>
  </si>
  <si>
    <t>10.1007/BF01011059</t>
  </si>
  <si>
    <t>2-s2.0-0022546429</t>
  </si>
  <si>
    <t>Schweizerischer Nationalfonds zur F√∂rderung der Wissenschaftlichen Forschung</t>
  </si>
  <si>
    <t>3.297-0.82</t>
  </si>
  <si>
    <t>SNF</t>
  </si>
  <si>
    <t>['¬© 1986', 'whereas terminals', 'ventral transplants', 'thoracic midline', 'thoracic ganglia', 'thoracic centers', 'spatial relationship', 'sensory neurons', 'sensory axons', 'recognize centers', 'place homologous', 'one hand', 'mutant wingless', 'ipsilateral side', 'improved technique', 'homologous appendages', 'homoeotic mutations', 'heterologous appendages', 'grafts enter', 'genetic displacement', 'dorsal transplants', 'distribute ipsi', 'desired type', 'data indicate', 'central targets', 'body surface', 'abdominal ganglia']</t>
  </si>
  <si>
    <t>The ability of sensory neurons to establish specific synaptic contacts in the central nervous system (CNS) can be studied by changing the spatial relationship between the periphery and the CNS. In contrast to the genetic displacement of appendages by homoeotic mutations, the surgical approach used in this study allows one to place homologous as well as heterologous appendages to the same site on the body surface. Using an improved technique of "surface transplantation," we generated supernumerary appendages of any desired type in a particular abdominal position. The sensory axons originating from these grafts enter the CNS through the main abdominal nerve and arborize in the fused abdominal ganglia; many fibers extend also into thoracic centers. In the abdominal ganglia, terminals from dorsal transplants (wings and halteres) stay on the ipsilateral side, whereas terminals from ventral transplants (legs and antennae) distribute ipsi- and contralaterally. The same preference holds true for dorsal and ventral abdominal bristles, respectively, whose projection patterns served as a reference. In thoracic ganglia, axons from dorsal and ventral grafts yield completely different terminal patterns. Dorsal grafts project into the ipsilateral wing center, even in the mutant wingless, in which normal wing afferents are suppressed. In contrast, fibers from ventral grafts often extend along the thoracic midline. These data indicate that sensory axons of homologous appendages on the one hand, and their central targets on the other, share serially repeated surface markers. This may enable sensory fibers to recognize centers of homologous appendages. ¬© 1986.</t>
  </si>
  <si>
    <t>160-173</t>
  </si>
  <si>
    <t>Developmental Biology</t>
  </si>
  <si>
    <t>60024631;60024631;60024631</t>
  </si>
  <si>
    <t>55438788900;6603451742;7103138484</t>
  </si>
  <si>
    <t>Schmid, H.;Gendre, N.;Stocker, R. F.</t>
  </si>
  <si>
    <t>Switzerland</t>
  </si>
  <si>
    <t>Fribourg</t>
  </si>
  <si>
    <t>University of Fribourg</t>
  </si>
  <si>
    <t>Schmid H.</t>
  </si>
  <si>
    <t>Surgical generation of supernumerary appendages for studying neuronal specificity in Drosophila melanogaster</t>
  </si>
  <si>
    <t>10.1016/0012-1606(86)90119-3</t>
  </si>
  <si>
    <t>2-s2.0-0022552803</t>
  </si>
  <si>
    <t>['¬© 1986', 'typical cases', 'tv carriers', 'total energy', 'thresholding operation', 'signal type', 'samples containing', 'rotating beacon', 'pulsed signal', 'particularly interesting', 'narrow filter', 'mcsa ).', 'good candidate', 'field testing', 'extraterrestrial beacon', 'directional antenna', 'detected sensitively', '7 db']</t>
  </si>
  <si>
    <t>Highly monochromatic signals, such as TV carriers, can be detected sensitively by using a narrow filter (b ‚â§ 1 Hz) and performing power accumulation on its output. If instead a low-duty-cycle pulsed signal of the same total energy is present, the sensitivity of a square law device, followed by a thresholding operation (to eliminate most samples containing only noise), followed by the algorithm to be described, is greater by about 7 dB in typical cases. This is particularly interesting to SETI because such a pulsed signal is exactly what is sent by a rotating beacon with a directional antenna. Such a pulsed signal is, therefore, a good candidate for an extraterrestrial beacon. Software for detecting this signal type is now ready for field testing with the NASA Multichannel Spectrum Analyzer (MCSA). ¬© 1986.</t>
  </si>
  <si>
    <t>31-37</t>
  </si>
  <si>
    <t>Acta Astronautica</t>
  </si>
  <si>
    <t>Cullers, D. K.</t>
  </si>
  <si>
    <t>Mountain View</t>
  </si>
  <si>
    <t>SETI Institute</t>
  </si>
  <si>
    <t>Cullers D.</t>
  </si>
  <si>
    <t>Sensitive detection of narrowband pulses</t>
  </si>
  <si>
    <t>0094-5765(86)90005-6</t>
  </si>
  <si>
    <t>10.1016/0094-5765(86)90005-6</t>
  </si>
  <si>
    <t>2-s2.0-0022557907</t>
  </si>
  <si>
    <t>['uhf bands', 'propagation measurements', 'planning broadcast', 'northern india', 'antenna height', 'analyzed statistically', '800 mhz']</t>
  </si>
  <si>
    <t>Considering that there has been a need to give propagation curves for planning broadcast and mobile radio services in the VHF and UHF bands, propagation measurements were carried out at 52. 5, 157, 298, 455 and 800 MHz in plains of Northern India and Assam. The results, analyzed statistically, are presented to show the dependence of median field strength on distance, frequency and antenna height. The results have been compared with the prediction curves given by CCIR.</t>
  </si>
  <si>
    <t>33-36</t>
  </si>
  <si>
    <t>IETE Journal of Research</t>
  </si>
  <si>
    <t>Jan-Feb</t>
  </si>
  <si>
    <t>57202973036;57205779409;6603166278</t>
  </si>
  <si>
    <t>Kumar, Vinod;Tewari, R. K.;Jassal, B. S.</t>
  </si>
  <si>
    <t>Kumar V.</t>
  </si>
  <si>
    <t>CHARACTERISTICS OF RADIOWAVES AT VHF/UHF FOR MOBILE COMMUNICATION IN SUBURBAN AREAS.</t>
  </si>
  <si>
    <t>10.1080/03772063.1986.11436555</t>
  </si>
  <si>
    <t>2-s2.0-0022562487</t>
  </si>
  <si>
    <t>['solved numerically', 'isolated groove', 'esi introduced', 'energy relations', 'different depths']</t>
  </si>
  <si>
    <t>In this paper the problem of exciting an isolated groove with a magnetic current filament is solved numerically, the concept of an equivalent surface impedance (ESI) is introduced on the basis of energy relations, and the values of the ESI for different depths and widths of the groove are calculated. In authors' opinion, it is desirable to use the concept of ESI introduced here as a characteristic of ribbed decoupling structures.</t>
  </si>
  <si>
    <t>Soviet journal of communications technology &amp; electronics</t>
  </si>
  <si>
    <t>6507536032;7003641459</t>
  </si>
  <si>
    <t>Tsaliyev, T. A.;Cherenkov, V. S.</t>
  </si>
  <si>
    <t>Tsaliyev T.</t>
  </si>
  <si>
    <t>EXCITATION OF AN ISOLATED GROOVE AND THE EQUIVALENT SURFACE IMPEDANCE OF RIBBED STRUCTURES.</t>
  </si>
  <si>
    <t>2-s2.0-0022565702</t>
  </si>
  <si>
    <t>['wiley company', 'wide enough', 'ultrasonic imaging', 'resolution increases', 'poor resolution', 'inc .,', 'improved quality', 'higher resolution', 'experimental studies', 'conventional synthetic', 'antenna scanning', 'antenna directivity']</t>
  </si>
  <si>
    <t>In the conventional synthetic aperture technique the antenna directivity is assumed to be wide enough that sufficient phase information can be obtained with antenna scanning. This assumption is made in the experimental studies as well. With a sharp antenna directivity, however, sufficient phase information cannot be obtained and the reconstructed image obtained by the conventional synthetic aperture technique has poor resolution. On the other hand, if the real aperture technique is employed, an image of improved quality can be obtained with a sharp antenna directivity and the resolution increases as the directivity becomes sharper. The present paper deals with the case of directivity which is too sharp for the synthetic aperture technique and too wide for the real aperture technique. Theoretical and experimental studies are made on ultrasonic imaging by using the modified synthetic aperture technique for this case. Specifically, the actually measured point spread function is used in the synthetic aperture technique and it is confirmed that a higher resolution can be obtained in this way than by the conventional synthetic or real aperture technique. Copyright ¬© 1986 Wiley Periodicals, Inc., A Wiley Company</t>
  </si>
  <si>
    <t>40-47</t>
  </si>
  <si>
    <t>8756663X</t>
  </si>
  <si>
    <t>Electronics and Communications in Japan (Part II: Electronics)</t>
  </si>
  <si>
    <t>60014652;60014652;60014652</t>
  </si>
  <si>
    <t>7202737611;57195003647;57211225615</t>
  </si>
  <si>
    <t>Ikegami, Masiki;Yamamoto, Tsuyoshi;Aoki, Yoshinao</t>
  </si>
  <si>
    <t>Sapporo</t>
  </si>
  <si>
    <t>Hokkaido University</t>
  </si>
  <si>
    <t>Ikegami M.</t>
  </si>
  <si>
    <t>Improvement of the spatial resolution of ultrasonic imaging using the holographic technique</t>
  </si>
  <si>
    <t>10.1002/ecjb.4420690405</t>
  </si>
  <si>
    <t>2-s2.0-0022566018</t>
  </si>
  <si>
    <t>Ministry of Education, Culture, Sports, Science and Technology</t>
  </si>
  <si>
    <t>Monbusho</t>
  </si>
  <si>
    <t>['¬© 1986', 'temperature dependence', 'synechococcus p700', 'sulfhydryl reagents', 'small subunits', 'results suggest', 'protein contained', 'kda subunit', 'kda polypeptide', 'higher concentrations', 'gel electrophoresis', 'fluorescence band', 'denaturating conditions', 'cp60 represents', 'cp60 emitted', 'called cp60', 'bearing 60', 'absorption spectrum', '725 nm', '672 nm', '60 kda']</t>
  </si>
  <si>
    <t>A chlorophyll-protein was isolated from a Synechococcus P700-chlorophyll a-protein complex free from small subunits (CP1-e) by sodium dodecyl sulfate (SDS)-polyacrylamide gel electrophoresis after treatment with 2% 2-mercaptoethanol and 2% SDS. In contrast to CP1-e which, when electrophoresed under denaturating conditions, showed two polypeptide bands of 62 and 60 kDa, the chlorophyll-protein contained only the 60-kDa polypeptide and hence is called CP60. The yield of CP60 was maximal with 1-2% SDS and 2-4% sulfhydryl reagents because the chlorophyll-protein was denatured at higher concentrations of the reagents. The absorption spectrum of CP60, which retained more than half of the chlorophyll a molecules originally associated with the 60-kDa subunit of the photosystem I reaction center complex, showed a red band maximum at 672 nm and a small absorption band around 700 nm at liquid nitrogen temperature. CP60 emitted a fluorescence band at 717 to 725 nm at 77 ¬∞K. The temperature dependence of the far red band of CP60 was essentially the same as that of CP1-e between 77 and 273 ¬∞K. No photoresponse of P700 was detected in CP60. The results suggest that the two polypeptides resolved by SDS-gel electrophoresis from CP1-e are apoproteins of two distinct chlorophyll-proteins and that CP60 represents a chlorophyll-bearing 60-kDa subunit functioning as an intrinsic antenna protein of the photosystem I reaction center complex. It will also be shown that the temperature dependence of the far red fluorescence band is not related to the photosystem I photochemistry. ¬© 1986.</t>
  </si>
  <si>
    <t>254-260</t>
  </si>
  <si>
    <t>Archives of Biochemistry and Biophysics</t>
  </si>
  <si>
    <t>60025272;60025272</t>
  </si>
  <si>
    <t>7003581907;7202864511</t>
  </si>
  <si>
    <t>Sonoike, Kintake;Katoh, Sakae</t>
  </si>
  <si>
    <t>Tokyo</t>
  </si>
  <si>
    <t>The University of Tokyo</t>
  </si>
  <si>
    <t>Sonoike K.</t>
  </si>
  <si>
    <t>Isolation of an intrinsic antenna chlorophyll a-protein from the photosystem I reaction center complex of the thermophilic cyanobacterium Synechococcus sp</t>
  </si>
  <si>
    <t>10.1016/0003-9861(86)90115-3</t>
  </si>
  <si>
    <t>2-s2.0-0022567145</t>
  </si>
  <si>
    <t>['wiley blackwell', 'two fluorophorcs', 'two chromophores', 'transfer rate', 'streak camera', 'rights reserved', 'response time', 'relative transmission', 'properly included', 'model assuming', 'intensity independent', 'fluorescence decays', 'f chromophores', 'exciton annihilation', 'evidence suggests', 'energy transfer', 'decay profiles', 'chromophores absorb', 'calculated using', 'apparent decrease']</t>
  </si>
  <si>
    <t>Abstract‚Äî The fluorescence decay profiles, relative quantum yield, and transmission of the phycoerythrin a subunit, isolated from the photosynthetic antenna system of Nostoc sp., were measured using single picosecond laser excitation. The fluorescence decay profiles were found to be intensity independent for the intensity range investigated (4 √ó 1013 and 4 √ó 1015 photons‚Äêcm‚Äê2 per pulse). The decay profiles were fitted to a model assuming both chromophores absorb and fluoresce. The inferred total deactivation rates for the two chromophores, in the absence of energy transfer and when the effects of the response time of the streak camera and the finite pulse width are properly included, are 1.0 √ó 1010s' and 1.0 √ó 109 s 1 for the s and f chromophores. respectively, whereas the transfer rate between the two fluorophorcs is estimated to be 1.0 √ó 1010 s‚àí1 giving a s‚Üí f transfer rate on the order of (100 ps)‚àí1. Steady‚Äêatate polarization measurements were found to be equal to those calculated using the rate parameters inferred from the kinetic model fit to the fluorescence decays. The apparent decrease in the relative fluorescence quantum yield and increase of the relative transmission with increasing excitation intensity is suggestive of ground state depletion and upper excited state absorption. Evidence suggests that exciton annihilation is absent within isolated Œ± subunits for the intensity range investigated (4 √ó 1013 to 4 √ó 1015 photons‚Äêcm 2 per pulse). Copyright ¬© 1986, Wiley Blackwell. All rights reserved</t>
  </si>
  <si>
    <t>71-79</t>
  </si>
  <si>
    <t>Photochemistry and Photobiology</t>
  </si>
  <si>
    <t>60028458;60028458;60029503;60003959</t>
  </si>
  <si>
    <t>6506523913;35512463300;57208461585;7004021435</t>
  </si>
  <si>
    <t>Dagen, A. J.;Alfano, R. R.;Zilinskas, B. A.;Swenberg, C. E.</t>
  </si>
  <si>
    <t>United States;United States;United States</t>
  </si>
  <si>
    <t>New Brunswick;New York;Bethesda</t>
  </si>
  <si>
    <t>School of Environmental and Biological Sciences;City College of New York;Armed Forces Radiobiology Research Institute</t>
  </si>
  <si>
    <t>60029503;60028458;60003959</t>
  </si>
  <si>
    <t>Dagen A.</t>
  </si>
  <si>
    <t>ANALYSIS OF FLUORESCENCE KINETICS AND ENERGY TRANSFER IN ISOLATED Œ± SUBUNITS OF PHYCOERYTHRIN FROM Nostoc sp.</t>
  </si>
  <si>
    <t>10.1111/j.1751-1097.1986.tb05593.x</t>
  </si>
  <si>
    <t>2-s2.0-0022568475</t>
  </si>
  <si>
    <t>['triangular surface', 'sensory neurones', 'selectively activate', 'segment s1', 's2 segment', 'resting position', 'physiological stimulation', 'numerous hairs', 'movement velocity', 'medial movement', 'maintained flexed', 'j1 joint', 'internal side', 'hairs corresponds', 'electrophysiological recordings', 'electrical stimulation', 'different lengths', '6 ).', '5 ).', '40 ¬∞.', '4 ).', '3 ).', '2 ).']</t>
  </si>
  <si>
    <t>At the level of the J1 joint of each antenna of the rock lobster Palinurus vulgaris a hair plate sensory organ (hp) similar to those described in insects has been observed. The hp is located on the internal side of the S2 segment of the antenna, close to the soft articulating membrane of the J1 joint. It is formed by a triangular surface of cuticle about 3mm2 in area, covered with numerous hairs of different lengths (Figs. 1 and 2). Details of the hp were studied by scanning electron microscopy (Fig. 2). Physiological stimulation of the hp hairs occurs during medial movement of the J1 joint. Under this condition the soft articulating membrane rolls over the hairs and bends them progressively back onto the cuticle. Flexion of all the hairs corresponds to a medial movement of the J1 through 40¬∞. During this type of movement, the number of successively flexed hairs increases linearly (Fig. 3). Electrophysiological recordings of the hp sensory nerve correlated with selective mechanical stimulation of individual hairs demonstrated that each hair is innervated by a single sensory fiber. This sensory neurone responds phasically when the hair is flexed back onto the cuticle (as during an S2 medial movement) and when it returns to its resting position (as during an S2 lateral movement). Most of the sensory neurones are sensitive to the movement velocity of the hairs (Figs. 4 and 5). When the hair is maintained flexed its sensory neurone discharges tonically (Fig. 4). Electrical stimulation of the hp sensory nerve induced reflex actions in the external and internal rotator muscles of the segment S1. These effects were found to selectively activate the tonic motor command of these muscles (Fig. 6). Copyright ¬© 1986 John Wiley &amp; Sons, Inc.</t>
  </si>
  <si>
    <t>65-76</t>
  </si>
  <si>
    <t>Journal of Neurobiology</t>
  </si>
  <si>
    <t>Vedel, J. P.</t>
  </si>
  <si>
    <t>Marseille</t>
  </si>
  <si>
    <t>Departement de Neurophysiologie Generale</t>
  </si>
  <si>
    <t>Vedel J.</t>
  </si>
  <si>
    <t>Morphology and physiology of a hair plate sensory organ located on the antenna of the rock lobster Palinurus vulgaris</t>
  </si>
  <si>
    <t>10.1002/neu.480170202</t>
  </si>
  <si>
    <t>2-s2.0-0022570294</t>
  </si>
  <si>
    <t>['two categories', 'structures fall', 'structure relative', 'structure acting', 'small structures', 'relevant characteristics', 'loop antenna', 'induced voltage', 'incident radiation', 'following hazards', 'experimental corroboration', 'electric detonators', 'burn hazards']</t>
  </si>
  <si>
    <t>Approaches to the determination of the worst-case available output power or induced voltage in a structure acting as an unintended receiving antenna are presented. Such structures fall into two categories: 'electrically-small' and 'electrically-large', dependent on the size of the structure relative to the wavelength of the incident radiation. Electrically-small structures have simple radiation patterns; their efficiency is low and is dominated by the ohmic loss resistance. The most realistic canonical model for this case is the loop antenna: an analysis of the relevant characteristics is presented, together with experimental corroboration. The results have implications for prediction of the following hazards: ignition of flammable gas mixtures; shock/burn hazards to personnel; initiation of electric detonators.</t>
  </si>
  <si>
    <t>27-32</t>
  </si>
  <si>
    <t>Journal of the Institution of Electronic and Radio Engineers</t>
  </si>
  <si>
    <t>Jan</t>
  </si>
  <si>
    <t>60008524;60008524</t>
  </si>
  <si>
    <t>7006824457;7003625005</t>
  </si>
  <si>
    <t>Excell, P. S.;Maddocks, A. J.</t>
  </si>
  <si>
    <t>Bradford</t>
  </si>
  <si>
    <t>University of Bradford</t>
  </si>
  <si>
    <t>Excell P.</t>
  </si>
  <si>
    <t>Assessment of worst-case receiving antenna characteristics of metallic industrial structures. I. Electrically-small structures</t>
  </si>
  <si>
    <t>10.1049/jiere.1986.0006</t>
  </si>
  <si>
    <t>2-s2.0-0022570569</t>
  </si>
  <si>
    <t>Eunice Kennedy Shriver National Institute of Child Health and Human Development</t>
  </si>
  <si>
    <t>R01HD006082</t>
  </si>
  <si>
    <t>NICHD</t>
  </si>
  <si>
    <t>['wiley company', 'two discs', 'several regions', 'probably serves', 'peripodial layer', 'must occur', 'morphogenetic movements', 'maxillary palpus', 'mature disc', 'inc .,', 'imaginal disc', 'host larvae', 'gynandromorph mosaicism', 'fate map', 'drosophila melanogaster', 'differentiated structures', 'data suggest', 'connected medially', 'adult head', 'adjacent segments']</t>
  </si>
  <si>
    <t>We have studied the organization and development of the eyeantenna imaginal disc of Drosophila melanogaster. We examined the pattern of gynandromorph mosaicism and determined the ‚Äústurt distances‚Äù between 42 different structures of the head, antenna, and maxillary palpus. A morphogenetic map based on these sturt distances resembles more closely in size and shape that of a single thoracic segment than that of two or more adjacent segments, suggesting that the eye‚Äêantenna disc is derived from a single embryonic body segment. We examined the morphology of the eye‚Äêantenna discs in situ in late third‚Äêinstar larvae in serial cross sections. The two discs are connected medially by a thin cellular membrane that probably serves to join the two discs during evagination and morphogenesis of the adult head. A fate map of the imaginal disc was established by cutting the mature disc into fragments and transplanting the fragments into host larvae for metamorphosis. The peripodial layer of the eye‚Äêantenna disc is thickened in several regions, and our data suggest that these thickened areas represent primordia of adult head structures. A comparison of the location of precursors in the imaginal disc with those of the differentiated structures of the adult head revealed the nature of the morphogenetic movements that must occur during evagination and differentiation. Copyright ¬© 1986 Wiley‚ÄêLiss, Inc., A Wiley Company</t>
  </si>
  <si>
    <t>293-308</t>
  </si>
  <si>
    <t>1097010X</t>
  </si>
  <si>
    <t>0022104X</t>
  </si>
  <si>
    <t>Journal of Experimental Zoology</t>
  </si>
  <si>
    <t>60007278-60015902;60007278</t>
  </si>
  <si>
    <t>6602080996;7202903441</t>
  </si>
  <si>
    <t>Haynie, John L.;Bryant, Peter J.</t>
  </si>
  <si>
    <t>Geneseo;Irvine</t>
  </si>
  <si>
    <t>SUNY Geneseo;University of California, Irvine</t>
  </si>
  <si>
    <t>60015902;60007278</t>
  </si>
  <si>
    <t>Haynie J.L.</t>
  </si>
  <si>
    <t>Development of the eye‚Äêantenna imaginal disc and morphogenesis of the adult head in Drosophila melanogaster</t>
  </si>
  <si>
    <t>10.1002/jez.1402370302</t>
  </si>
  <si>
    <t>2-s2.0-0022580829</t>
  </si>
  <si>
    <t>['theoretical results', 'susceptance developed', 'rectangular antenna', 'different forms', 'different condition', 'comparative study']</t>
  </si>
  <si>
    <t>A comparative study of input impedance calculation of a rectangular antenna has been carried out using a transmission line model. Different forms of susceptance developed by some researchers were involved in the study. The theoretical results were compared with measured results obtained by Y. T. Lo et al. A correction factor suggested by Carver et al. was used but with a different condition.</t>
  </si>
  <si>
    <t>Modelling, Measurement and Control A</t>
  </si>
  <si>
    <t>Atek, Kais A.</t>
  </si>
  <si>
    <t>Kuwait</t>
  </si>
  <si>
    <t>Safat</t>
  </si>
  <si>
    <t>Telecommunication Training Inst</t>
  </si>
  <si>
    <t>Atek K.</t>
  </si>
  <si>
    <t>COMPARATIVE STUDY OF INPUT IMPEDANCE CALCULATION OF A RECTANGULAR MICROSTRIP ANTENNA.</t>
  </si>
  <si>
    <t>2-s2.0-0022583515</t>
  </si>
  <si>
    <t>['orbital accuracy', 'one year', 'higher accuracy', 'geostationary missions', 'errors directly', 'analytical formulae', 'additional ranging']</t>
  </si>
  <si>
    <t>An evaluation of the accuracy of one year's angular tracking data from the Redu ground station is presented for ESA's ECS-1 and OTS- 2 communications spacecraft. It was possible to measure these errors directly with higher accuracy for periods when additional ranging was available from a second ground station. The measured angle errors can be inserted into analytical formulae to predict the orbital accuracy that would be obtained by a similar tracking system for other geostationary missions. -Authors</t>
  </si>
  <si>
    <t>71-83</t>
  </si>
  <si>
    <t>ESA Journal</t>
  </si>
  <si>
    <t>60092258;60092258</t>
  </si>
  <si>
    <t>16555148300;6505858971</t>
  </si>
  <si>
    <t>Kawase, S.;Soop, E. M.</t>
  </si>
  <si>
    <t>Koganei</t>
  </si>
  <si>
    <t>Ministry of Posts and Telecommunications, Japan</t>
  </si>
  <si>
    <t>Kawase S.</t>
  </si>
  <si>
    <t>Ground antenna pointing performance for geostationary orbit determination.</t>
  </si>
  <si>
    <t>2-s2.0-0022584017</t>
  </si>
  <si>
    <t>['signal strength', 'picture quality', 'fringe areas', 'directive antennas', 'appreciable amount']</t>
  </si>
  <si>
    <t>In areas where signal strength is small, a directive antenna provides an increase in gain and hence an improvement in picture quality. This leads to a decrease in bandwidth of the antenna by an appreciable amount. Therefore, the directive antennas in such fringe areas should be compensated for by extending the range of their frequency of operation, without sacrificing gain.</t>
  </si>
  <si>
    <t>37-52</t>
  </si>
  <si>
    <t>60031818;60031818</t>
  </si>
  <si>
    <t>6701811101;36792656000</t>
  </si>
  <si>
    <t>Gautam, Jai Krishna;Goel, Kamlesh K.</t>
  </si>
  <si>
    <t>Roorkee</t>
  </si>
  <si>
    <t>Indian Institute of Technology Roorkee</t>
  </si>
  <si>
    <t>Gautam J.</t>
  </si>
  <si>
    <t>WIDE BAND MATCHING OF TV ANTENNA.</t>
  </si>
  <si>
    <t>2-s2.0-0022584492</t>
  </si>
  <si>
    <t>['structure acting', 'loop antenna', 'long dipole', 'large structures', 'large case', 'induced voltage', 'following hazards', 'electric detonators', 'computed worst', 'case results', 'canonical model', 'burn hazards', 'becomes electrically']</t>
  </si>
  <si>
    <t>Approaches to the determination of the worst-case available output power or induced voltage in a structure acting as an unintended receiving antenna are presented. Electrically-large structures have complex radiation patterns and a relatively high efficiency. The most realistic canonical model for unintended receiving antennas is the loop antenna, but when this becomes electrically-large its radiation pattern becomes difficult to predict. However, it is known that the pattern will be similar to that of the long dipole antenna and, since inefficiency effects are not significant in this case, it is acceptable to use the long dipole as the canonical model for the electrically-large case. An algorithm for computation of long dipole characteristics was developed: computed worst-case results are presented. The results have implications for prediction of the following hazards: ignition of flammable gas mixtures; shock/burn hazards to personnel; initiation of electric detonators.</t>
  </si>
  <si>
    <t>7006824457;7004502315</t>
  </si>
  <si>
    <t>Excell, P. S.;Howson, D. P.</t>
  </si>
  <si>
    <t>Assessment of worst-case receiving antenna characteristics of metallic industrial structures. II. Electrically-large structures</t>
  </si>
  <si>
    <t>10.1049/jiere.1986.0008</t>
  </si>
  <si>
    <t>2-s2.0-0022588799</t>
  </si>
  <si>
    <t>['nymphal characteristics', 'labial palps', '3 appendages']</t>
  </si>
  <si>
    <t>antenna | Blattella germanica | courtship behavior | Juvenile hormone I | male | maxillary and labial palps | sensilla</t>
  </si>
  <si>
    <t>Unlike in the female, application of exogenous juvenile hormone I to 6th-instar male nymphs does not result in the retention of nymphal characteristics on the antennae and maxillary and labial palps. JH-treatment differentially affects the numbers of sensilla on the 3 appendages of adult male B. germanica. ¬© 1986 Birkh√§user Verlag.</t>
  </si>
  <si>
    <t>57-58</t>
  </si>
  <si>
    <t>Experientia</t>
  </si>
  <si>
    <t>60029503;60029503</t>
  </si>
  <si>
    <t>7202505650;7410387581</t>
  </si>
  <si>
    <t>Wheeler, C. M.;Gupta, A. P.</t>
  </si>
  <si>
    <t>New Brunswick</t>
  </si>
  <si>
    <t>School of Environmental and Biological Sciences</t>
  </si>
  <si>
    <t>Wheeler C.</t>
  </si>
  <si>
    <t>Effects of exogenous juvenile hormone I on the numbers and distribution of antennal and maxillary and labial palp sensilla of male Blattella germanica (L.) (Dictyoptera: Blattellidae)</t>
  </si>
  <si>
    <t>10.1007/BF01975894</t>
  </si>
  <si>
    <t>2-s2.0-0022592507</t>
  </si>
  <si>
    <t>['turbulent atmosphere', 'linear antenna', 'law spectrum', 'geometrical characteristics', 'extremal points', 'dp caused', 'directional properties', 'central lobe', 'atmospheric inhomogeneities']</t>
  </si>
  <si>
    <t>A method for describing the directional properties of a linear antenna in a turbulent atmosphere, based on the determination of the positions of the extremal points (maxima and minima) of the random radiation pattern (UP), is developed. The statistics of these positions are studied in detail for a power-law spectrum of atmospheric inhomogeneities. The geometrical characteristics of the RP, such as the variance of the displacements of the extremal points, the correlation between these displacements, and the asymmetry of the central lobe, which enable the distortions in the shape of the DP caused by the turbulent atmosphere to be determined are calculated.</t>
  </si>
  <si>
    <t>14-20</t>
  </si>
  <si>
    <t>57196684799;6505758698</t>
  </si>
  <si>
    <t>Vinogradov, A. G.;Feyzulin, Z. I.</t>
  </si>
  <si>
    <t>Vinogradov A.</t>
  </si>
  <si>
    <t>DIRECTIONAL PROPERTIES OF ANTENNAS IN A TURBULENT ATMOSPHERE WITH SHORT-TERM AVERAGING. GEOMETRICAL CHARACTERISTICS OF THE RADIATION PATTERN.</t>
  </si>
  <si>
    <t>2-s2.0-0022594832</t>
  </si>
  <si>
    <t>['thin annular', 'simple analysis', 'resonance dimensions', 'radiation patterns', 'radiation fields', 'radiation efficiency', 'msas operated', 'different types', 'design technique', 'design table', 'corresponding disk', 'cavity model', 'broader bandwidths']</t>
  </si>
  <si>
    <t>A simple analysis of thin annular-ring microstrip antennas (AR-MSA), along with a design technique that yields the optimum ring dimensions which maximizes the radiation efficiency and the bandwidth, is presented. Using the cavity model, exact closed form solutions for the radiation fields are derived. The antenna fields distribution, resonance dimensions, radiation patterns, directivity radiation conductance quality factor and bandwidth are investigated for the different TM//n//m modes. AR-MSAs operated at the high order TM//n//2 modes are found to have better radiation properties and broader bandwidths than the corresponding disk-MSAs. A design table for the optimum ring dimensions for different types of the dielectric substrate material is given.</t>
  </si>
  <si>
    <t>198-202</t>
  </si>
  <si>
    <t>0950107X</t>
  </si>
  <si>
    <t>IEE Proceedings H: Microwaves, Antennas and Propagation</t>
  </si>
  <si>
    <t>60033041;60033041;60033041</t>
  </si>
  <si>
    <t>56036145100;6506327529;6504372400</t>
  </si>
  <si>
    <t>El-Khamy, S. E.;El-Awadi, R. M.;El-Sharrawy, E. B.A.</t>
  </si>
  <si>
    <t>Egypt</t>
  </si>
  <si>
    <t>Alexandria</t>
  </si>
  <si>
    <t>Alexandria University</t>
  </si>
  <si>
    <t>El-Khamy S.</t>
  </si>
  <si>
    <t>SIMPLE ANALYSIS AND DESIGN OF ANNULAR RING MICROSTRIP ANTENNAS.</t>
  </si>
  <si>
    <t>10.1049/ip-h-2.1986.0035</t>
  </si>
  <si>
    <t>2-s2.0-0022597744</t>
  </si>
  <si>
    <t>['useful information', 'time processing', 'spatial parameters', 'optimizing space', 'measuring angle', 'mainly determined']</t>
  </si>
  <si>
    <t>An algorithm for optimizing space-time processing of signals, when the useful information is contained in the temporal and spatial parameters of a vector random field, is discussed. It is shown in the case of a moving radar set with two-dimensional antenna array that the errors in measuring the azimuth are mainly determined by the slope of the reflected-signal phase modulation and the errors in measuring angle of elevation are determined by the size of the array.</t>
  </si>
  <si>
    <t>65-73</t>
  </si>
  <si>
    <t>;;;</t>
  </si>
  <si>
    <t>6602525944;7006313620;7005104435;6602423919</t>
  </si>
  <si>
    <t>Kondratenkov, G. S.;Mironov, M. A.;Antipov, V. N.;Abrarov, A. T.</t>
  </si>
  <si>
    <t>Kondratenkov G.</t>
  </si>
  <si>
    <t>OPTIMUM SPACE-TIME PROCESSING OF SIGNALS IN A MOVING RADAR SET WITH A TWO-DIMENSIONAL ANTENNA ARRAY.</t>
  </si>
  <si>
    <t>2-s2.0-0022603666</t>
  </si>
  <si>
    <t>['¬© 1986', 'various polarizations', 'surface modes', 'reciprocity relations', 'radiation modes', 'radiation characteristics', 'pitch angle', 'novel dielectric', 'interacting modes', 'infinite number', 'helical corrugation', 'guided modes', 'finite number', 'electronics engineers', 'dielectric cylinder', 'brewster phenomenon', 'aperture fields']</t>
  </si>
  <si>
    <t>The excitation and scattering of guided modes on a dielectric cylinder with a helical corrugation are investigated. A finite number of radiation modes and an infinite number of surface modes are considered, with the consequence that both the amplitude and phase of the interacting modes can be evaluated. The effect of the pitch angle on the coupling and conversion between the guided modes and the radiation modes of various polarizations is investigated. It is found that TE&lt;inf&gt;0&lt;/inf&gt; guided modes undergo a Brewster phenomenon in the low permittivity dielectrics. The power conservation relation is developed and the reciprocity relations are treated. The aperture fields are used to study the radiation characteristics of a novel dielectric-helix antenna capable of yielding a circularly, elliptically, or linearly polarized radiation. ¬© 1986 by The Electrical and Electronics Engineers, Inc.</t>
  </si>
  <si>
    <t>60000501;60032179</t>
  </si>
  <si>
    <t>7005993357;7201952270</t>
  </si>
  <si>
    <t>Wlodarczyk, Marek T.;Seshadri, S. R.</t>
  </si>
  <si>
    <t>Madison;Detroit</t>
  </si>
  <si>
    <t>University of Wisconsin-Madison;General Motors</t>
  </si>
  <si>
    <t>60032179;60000501</t>
  </si>
  <si>
    <t>Wlodarczyk M.T.</t>
  </si>
  <si>
    <t>Excitation and Scattering of Guided Modes on a Helically Corrugated Dielectric Cylinder</t>
  </si>
  <si>
    <t>10.1109/TMTT.1986.1133274</t>
  </si>
  <si>
    <t>2-s2.0-0022604439</t>
  </si>
  <si>
    <t>['zones affected', 'slow varying', 'random error', 'phase measured', 'mutually exclusive', 'large amounts', 'deterministic errors', 'array elements']</t>
  </si>
  <si>
    <t>The effects of slow varying (spatially) deterministic errors in the phase measured at the array elements, on the point spread function of the array are analyzed. It is shown that zones affected by this type of error and random error are mutually exclusive. Therefore, it may be worthwhile reducing one type of error when large amounts of the other errors are present. ¬© 1985 IEEE</t>
  </si>
  <si>
    <t>IEEE Transactions on Ultrasonics, Ferroelectrics, and Frequency Control</t>
  </si>
  <si>
    <t>Luthra, Ajay</t>
  </si>
  <si>
    <t>Beaverton</t>
  </si>
  <si>
    <t>Tektronix Incorporated</t>
  </si>
  <si>
    <t>Luthra A.</t>
  </si>
  <si>
    <t>Effects of Deterministic Errors in Phase on the Point Spread Function</t>
  </si>
  <si>
    <t>10.1109/T-UFFC.1986.26790</t>
  </si>
  <si>
    <t>2-s2.0-0022605746</t>
  </si>
  <si>
    <t>['wiley company', 'various coils', 'surface coils', 'superficial structures', 'mri system', 'mr images', 'increasing distance', 'inc .,', 'electronic device', 'coils positioned', 'coils consist', 'body extends', 'body coils', 'anatomical structure']</t>
  </si>
  <si>
    <t>The construction and application of eight different MRI surface coils is described. The coils consist of an anatomically shaped copper wire loop as an antenna and a printed circuit board containing electronic components for tuning and matching. The electronic device for tuning and matching is interchangeable between the various coils. Surface coils for signal detection yield images with high signal‚Äêto‚Äênoise ratio in comparison to the usual saddle‚Äêshaped head or body coils. The sensitivity of a surface coil decreases with increasing distance between the coil and the object of interest and therefore the coils are constructed to fit the anatomical structure under examination as well as possible. The application of dedicated surface coils for superficial structures in the body extends the possibilities of the MRI system. Photographs of the coils positioned on the body and MR images of volunteers and patients are shown. ¬© 1986 Academic Press, Inc. Copyright ¬© 1986 Wiley‚ÄêLiss, Inc., A Wiley Company</t>
  </si>
  <si>
    <t>270-281</t>
  </si>
  <si>
    <t>Magnetic Resonance in Medicine</t>
  </si>
  <si>
    <t>60015618;60015618;60015618;60015618;60015618;60015618;60021681</t>
  </si>
  <si>
    <t>57225385478;6507681634;7801584323;6603397605;7102961748;7003889221;6507639298</t>
  </si>
  <si>
    <t>Doornbos, J.;Grimbergen, H. A.A.;Booijen, P. E.;te Strake, L.;Bloem, J. L.;Vielvoye, G. J.;Boskamp, E.</t>
  </si>
  <si>
    <t>Netherlands;Netherlands</t>
  </si>
  <si>
    <t>Amsterdam;Leiden</t>
  </si>
  <si>
    <t>Royal Philips;Leiden University Medical Center - LUMC</t>
  </si>
  <si>
    <t>60021681;60015618</t>
  </si>
  <si>
    <t>Doornbos J.</t>
  </si>
  <si>
    <t>Application of anatomically shaped surface coils in MRI at 0.5 T</t>
  </si>
  <si>
    <t>10.1002/mrm.1910030210</t>
  </si>
  <si>
    <t>2-s2.0-0022607223</t>
  </si>
  <si>
    <t>['particularly suitable', 'membrane planes', 'linear dichroism', 'chromatophores isolated', 'antenna bacteriochlorophyll', 'absorption bands']</t>
  </si>
  <si>
    <t>The pulsed electric field linear dichroism technique is utilized to study the orientations of pigments in antenna bacteriochlorophyll-protein and reaction center complexes, and chromatophores isolated from the photosynthetic bacterium Rhodopseudomonas spheroides. The protein complexes tend to be oriented with their longest dimensions parallel to the membrane planes. The electric dichroism method is particularly suitable for studying the linear dichroism and orientation of the aromatic amino acid residues with absorption bands below 300nm.</t>
  </si>
  <si>
    <t>213-221</t>
  </si>
  <si>
    <t>Photobiochemistry and Photobiophysics</t>
  </si>
  <si>
    <t>7003725646;24310010600;7103169029</t>
  </si>
  <si>
    <t>Gagliano, A. G.;Breton, J.;Geacintov, N. E.</t>
  </si>
  <si>
    <t>Gagliano A.</t>
  </si>
  <si>
    <t>Electric linear dichroism of chromatophores, pigment-protein and reaction center complexes derived from Rhodopseudomonas spheroides</t>
  </si>
  <si>
    <t>2-s2.0-0022620846</t>
  </si>
  <si>
    <t>['wiley company', 'safely repeated', 'repeated experiments', 'prostate gland', 'prostate caused', 'preclinical evaluation', 'polymorphonuclear inflitration', 'new antenna', 'large series', 'inc .,', 'heated repeatedly', 'glandular elements', 'general anesthesia', 'dogs using', 'different lengths', '915 mhz', '5 h', '10 h']</t>
  </si>
  <si>
    <t>canine prostate | histopathology | local deep microwave hyperthermia</t>
  </si>
  <si>
    <t>A large series of repeated experiments were performed applying localized microwave hyperthermia to the prostate in dogs using a new water‚Äêcooled skirt‚Äêtype antenna [1], operating at 915 MHz, as part of a new hyperthermia apparatus being developed for the treatment of the prostate in humans. The prostate gland of 20 male dogs was heated repeatedly under general anesthesia, at temperatures between 40¬∞C and 47¬∞C, and for different lengths of time up to 10 h. The prostate and other tissues were evaluated histopathologically following treatments. Invariably, all treatments by hyperthermia of the prostate caused a mononuclear inflammatory infiltration in the interstitium and polymorphonuclear inflitration in the glandular elements. Permanent tissue damage was found to be time‚Äêand temperature‚Äêdependent. Heating at 42.5¬∞C (¬± 0.5¬∞5C) for up to 1.5 h was found to be harmless and could be safely repeated with our equipment. This study was part of a preclinical evaluation of a new antenna and apparatus. Copyright ¬© 1986 Wiley‚ÄêLiss, Inc., A Wiley Company</t>
  </si>
  <si>
    <t>93-102</t>
  </si>
  <si>
    <t>The Prostate</t>
  </si>
  <si>
    <t>60226567;60226567;60017563;60226567</t>
  </si>
  <si>
    <t>6603351937;6603514691;7005469117;7006393142</t>
  </si>
  <si>
    <t>Leib, Z.;Rothem, A.;Lev, A.;Servadio, C.</t>
  </si>
  <si>
    <t>Israel;Israel</t>
  </si>
  <si>
    <t>Ramat Aviv;Rehovot</t>
  </si>
  <si>
    <t>Sackler School of Medicine;Weizmann Institute of Science Israel</t>
  </si>
  <si>
    <t>60226567;60017563</t>
  </si>
  <si>
    <t>Leib Z.</t>
  </si>
  <si>
    <t>Histopathological observations in the canine prostate treated by local microwave hyperthermia</t>
  </si>
  <si>
    <t>10.1002/pros.2990080112</t>
  </si>
  <si>
    <t>2-s2.0-0022636078</t>
  </si>
  <si>
    <t>['¬© 1986', 'various parts', 'similarly shaped', 'sense cells', 'large number', 'different species', 'cuticular cone']</t>
  </si>
  <si>
    <t>cell degeneration | homology of envelope cells | Olfactory sensilla | ontogeny</t>
  </si>
  <si>
    <t>The large sensilla basiconica of different species of the Sphecoidea are similarly shaped. Each sensillum is associated with a large number of sense cells as well as three envelope cells, the second of which is doubled. During early development degenerating supernumerous envelope cells were observed. After the early cell degeneration four envelope cells remain. The inner envelope cell secretes a temporary dendritic sheath, the three outer envelope cells secrete the various parts of the cuticular cone. After the secretion of the cone, envelope cell 3 degenerates. ¬© 1986.</t>
  </si>
  <si>
    <t>143-151</t>
  </si>
  <si>
    <t>Tissue and Cell</t>
  </si>
  <si>
    <t>Martini, Rudolf</t>
  </si>
  <si>
    <t>Heidelberg</t>
  </si>
  <si>
    <t>Universit√§t Heidelberg</t>
  </si>
  <si>
    <t>Martini R.</t>
  </si>
  <si>
    <t>Fine structure and development of the large sensilla basiconica on the antennae of sphecid wasps</t>
  </si>
  <si>
    <t>10.1016/0040-8166(86)90013-3</t>
  </si>
  <si>
    <t>2-s2.0-0022653545</t>
  </si>
  <si>
    <t>['uniformly competent', 'tables 1', 'suction electrodes', 'single hairs', 'sensitivity profile', 'response spectra', 'receptor populations', 'panulirus interruptus', 'neurons penetrate', 'lateral antennule', 'individual hairs', 'glial sheath', 'extracellular recordings', 'cluster analysis', 'carboxylic acids', 'broadly sensitive', 'behavioral responses', 'axons extend', 'amino acids', 'aesthetasc hairs', 'aesthetasc hair', '8 ).', '7 ).', '4 ).', '2 ).']</t>
  </si>
  <si>
    <t>Each aesthetasc hair of the lateral antennule of the California spiny lobster Panulirus interruptus (Randall) is shown by light and scanning electron microscopy to be innervated by a basally situated cluster of sensory neurons encased in a glial sheath which isolates each cluster from those of other hairs (Figs. 1, 3, 4). The dendrites of these neurons penetrate the aesthetasc hairs and their axons extend to the central nervous system. Extracellular recordings with suction electrodes from the axons of single neuronal clusters were used to determine the responsiveness of individual hairs to a spectrum of amino acids, amines, amides, carbohydrates, carboxylic acids, nucleotides, and a tripeptide (Tables 1, 2, Figs. 6, 8). Randomly selected hairs from the antennules of juvenile, and male and female adult lobsters were shown to be broadly sensitive to a variety of stimuli and are homogeneous in their breadth of responsiveness (Figs. 5, 7). Cluster analysis does not reveal distinct chemoreceptive hair types based on their response spectra, suggesting that the receptor populations of single hairs are uniformly competent to respond to diverse chemical stimuli (Figs. 6, 8). Further, the sensitivity profile of aesthetascs to these stimuli correlates well with behavioral responses of Panulirus interruptus to these same stimuli (Tables 1, 2). ¬© 1986 Springer-Verlag.</t>
  </si>
  <si>
    <t>59-68</t>
  </si>
  <si>
    <t>Journal of Comparative Physiology A</t>
  </si>
  <si>
    <t>Spencer, Maribeth</t>
  </si>
  <si>
    <t>Santa Barbara</t>
  </si>
  <si>
    <t>University of California, Santa Barbara</t>
  </si>
  <si>
    <t>Spencer M.</t>
  </si>
  <si>
    <t>The innervation and chemical sensitivity of single aesthetasc hairs</t>
  </si>
  <si>
    <t>10.1007/BF00614520</t>
  </si>
  <si>
    <t>2-s2.0-0022655277</t>
  </si>
  <si>
    <t>['precision calibration', 'field techniques', 'associated uncertainties']</t>
  </si>
  <si>
    <t>Techniques for precision calibration of microwave antenna gain standards are described with discussions of applicability and associated uncertainties. Included are the three-antenna, extrapolation, swept-frequency, and near-field techniques. ¬© 1986 IEEE</t>
  </si>
  <si>
    <t>129-132</t>
  </si>
  <si>
    <t>35389095700;7004384154;7201567328</t>
  </si>
  <si>
    <t>Newell, Allen C.;Stubenrauch, Carl F.;Baird, Ramon C.</t>
  </si>
  <si>
    <t>Newell A.</t>
  </si>
  <si>
    <t>Calibration of Microwave Antenna Gain Standards</t>
  </si>
  <si>
    <t>10.1109/PROC.1986.13419</t>
  </si>
  <si>
    <t>2-s2.0-0022656483</t>
  </si>
  <si>
    <t>University of Manitoba</t>
  </si>
  <si>
    <t>UM</t>
  </si>
  <si>
    <t>['radiation characteristics', 'paper describes', 'optimization procedure', 'numerical examples', 'mutual coupling', 'francis group', 'edge diffraction', 'dipoles along', 'corner array', 'axis positioning']</t>
  </si>
  <si>
    <t>The paper describes an optimization of Schell‚Äôs design of the corner array, which is a corner reflector fed by an array of dipoles along the axis, in order to take into account the edge diffraction, mutual coupling between, and off-axis positioning of the radiators, as well as arbitrary corner angles. Numerical examples are presented to illustrate the optimization procedure and significant resulting improvement in the radiation characteristics. ¬© 1986 Taylor &amp; Francis Group, LLC.</t>
  </si>
  <si>
    <t>229-238</t>
  </si>
  <si>
    <t>International Journal of Electronics</t>
  </si>
  <si>
    <t>60009697;60009697;60009697</t>
  </si>
  <si>
    <t>7006917371;7005949569;7103051886</t>
  </si>
  <si>
    <t>Ragheb, H. A.;Elsherbeni, A. Z.;Hamid, M.</t>
  </si>
  <si>
    <t>Winnipeg</t>
  </si>
  <si>
    <t>Ragheb H.</t>
  </si>
  <si>
    <t>Radiation characteristics of the corner array</t>
  </si>
  <si>
    <t>10.1080/00207218608920777</t>
  </si>
  <si>
    <t>2-s2.0-0022659964</t>
  </si>
  <si>
    <t>['¬© 1986', 'wkb theory', 'wave equations', 'rights reserved', 'quasielectrostatic wave', 'qew resonances', 'qew behaviour', 'propagates towards', 'plasma centre', 'plasma agrees', 'numerical solution', 'mode converted', 'like plasmas', 'large tokamak', 'kinetic theory', 'hot plasma', 'heavily damped', 'energy absorbed', 'edge depending', 'consequent increase', 'compressional wave', 'behaviour described', 'antenna resistance']</t>
  </si>
  <si>
    <t>Kinetic theory, including ion Larmor radius effects, is used to analyse the Alfven wave heating of cylindrical plasmas using axisymmetric waves excited by an antenna at frequencies up to the ion cyclotron frequency. At the Alfv√©n resonance position, the compressional wave is mode converted to a quasielectrostatic wave (QEW) which propagates towards the plasma centre or edge depending on whether the plasma is hot or warm. The energy absorbed by the plasma agrees with the MHD theory predictions provided the QEW is heavily damped before reaching the plasma centre or edge; if it is not, then QEW resonances may occur with a consequent increase on antenna resistance. The relation between ion cyclotron wave resonances and QEW resonances on a hot plasma is shown. The behaviour described above is demonstrated by numerical solution of the wave equations for small and large tokamak-like plasmas. WKB theory has been used to derive useful expressions which quantify the QEW behaviour. ¬© 1986, Cambridge University Press. All rights reserved.</t>
  </si>
  <si>
    <t>75-106</t>
  </si>
  <si>
    <t>Journal of Plasma Physics</t>
  </si>
  <si>
    <t>60023748-60025709;60023748</t>
  </si>
  <si>
    <t>6603704472;7004683859</t>
  </si>
  <si>
    <t>Donnelly, I. J.;Clancy, B. E.</t>
  </si>
  <si>
    <t>Sydney;Lucas Heights</t>
  </si>
  <si>
    <t>The University of Sydney;Australian Nuclear Science and Technology Organisation</t>
  </si>
  <si>
    <t>60025709;60023748</t>
  </si>
  <si>
    <t>Donnelly I.</t>
  </si>
  <si>
    <t>Alfv√©n wave heating of a cylindrical plasma using axisymmetric waves. Part 2. Kinetic theory</t>
  </si>
  <si>
    <t>10.1017/S0022377800011144</t>
  </si>
  <si>
    <t>2-s2.0-0022660990</t>
  </si>
  <si>
    <t>['¬© 1986', 'statistical terms', 'statistical distribution', 'standard deviation', 'rights reserved', 'mean value', 'letter describes', 'electrical engineers', 'correlation interval', 'antenna gain']</t>
  </si>
  <si>
    <t>Antennas | Reflector antennas</t>
  </si>
  <si>
    <t>The letter describes in statistical terms the gain of randomly distorted reflector antennas. Formulas are presented for the mean value, the standard deviation and the probability density function of the antenna gain. The influence of the RMS surface error and the correlation interval on the statistical distribution is indicated. ¬© 1986, The Institution of Electrical Engineers. All rights reserved.</t>
  </si>
  <si>
    <t>272-273</t>
  </si>
  <si>
    <t>60032882;60032882</t>
  </si>
  <si>
    <t>7003821814;6504754945</t>
  </si>
  <si>
    <t>Herben, M. H.A.J.;Gelissen, P. J.W.</t>
  </si>
  <si>
    <t>Statistical Antenna Gain Description of Randomly Distorted Reflectors</t>
  </si>
  <si>
    <t>10.1049/el:19860187</t>
  </si>
  <si>
    <t>2-s2.0-0022661552</t>
  </si>
  <si>
    <t>['previous studies', 'plasma response', 'numerical code', 'important effect', 'full current', 'free part', 'fourier component', 'cylindrical geometry', 'antenna loading', '), plus']</t>
  </si>
  <si>
    <t>Previous studies of Alfv√©n wave heating which employed kinetic theory are extended in order to take into account antenna configurations, in cylindrical geometry, consisting of arbitrary shell currents and their associated radial feeders. For each Fourier component of the form exp [-i(lŒ∂-mŒ∏)], the shell current consists of a divergence-free part having the helicity of the mode (l, m), plus an orthogonal part requiring the feeders. It is shown, both analytically and by including the full current in the numerical code, that only the divergence-free part of the current contributes significantly to the plasma response and antenna loading. The important effect of the feeders is to cancel the contribution from the surface current perpendicular to the helicity. This explicitly verifies results reported previously. ¬© 1986 IOP Publishing Ltd.</t>
  </si>
  <si>
    <t>139-149</t>
  </si>
  <si>
    <t>60013372;60013372;60013155;100378521</t>
  </si>
  <si>
    <t>7404449326;55532373700;55718924400;36890824600</t>
  </si>
  <si>
    <t>Ross, D. W.;Mahajan, S. M.;Li, Yanming;Michie, R. B.</t>
  </si>
  <si>
    <t>Austin;New York;San Diego</t>
  </si>
  <si>
    <t>The University of Texas at Austin;Verizon Communications;Western Research Corporation</t>
  </si>
  <si>
    <t>60013372;60013155;100378521</t>
  </si>
  <si>
    <t>Ross D.W.</t>
  </si>
  <si>
    <t>Antenna analysis and boundary conditions for alfven wave studies in tokamaks</t>
  </si>
  <si>
    <t>10.1088/0029-5515/26/2/002</t>
  </si>
  <si>
    <t>2-s2.0-0022663153</t>
  </si>
  <si>
    <t>['xwell equation', 'vessel wall', 'value problem', 'stationary boundary', 'solved numerically', 'shift due', 'plasma parameters', 'plasma boundary', 'loading resistance', 'heliotron devices', 'helical pitch', 'grade plasmas', 'good coupling', 'fast wave', 'evanescent layer', 'element method', 'deposition profile', 'conductivity tensor', 'chosen arbitrarily', 'central region', 'cavity resonance', 'also studied', 'also predicted', 'absorption near']</t>
  </si>
  <si>
    <t>In a study of the structure of propagation and absorption of waves in the ion cyclotron range of frequencies (ICRF) in stellarator/heliotron devices, the full Ma.xwell equation, formulated as a stationary boundary-value problem, is solved numerically in a straight helical configuration. A cold plasma approximation is employed to obtain the conductivity tensor. The shapes of plasma boundary, vessel wall and antenna can be chosen arbitrarily by using a finite-element method. Two-ion hybrid resonance heating by the fast wave is studied. The wave field solution shows tunnelling across the evanescent layer, formation of the cavity resonance and absorption near the hybrid resonance surface. The dependence of the loading resistance on the axial wave number shows a shift due to the helical pitch. The dependence of the loading resistance and the deposition profile on the plasma parameters is also studied. In Heliotron-E-grade plasmas, the fast wave can propagate into the central region of the plasma and the antenna loading resistance is as large as it is in tokamaks. A model of the modular torsatron ATF is studied and good coupling of the fast wave to the plasma is also predicted in this device. ¬© 1986 IOP Publishing Ltd.</t>
  </si>
  <si>
    <t>151-162</t>
  </si>
  <si>
    <t>60023147;60023147;60023147;60030788;60015658</t>
  </si>
  <si>
    <t>7005509402;7103059605;57215629964;35352798500;13306390500</t>
  </si>
  <si>
    <t>Fukuyama, A.;Okazaki, N.;Goto, A.;Itoh, S. I.;Itoh, K.</t>
  </si>
  <si>
    <t>Japan;Japan;Japan</t>
  </si>
  <si>
    <t>Higashihiroshima;Okayama;Kashiwa</t>
  </si>
  <si>
    <t>Hiroshima University;Okayama University;Japan Atomic Energy Agency</t>
  </si>
  <si>
    <t>60030788;60023147;60015658</t>
  </si>
  <si>
    <t>Fukuyama A.</t>
  </si>
  <si>
    <t>Propagation and absorption of icrf waves in helical plasmas</t>
  </si>
  <si>
    <t>10.1088/0029-5515/26/2/003</t>
  </si>
  <si>
    <t>2-s2.0-0022663394</t>
  </si>
  <si>
    <t>['field patterns', 'field data', 'directive probes', 'dimensional far', 'computer simulation', '9 wavelengths', '** 2']</t>
  </si>
  <si>
    <t>A near-field/far-field transformation procedure is described which is based on cylindrical mode expansion techniques and provides the capability for dealing with probes of any directivity. The principle of the method is demonstrated by computer simulation and the approach is validated in practice by predicting the 2-dimensional far-field patterns of slotted waveguide arrays. The near-field data are acquired with directive probes of up to 9 wavelengths in size at ranges of 0. 1 D**2/ lambda . The effects of probe position errors are discussed.</t>
  </si>
  <si>
    <t>26-33</t>
  </si>
  <si>
    <t>Feb</t>
  </si>
  <si>
    <t>60001881;60001881</t>
  </si>
  <si>
    <t>6603759531;7404251432</t>
  </si>
  <si>
    <t>Farhat, K. S.;Bennett, J. C.</t>
  </si>
  <si>
    <t>Sheffield</t>
  </si>
  <si>
    <t>The University of Sheffield</t>
  </si>
  <si>
    <t>Farhat K.</t>
  </si>
  <si>
    <t>ANTENNA NEAR-FIELD MEASUREMENTS USING DIRECTIVE PROBES.</t>
  </si>
  <si>
    <t>10.1049/ip-h-2.1986.0005</t>
  </si>
  <si>
    <t>2-s2.0-0022665279</t>
  </si>
  <si>
    <t>['required shape', 'reflector surfaces', 'noncircular apertures', 'interpolating points', 'examples show', 'elliptical apertures', 'continuously deformed', 'conformal mapping', 'aperture boundary', 'alternative method']</t>
  </si>
  <si>
    <t>The synthesis of an optically shaped dual-offset reflector antenna with uniformly phased aperture and with source and aperture power distributions independently prescribed is reviewed. A recent paper showed that a method for dealing with circular apertures could be extended to noncircular apertures by the use of conformal mapping. We describe an alternative method in which the aperture boundary is continuously deformed to the required shape. Examples show that systems will elliptical apertures of high axial ratios (e. g. 4:1) can be designed. The problem of interpolating points on the reflector surfaces has been addressed using bicubic splines</t>
  </si>
  <si>
    <t>57-64</t>
  </si>
  <si>
    <t>60025225;60025225;60025225</t>
  </si>
  <si>
    <t>7004261323;57198854932;6505828163</t>
  </si>
  <si>
    <t>Westcott, B. S.;Graham, R. K.;Wolton, I. C.</t>
  </si>
  <si>
    <t>Southampton</t>
  </si>
  <si>
    <t>University of Southampton</t>
  </si>
  <si>
    <t>Westcott B.</t>
  </si>
  <si>
    <t>SYNTHESIS OF DUAL-OFFSET SHAPED REFLECTORS FOR ARBITRARY APERTURE SHAPES USING CONTINUOUS DOMAIN DEFORMATION.</t>
  </si>
  <si>
    <t>10.1049/ip-h-2.1986.0010</t>
  </si>
  <si>
    <t>2-s2.0-0022665287</t>
  </si>
  <si>
    <t>['urban environment', 'unknown direction', 'steer nulls', 'sidelobe canceller', 'sequential selection', 'satisfactory results', 'receiver must', 'given threshold', 'eigenvector steering', 'desired signal', 'competivite techniques', 'become dispersed', 'auxiliary beams']</t>
  </si>
  <si>
    <t>An algorithm to acquire a desired signal of unknown direction and waveform and to steer nulls to jammers by a process of sequential selection and testing of auxiliary beams in a sidelobe canceller is proposed. The receiver must be able to recognise the desired signal when its input snr exceeds some given threshold of around 10 db. For weak desired signals, the achievable output snrs approach those obtained by the beam-former in the absence of jamming, but a saturation effect occurs as input signal power increases; output snrs saturate relatively early and become dispersed in value, although remaining usable. Performance against jamming in diffuse multipath conditions typical of the urban environment is evaluated with satisfactory results. Comparison is made with the competivite techniques of eigenvector steering and the use of a linearly constrained adaptive beamformer with an augmented sample correlation matrix diagonal.</t>
  </si>
  <si>
    <t>34-42</t>
  </si>
  <si>
    <t>Hudson, J. E.</t>
  </si>
  <si>
    <t>Loughborough</t>
  </si>
  <si>
    <t>Loughborough University</t>
  </si>
  <si>
    <t>Hudson J.</t>
  </si>
  <si>
    <t>DYNAMIC ALLOCATION OF DEGREES OF FREEDOM IN AN ADAPTIVE ANTENNA.</t>
  </si>
  <si>
    <t>10.1049/ip-h-2.1986.0006</t>
  </si>
  <si>
    <t>2-s2.0-0022665326</t>
  </si>
  <si>
    <t>['third one', 'theoretical results', 'strip line', 'several models', 'radiation patterns', 'radiation admittance', 'good agreement', 'every slot', 'electronics engineers', 'described previously']</t>
  </si>
  <si>
    <t>The slot microstrip antenna is used as a folded slot dipole symmetrically fed across a gap by means of a strip line. A theoretical model equivalent to several lossy transmission lines had been described previously to explain the bandwidth and the radiation admittance. The theory is improved when coupling between the two equivalent radiating lines of every slot is taken into account, and explains a fourth resonance near the third one, which had been measured on several models. Theoretical results and experiments are in good agreement. They are radiation admittance in a wide frequency band, current distribution along each slot and radiation patterns. Copyright ¬© 1986 by The Institute of Electrical and Electronics Engineers, Inc.</t>
  </si>
  <si>
    <t>155-163</t>
  </si>
  <si>
    <t>101885524;101885524-112079159</t>
  </si>
  <si>
    <t>7006052449;6506682047</t>
  </si>
  <si>
    <t>Dubost, G.;Rabbaa, A.</t>
  </si>
  <si>
    <t>Morocco;France</t>
  </si>
  <si>
    <t>Hassan;Rennes</t>
  </si>
  <si>
    <t>University of Casablanca;University of Rennes</t>
  </si>
  <si>
    <t>112079159;101885524</t>
  </si>
  <si>
    <t>Dubost G.</t>
  </si>
  <si>
    <t>Analysis of a Slot Microstrip Antenna</t>
  </si>
  <si>
    <t>10.1109/TAP.1986.1143791</t>
  </si>
  <si>
    <t>2-s2.0-0022665346</t>
  </si>
  <si>
    <t>['transmission image', 'reflection image', 'recently developed', 'proper convergence', 'point source', 'planar interface', 'new theory', 'magnetic sources', 'general three', 'fields reflected', 'electronics engineers', 'efficient computation', 'dimensional electric', 'complex space']</t>
  </si>
  <si>
    <t>Exact image theory, recently developed for the calculation of fields reflected from a planar interface between two homogenous media, is extended for transmitted field calculation. The image of a point source is found to be a line source located in complex space for proper convergence. Unlike for the reflection image, the transmission image line is seen to be curved in complex space for efficient computation. Expressions are derived for the transmission image of the most general three-dimensional electric and magnetic sources and for media with both œµ and ¬µ discontinuous across the interface. The new theory is verified with several asymptotic tests and properties of the transmission image function are discussed. As an application, radiation from a resonant horizontal loop antenna into the ground is calculated and results are seen to agree with those given in the literature. Copyright ¬© 1986 by The Institute of Electrical and Electronics Engineers, Inc.</t>
  </si>
  <si>
    <t>129-137</t>
  </si>
  <si>
    <t>60103653;60103653;60103653</t>
  </si>
  <si>
    <t>7102492958;7004143659;23023466800</t>
  </si>
  <si>
    <t>Lindell, Ismo V.;Alanen, Esko;von Bagh, Hans</t>
  </si>
  <si>
    <t>Finland</t>
  </si>
  <si>
    <t>Espoo</t>
  </si>
  <si>
    <t>Aalto University</t>
  </si>
  <si>
    <t>Lindell I.</t>
  </si>
  <si>
    <t>Exact Image Theory for the Calculation of Fields Transmitted Through a Planar Interface of Two Media</t>
  </si>
  <si>
    <t>10.1109/TAP.1986.1143788</t>
  </si>
  <si>
    <t>2-s2.0-0022665443</t>
  </si>
  <si>
    <t>['waveguide green', 'two methods', 'theory behind', 'input impedance', 'function technique', 'electronics engineers', 'electromagnetic fields', 'cavity green', 'antenna characteristics']</t>
  </si>
  <si>
    <t>A description of two methods which are based on a cavity Green's function technique and a waveguide Green's technique which can be used to calculate the input impedance, electromagnetic fields, antenna probe currents, and antenna characteristics of a cavity-backed plasma covered ground plane antenna is presented. A description of the formulation of the theory behind the methods is given. Comparison of theory and experiment are made. Copyright ¬© 1986 by The Institute of Electrical and Electronics Engineers, Inc.</t>
  </si>
  <si>
    <t>262-267</t>
  </si>
  <si>
    <t>Jarem, John M.</t>
  </si>
  <si>
    <t>El Paso</t>
  </si>
  <si>
    <t>The University of Texas at El Paso</t>
  </si>
  <si>
    <t>Jarem J.M.</t>
  </si>
  <si>
    <t>The Input Impedance and Antenna Characteristics of a Cavity-Backed Plasma Covered Ground Plane Antenna</t>
  </si>
  <si>
    <t>10.1109/TAP.1986.1143798</t>
  </si>
  <si>
    <t>2-s2.0-0022665538</t>
  </si>
  <si>
    <t>['truncated gaussian', 'several examples', 'series coefficients', 'orthogonal hermite', 'gaussian functions', 'far fields', 'electronics engineers', 'direct transformability', 'circular geometries', 'approximate theory', 'aperture fields', 'added sequentially']</t>
  </si>
  <si>
    <t>An approximate theory of large aperture antennas is developed where aperture, Fresnel, and far fields are expressed in the form of Gaussian field expansions. First, aperture fields, i.e., aperture distributions, are expanded in orthogonal Hermite-Gaussian and Laguerre-Gaussian functions for antennas with rectangular and circular geometries, respectively. Then solution of the Fresnel-Kirchoff diffraction integrals yields the Fresnel and far field expansions. Care is taken to assure the direct transformability of the aperture fields. Optimal scale factors contained in the aperture field expansions are derived and lead to structured field distributions where sidelobes are added sequentially as more terms in the expansions are used in the computations. Tables of optimal scale factors and series coefficients are provided for cosine, truncated Gaussian and Taylor aperture distributions. Several examples are provided that demonstrate the usefulness of the formulas. Copyright ¬© 1986 by The Institute of Electrical and Electronics Engineers, Inc.</t>
  </si>
  <si>
    <t>228-243</t>
  </si>
  <si>
    <t>7004702746;7103190636</t>
  </si>
  <si>
    <t>Bogush, Alfred J.;Elkins, Rush E.</t>
  </si>
  <si>
    <t>Bogush A.</t>
  </si>
  <si>
    <t>Gaussian Field Expansions for Large Aperture Antennas</t>
  </si>
  <si>
    <t>10.1109/TAP.1986.1143795</t>
  </si>
  <si>
    <t>2-s2.0-0022665565</t>
  </si>
  <si>
    <t>40-46</t>
  </si>
  <si>
    <t>IEEE Communications Magazine</t>
  </si>
  <si>
    <t>Mikulski, James</t>
  </si>
  <si>
    <t>Mikulski J.</t>
  </si>
  <si>
    <t>DynaT*A*C Cellular Portable Radiotelephone System Experience in the U.S. and the UK</t>
  </si>
  <si>
    <t>10.1109/MCOM.1986.1093008</t>
  </si>
  <si>
    <t>2-s2.0-0022665566</t>
  </si>
  <si>
    <t>['site attenuation', 'measurements made', 'measured data', 'calculated results', '1 ghz']</t>
  </si>
  <si>
    <t>Site attenuation is a measure of performance of an open test site at frequencies below about 1 GHz. These sites typically consist of a large, obstruction-free ground plane and the hemisphere above it. Calculations of site attenuation are presented which provide a reference for measurements made on a 30-m by 60-m wire-mesh ground screen. Measured data are compared to the calculated results.</t>
  </si>
  <si>
    <t>38-40</t>
  </si>
  <si>
    <t>EMC-28</t>
  </si>
  <si>
    <t>IEEE Transactions on Electromagnetic Compatibility</t>
  </si>
  <si>
    <t>FitzGerrell, R. G.</t>
  </si>
  <si>
    <t>FitzGerrell R.G.</t>
  </si>
  <si>
    <t>SITE ATTENUATION.</t>
  </si>
  <si>
    <t>10.1109/temc.1986.4307236</t>
  </si>
  <si>
    <t>2-s2.0-0022665585</t>
  </si>
  <si>
    <t>['various modifications', 'reflector antennas', 'recent developments']</t>
  </si>
  <si>
    <t>The basic methods used in the analysis of reflector antennas are discussed, with emphasis on recent developments. The current integration method and its various modifications is reviewed. The potential of the new sampling technique is illustrated.</t>
  </si>
  <si>
    <t>60017293;60017293</t>
  </si>
  <si>
    <t>7006413404;7006843696</t>
  </si>
  <si>
    <t>Franceschetti, G.;Mohsen, A.</t>
  </si>
  <si>
    <t>Italy</t>
  </si>
  <si>
    <t>Naples</t>
  </si>
  <si>
    <t>Universit√† degli Studi di Napoli Federico II</t>
  </si>
  <si>
    <t>Franceschetti G.</t>
  </si>
  <si>
    <t>Recent developments in the analysis of reflector antennas. A review</t>
  </si>
  <si>
    <t>10.1049/ip-h-2.1986.0011</t>
  </si>
  <si>
    <t>2-s2.0-0022666914</t>
  </si>
  <si>
    <t>['well known', 'upcrossing theory', 'theoretical results', 'sidelobe structure', 'sidelobe region', 'sidelobe level', 'sidelobe envelope', 'reflector antenna', 'probability distribution', 'maximum sidelobe', 'highly susceptible', 'excellent agreement', 'electronics engineers', 'average behavior']</t>
  </si>
  <si>
    <t>It is well known that the sidelobe structure of a reflector antenna is highly susceptible to random surface errors, and that in most applications it is not adequate to investigate only the average behavior of the antenna. In this study, an attempt is made to determine the probability distribution of the sidelobe level of a reflector antenna subject to some random surface errors. Specifically, the random pattern function is considered and its sidelobe level studied using the level-upcrossing theory. Both the degradation of the maximum sidelobe and the degradation of the sidelobe region with respect to an International Radio Consultative Committee (CCIR) sidelobe envelope are obtained. The theoretical results are found in excellent agreement with those obtained by Monte Carlo simulations. Finally, some useful tolerance charts are presented. Copyright ¬© 1986 by The Institute of Electrical and Electronics Engineers, Inc.</t>
  </si>
  <si>
    <t>164-172</t>
  </si>
  <si>
    <t>60000745-60009037;60000745</t>
  </si>
  <si>
    <t>7202062608;7401934487</t>
  </si>
  <si>
    <t>Ling, Hao;Lo, Yuen T.</t>
  </si>
  <si>
    <t>Pasadena;Urbana</t>
  </si>
  <si>
    <t>Jet Propulsion Laboratory;University of Illinois Urbana-Champaign</t>
  </si>
  <si>
    <t>60009037;60000745</t>
  </si>
  <si>
    <t>Ling H.</t>
  </si>
  <si>
    <t>Reflector Sidelobe Degradation Due to Random Surface Errors</t>
  </si>
  <si>
    <t>10.1109/TAP.1986.1143804</t>
  </si>
  <si>
    <t>2-s2.0-0022667127</t>
  </si>
  <si>
    <t>['¬© 1986', 'targets observed', 'targets illuminated', 'sem ).', 'scattered returns', 'rigorous test', 'rigorous foundation', 'rights reserved', 'respective intervals', 'resonance series', 'recently developed', 'obstacle surface', 'negative directions', 'multiple effects', 'lit region', 'ieee trans', 'hybrid theory', 'free term', 'entire function', 'early times', 'conventional treatments', 'contribution remains', 'clarify issues', 'canonical problem', 'cannot incorporate', 'broadband scattering', 'arisen within', 'antennas propag', 'acoustical society', '1983 )],']</t>
  </si>
  <si>
    <t>When observed over long observation times, scattered returns from targets illuminated by broadband acoustic signals reveal distinctive features in the early and late time regimes. The features can be explained in terms of the different wave phenomena, progressive and oscillatory, that are dominant during these respective intervals. The former represent wave front arrivals, and the latter full body resonances. A hybrid theory, recently developed by Heyman and Felsen [IEEE Trans. Antennas Propag. AP-31, 426‚Äì437 (1983)], has formalized the connection between them and has provided new interpretations that have not emerged from more conventional treatments. These interpretations can clarify issues which have arisen within the resonance expansion procedure, in particular, the adequacy of the expansion at early times. In this paper, the canonical problem of scattering by a circular cylinder serves as a rigorous test for general observations made elsewhere [E. Heyman and L.B. Felsen, IEEE Trans. Antennas Propag. AP-33, 706‚Äì718 (1985)], concerning the traveling wave interpretation of the resonance series, and especially the role of the entire function in the complex frequency plane that is included to repair resonance series deficiencies of the Singularity Expansion Method (SEM). The resonance series of damped global oscillatory wave fields corresponding to the complex resonant frequencies represents, collectively, the multiple effects of diffracted (creeping) waves traveling around the cylinder in the positive and negative directions, but it cannot incorporate the specularly reflected field in the lit region, which has not sampled the obstacle surface as a whole. This contribution remains as a free term that can be identified in the complex frequency plane as an intrinsic (nonremovable) entire function. The analysis also shows how delaying the turn-on time of the resonance series, by retaining some early creeping wave front arrivals intact, can generate, in addition, a nonintrinsic (i.e., removable) entire function. These considerations, having rigorous foundation and appealing physical content, aid in the understanding of wave phenomena associated with broadband scattering from targets observed over early and late time periods. ¬© 1986, Acoustical Society of America. All rights reserved.</t>
  </si>
  <si>
    <t>230-238</t>
  </si>
  <si>
    <t>60005681-60108318</t>
  </si>
  <si>
    <t>Heyman, E.</t>
  </si>
  <si>
    <t>United States;Israel</t>
  </si>
  <si>
    <t>New York;Tel Aviv-Yafo</t>
  </si>
  <si>
    <t>NYU Tandon School of Engineering;Tel Aviv University</t>
  </si>
  <si>
    <t>60108318;60005681</t>
  </si>
  <si>
    <t>Heyman E.</t>
  </si>
  <si>
    <t>Traveling wave and SEM representations for transient scattering by a circular cylinder</t>
  </si>
  <si>
    <t>10.1121/1.393564</t>
  </si>
  <si>
    <t>2-s2.0-0022667253</t>
  </si>
  <si>
    <t>['sea floor', 'indoor experiment', 'electronics engineers']</t>
  </si>
  <si>
    <t>An indoor experiment to simulate lateral waves propagating along the sea floor when this consists of a layer of sediment over rock has been carried out. The measurements are compared with theory. Copyright ¬© 1986 by The Institute of Electrical and Electronics Engineers, Inc.</t>
  </si>
  <si>
    <t>267-271</t>
  </si>
  <si>
    <t>Pan, Wei Yan</t>
  </si>
  <si>
    <t>Xinxiang</t>
  </si>
  <si>
    <t>China Research Institute of Radiowave Propagation</t>
  </si>
  <si>
    <t>Pan W.Y.</t>
  </si>
  <si>
    <t>Measurement of Lateral Waves Along a Three-Layered Medium</t>
  </si>
  <si>
    <t>10.1109/TAP.1986.1143799</t>
  </si>
  <si>
    <t>2-s2.0-0022667737</t>
  </si>
  <si>
    <t>['received envelope', 'probability distributions', 'mobile urban', 'local area', 'electronics engineers', 'complex envelope']</t>
  </si>
  <si>
    <t>A statistical model applicable to a local area has been developed for mobile-to-mobile urban and suburban land communication channels. Using the model, the probability distributions of the received envelope and phase, spatial-time correlation function, and the power spectral density of the complex envelope have been developed. Copyright ¬© 1986 by The Institute of Electrical and Electronics Engineers, Inc.</t>
  </si>
  <si>
    <t>IEEE Transactions on Vehicular Technology</t>
  </si>
  <si>
    <t>60072594;60102562</t>
  </si>
  <si>
    <t>6506308620;7003848370</t>
  </si>
  <si>
    <t>Akki, Abdulkader S.;Haber, Fred</t>
  </si>
  <si>
    <t>United States;Libyan Arab Jamahiriya</t>
  </si>
  <si>
    <t>Philadelphia;Tripoli</t>
  </si>
  <si>
    <t>School of Engineering and Applied Science;University of Tripoli</t>
  </si>
  <si>
    <t>60102562;60072594</t>
  </si>
  <si>
    <t>Akki A.S.</t>
  </si>
  <si>
    <t>A Statistical Model of Mobile-to-Mobile Land Communication Channel</t>
  </si>
  <si>
    <t>10.1109/T-VT.1986.24062</t>
  </si>
  <si>
    <t>2-s2.0-0022668977</t>
  </si>
  <si>
    <t>['spherical reflector', 'radiation pattern', 'radiation fields', 'radiation field', 'phase solution', 'phase errors', 'phase error', 'optimum excitation', 'line feeds', 'higher frequencies', 'finite diameter', 'existing 96', 'element patterns', 'electronics engineers', 'cause losses', 'approximate stationary', 'analytical models', '7 db', '5 db']</t>
  </si>
  <si>
    <t>The element patterns of the circularly polarized line feeds for the spherical reflector in Arecibo are calculated, showing strong endfire radiation. The radiation fields of the line feeds are then obtained by adding up the contributions from all elements. The optimum excitation of the feed is found by an approximate stationary-phase solution of the radiation field. This shows that the element pattern gives a large phase contribution to the excitation, because of the finite diameter of the feed. If not corrected for, this phase error can cause losses up to 1.5 dB. The excitation is optimized further by cutting and trying. The validity of the analytical models is checked by calculation of the radiation pattern of the existing 96.6 ft 430 MHz feed. The excitation is modeled from measured phases along the feed. The calculated radiation patterns show good agreement with the measurements, including the phase errors and the dip in the center. By using the proposed new excitation it should be possible to increase the efficiency of the 96.6 ft feed by 0.7 dB and to increase the efficiency of the 40 ft feeds at higher frequencies by even more. Copyright ¬© 1986 by The Institute of Electrical and Electronics Engineers, Inc.</t>
  </si>
  <si>
    <t>197-207</t>
  </si>
  <si>
    <t>Kildal, Per Simon</t>
  </si>
  <si>
    <t>Kildal P.S.</t>
  </si>
  <si>
    <t>Study of Element Patterns and Excitations of the Line Feeds of the Spherical Reflector Antenna in Arecibo</t>
  </si>
  <si>
    <t>10.1109/TAP.1986.1143805</t>
  </si>
  <si>
    <t>2-s2.0-0022669291</t>
  </si>
  <si>
    <t>['workers desirous', 'using g', 'use g', 'technique finds', 'resonator fields', 'real frequencies', 'radiation characteristics', 'planar structure', 'nonprobe fed', 'large class', 'frequency behavior', 'field solutions', 'field eigenvectors', 'electronics engineers']</t>
  </si>
  <si>
    <t>A planar structure having arbitrarily located conductor patches immersed in complex anisotropic layered media presents a very general field problem. This problem is solved here by a rigorous formulation technique characterizing each layer by a 6 √ó 6 tensor and finding the appropriate Fourier transformed Green's function matrix G of 2n √ó 2n size. The technique finds a set of field eigenvectors for each layer. Using G, a method of moments numerical solution for radiation characteristics of probe fed patch(es) can be had in the spectral domain employing, for example, a zero reaction method. Variation of real frequencies of the driving probe fed signal is allowed by that approach. Those workers desirous of radiator or resonator fields and frequency behavior at only selected resonant frequencies can use G to derive a matrix S&lt;inf&gt;x&lt;/inf&gt; given here. Setting the determinant of S&lt;inf&gt;x&lt;/inf&gt; equal to zero yields complex resonant frequency solutions, and the field solutions as a consequence to the nonprobe fed or free standing patch structure. The method is very versatile and can handle a large class of microwave or millimeter wave integrated circuit or monolithic circuit problems, no matter how simple or complex as long as they possess planar layers. Copyright ¬© 1986 by The Institute of Electrical and Electronics Engineers, Inc.</t>
  </si>
  <si>
    <t>247-253</t>
  </si>
  <si>
    <t>Krowne, Clifford M.</t>
  </si>
  <si>
    <t>Naval Research Laboratory</t>
  </si>
  <si>
    <t>Krowne C.M.</t>
  </si>
  <si>
    <t>Determination of the Green's Function in the Spectral Domain Using a Matrix Method: Application to Radiators or Resonators Immersed in a Complex Anisotropic Layered Medium</t>
  </si>
  <si>
    <t>10.1109/TAP.1986.1143794</t>
  </si>
  <si>
    <t>2-s2.0-0022669292</t>
  </si>
  <si>
    <t>['smoother transition', 'see ibid', 'recent improvement', 'numerical testing', 'modification makes', 'earlier paper', 'conditioned problem', 'authors report', 'algorithm presented', '1985 ).']</t>
  </si>
  <si>
    <t>The authors report on a recent improvement in the algorithm presented in their earlier paper (see ibid. , vol. AP-33, no. 4, 445-450, 1985). The intuitive idea behind the modification is that this should give a smoother transition between the well-conditioned problem (at tau equals 0) to the final regularized problem (at tau //F ). Numerical testing has verified that this modification makes the algorithm more robust.</t>
  </si>
  <si>
    <t>AP-34</t>
  </si>
  <si>
    <t>60031707;60031707</t>
  </si>
  <si>
    <t>6603536351;7006894465</t>
  </si>
  <si>
    <t>Drachman, Byron;Rothwell, Ed</t>
  </si>
  <si>
    <t>East Lansing</t>
  </si>
  <si>
    <t>Michigan State University</t>
  </si>
  <si>
    <t>Drachman B.</t>
  </si>
  <si>
    <t>ADDENDUM TO 'A CONTINUATION METHOD FOR IDENTIFICATION OF THE NATURAL FREQUENCIES OF AN OBJECT USING A MEASURED RESPONSE' (APR 85 445-450).</t>
  </si>
  <si>
    <t>10.1109/tap.1986.1143801</t>
  </si>
  <si>
    <t>2-s2.0-0022669293</t>
  </si>
  <si>
    <t>['transmission path', 'still maintaining', 'stability specification', 'skynet 4', 'simulator encompasses', 'satellite transponders', 'satellite antenna', 'repeater amplifier', 'portable console', 'paper describes', 'laboratory test', 'full input', 'four carriers', 'direct interconnection', 'author abstract', '50 khz', '20 mbit']</t>
  </si>
  <si>
    <t>This paper describes the development and engineering of a practical traffic simulator for assessing the behavior of the SKYNET 4 s. h. f. satellite transponders to various access configurations. The simulator encompasses the full input s. h. f. band of the transponders with a minimum access spacing of 50 kHz. Pseudo-random data streams are used to simulate digital traffic between 50 and 20 Mbit/s. Up to 32 separately tunable accesses are provided with a further provision for expanding each carrier as a comb of up to four carriers while still maintaining the noise and stability specification of the simulator. The generated access levels are such that they interface with the satellite under pre-launch/laboratory test, either by direct interconnection to its repeater amplifier or via a transmission path and the satellite antenna. The equipment is self-contained in a portable console. (Author abstract.</t>
  </si>
  <si>
    <t>62-74</t>
  </si>
  <si>
    <t>Jones, C. H.</t>
  </si>
  <si>
    <t>Salisbury</t>
  </si>
  <si>
    <t>Defence Science and Technology Laboratory</t>
  </si>
  <si>
    <t>Jones C.</t>
  </si>
  <si>
    <t>DEVELOPMENT OF A MULTI-ACCESS TRAFFIC SIMULATOR FOR THE TESTING OF THE SKYNET 4 SYSTEM.</t>
  </si>
  <si>
    <t>10.1049/jiere.1986.0021</t>
  </si>
  <si>
    <t>2-s2.0-0022669765</t>
  </si>
  <si>
    <t>['respectively ).', 'rather simple', 'problems caused', 'practical problems', 'oblique incidence', 'normal incidence', 'matrices connect', 'main role', 'magnetic field', 'incident ray', 'incident electric', 'incidence angle', 'geometrical theory', 'geodesic lines', 'explicit expressions', 'electronics engineers', 'diffraction point', 'diffraction coefficients', 'different kinds', 'curved sheets', 'curvature radius', 'creeping waves', 'complexity inherent', 'coefficients related', 'canonical problems']</t>
  </si>
  <si>
    <t>In the application of the geometrical theory of diffraction (GTD) to practical problems, a main role is played by the diffraction coefficients of different kinds. Nevertheless the explicit expressions of the diffraction coefficients associated with edges on certain curved sheets are known only in the case of normal incidence. The canonical problems from which these coefficients are derived can always be reduced to scalar diffraction problems involving two space variables, in which either the electric or the magnetic field is parallel to the edge. Nevertheless, when the incident ray is not normal to the edge at the diffraction point, the related canonical problems inevitably involve three space coordinates and at least two dependent functions. The complexity inherent in such problems caused a lack of knowledge about the diffraction coefficients connected with the edges on curved sheets in the case of oblique incidence. The case of oblique incidence on a perfectly conducting cylindrical sheet is considered and some explicit expressions for the matrix diffraction coefficients are derived. These matrices connect the diffracted far fields of different kinds to the incident electric and magnetic field components parallel to the edge at the diffraction point. The expressions are rather simple and involve the coefficients related to the case of normal incidence in which k is replaced by k sin Œ∏&lt;inf&gt;0&lt;/inf&gt; (k and Œ∏&lt;inf&gt;0&lt;/inf&gt; are the wavenumber and the incidence angle, respectively). The effect of the incidence angle in the attenuation constants associated with the creeping waves are dependent upon Œ∏&lt;inf&gt;0&lt;/inf&gt; only via the curvature radius of the geodesic lines. Copyright ¬© 1986 by The Institute of Electrical and Electronics Engineers, Inc.</t>
  </si>
  <si>
    <t>181-187</t>
  </si>
  <si>
    <t>Idemen, Mithat</t>
  </si>
  <si>
    <t>Istanbul</t>
  </si>
  <si>
    <t>ƒ∞stanbul Teknik √úniversitesi</t>
  </si>
  <si>
    <t>Idemen M.</t>
  </si>
  <si>
    <t>Diffraction of an Obliquely Incident High-Frequency Wave by a Cylindrically Curved Sheet</t>
  </si>
  <si>
    <t>10.1109/TAP.1986.1143792</t>
  </si>
  <si>
    <t>2-s2.0-0022669822</t>
  </si>
  <si>
    <t>['using phase', 'using attenuators', 'used instead', 'total number', 'special emphasis', 'simultaneous nulling', 'relative ease', 'real weights', 'many attractions', 'main beam', 'latter method', 'known jammers', 'jammer ratio', 'electronics engineers', 'double symmetry', 'difference patterns', 'current amplitudes', 'considerable saving', 'complex weights', 'attenuators required']</t>
  </si>
  <si>
    <t>A method is discussed of suppressing jammers simultaneously in the sum and the difference patterns of a linear antenna array by either using complex weights or controlling the current amplitudes only, with special emphasis on the latter method. For a given array size, the total number of jammers that can be nulled is doubled if complex weights are used instead of real weights. However, the amplitude-only technique has many attractions. It is shown that because the resulting current amplitude distribution has a double symmetry, the number of attenuators required for simultaneous nulling can be as low as a quarter of the total number of elements in the array. This means a much faster computing speed as well as a considerable saving in hardware. The method also allows the main beam of the antenna to be scanned by using phase-shifters while nulls are placed in directions of known jammers in both the sum and difference patterns by using attenuators. As a result, the maximization of the signal-to-jammer ratio can be achieved with relative ease, because the stronger a jammer is, the easier it is to locate it and hence to suppress it. Copyright ¬© 1986 by The Institute of Electrical and Electronics Engineers, Inc.</t>
  </si>
  <si>
    <t>214-218</t>
  </si>
  <si>
    <t>Vu, T. B.</t>
  </si>
  <si>
    <t>Australia</t>
  </si>
  <si>
    <t>Sydney</t>
  </si>
  <si>
    <t>UNSW Sydney</t>
  </si>
  <si>
    <t>Vu T.</t>
  </si>
  <si>
    <t>Simultaneous Nulling in Sum and Difference Patterns by Amplitude Control</t>
  </si>
  <si>
    <t>10.1109/TAP.1986.1143793</t>
  </si>
  <si>
    <t>2-s2.0-0022669823</t>
  </si>
  <si>
    <t>['waveguide walls', 'waveguide field', 'surface currents', 'slot radiator', 'slot interrupts', 'minor perturbation', 'heuristic concept', 'free space', 'extremely useful', 'electronics engineers', 'circular waveguide', 'circular caustics']</t>
  </si>
  <si>
    <t>Surface currents in waveguide walls have been very useful in gaining physical insight into the mechanism of waveguide slot coupling from the waveguide modal fields, to the slot radiator and into free space. If the slot interrupts the current flow lines, it will couple to the waveguide field and if the slot is parallel to the current flow lines, the slot will not couple and causes only minor perturbation to the waveguide field. This heuristic concept is extremely useful for the innovation of new or different slot radiators. Examples of the utility of current flow lines in circular waveguide and parallel plate radial transmission lines and how they suggest a class of reflectors with circular caustics are discussed. Copyright ¬© 1986 by The Institute of Electrical and Electronics Engineers, Inc.</t>
  </si>
  <si>
    <t>219-227</t>
  </si>
  <si>
    <t>Ajioka, James S.</t>
  </si>
  <si>
    <t>Waltham</t>
  </si>
  <si>
    <t>Raytheon</t>
  </si>
  <si>
    <t>Ajioka J.S.</t>
  </si>
  <si>
    <t>On the Conceptual Utility of Current Flow Lines in Waveguides</t>
  </si>
  <si>
    <t>10.1109/TAP.1986.1143807</t>
  </si>
  <si>
    <t>2-s2.0-0022670235</t>
  </si>
  <si>
    <t>['matching properties', 'magnetized plasma', 'line impedance', 'electronics engineers', 'effective transmission', 'bench tested', 'antenna system', 'antenna behaves']</t>
  </si>
  <si>
    <t>A resonant cavity antenna designed to be suitable for ion cyclotron heating in a tokamak has been bench tested. This antenna is a ‚Äúdiscrete element‚Äù circuit designed to launch the fast magnetosonic wave in a magnetized plasma. The resonant autotransformer design allows matching to the transmission-line impedance. The tuning and matching properties of this antenna have been compared with a simple computer model. The effective transmission of various Faraday shields has been determined by measuring the change in Q of the antenna system with and without the shield. The test results show that the antenna behaves as predicted by a simple computer model and that coolable Faraday shields with high RF transmission can be designed. Copyright ¬© 1986 by The Institute of Electrical and Electronics Engineers, Inc.</t>
  </si>
  <si>
    <t>53-58</t>
  </si>
  <si>
    <t>IEEE Transactions on Plasma Science</t>
  </si>
  <si>
    <t>60013901;60013901;60013901;60013901</t>
  </si>
  <si>
    <t>7404140627;7004255823;55572275200;7103057176</t>
  </si>
  <si>
    <t>Baker, Dan R.;Blau, Frederick P.;Hino, T.;Parks, P. B.</t>
  </si>
  <si>
    <t>General Atomics</t>
  </si>
  <si>
    <t>Baker D.R.</t>
  </si>
  <si>
    <t>Tests of an ICRH Resonant Cavity Launcher with Faraday Shield</t>
  </si>
  <si>
    <t>10.1109/TPS.1986.4316497</t>
  </si>
  <si>
    <t>2-s2.0-0022670256</t>
  </si>
  <si>
    <t>['two methods', 'std ).', 'spectral theory', 'relative merits', 'relative magnitudes', 'physical theory', 'perfectly conducting', 'infinitely long', 'grazing illumination', 'frequency approximation', 'finned cylinder', 'electronics engineers', 'electrically large', 'cylinder radius']</t>
  </si>
  <si>
    <t>A closed-form, high-frequency approximation is obtained for the diffracted-reflected-diffracted field contribution to the backscattered field resulting from the grazing illumination of a perfectly conducting, infinitely long, finned cylinder by a normally incident cylindrical transverse magnetic (TM) wave. The result, which is valid for any relative magnitudes of the cylinder radius and the fin width provided both of them are electrically large, is derived by two different methods. One of them is the radiation integral method related to the physical theory of diffraction. The other is the complex ray tracing method related to the spectral theory of diffraction (STD). Relative merits and disadvantages of the two methods are pointed out. Copyright ¬© 1986 by The Institute of Electrical and Electronics Engineers, Inc.</t>
  </si>
  <si>
    <t>138-144</t>
  </si>
  <si>
    <t>Michaeli, Arie</t>
  </si>
  <si>
    <t>Israel</t>
  </si>
  <si>
    <t>Haifa</t>
  </si>
  <si>
    <t>RAFAEL Armament Development Authority Ltd.</t>
  </si>
  <si>
    <t>Michaeli A.</t>
  </si>
  <si>
    <t>High-Frequency Backscatter from a Finned Cylinder at Grazing Incidence‚ÄîComparison of Two Theoretical Methods</t>
  </si>
  <si>
    <t>10.1109/TAP.1986.1143806</t>
  </si>
  <si>
    <t>2-s2.0-0022670260</t>
  </si>
  <si>
    <t>['produce antennas', 'electronics engineers', 'current distributions', 'antenna surfaces']</t>
  </si>
  <si>
    <t>Using characteristic mode shape synthesis, some antenna surfaces and their current distributions are found which produce maximum realizable gain for rotationally symmetric omnidirectional antennas. The same shape synthesis method fails to produce antennas which have maximum endfire gain. Copyright ¬© 1986 by The Institute of Electrical and Electronics Engineers, Inc.</t>
  </si>
  <si>
    <t>254-258</t>
  </si>
  <si>
    <t>35561475200;7006061921</t>
  </si>
  <si>
    <t>Harackiewicz, Frances J.;Pozar, David M.</t>
  </si>
  <si>
    <t>Harackiewicz F.</t>
  </si>
  <si>
    <t>Optimum Shape Synthesis of Maximum Gain Omnidirectional Antennas</t>
  </si>
  <si>
    <t>10.1109/TAP.1986.1143796</t>
  </si>
  <si>
    <t>2-s2.0-0022670302</t>
  </si>
  <si>
    <t>['receiver must', 'properly applied', 'properly accounted', 'properly account', 'power losses', 'measurement procedure', 'mathematical analysis', 'known physical', 'insufficient information', 'electrical characteristics', 'antenna factors', 'antenna factor']</t>
  </si>
  <si>
    <t>If antenna factors are to be properly applied, then all power losses from the antenna to the receiver must be properly accounted for. Generally applicable mathematical characterizations of the antenna factor which can properly account for all such losses are discussed. Examples are given for two different antennas, each having well-known physical and electrical characteristics. Also, a measurement procedure is described to obtain the antenna factors of antennas for which insufficient information is available for mathematical analysis.</t>
  </si>
  <si>
    <t>Bennett, W. Scott</t>
  </si>
  <si>
    <t>Hewlett-Packard Inc.</t>
  </si>
  <si>
    <t>Bennett W.S.</t>
  </si>
  <si>
    <t>PROPERLY APPLIED ANTENNA FACTORS.</t>
  </si>
  <si>
    <t>10.1109/temc.1986.4307232</t>
  </si>
  <si>
    <t>2-s2.0-0022670716</t>
  </si>
  <si>
    <t>['upper bounds', 'numerical results', 'loading effects', 'electronics engineers', 'current induced']</t>
  </si>
  <si>
    <t>A formulation is developed for determining the voltage and current induced on an impedance-terminated wire behind an aperture in a shield. Loading effects on the aperture are included by using receiving antenna theory. Upper bounds for the current and voltage are obtained and numerical results are presented for a thin slot antenna. Copyright ¬© 1986 by The Institute of Electrical and Electronics Engineers, Inc.</t>
  </si>
  <si>
    <t>208-213</t>
  </si>
  <si>
    <t>60006663;60015710;60007843;60027090</t>
  </si>
  <si>
    <t>35606833400;7102871202;7201709052;56760475400</t>
  </si>
  <si>
    <t>Taylor, Clayborne D.;Harper, Earl;Harrison, Charles W.;Davis, William A.</t>
  </si>
  <si>
    <t>United States;United States;United States;United States</t>
  </si>
  <si>
    <t>Blacksburg;Kirtland;Albuquerque;Mississippi State</t>
  </si>
  <si>
    <t>Virginia Polytechnic Institute and State University;Kirtland Air Force Base;Sandia National Laboratories, New Mexico;Bagley College of Engineering</t>
  </si>
  <si>
    <t>60027090;60015710;60007843;60006663</t>
  </si>
  <si>
    <t>Taylor C.D.</t>
  </si>
  <si>
    <t>On Bounding the Excitation of a Terminated Wire Behind an Aperture in a Shield</t>
  </si>
  <si>
    <t>10.1109/TAP.1986.1143787</t>
  </si>
  <si>
    <t>2-s2.0-0022670965</t>
  </si>
  <si>
    <t>['united kingdom', 'subreflector support', 'structural geometry', 'spurious movements', 'optimum structure', 'mechanical performance', 'detrimental effects', 'aperture blocking', '4 %.']</t>
  </si>
  <si>
    <t>In large Cassegrain antennas careful design is required to minimise the detrimental effects on the antenna performance caused by blocking of the radiation by the subreflector support. A study of the aperture blocking by some possible support structures has been carried out for the United Kingdom/Netherlands millimeterwave telescope antenna which has stringent mechanical specifications. By examining the dependence of the blockage on the structural geometry and analyzing the mechanical performance, an optimum structure has been achieved. Although the structure is required to support a secondary, which oscillates at up to 15 Hz without causing any spurious movements which are significant in comparison to the 0. 4 mm shortest operating wavelength, the loss of gain has been kept down to 7. 4%.</t>
  </si>
  <si>
    <t>43-49</t>
  </si>
  <si>
    <t>60022109;60022109</t>
  </si>
  <si>
    <t>7201524785;7006827241</t>
  </si>
  <si>
    <t>Lamb, J. W.;Olver, A. D.</t>
  </si>
  <si>
    <t>London</t>
  </si>
  <si>
    <t>Queen Mary University of London</t>
  </si>
  <si>
    <t>Lamb J.</t>
  </si>
  <si>
    <t>BLOCKAGE DUE TO SUBREFLECTOR SUPPORTS IN LARGE RADIOTELESCOPE ANTENNAS.</t>
  </si>
  <si>
    <t>10.1049/ip-h-2.1986.0008</t>
  </si>
  <si>
    <t>2-s2.0-0022671465</t>
  </si>
  <si>
    <t>['resistance product', 'correct expression']</t>
  </si>
  <si>
    <t>It is contended that the expression for the gain-resistance product for a half-wave dipole antenna given by Bennett is incorrect. The correct expression for this product is given. In a reply, it is maintained that the commenter has confused the properties of an array with the properties of an element of that array.</t>
  </si>
  <si>
    <t>363-365</t>
  </si>
  <si>
    <t>Collin, R. E.</t>
  </si>
  <si>
    <t>Cleveland</t>
  </si>
  <si>
    <t>Case Western Reserve University</t>
  </si>
  <si>
    <t>Collin R.</t>
  </si>
  <si>
    <t>COMMENTS, WITH REPLY, ON 'THE GAIN-RESISTANCE PRODUCT OF THE HALF-WAVE DIPOLE' BY W. S. BENNETT.</t>
  </si>
  <si>
    <t>10.1109/PROC.1986.13463</t>
  </si>
  <si>
    <t>2-s2.0-0022671554</t>
  </si>
  <si>
    <t>['small differences', 'simple model', 'r ¬≤,', 'impact ionization', 'ice flyby', 'dust impacts', 'copyright 1986', 'charge collection', 'azimuthal variations', 'antenna indicates', '000 km']</t>
  </si>
  <si>
    <t>During the ICE flyby of Giacobini‚ÄêZinner the plasma wave instrument detected numerous impulsive signals caused by dust impacts on the spacecraft. Most of the impacts occurred within 30,000 km of the comet. The impact rate averaged over the inbound and outbound legs varies approximately as 1/r¬≤, as would be expected for an isotropic constant velocity radial outflow. Small differences between the inbound and outbound legs exist which may be indicative of azimuthal variations in the dust production rate. A simple model of the impact ionization and charge collection by the antenna indicates that the particles have a mass on the order of 10‚àí12 to 10‚àí10 gm, corresponding to particles with radii of a few microns. Copyright 1986 by the American Geophysical Union.</t>
  </si>
  <si>
    <t>291-294</t>
  </si>
  <si>
    <t>Geophysical Research Letters</t>
  </si>
  <si>
    <t>60024324;60024324;60025209;60012804</t>
  </si>
  <si>
    <t>7007153701;6507238892;6603955329;35411291100</t>
  </si>
  <si>
    <t>Gurnett, D. A.;Averkamp, T. F.;Scarf, F. L.;Gr√ºn, E.</t>
  </si>
  <si>
    <t>United States;United States;Germany</t>
  </si>
  <si>
    <t>Los Angeles;Iowa City;Heidelberg</t>
  </si>
  <si>
    <t>Northrop Grumman corporation;University of Iowa;Max Planck Institute for Nuclear Physics</t>
  </si>
  <si>
    <t>60025209;60024324;60012804</t>
  </si>
  <si>
    <t>Gurnett D.</t>
  </si>
  <si>
    <t>Dust particles detected near Giacobini‚ÄêZinner by the ICE Plasma Wave Instrument</t>
  </si>
  <si>
    <t>10.1029/GL013i003p00291</t>
  </si>
  <si>
    <t>2-s2.0-0022673010</t>
  </si>
  <si>
    <t>['wave along', 'two media', 'placed close', 'numerical results', 'new method', 'lateral waves', 'lateral wave', 'iterative procedure', 'copyright 1986', 'agree well']</t>
  </si>
  <si>
    <t>Lateral waves can propagate when an antenna is placed close to an interface between two different media. In this paper, a study is made of how the lateral wave is affected by a conducting plate placed parallel to the interface. This changes the type of decay of the wave along the interface from that of algebraic to exponential. A new method is used in developing the formulas. Impedance boundary conditions are used to decouple the two media at each step of an iterative procedure. Single medium techniques can then be used in each region. The formulas are seen to agree well with numerical results from the exact integral representations of the fields. Copyright 1986 by the American Geophysical Union.</t>
  </si>
  <si>
    <t>175-184</t>
  </si>
  <si>
    <t>March-April 1986</t>
  </si>
  <si>
    <t>Dunn, John M.</t>
  </si>
  <si>
    <t>Dunn J.</t>
  </si>
  <si>
    <t>Lateral wave propagation in the presence of a conducting plate</t>
  </si>
  <si>
    <t>10.1029/RS021i002p00175</t>
  </si>
  <si>
    <t>2-s2.0-0022673953</t>
  </si>
  <si>
    <t>['¬© 1986', 'two configurations', 'rights reserved', 'permittivity substrate', 'measured results', 'electrical engineers', 'circular polarisation']</t>
  </si>
  <si>
    <t>Antennas | Coplanar waveguide | Microstrip antennas</t>
  </si>
  <si>
    <t>Two configurations are proposed for feeding printed dipoles with coplanar waveguide transmission lines. The coplanar waveguide feed is printed on a ground plane sandwiched between a high-permittivity substrate and a low-permittivity substrate which supports the antenna. Both linear and circular polarisation can be achieved. Measured results are presented. ¬© 1986, The Institution of Electrical Engineers. All rights reserved.</t>
  </si>
  <si>
    <t>324-325</t>
  </si>
  <si>
    <t>Jackson, R. W.</t>
  </si>
  <si>
    <t>Jackson R.</t>
  </si>
  <si>
    <t>Printed Dipoles Electromagnetically Coupled to Coplanar Waveguide For Linear or Circular Polarisation</t>
  </si>
  <si>
    <t>10.1049/el:19860222</t>
  </si>
  <si>
    <t>2-s2.0-0022674293</t>
  </si>
  <si>
    <t>['turbulent one', 'surface roughness', 'slender body', 'simple cylinder', 'side increases', 'side end', 'rights reserved', 'high angles', 'geometric configurations', 'early transition', 'boundary layer', 'antennas behave', 'antennas around', 'another cone', 'although attachment', 'aerodynamic force']</t>
  </si>
  <si>
    <t>The low speed wind tunnel investigations for the anomalous side force acting on a slender body at high angles of attack are conducted at Reynolds numbers 1.1 √ó 105 - 4.8 √ó 105. The effects of the geometric configurations of the model and the freestream Reynolds number are studied by measuring the aerodynamic force. The anomalous side force that appears on the simple circular cylinder is reduced by the attachment of a cone on the side end of the cylinder, although attachment of another cone on the other side increases the anomalous side force up to the level of the simple cylinder. The anomalous side force can be alleviated by the use of the antennas around the cylinder. The antennas behave as surface roughness and promote the early transition of the boundary layer to the turbulent one. ¬© American Institute of Aeronautics and Astronautics, Inc., 1986, All rights reserved.</t>
  </si>
  <si>
    <t>136-140</t>
  </si>
  <si>
    <t>60000809;60000809</t>
  </si>
  <si>
    <t>56435008500;57192293447</t>
  </si>
  <si>
    <t>Abe, Takashi;Funabikit, Katushi</t>
  </si>
  <si>
    <t>Sagamihara</t>
  </si>
  <si>
    <t>JAXA Institute of Space and Astronautical Science</t>
  </si>
  <si>
    <t>Abe T.</t>
  </si>
  <si>
    <t>Active control of asymmetric vortex effects in a circular cylinder</t>
  </si>
  <si>
    <t>10.2514/3.25092</t>
  </si>
  <si>
    <t>2-s2.0-0022675368</t>
  </si>
  <si>
    <t>['¬© 1986', 'virtually eliminates', 'transmit plane', 'rights reserved', 'new technique', 'measuring instruments', 'measuring centre', 'measurement centre', 'instrument changing', 'electrical engineers', 'antenna vswr']</t>
  </si>
  <si>
    <t>Measurement | Microwave circuits and systems | Microwave measurement</t>
  </si>
  <si>
    <t>The measurement centre of microwave electronic distance-measuring instruments (EDMIs) is affected by antenna VSWR in the transmit plane. This results in the measuring centre of the instrument changing with temperature as the frequency of the microwave transmitter source changes. A new technique is described which virtually eliminates this source of error. ¬© 1986, The Institution of Electrical Engineers. All rights reserved.</t>
  </si>
  <si>
    <t>307-308</t>
  </si>
  <si>
    <t>Downing, B. J.</t>
  </si>
  <si>
    <t>South Africa</t>
  </si>
  <si>
    <t>Cape Town</t>
  </si>
  <si>
    <t>University of Cape Town</t>
  </si>
  <si>
    <t>Downing B.</t>
  </si>
  <si>
    <t>Improved Instrumental Accuracy for Microwave Electronic Distance-Measuring Instruments</t>
  </si>
  <si>
    <t>10.1049/el:19860210</t>
  </si>
  <si>
    <t>2-s2.0-0022675538</t>
  </si>
  <si>
    <t>['tip length', 'third order', 'radiation pattern', 'paper presents', 'order expression', 'input admittance', 'include terms', 'hopf technique', 'hirasawa indicates', 'highly accurate', 'general case', 'current distribution', 'close agreement', 'accurate expressions']</t>
  </si>
  <si>
    <t>This paper presents an extension of R. A. Hurd's solution for the input admittance of a long linear antenna to the general case of an arbitrarily and multiply fed dipole antenna. Accurate expressions for the radiation pattern, current distribution, and input admittance of the arbitrarily fed dipole antenna are derived by the Wiener-Hopf technique. The results are compared with P. F. Harrington's solution for the case of an arbitrarily fed dipole and very close agreement is observed. For a multiply fed dipole, a comparison with K. G. Strait and K. Hirasawa indicates that our expression for the radiation pattern is highly accurate, even when it only corresponds to the first-order expression of the current distribution. The current distribution and the input admittance are calculated up to the third order and include terms of O(1/h**2), where h is half the tip-to-tip length of the antenna.</t>
  </si>
  <si>
    <t>303-310</t>
  </si>
  <si>
    <t>Canadian journal of physics</t>
  </si>
  <si>
    <t>Mar</t>
  </si>
  <si>
    <t>60009697;60009697</t>
  </si>
  <si>
    <t>7006917371;7103051886</t>
  </si>
  <si>
    <t>Ragheb, H. A.;Hamid, M.</t>
  </si>
  <si>
    <t>RIGOROUS SOLUTION OF MULTIPLY FED DIPOLE ANTENNA.</t>
  </si>
  <si>
    <t>10.1139/p86-053</t>
  </si>
  <si>
    <t>2-s2.0-0022676052</t>
  </si>
  <si>
    <t>['¬© 1986', 'rights reserved', 'matching approach', 'input impedance', 'electrical engineers', 'dominant mode', '11 ghz']</t>
  </si>
  <si>
    <t>Antennas | Microstrip antennas</t>
  </si>
  <si>
    <t>A model is developed to calculate the input impedance of a coaxially fed circular microstrip disc antenna. A mode-matching approach is used, which makes it possible to include the effects of modes other than the dominant mode. Comparison is made with measured results taken over the frequency range 8 GHz to 11 GHz. ¬© 1986, The Institution of Electrical Engineers. All rights reserved.</t>
  </si>
  <si>
    <t>362-363</t>
  </si>
  <si>
    <t>60019702;60019702;60019702</t>
  </si>
  <si>
    <t>7006639115;7005970306;7202775114</t>
  </si>
  <si>
    <t>Mehler, M. J.;Maclean, T. S.M.;Abbas, A. K.</t>
  </si>
  <si>
    <t>Birmingham</t>
  </si>
  <si>
    <t>University of Birmingham</t>
  </si>
  <si>
    <t>Mehler M.</t>
  </si>
  <si>
    <t>Input Impedance of A Circular Microstrip Disc Antenna using Mode Matching</t>
  </si>
  <si>
    <t>10.1049/el:19860246</t>
  </si>
  <si>
    <t>2-s2.0-0022676259</t>
  </si>
  <si>
    <t>['¬© 1986', 'rights reserved', 'radiation patterns', 'radiation pattern', 'mentioned antenna', 'input impedance', 'electrical engineers', 'cavity method']</t>
  </si>
  <si>
    <t>Antennas</t>
  </si>
  <si>
    <t>A double-stub adjusting procedure is used to obtain quasiidentical input impedances and radiation patterns at both resonances of a dual-frequency microstrip antenna. In addition, the cavity method is adapted so as to be applied for the evaluation of radiation pattern as well as the input impedance of the above-mentioned antenna. ¬© 1986, The Institution of Electrical Engineers. All rights reserved.</t>
  </si>
  <si>
    <t>379-381</t>
  </si>
  <si>
    <t>60030553;60030553;60030553</t>
  </si>
  <si>
    <t>6603795399;7202044329;7006272544</t>
  </si>
  <si>
    <t>Mahdjoubi, K.;Daniel, J.;Terret, C.</t>
  </si>
  <si>
    <t>Rennes</t>
  </si>
  <si>
    <t>Universite de Rennes 1</t>
  </si>
  <si>
    <t>Mahdjoubi K.</t>
  </si>
  <si>
    <t>Dual-Frequency Disc Antenna Studied by Cavity Method</t>
  </si>
  <si>
    <t>10.1049/el:19860258</t>
  </si>
  <si>
    <t>2-s2.0-0022676462</t>
  </si>
  <si>
    <t>['two orders', 'spatial distribution', 'spacecraft body', 'roughly comparable', 'rate observed', 'present paper', 'observed impacts', 'magnitude larger', 'issue ),', 'infrared imaging', 'impact rate', 'ice antennae', 'ice ).', 'grain radii', 'dust grains', 'copyright 1986', '1985 ),']</t>
  </si>
  <si>
    <t>A thermal‚Äêinfrared image of comet Giacobini‚ÄêZinner has been used to determine the spatial distribution of dust grains in the Comet's coma. In the present paper we emphasize the results of this imaging which bear on the expected impact rate of dust grains on the International Cometary Explorer (ICE). the expected impact rate is calculated for a range of grain radii. For particle sizes comparable to those inferred for most comets, the impact rate is on the order of several hundred per second. This rate is in agreement with the predictions by Divine (1985), but it is more than two orders of magnitude larger than the rate observed by ICE if the observed impacts were on the spacecraft body. However, the observed impact rate is roughly comparable to that inferred from our infrared imaging if, as suggested by Gurnett et al. (this issue), the impacts were on the ICE antennae, which had a much smaller cross‚Äêsectional area than the spacecraft body. Copyright 1986 by the American Geophysical Union.</t>
  </si>
  <si>
    <t>295-298</t>
  </si>
  <si>
    <t>60012944;60011779;60011779;60027271;60008827</t>
  </si>
  <si>
    <t>57204256381;7003342230;57212917377;7003488726;6603668466</t>
  </si>
  <si>
    <t>Campins, H.;Telesco, C. M.;Decher, R.;Mozurkewich, D.;Thronson, H. A.</t>
  </si>
  <si>
    <t>Washington, D.C.;Tucson;Huntsville;Laramie</t>
  </si>
  <si>
    <t>Naval Research Laboratory;Planetary Science Institute;NASA Marshall Space Flight Center;University of Wyoming</t>
  </si>
  <si>
    <t>60027271;60012944;60011779;60008827</t>
  </si>
  <si>
    <t>Campins H.</t>
  </si>
  <si>
    <t>Groundbased infrared imaging of Comet Giacobini‚ÄêZinner: The distribution of dust during the ICE flyby</t>
  </si>
  <si>
    <t>10.1029/GL013i003p00295</t>
  </si>
  <si>
    <t>2-s2.0-0022676693</t>
  </si>
  <si>
    <t>['rca moorestown', 'pilot production', 'paper describes', 'operational problems', 'major materials', 'equipment options']</t>
  </si>
  <si>
    <t>Surface mount technology (SMT) was pioneered in the 1970's at RCA Moorestown in the Hybrid Engineering Lab. During the past two years a full-production SMT facility has been established to produce improved Standard Electronic Modules (ISEMs) for an advanced Navy shipboard radar system. This paper describes the major materials and process and equipment options which were chosen for the new SMT manufacturing facility, as well as some of the operational problems and solutions that developed during start-up and pilot production. ¬© 1986 Benn Electronics Publications Ltd, Luton.</t>
  </si>
  <si>
    <t>Microelectronics Journal</t>
  </si>
  <si>
    <t>March 1986/April 1986</t>
  </si>
  <si>
    <t>Davis, Mitch</t>
  </si>
  <si>
    <t>Boulogne-Billancourt</t>
  </si>
  <si>
    <t>Thomson, SA</t>
  </si>
  <si>
    <t>Davis M.</t>
  </si>
  <si>
    <t>Surface mount technology experience: Problems and solutions</t>
  </si>
  <si>
    <t>S0026269286800088</t>
  </si>
  <si>
    <t>10.1016/s0026-2692(86)80008-8</t>
  </si>
  <si>
    <t>2-s2.0-0022677515</t>
  </si>
  <si>
    <t>['¬© 1986', '¬£- plane', 'tapered illumination', 'rights reserved', 'ray theory', 'radiation pattern', 'plane aperture', 'microwave horn', 'low sidelobes', 'index profile', 'experimental verification', 'electrical engineers', '10 ghz']</t>
  </si>
  <si>
    <t>Low sidelobes | Phase correction | Short horn | Waveguides</t>
  </si>
  <si>
    <t>It is shown that ray theory can be used in designing a microwave horn with a hyperbolic secant refractive-index profile. The horn is short in length, has constant phase across the plane aperture and tapered illumination in the ¬£-plane, resulting in a radiation pattern with low sidelobes. Experimental verification has been made on a model operating around a frequency of 10 GHz. ¬© 1986, The Institution of Electrical Engineers. All rights reserved.</t>
  </si>
  <si>
    <t>367-369</t>
  </si>
  <si>
    <t>60068815;60023998;60001881</t>
  </si>
  <si>
    <t>55952625000;7103235804;6603759531</t>
  </si>
  <si>
    <t>Marincic, A.;Benson, T. M.;Farhat, K. S.</t>
  </si>
  <si>
    <t>Serbia;United Kingdom;United Kingdom</t>
  </si>
  <si>
    <t>Belgrade;Cardiff;Sheffield</t>
  </si>
  <si>
    <t>University of Belgrade;Cardiff University;The University of Sheffield</t>
  </si>
  <si>
    <t>Marincic A.</t>
  </si>
  <si>
    <t>Ray Theory Design of Hyperbolic Secant Horn</t>
  </si>
  <si>
    <t>10.1049/el:19860250</t>
  </si>
  <si>
    <t>2-s2.0-0022677609</t>
  </si>
  <si>
    <t>['rights reserved', 'paper presents', 'major concern', 'large structure', 'ground test', 'g field', 'flexible structure', 'dynamic characteristics', 'data necessary']</t>
  </si>
  <si>
    <t>A major concern for future large space structures is the ability to verify their dynamic characteristics by ground test. This paper presents the results of the multiple boundary conditions test approach that provides a complete ground test of a large structure. This ground test, in turn, supplies the data necessary to construct a test-verified final mathematical model. Theoretical studies indicate that this approach can provide a better final model than a ground test of the full-scale very flexible structure in a 1-g field. ¬© American Institute of Aeronautics and Astronautics, Inc., 1986, All rights reserved.</t>
  </si>
  <si>
    <t>184-188</t>
  </si>
  <si>
    <t>60009037;60009037;60009037</t>
  </si>
  <si>
    <t>56238798300;6507311532;7202587057</t>
  </si>
  <si>
    <t>Wada, B. K.;Kui, C. P.;Glaser, R. J.</t>
  </si>
  <si>
    <t>Pasadena</t>
  </si>
  <si>
    <t>Jet Propulsion Laboratory</t>
  </si>
  <si>
    <t>Wada B.</t>
  </si>
  <si>
    <t>Extension of ground-based testing for large space structures</t>
  </si>
  <si>
    <t>10.2514/3.25098</t>
  </si>
  <si>
    <t>2-s2.0-0022677685</t>
  </si>
  <si>
    <t>['¬© 1986', 'unexpected high', 'rights reserved', 'plate polariser', 'linear near', 'level sidelobe', 'grating lobe', 'field measurements', 'electrical engineers']</t>
  </si>
  <si>
    <t>Antennas | Polarisation | Waveguides</t>
  </si>
  <si>
    <t>An unexpected high-level sidelobe was encountered when a parallel-plate polariser was fitted to a slotted waveguide array. The phenomenon is explained using grating lobe theory and linear near-field measurements. A technique to suppress the grating lobe is proposed. ¬© 1986, The Institution of Electrical Engineers. All rights reserved.</t>
  </si>
  <si>
    <t>372-373</t>
  </si>
  <si>
    <t>60001565;60001565;60001565</t>
  </si>
  <si>
    <t>7005311898;7202536090;7004301548</t>
  </si>
  <si>
    <t>Cloete, J. H.;George, W. I.;Du Toit, L. J.D.</t>
  </si>
  <si>
    <t>Stellenbosch</t>
  </si>
  <si>
    <t>Stellenbosch University</t>
  </si>
  <si>
    <t>Cloete J.</t>
  </si>
  <si>
    <t>Grating Lobes Caused by Parallel-Plate Polariser</t>
  </si>
  <si>
    <t>10.1049/el:19860253</t>
  </si>
  <si>
    <t>2-s2.0-0022677957</t>
  </si>
  <si>
    <t>['¬© 1986', 'two examples', 'sector pattern', 'rights reserved', 'relaxation technique', 'radiation pattern', 'interelement spacings', 'elementary source', 'electrical engineers']</t>
  </si>
  <si>
    <t>Antenna radiation patterns | Antennas</t>
  </si>
  <si>
    <t>An antenna pattern synthesis method based on a relaxation technique is proposed. The radiation pattern of the elementary source and the interelement spacings are taken into account. Two examples of linear printed arrays are computed: sector pattern and directive broadside pattern. ¬© 1986, The Institution of Electrical Engineers. All rights reserved.</t>
  </si>
  <si>
    <t>375-376</t>
  </si>
  <si>
    <t>60030553-100726529;60030553;60030553</t>
  </si>
  <si>
    <t>7801531229;7202044329;7006272544</t>
  </si>
  <si>
    <t>Boguais, M.;Daniel, J. P.;Terret, C.</t>
  </si>
  <si>
    <t>France;France</t>
  </si>
  <si>
    <t>Rennes;Le Plessis-Robinson</t>
  </si>
  <si>
    <t>Universite de Rennes 1;TRT</t>
  </si>
  <si>
    <t>60030553;100726529</t>
  </si>
  <si>
    <t>Boguais M.</t>
  </si>
  <si>
    <t>Antenna Pattern Synthesis using A Relaxation Method: Application to Printed Antennas</t>
  </si>
  <si>
    <t>10.1049/el:19860255</t>
  </si>
  <si>
    <t>2-s2.0-0022679197</t>
  </si>
  <si>
    <t>['solar microwave', 'radiation transmitted', 'preliminary retrievals', 'late 1981', 'daylight hours', 'copyright 1986', 'accurately tracking', '235 ghz']</t>
  </si>
  <si>
    <t>Ground‚Äêbased microwave measurements of upper atmospheric water vapor were made during late 1981 at Penn State University using the spectral line decomposition of solar microwave (22.235 GHz) radiation transmitted through the atmosphere. One measurement per day was accomplished by integrating the signal over the daylight hours from sunrise to sunset while accurately tracking the sun with a 2.4 m cassegrain parabola antenna. Preliminary retrievals for the period 13‚Äê21 December 1983 are presented, which show reasonable agreement with recent emission microwave measurements. Copyright 1986 by the American Geophysical Union.</t>
  </si>
  <si>
    <t>197-200</t>
  </si>
  <si>
    <t>60001439;60001439;60001439;60001439;60018431</t>
  </si>
  <si>
    <t>35481796400;57225709481;7003817768;7103043384;7003330322</t>
  </si>
  <si>
    <t>Olivero, J. J.;Tsou, J. J.;Croskey, C. L.;Hale, L. C.;Joiner, R. G.</t>
  </si>
  <si>
    <t>Arlington;University Park</t>
  </si>
  <si>
    <t>Office of Naval Research;Pennsylvania State University</t>
  </si>
  <si>
    <t>60018431;60001439</t>
  </si>
  <si>
    <t>Olivero J.J.</t>
  </si>
  <si>
    <t>Solar absorption microwave measurement of upper atmospheric water vapor</t>
  </si>
  <si>
    <t>10.1029/GL013i003p00197</t>
  </si>
  <si>
    <t>2-s2.0-0022679590</t>
  </si>
  <si>
    <t>['¬© 1986', 'rights reserved', 'electrical engineers', 'discrete arrays', 'correct shifting', 'continuous apertures', 'bayliss pattern']</t>
  </si>
  <si>
    <t>Antenna arrays | Antennas | Monopulse | Optimum difference excitations | Sidelobe taper</t>
  </si>
  <si>
    <t>The equivalent of a Bayliss pattern for continuous apertures is developed for discrete arrays by the correct shifting of Zolotarev array pattern zeros. ¬© 1986, The Institution of Electrical Engineers. All rights reserved.</t>
  </si>
  <si>
    <t>303-304</t>
  </si>
  <si>
    <t>Mcnamara, D. A.</t>
  </si>
  <si>
    <t>Pretoria</t>
  </si>
  <si>
    <t>University of Pretoria</t>
  </si>
  <si>
    <t>Mcnamara D.</t>
  </si>
  <si>
    <t>Discrete a-Distribution for Difference Patterns</t>
  </si>
  <si>
    <t>10.1049/el:19860207</t>
  </si>
  <si>
    <t>2-s2.0-0022680652</t>
  </si>
  <si>
    <t>['¬© 1986', 'time domain', 'study arrays', 'rights reserved', 'numerical method', 'mutual impedances', 'frequency dependence', 'electrical engineers', 'current distribution']</t>
  </si>
  <si>
    <t>Antennas | Time-domain analysis</t>
  </si>
  <si>
    <t>The current distribution and the frequency dependence of self and mutual impedances of an array of straight-wire coupled antennas are calculated by a numerical method in the time domain. The antennas are excited by a time-varying Gaussian pulse. The method can easily be extended to study arrays of nonlinear loaded antennas. ¬© 1986, The Institution of Electrical Engineers. All rights reserved.</t>
  </si>
  <si>
    <t>316-318</t>
  </si>
  <si>
    <t>60014655;60014655;60014655</t>
  </si>
  <si>
    <t>57199301939;57207871862;7004533004</t>
  </si>
  <si>
    <t>Martin, Gomez;Morente, J. A.;Salinas, A.</t>
  </si>
  <si>
    <t>Spain</t>
  </si>
  <si>
    <t>Granada</t>
  </si>
  <si>
    <t>Universidad de Granada, Facultad de Ciencias</t>
  </si>
  <si>
    <t>Martin G.</t>
  </si>
  <si>
    <t>Time-Domain Analysis of an Array OF Straight-Wire Coupled Antennas</t>
  </si>
  <si>
    <t>10.1049/el:19860217</t>
  </si>
  <si>
    <t>2-s2.0-0022680653</t>
  </si>
  <si>
    <t>['¬© 1986', 'well tolerated', 'thermometry probes', 'stereotaxic manipulator', 'stereotaxic frame', 'steady state', 'rights reserved', 'results suggest', 'phantom trials', 'parietal approaches', 'long period', 'interstitial brachytherapy', 'hyperthermia procedures', 'heating patterns', 'heat toxicity', 'head fixed', 'followed noninvasively', 'effective means', 'clinical study', 'chronic trials', 'chronic experiments', '8 weeks']</t>
  </si>
  <si>
    <t>brachytherapy | computed tomography | hyperthermia | interstitial microwave | malignant brain neoplasms</t>
  </si>
  <si>
    <t>Hyperthermia in conjunction with brachytherapy might allow the delivery of less toxic radiation doses while improving local control of tumors. To complement the authors' clinical study of interstitial brachytherapy of malignant brain tumors, a microwave interstitial heating system with computed data acquisition was constructed. It was evaluated in a phantom and in a series of acute and chronic experiments for heating patterns and heat toxicity in 30 normal adult canine brains. With the head fixed in a stereotaxic frame, lateral, occipital, or parietal approaches were used for placement of nylon catheters containing microwave antennas and fiberoptic thermometry probes. The antennas were operated at 915 or 2,450 MHz using continuous-wave power sources. When a steady state was obtained, usually within 5 minutes of heating, temperatures were mapped at 1 mm intervals along the length of the antenna and radially from the antenna by moving the thermometry probes with a stereotaxic manipulator. In general it was easy to maintain a steady state for a long period. Heating patterns tended to be ellipsoidal, correlating relatively well with those predicted by phantom trials. Heat toxicity was examined by sequential quantitative computed tomography (CT) scans in chronic trials and correlated with histopathology following sacrifice at 4-8 weeks. The results suggest that 1) interstitial microwave hyperthermia is an effective means of inducing localizedbrain hyperthermia, 2) surgical and hyperthermia procedures are well tolerated, 3) temperature above 43¬∞C for 30 minutes induces changes in the normal canine brain which can be measured and followed noninvasively with CT. ¬© 1986, The Japan Neurosurgical Society. All rights reserved.</t>
  </si>
  <si>
    <t>207-215</t>
  </si>
  <si>
    <t>Neurologia Medico-Chirurgica</t>
  </si>
  <si>
    <t>60023691;60023691;60023691;60023691;60023691;60023691</t>
  </si>
  <si>
    <t>7601609251;7005772755;7006300930;57194928643;35408019300;7005586630</t>
  </si>
  <si>
    <t>Matsumoto, Kengo;Stauffer, Paul R.;Fike, John R.;Krzysztof, Turowski;Sneed, Penny;Gutin, Phillip H.</t>
  </si>
  <si>
    <t>San Francisco</t>
  </si>
  <si>
    <t>University of California, San Francisco</t>
  </si>
  <si>
    <t>Matsumoto K.</t>
  </si>
  <si>
    <t>Hyperthermia for Malignant Brain Tumors Interstitial Microwave Hyperthermia in a Canine Brain Model</t>
  </si>
  <si>
    <t>10.2176/nmc.26.207</t>
  </si>
  <si>
    <t>2-s2.0-0022680787</t>
  </si>
  <si>
    <t>['single layers', 'paper assesses', 'offset reflector', 'double squares', 'diplexer alone', 'concentric rings', 'complete antenna', '32 ghz']</t>
  </si>
  <si>
    <t>This paper assesses the performance of a dual linearly polarized 45 degree incidence frequency selective diplexer in an offset parabolic reflector. Three different plane frequency selective surfaces have been studied - single layers of concentric rings and double squares, and a four-layer surface consisting of capacitive patch arrays. All three give operating bands near 22 GHz and 32 GHz. The peak linear crosspolar levels of the diplexer alone and in the offset reflector are discussed, together with the copolar sidelobe performance of the complete antenna.</t>
  </si>
  <si>
    <t>111-116</t>
  </si>
  <si>
    <t>60010818;60010818</t>
  </si>
  <si>
    <t>6603103266;7201840709</t>
  </si>
  <si>
    <t>El-Morsy, M. A.A.;Parker, E. A.</t>
  </si>
  <si>
    <t>Canterbury</t>
  </si>
  <si>
    <t>University of Kent</t>
  </si>
  <si>
    <t>El-Morsy M.</t>
  </si>
  <si>
    <t>LINEARLY-POLARIZED DUAL-BAND DIPLEXER IN AN OFFSET REFLECTOR.</t>
  </si>
  <si>
    <t>10.1049/jiere.1986.0037</t>
  </si>
  <si>
    <t>2-s2.0-0022682906</t>
  </si>
  <si>
    <t>['weighting vector', 'rapidly varying', 'past researchers', 'noise analysis', 'input noise', 'include noise', 'derived results', 'applebaum algorithm', 'adaptive algorithm']</t>
  </si>
  <si>
    <t>A technique is presented that yields exact solutions for the noise analysis of the Applebaum adaptive algorithm. Past researchers have derived results under the assumption that the input noise is rapidly varying with respect to the output weighting vector of the Applebaum algorithm. This work is extended here to include noise that can vary at any rate. External noise sources are modeled as continuous state jump Markov processes (CSJMP) which results in exact first moment equations for the weighting vector that are solvable. Specifically, the case where the adaptive algorithm is subjected to a single external noise source is examined in detail. Results in adaptive processing convergence times and average null depth are presented.</t>
  </si>
  <si>
    <t>395-403</t>
  </si>
  <si>
    <t>60027271;60027271</t>
  </si>
  <si>
    <t>35607620700;57203616353</t>
  </si>
  <si>
    <t>Gerlach, Karl;Lang, Roger H.</t>
  </si>
  <si>
    <t>Gerlach K.</t>
  </si>
  <si>
    <t>EXACT SOLUTION FOR CONTROL LOOP ADAPTIVE ANTENNA WEIGHTS IN BAND-LIMITED NOISE.</t>
  </si>
  <si>
    <t>10.1109/tap.1986.1143822</t>
  </si>
  <si>
    <t>2-s2.0-0022682972</t>
  </si>
  <si>
    <t>['scheme employs', 'number n', 'increased sufficiently', 'horn apertures', 'electronics engineers', 'eccentric point', 'cylindrical form', 'conductive target', 'cancer therapy', 'azimuthal variations', 'analytical formulation']</t>
  </si>
  <si>
    <t>We implement the analytical formulation for the local power dissipated in a conductive target of cylindrical form that was described in Part I. The scheme employs a number N of horn apertures arranged around the periphery of the target. We show sample results for the radial and the azimuthal variations of the normalized local power. The cases where the array is focused at both the center of the target and where it is focused at an eccentric point are considered for N = 4, 8, and 16. It is shown that the unwanted secondary ‚Äúhot spots‚Äù can be eliminated if the number N of horn apertures is increased sufficiently. The results are relevant to microwave thermic heating in cancer therapy. Copyright ¬© 1986 by The Institute of Electrical and Electronics Engineers, Inc.</t>
  </si>
  <si>
    <t>357-359</t>
  </si>
  <si>
    <t>60010065;60010065</t>
  </si>
  <si>
    <t>7103195054;6602701159</t>
  </si>
  <si>
    <t>Wait, James R.;Lumori, Mikaya</t>
  </si>
  <si>
    <t>Tucson</t>
  </si>
  <si>
    <t>The University of Arizona</t>
  </si>
  <si>
    <t>Wait J.R.</t>
  </si>
  <si>
    <t>Focused heating in cylindrical targets‚Äîpart II</t>
  </si>
  <si>
    <t>10.1109/TMTT.1986.1133345</t>
  </si>
  <si>
    <t>2-s2.0-0022683190</t>
  </si>
  <si>
    <t>['¬© 1986', 'sage publications', 'rights reserved', 'monopulse antenna', 'ground clutter', 'detect slow', 'clutter modeling']</t>
  </si>
  <si>
    <t>adaptive MTI | aerospace | estimation | FMCW radar | signal processing</t>
  </si>
  <si>
    <t>A range-doppler spread target model is modified to obtain a clut ter model by including the effect of beam and range gate shape. This clutter modeling is then applied in a simulation of an FMCW radar sensor that uses an adaptive moving target indicator (AMTI) and a monopulse antenna to detect slow-moving ground targets. The ability of the AMTI to discriminate a slow-moving point target from ground clutter is shown via simulation. ¬© 1986, Sage Publications. All rights reserved.</t>
  </si>
  <si>
    <t>Simulation</t>
  </si>
  <si>
    <t>Kenefic, Richard J.</t>
  </si>
  <si>
    <t>Fort Wayne</t>
  </si>
  <si>
    <t>Magnavox</t>
  </si>
  <si>
    <t>Kenefic R.</t>
  </si>
  <si>
    <t>Simulation of an adaptive MTI in a monopulse FMCW radar sensor</t>
  </si>
  <si>
    <t>10.1177/003754978604600303</t>
  </si>
  <si>
    <t>2-s2.0-0022683235</t>
  </si>
  <si>
    <t>['steering signals', 'scanned howells', 'pass filter', 'less degradation', 'derived analytically']</t>
  </si>
  <si>
    <t>The behavior of a scanned Howells-Applebaum (H-A) adaptive superresolution array (SRA) in a steady-state after convergence is derived analytically. The steering signals are scanned (swept) with time in order to observe the signal source locations. However, the SRA performance deteriorates seriously when scanning is fast. The causes of this degradation are studied, and conditions for the low-pass filter in an H-A loop that gives a better SRA performance at a certain high scanning rate is derived. Finally, a new filter configuration in the H-A loop which permits faster scanning with less degradation is proposed.</t>
  </si>
  <si>
    <t>447-453</t>
  </si>
  <si>
    <t>6603767346;35516180700;7404897527</t>
  </si>
  <si>
    <t>Ohmiya, Manabu;Ogawa, Yasutaka;Itoh, Kiyohiko</t>
  </si>
  <si>
    <t>Ohmiya M.</t>
  </si>
  <si>
    <t>CONSIDERATIONS ON A SCANNED ADAPTIVE SUPERRESOLUTION ARRAY.</t>
  </si>
  <si>
    <t>10.1109/tap.1986.1143836</t>
  </si>
  <si>
    <t>2-s2.0-0022683273</t>
  </si>
  <si>
    <t>['time series', 'signals received', 'methods based', 'maximum likelihood', 'maximum entropy', 'interference strength', 'interference environment', 'incident waveforms', 'general problem', 'general case', 'conventional beamforming', 'considers sensors', 'arbitrary locations']</t>
  </si>
  <si>
    <t>The general problem of processing the signals received on an array of sensors for the location of the emitter, in the general case, considers sensors with arbitrary locations and arbitrary directional characteristics (gain/phase/polarization) in a noise/interference environment of arbitrary covariance matrix. The multiple emitter aspect of this problem and the generality of the solution are considered. A description is given of the multiple signal classification (MUSIC) algorithm, which provides asymptotically unbiased estimates of 1) number of incident wavefronts present; 2) directions of arrival (or emitter locations); 3) strengths and cross correlations among the incident waveforms; and 4) noise/interference strength. Examples and comparisons with methods based on maximum likelihood and maximum entropy, as well as conventional beamforming, are included. An example of MUSIC's use as a multiple frequency estimator operating on time series is included.</t>
  </si>
  <si>
    <t>276-280</t>
  </si>
  <si>
    <t>Schmidt, Ralph O.</t>
  </si>
  <si>
    <t>Sunnyvale</t>
  </si>
  <si>
    <t>Saxpy Computer Corporation</t>
  </si>
  <si>
    <t>Schmidt R.O.</t>
  </si>
  <si>
    <t>MULTIPLE EMITTER LOCATION AND SIGNAL PARAMETER ESTIMATION.</t>
  </si>
  <si>
    <t>10.1109/tap.1986.1143830</t>
  </si>
  <si>
    <t>2-s2.0-0022683359</t>
  </si>
  <si>
    <t>['several methods', 'resultant patterns', 'restricted number', 'prescribed nulls', 'phase control', 'methods based', 'largely independent', 'full amplitude', 'characteristic features', 'attention focused', 'array element']</t>
  </si>
  <si>
    <t>Several methods for synthesis of array antenna patterns with prescribed nulls are reviewed. Methods based on full amplitude/phase control at each array element and methods with a restricted number of degrees of freedom are compared, with attention focused on the characteristic features of the resultant patterns. These features are largely independent of any algorithm for achieving the nulls, and therefore they provide a perspective on the performance of adaptive antenna systems which use these various control architectures.</t>
  </si>
  <si>
    <t>404-409</t>
  </si>
  <si>
    <t>60001247;60001247;60001247</t>
  </si>
  <si>
    <t>7004004036;7102001903;7102186231</t>
  </si>
  <si>
    <t>Steyskal, Hans;Shore, Robert A.;Haupt, Randy L.</t>
  </si>
  <si>
    <t>Steyskal H.</t>
  </si>
  <si>
    <t>METHODS FOR NULL CONTROL AND THEIR EFFECTS ON THE RADIATION PATTERN.</t>
  </si>
  <si>
    <t>10.1109/tap.1986.1143816</t>
  </si>
  <si>
    <t>2-s2.0-0022683360</t>
  </si>
  <si>
    <t>['smmr instrument', 'smmr data', 'side lobes', 'paper describes', 'method used', 'improved considerably', 'fourier transforms', 'fourier analysis', 'even though', 'different frequencies', 'antenna beamwidths', 'algorithm used']</t>
  </si>
  <si>
    <t>This paper describes the philosophy and method used to develop the antenna pattern correction (APC) algorithm that was used on the data from the Scanning Multichannel Microwave Radiometer (SMMR) on Nimbus-7. There are limitations on what can be accomplished with such a procedure; these limitations are explored with the aid of Fourier analysis, even though the algorithm used on the SMMR data does not perform any Fourier transforms. The resulting analysis showed that, for the SMMR instrument, no useful improvement could be made in the data in terms of reduction of side lobes, but the quality of the sea surface temperature retrievals could be improved considerably by matching the antenna beamwidths at the different frequencies. ¬© 1986 IEEE</t>
  </si>
  <si>
    <t>212-219</t>
  </si>
  <si>
    <t>GE-24</t>
  </si>
  <si>
    <t>IEEE Transactions on Geoscience and Remote Sensing</t>
  </si>
  <si>
    <t>Milman, Andrew S.</t>
  </si>
  <si>
    <t>Milman A.S.</t>
  </si>
  <si>
    <t>Antenna Pattern Correction for the Nimbus-7 SMMR</t>
  </si>
  <si>
    <t>10.1109/TGRS.1986.289640</t>
  </si>
  <si>
    <t>2-s2.0-0022683406</t>
  </si>
  <si>
    <t>['underlying concept', 'single solution', 'quadrature method', 'multiple targets', 'multiple pulses', 'derived analytically', 'applications outside', 'angle processing']</t>
  </si>
  <si>
    <t>A method is discussed for detecting the presence of multiple targets in the radar antenna beam. It is assumed that the targets are unresolvable in range, Doppler, and angle using conventional monopulse resolution techniques. The basic approach taken is a generalization of the quadrature method, with significantly enhanced performance in the case when multiple pulses are integrated into a single solution. Detection and false alarm probabilities are derived analytically and the receiver operating characteristics are graphed. This study was performed for application to angle processing in a frequency agile automatic tracking radar, but the underlying concept is general and has applications outside this area.</t>
  </si>
  <si>
    <t>197-203</t>
  </si>
  <si>
    <t>AES-22</t>
  </si>
  <si>
    <t>IEEE Transactions on Aerospace and Electronic Systems</t>
  </si>
  <si>
    <t>Bogler, Philip L.</t>
  </si>
  <si>
    <t>Bogler P.</t>
  </si>
  <si>
    <t>DETECTING THE PRESENCE OF TARGET MULTIPLICITY.</t>
  </si>
  <si>
    <t>10.1109/TAES.1986.310754</t>
  </si>
  <si>
    <t>2-s2.0-0022685960</t>
  </si>
  <si>
    <t>['theoretical behavior', 'rough terrain', 'relative significance', 'radar platform', 'radar backscatter', 'possible explanation', 'nadir specular', 'kirchhoff approximation', 'diffuseradar backscattering']</t>
  </si>
  <si>
    <t>The theoretical behavior of nadir specular and diffuseradar backscattering from rough terrain is re-examined. Terrain is modeled as a random rough surface in the Kirchhoff approximation. The relative significance of specular (coherent) and diffuse (noncoherent) radar backscatter is compared in terms of the antenna system parameters (beamwidth, height, and frequency) and rough surface statistics. It has been found that in case of a high-altitude (space or airborne) radar, the ratio between coherent and noncoherent terrain backscatter is independent of its altitude of the radar platform. A possible explanation is suggested for the anomalous radar backscatter observed in the Skylab S-193 altimeter experiment. ¬© 1986 IEEE</t>
  </si>
  <si>
    <t>232-234</t>
  </si>
  <si>
    <t>60027561;60027561</t>
  </si>
  <si>
    <t>55112893800;7006670998</t>
  </si>
  <si>
    <t>Eom, Hyo J.;Boerner, Wolfgang M.</t>
  </si>
  <si>
    <t>Chicago</t>
  </si>
  <si>
    <t>University of Illinois at Chicago</t>
  </si>
  <si>
    <t>Eom H.J.</t>
  </si>
  <si>
    <t>A Re-Examination of Radar Terrain Backscattering at Nadir</t>
  </si>
  <si>
    <t>10.1109/TGRS.1986.289642</t>
  </si>
  <si>
    <t>2-s2.0-0022685992</t>
  </si>
  <si>
    <t>['simpler derivation', 'probability distribution', 'noise ratio', 'conditioned signal', 'adaptive arrays']</t>
  </si>
  <si>
    <t>A result in multiple regression analysis is used to derive the probability distribution of the conditioned signal-to-noise ratio for adaptive arrays. This is a simpler derivation than that given by I. S. Reed et al.</t>
  </si>
  <si>
    <t>463-464</t>
  </si>
  <si>
    <t>Hanumara, R. Choudary</t>
  </si>
  <si>
    <t>Pittsburgh</t>
  </si>
  <si>
    <t>University of Pittsburgh</t>
  </si>
  <si>
    <t>Hanumara R.C.</t>
  </si>
  <si>
    <t>ALTERNATE DERIVATION OF THE DISTRIBUTION OF THE CONDITIONED SIGNAL-TO-NOISE RATIO.</t>
  </si>
  <si>
    <t>10.1109/tap.1986.1143829</t>
  </si>
  <si>
    <t>2-s2.0-0022686015</t>
  </si>
  <si>
    <t>['two techniques', 'two inputs', 'noise level', 'noise components', 'loop correlator', 'interfering signals', 'array weights', 'adaptive arrays']</t>
  </si>
  <si>
    <t>The performance of adaptive antenna arrays in the presence of weak interfering signals (below noise level) is studied. It is shown that conventional adaptive arrays are unable to suppress such interfering signals. To overcome this problem, the feedback loops controlling the array weights are modified. The noise level in the modified feedback loops is reduced by the correlation between the noise components of the two inputs to the loop correlator. Two techniques to decorrelate these noise components are discussed. It is shown that adaptive arrays with the modified feedback loops provide the desired interference suppression. An expression is given for the amount of noise decorrelation required to achieve a specified interference suppression.</t>
  </si>
  <si>
    <t>420-426</t>
  </si>
  <si>
    <t>60003500;60003500</t>
  </si>
  <si>
    <t>7102202358;6602247520</t>
  </si>
  <si>
    <t>Gupta, Inder J.;Ksienski, Aharon A.</t>
  </si>
  <si>
    <t>Columbus</t>
  </si>
  <si>
    <t>The Ohio State University</t>
  </si>
  <si>
    <t>Gupta I.J.</t>
  </si>
  <si>
    <t>ADAPTIVE ANTENNA ARRAYS FOR WEAK INTERFERING SIGNALS.</t>
  </si>
  <si>
    <t>10.1109/tap.1986.1143813</t>
  </si>
  <si>
    <t>2-s2.0-0022686184</t>
  </si>
  <si>
    <t>['input impedance', 'impedance stability', 'high gain', 'experimental pattern', 'electronics engineers', 'antenna meets']</t>
  </si>
  <si>
    <t>An effort is made to design a Modified Slim Jim antenna. This antenna meets the needs of broadcasters for high gain, wide useable bandwidth and impedance stability. The analysis is carried out by the method of moments. Theoretical and experimental pattern and input impedance are discussed. Copyright ¬© 1986 by The Institute of Electrical and Electronics Engineers, Inc.</t>
  </si>
  <si>
    <t>BC-32</t>
  </si>
  <si>
    <t>IEEE Transactions on Broadcasting</t>
  </si>
  <si>
    <t>60030988;60030988;60015331</t>
  </si>
  <si>
    <t>6506061148;6506652863;7005683394</t>
  </si>
  <si>
    <t>Demacopoulos, E.;Zimourtopoulos, P.;Sahalos, John N.</t>
  </si>
  <si>
    <t>Greece;Greece</t>
  </si>
  <si>
    <t>Komotini;Thessaloniki</t>
  </si>
  <si>
    <t>Democritus University of Thrace;Aristotle University of Thessaloniki</t>
  </si>
  <si>
    <t>60030988;60015331</t>
  </si>
  <si>
    <t>Demacopoulos E.</t>
  </si>
  <si>
    <t>On the design of a ¬´MSJ¬ª antenna</t>
  </si>
  <si>
    <t>10.1109/TBC.1986.266578</t>
  </si>
  <si>
    <t>2-s2.0-0022686257</t>
  </si>
  <si>
    <t>['transient behavior', 'sufficient condition', 'perturbation case', 'misadjustment produced', 'gradient estimation', 'exact expressions', 'different methods', 'covariance matrix', 'briefly reviewed', 'also made']</t>
  </si>
  <si>
    <t>After the constrained LMS algorithm is described and different methods for estimating the gradient are briefly reviewed, an analysis of the convergence and the transient behavior of the weight covariance matrix of constrained algorithms used for adaptive antenna array processings are given. The exact expressions for the misadjustments for the real, the complex, and the perturbation case are calculated. The authors then derive the necessary and the sufficient condition for the diagonalization of the covariance matrix of the weights. A comparison is also made of the misadjustment produced by algorithms using different methods for gradient estimation.</t>
  </si>
  <si>
    <t>368-379</t>
  </si>
  <si>
    <t>60022193;60022193</t>
  </si>
  <si>
    <t>7003446625;7005144794</t>
  </si>
  <si>
    <t>Godara, Lal C.;Cantoni, Antonio</t>
  </si>
  <si>
    <t>Canberra</t>
  </si>
  <si>
    <t>University of Canberra</t>
  </si>
  <si>
    <t>ANALYSIS OF CONSTRAINED LMS ALGORITHM WITH APPLICATION TO ADAPTIVE BEAMFORMING USING PERTURBATION SEQUENCES.</t>
  </si>
  <si>
    <t>10.1109/tap.1986.1143812</t>
  </si>
  <si>
    <t>2-s2.0-0022687615</t>
  </si>
  <si>
    <t>['time series', 'reference channel', 'primary channel', 'output consists', 'mathematical summary', 'jclsl algorithm', 'instantaneous step', 'illustrated experimentally', 'frequency sinusoids', 'dual constant', 'convergence characteristics', 'adaptive algorithm']</t>
  </si>
  <si>
    <t>A mathematical summary of the joint complex least squares lattice (JCLSL) adaptive algorithm is presented. The algorithm has as inputs two scalar discrete-time series (primary and reference channels). Output consists of the filtered reference channel subtracted from the primary channel. The convergence characteristics of the algorithm are illustrated experimentally for a problem where the reference channel time series consists of dual constant-frequency sinusoids which undergo an instantaneous step in frequency. The primary channel time series consists of dual constant-frequency sinusoids whose frequencies coincide with those of the reference channel after the step. An application of the JCLSL algorithm to the rejection of ocean acoustic boundary reverberation is described.</t>
  </si>
  <si>
    <t>454-458</t>
  </si>
  <si>
    <t>60030612;60030612</t>
  </si>
  <si>
    <t>7004415305;7003662882</t>
  </si>
  <si>
    <t>Hodgkiss, William S.;Alexandrou, Dimitri</t>
  </si>
  <si>
    <t>University of California, San Diego</t>
  </si>
  <si>
    <t>Hodgkiss W.S.</t>
  </si>
  <si>
    <t>ADAPTIVE ALGORITHM FOR ARRAY PROCESSING.</t>
  </si>
  <si>
    <t>10.1109/tap.1986.1143835</t>
  </si>
  <si>
    <t>2-s2.0-0022687616</t>
  </si>
  <si>
    <t>['somewhat moderated', 'pointing error', 'optimum amount', 'desired signal', 'constraint contains', 'coherent interference', 'cancelling capability', 'adding pseudonoise']</t>
  </si>
  <si>
    <t>An adaptive array using the directionally constrained minimization of power (DCMP) algorithm is improved by adding pseudonoise. This is effective in protecting the desired signal from cancellation or distortion in such cases as 1) where coherent interference is incident, 2) where the desired signal direction for the constraint contains some pointing error, or 3) when the desired signal is broadband. The optimum amount of pseudonoise to be added is discussed and a formula is given. This system is named 'tamed adaptive antenna' since its cancelling capability is somewhat moderated so as not to diminish the desired signal.</t>
  </si>
  <si>
    <t>388-394</t>
  </si>
  <si>
    <t>60011001;60011001</t>
  </si>
  <si>
    <t>7102188996;7003894513</t>
  </si>
  <si>
    <t>Takao, Kazuaki;Kikuma, Nobuyoshi</t>
  </si>
  <si>
    <t>Kyoto</t>
  </si>
  <si>
    <t>Kyoto University</t>
  </si>
  <si>
    <t>Takao K.</t>
  </si>
  <si>
    <t>TAMED ADAPTIVE ANTENNA ARRAY.</t>
  </si>
  <si>
    <t>10.1109/tap.1986.1143821</t>
  </si>
  <si>
    <t>2-s2.0-0022688708</t>
  </si>
  <si>
    <t>['varying angle', 'specific illustrations', 'spatial correlations', 'signal environment', 'music ).', 'measured spectrum', 'meaningful estimates', 'likelihood method', 'improvements obtained', 'decorrelation produced', 'correlation matrix', 'coherent arrivals', 'changes caused', 'arrival angles']</t>
  </si>
  <si>
    <t>Spatial spectrum estimation using an array in motion is investigated to deal with coherent arrivals in a multiple-signal environment. The effect of estimating the spatial correlations while the array is moving is studied in terms of the decorrelation produced, the changes caused in the eigenvalues of the correlation matrix, and the improvements obtained in the measured spectrum. Cases of both fixed and varying angle of arrival are investigated. It is shown that meaningful estimates of the arrival angles can be made. Specific illustrations are worked out using a seven-element, sparse, nonuniformly spaced linear array and the maximum-likelihood method, the linear prediction method, and the method of multiple signal classification (MUSIC).</t>
  </si>
  <si>
    <t>301-310</t>
  </si>
  <si>
    <t>60006297;60006297</t>
  </si>
  <si>
    <t>7003848370;55664103800</t>
  </si>
  <si>
    <t>Haber, Fred;Zoltowski, Michael</t>
  </si>
  <si>
    <t>Philadelphia</t>
  </si>
  <si>
    <t>University of Pennsylvania</t>
  </si>
  <si>
    <t>Haber F.</t>
  </si>
  <si>
    <t>SPATIAL SPECTRUM ESTIMATION IN A COHERENT SIGNAL ENVIRONMENT USING AN ARRAY IN MOTION.</t>
  </si>
  <si>
    <t>10.1109/tap.1986.1143831</t>
  </si>
  <si>
    <t>2-s2.0-0022689222</t>
  </si>
  <si>
    <t>['wiener solution', 'unadapted beampattern', 'two classes', 'simpler equations', 'scalar equations', 'pia result', 'one jammer', 'noise ratio', 'negligible degradation', 'look direction', 'gsc ),', 'general form', 'exact expressions', 'direction signal', 'constant gain', 'additional main']</t>
  </si>
  <si>
    <t>Narrowband adaptive noise cancelling techniques are used to study the generalized sidelobe canceller (GSC), a general form of linearly constrained adaptive beamforming structure. In an environment which consists of a look-direction signal, one jammer, and additive receiver noise, exact expressions are derived for the Wiener solution, the steady-state output signal-to-interference-plus-noise ratio (SINR//0 ), and performance improvement due to adaptation (PIA), defined as the ratio of SINR//0 after adaptation to SINR//0 before adaptation. Scalar equations for PIA are given for two classes of constraints; the first is constant gain in the look direction, and the second is constant gain plus a main-beam zero first derivative in the look direction. Under the further assumption of an equally spaced line array, simpler equations for PIA result, and are used to show that for jammers arriving outside the beamwidth between first nulls region of the unadapted beampattern, the introduction of the additional main-beam zero first derivative constraint leads to negligible degradation in PIA.</t>
  </si>
  <si>
    <t>330-337</t>
  </si>
  <si>
    <t>Jablon, Neil K.</t>
  </si>
  <si>
    <t>Stanford University</t>
  </si>
  <si>
    <t>Jablon N.K.</t>
  </si>
  <si>
    <t>STEADY STATE ANALYSIS OF THE GENERALIZED SIDELOBE CANCELLER BY ADAPTIVE NOISE CANCELLING TECHNIQUES.</t>
  </si>
  <si>
    <t>10.1109/tap.1986.1143833</t>
  </si>
  <si>
    <t>2-s2.0-0022689223</t>
  </si>
  <si>
    <t>['unconstrained least', 'simulation experiments', 'linear constraints', 'generalized sidelobe', 'desired look', 'design criterion', 'cancelling structure', 'adaptive path', 'adaptive beamformer']</t>
  </si>
  <si>
    <t>An adaptive broadband beamforming structure is presented which uses a gradient-based weight adjustment algorithm to minimize output variance subject to a set of linear constraints on broadband directional derivatives in the desired look-direction. A generalized sidelobe-cancelling structure is used in which a nonadaptive beamformer operates in parallel with an adaptive beamformer. The adaptive path is a cascade of a fixed signal blocking matrix and a set of tapped-delay line filters. An unconstrained least-mean-square power minimization algorithm is used to adapt the delay line weights. It is shown that with the addition of the directional derivative constraints, the beamformer quiescent beam pattern becomes a function of the location of the phase center used to specify the constraints. A design criterion for choosing this location is suggested and simulation experiments which illustrate the performance of this adaptive beamformer are presented.</t>
  </si>
  <si>
    <t>311-319</t>
  </si>
  <si>
    <t>60029311;60029311</t>
  </si>
  <si>
    <t>7005829685;7101833999</t>
  </si>
  <si>
    <t>Buckley, Kevin M.;Griffiths, Lloyd J.</t>
  </si>
  <si>
    <t>University of Southern California</t>
  </si>
  <si>
    <t>Buckley K.M.</t>
  </si>
  <si>
    <t>ADAPTIVE GENERALIZED SIDELOBE CANCELLER WITH DERIVATIVE CONSTRAINTS.</t>
  </si>
  <si>
    <t>10.1109/tap.1986.1143832</t>
  </si>
  <si>
    <t>2-s2.0-0022689263</t>
  </si>
  <si>
    <t>['tradeoff study', 'total plus', 'three classes', 'thinned arrays', 'phased arrays', 'pa area', 'multibeam antenna', 'geosynchronous satellite', 'gain elements', 'freedom allocated', 'filled arrays', 'coverage gain', 'antenna type', 'adaptive degrees']</t>
  </si>
  <si>
    <t>Various tradeoffs associated with the choice of antenna type most appropriate for providing communications coverage from a geosynchronous satellite to a small geographical area located within the total plus or minus 9 degree earth field of view are considered. Three classes of phased arrays (PAs) were considered for the tradeoff study: filled arrays, where the PA area-coverage gain is essentially the same as that of the multibeam antenna; thinned arrays of high-gain elements; and thinned arrays of low-gain elements. Three performance factors were considered in the MBA/PA design tradeoff: susceptibility to out-of-coverage-area interference sources which use up the adaptive degrees of freedom allocated to the desired coverage area; effects of reduced link margin for low-gain thinned arrays; and nulling bandwidth restrictions imposed on spread spectrum communication systems.</t>
  </si>
  <si>
    <t>410-419</t>
  </si>
  <si>
    <t>Mayhan, Joseph T.</t>
  </si>
  <si>
    <t>Cambridge</t>
  </si>
  <si>
    <t>Massachusetts Institute of Technology</t>
  </si>
  <si>
    <t>Mayhan J.T.</t>
  </si>
  <si>
    <t>AREA COVERAGE ADAPTIVE NULLING FROM GEOSYNCHRONOUS SATELLITES: PHASED ARRAYS VERSUS MULTIPLE-BEAM ANTENNAS.</t>
  </si>
  <si>
    <t>10.1109/tap.1986.1143824</t>
  </si>
  <si>
    <t>2-s2.0-0022689264</t>
  </si>
  <si>
    <t>['reduced diffraction', 'adaptive performances', '5 refs']</t>
  </si>
  <si>
    <t>A simple diffraction model is used to compare the adaptive performances of Cassegrain and offset reflector designs. It is found that the reduced diffraction of the offset reflector design results in improved cancellation performance. 5 refs.</t>
  </si>
  <si>
    <t>432-439</t>
  </si>
  <si>
    <t>60029575;60029575</t>
  </si>
  <si>
    <t>7202865709;7003489341</t>
  </si>
  <si>
    <t>Ott, Randolph H.;Dybdal, Robert B.</t>
  </si>
  <si>
    <t>El Segundo</t>
  </si>
  <si>
    <t>Aerospace Corporation, USA</t>
  </si>
  <si>
    <t>Ott R.H.</t>
  </si>
  <si>
    <t>EFFECTS OF REFLECTOR ANTENNA DIFFRACTION ON THE INTERFERENCE CANCELLATION PERFORMANCE OF COHERENT SIDELOBE CANCELLERS.</t>
  </si>
  <si>
    <t>10.1109/tap.1986.1143825</t>
  </si>
  <si>
    <t>2-s2.0-0022689353</t>
  </si>
  <si>
    <t>['sidelobe antennas', 'overall cost', 'low sidelobes', 'limited number', 'greater flexibility', 'efficient assignment', 'available dof']</t>
  </si>
  <si>
    <t>Two application areas for using spectral estimation techniques are discussed; these are partially adaptive low-sidelobe antennas, and fully adaptive tracking arrays. For the partially adaptive application the information is utilized for efficient assignment of a limited number of degrees of freedom (DOF) in a beamspace-constrained adaptive system in order to obtain a stable main beam, retention of low sidelobes, considerably faster response, and reduction in overall cost. These benefits are demonstrated via simulation examples for a 16-element linear array. For the fully adaptive tracking array application the information is utilized in an all-digital processing system concept to permit stable nulling of coherent interference sources in the main beam region, efficient assignment/control of the available DOF, and greater flexibility in time-domain adaptive filtering strategy.</t>
  </si>
  <si>
    <t>291-300</t>
  </si>
  <si>
    <t>Gabriel, William F.</t>
  </si>
  <si>
    <t>Gabriel W.F.</t>
  </si>
  <si>
    <t>USING SPECTRAL ESTIMATION TECHNIQUES IN ADAPTIVE PROCESSING ANTENNA SYSTEMS.</t>
  </si>
  <si>
    <t>10.1109/tap.1986.1143827</t>
  </si>
  <si>
    <t>2-s2.0-0022689741</t>
  </si>
  <si>
    <t>['substantial improvement', 'several algorithms', 'phase shift', 'linearly combining', 'dependent magnitude']</t>
  </si>
  <si>
    <t>It is argued that conventional broadband array processing is accomplished by linearly combining the outputs of tapped-delay lines attached to each sensor of an array. This type of processing can be interpreted as using an all-zero digital filter at each sensor to generate a frequency-dependent magnitude and phase shift (weighting) over the array operating bandwidth. An array processing method is presented which uses digital filters having both poles and zeros to perform the frequency-dependent array weighting. Several algorithms for adapting the pole-zero array filters are introduced. Computer simulations demonstrate the potential for substantial improvement in broadband interference nulling provided by pole-zero array processing.</t>
  </si>
  <si>
    <t>355-362</t>
  </si>
  <si>
    <t>60012708;60012708</t>
  </si>
  <si>
    <t>7005702908;7005641508</t>
  </si>
  <si>
    <t>Gooch, Richard P.;Shynk, John J.</t>
  </si>
  <si>
    <t>Gooch R.P.</t>
  </si>
  <si>
    <t>WIDE-BAND ADAPTIVE ARRAY PROCESSING USING POLE-ZERO DIGITAL FILTERS.</t>
  </si>
  <si>
    <t>10.1109/tap.1986.1143819</t>
  </si>
  <si>
    <t>2-s2.0-0022689742</t>
  </si>
  <si>
    <t>['traditional systems', 'sources less', 'signal waveform', 'results indicated', 'music algorithm', 'general scenarios', 'experimentally verify', 'disk storage', 'digitized data', 'channel receiver', 'beamwidth away']</t>
  </si>
  <si>
    <t>The MUSIC algorithm was implemented to experimentally verify the performance of the signal subspace approach to direction-finding (DF) under very general scenarios and conditions which are regarded as difficult to impossible in traditional systems. The results of those experiments are described. The experimental system consisted of an eight-element antenna array 13 wavelengths in diameter, an eight-channel receiver and digitizer, and a minicomputer with disk storage to process the digitized data. In general, results indicated that all parameters of a source can be measured and the signal waveform can be recovered in the presence of other sources less than a beamwidth away.</t>
  </si>
  <si>
    <t>281-290</t>
  </si>
  <si>
    <t>60088403;60088403</t>
  </si>
  <si>
    <t>7404917475;7007010431</t>
  </si>
  <si>
    <t>Schmidt, Ralph O.;Franks, Raymond E.</t>
  </si>
  <si>
    <t>MULTIPLE SOURCE DF SIGNAL PROCESSING: AN EXPERIMENTAL SYSTEM.</t>
  </si>
  <si>
    <t>10.1109/tap.1986.1143815</t>
  </si>
  <si>
    <t>2-s2.0-0022690077</t>
  </si>
  <si>
    <t>['spectral synthesis', 'radiowave propagation', 'paper aims', 'ordinate systems', 'may arise', 'major concern', 'luneberg form', 'integrated optics', 'huyghens theory', 'geometrical optics', 'examine diffraction', 'elementary introduction', 'current investigations', 'concentrate particularly', 'catastrophe theory']</t>
  </si>
  <si>
    <t>The paper aims at an informal and elementary introduction to the subject of modern geometrical techniques in the study of wave propagation problems which may arise in practical contexts including reflector antennas, integrated optics and radiowave propagation. The term 'modern' is to be taken to mean 'co-ordinate-free', wherein the use of co-ordinate systems is eschewed in favor of intrinsic geometrical constructions, and Morse critical point theory (i. e. catastrophe theory) is used to introduce canonical co-ordinates only where necessary for integration. The term 'geometrical' refers to the structure of rays and wavefronts. We concentrate particularly on the construction of uniform transition functions to repair the singularities of the Kline-Luneberg form of geometrical optics, which forms a major concern of current investigations in the subject. We examine diffraction from the points of view of GTD, UAT, Kirchhoff-Huyghens theory and spectral synthesis, and waveguides from those of the Poisson sum formula and intrinsic mode theory.</t>
  </si>
  <si>
    <t>165-188</t>
  </si>
  <si>
    <t>IEE proceedings. Part J, Optoelectronics</t>
  </si>
  <si>
    <t>Apr</t>
  </si>
  <si>
    <t>Arnold, J. M.</t>
  </si>
  <si>
    <t>Glasgow</t>
  </si>
  <si>
    <t>University of Glasgow</t>
  </si>
  <si>
    <t>Arnold J.</t>
  </si>
  <si>
    <t>GEOMETRICAL THEORIES OF WAVE PROPAGATION: A CONTEMPORARY REVIEW.</t>
  </si>
  <si>
    <t>10.1049/ip-j.1986.0028</t>
  </si>
  <si>
    <t>2-s2.0-0022694831</t>
  </si>
  <si>
    <t>['slot arrays', 'laboratory measurements', 'input impedance', 'francis group', 'experimental study', 'developed theory']</t>
  </si>
  <si>
    <t>A theoretical and experimental study of the input impedance of microstrip fed radiating slots is presented. The agreement between theory and laboratory measurements (performed at X, S, and UHF frequency bands) shows that the developed theory can be used for the design of microstrip slot antennas and slot arrays. ¬© 1986 Taylor and Francis Group, LLC.</t>
  </si>
  <si>
    <t>517-526</t>
  </si>
  <si>
    <t>60005681;60005681;60005681;60005681</t>
  </si>
  <si>
    <t>56944953900;6504155576;7004654512;7003465942</t>
  </si>
  <si>
    <t>Kisliuk, K.;Twaig, Y.;Axelrod, A.;Lipman, D.</t>
  </si>
  <si>
    <t>Tel Aviv-Yafo</t>
  </si>
  <si>
    <t>Tel Aviv University</t>
  </si>
  <si>
    <t>Kisliuk K.</t>
  </si>
  <si>
    <t>Input impedance of microstrip slot antennas</t>
  </si>
  <si>
    <t>10.1080/00207218608920810</t>
  </si>
  <si>
    <t>2-s2.0-0022696729</t>
  </si>
  <si>
    <t>['¬© 1986', 'single input', 'rights reserved', 'resonant frequency', 'order modes', 'investigated numerically', 'excites higher', 'electrical engineers']</t>
  </si>
  <si>
    <t>Antennas | Microstrip | Polarisation</t>
  </si>
  <si>
    <t>A star-shaped microstrip antenna is investigated numerically which, owing to its geometry, excites higher-order modes with a single input. Its performance as a linearly and circularly polarised radiator is investigated and the dependence of the resonant frequency on its shape is determined. ¬© 1986, The Institution of Electrical Engineers. All rights reserved.</t>
  </si>
  <si>
    <t>60009697;60009697;60026161</t>
  </si>
  <si>
    <t>6505774566;57224692719;7202418704</t>
  </si>
  <si>
    <t>Parasnis, K.;Shafai, L.;Kumar, G.</t>
  </si>
  <si>
    <t>United States;Canada</t>
  </si>
  <si>
    <t>Grand Forks;Winnipeg</t>
  </si>
  <si>
    <t>University of North Dakota;University of Manitoba</t>
  </si>
  <si>
    <t>60026161;60009697</t>
  </si>
  <si>
    <t>Parasnis K.</t>
  </si>
  <si>
    <t>Performance of Star Microstrip as a Linearly and Circularly Polarised Tm2,1 Mode Radiator</t>
  </si>
  <si>
    <t>10.1049/el:19860315</t>
  </si>
  <si>
    <t>2-s2.0-0022697472</t>
  </si>
  <si>
    <t>['¬© 1986', 'uniform theory', 'tidal variations', 'site selected', 'simulations indicate', 'rights reserved', 'reflecting surface', 'low tide', 'least sensitive', 'glide angle', 'electrical engineers']</t>
  </si>
  <si>
    <t>Air traffic control | Antennas | Radiowave propagation</t>
  </si>
  <si>
    <t>A 330 MHz null-reference glide slope system design technique to minimise the reflecting surface variations is introduced. The runaway approach end of the site selected to test this design is over an ocean. Since the ocean forms part of the reflecting surface of the glide slope system, the tidal variations will affect the glide angle. The uniform theory of diffraction is used in the analysis and calculations are made for five tidal levels from high to low tide. The results of the simulations indicate that a glide path angle exists which is least sensitive to the tidal variations. Furthermore, this optimum angle provides smooth glide path structure. ¬© 1986, The Institution of Electrical Engineers. All rights reserved.</t>
  </si>
  <si>
    <t>478-479</t>
  </si>
  <si>
    <t>Ungvichian, V.</t>
  </si>
  <si>
    <t>Boca Raton</t>
  </si>
  <si>
    <t>Florida Atlantic University</t>
  </si>
  <si>
    <t>Ungvichian V.</t>
  </si>
  <si>
    <t>Design Technique to Reduce Effects of Tidal Variations on an Ils Glide Slope System</t>
  </si>
  <si>
    <t>10.1049/el:19860325</t>
  </si>
  <si>
    <t>2-s2.0-0022698818</t>
  </si>
  <si>
    <t>['¬© 1986', 'wave antenna', 'rights reserved', 'presented showing', 'longitudinal slot', 'integrated use', 'electrical engineers', 'calculated data']</t>
  </si>
  <si>
    <t>Antennas | Dielectric waveguides | Nonradiative dielectric waveguide | Travelling-wave antennas</t>
  </si>
  <si>
    <t>A travelling-wave antenna for integrated use in nonradiative dielectric waveguide is described. The antenna is constructed by cutting a longitudinal slot in the waveguide side wall. Results are presented showing the comparison between measured and calculated data. ¬© 1986, The Institution of Electrical Engineers. All rights reserved.</t>
  </si>
  <si>
    <t>481-482</t>
  </si>
  <si>
    <t>Malherbe, J. A.G.</t>
  </si>
  <si>
    <t>Malherbe J.</t>
  </si>
  <si>
    <t>Integrated Travelling-Wave Antenna for Nonradiative Dielectric Waveguide</t>
  </si>
  <si>
    <t>10.1049/el:19860327</t>
  </si>
  <si>
    <t>2-s2.0-0022699330</t>
  </si>
  <si>
    <t>['wind direction', 'unavoidable objects', 'therefore least', 'surface current', 'squares methods', 'relative patterns', 'previous methods', 'near field', 'element patterns', 'electronics engineers', 'easily measured', 'boat circling', '), rather']</t>
  </si>
  <si>
    <t>CODAR systems employ compact antenna elements such as electrically small loops and monopoles to extract bearing information in ocean surface observations. Past analysis methods have assumed that these element patterns are perfect, i.e., cosine and omnidirectional. Operations from metallic offshore platforms usually distort these patterns because of unavoidable objects in their near field. When such distortions are ignored, previous methods are shown to produce ~35¬∞ rms bearing errors. Therefore least-squares methods are presented and demonstrated that deal with differential element pattern distortions. It is shown how the required relative patterns are easily measured by a boat circling the antenna, and these patterns are then stored as look-up tables in the least-squares inversion methods. Relative patterns (i.e., one element pattern divided by the other), rather than absolute, are all that are required for extraction of surface current, wave-height directional spectra, wind direction, and drifting transponder information with CODAR. Copyright ¬© 1986 by The Institute of Electrical and Electronics Engineers, Inc.</t>
  </si>
  <si>
    <t>304-309</t>
  </si>
  <si>
    <t>IEEE Journal of Oceanic Engineering</t>
  </si>
  <si>
    <t>109541487;100477431</t>
  </si>
  <si>
    <t>7005431123;7003279790</t>
  </si>
  <si>
    <t>Barrick, Donald E.;Lipa, Belinda J.</t>
  </si>
  <si>
    <t>Boulder;Woodside</t>
  </si>
  <si>
    <t>Ocean Surface Research;Ocean Surface Research</t>
  </si>
  <si>
    <t>Barrick D.</t>
  </si>
  <si>
    <t>Correcting for Distorted Antenna Patterns in CODAR Ocean Surface Measurements</t>
  </si>
  <si>
    <t>10.1109/JOE.1986.1145158</t>
  </si>
  <si>
    <t>2-s2.0-0022700711</t>
  </si>
  <si>
    <t>['wave dipoles', 'vertical array', 'spreadsheet program', 'four half', 'circular arrangement', 'antenna design']</t>
  </si>
  <si>
    <t>A method of using a spreadsheet program in antenna design is presented. The method is applied to the design of a vertical array of two radiating elements where each element is a circular arrangement of four half-wave dipoles, each of which is tilted with respect to the horizontal. Results are presented. ¬© 1986 IEEE.</t>
  </si>
  <si>
    <t>585-587</t>
  </si>
  <si>
    <t>Hills, Alex</t>
  </si>
  <si>
    <t>Fairbanks</t>
  </si>
  <si>
    <t>University of Alaska Fairbanks</t>
  </si>
  <si>
    <t>Hills A.</t>
  </si>
  <si>
    <t>Use of a Spreadsheet Program in an Antenna Design Application</t>
  </si>
  <si>
    <t>10.1109/TAP.1986.1143854</t>
  </si>
  <si>
    <t>2-s2.0-0022700893</t>
  </si>
  <si>
    <t>['wide variety', 'shipboard operation', 'oceanographic activities', 'hardware improvements', 'electronics engineers', 'dead sea', 'arctic studies', 'antenna arrays', 'amplifier changes']</t>
  </si>
  <si>
    <t>The use of CODAR by the University of Hamburg has extended to a wide variety of experimental and oceanographic activities over the last three years. These have ranged from Arctic studies from land and ships to observations of the Dead Sea, all yielding surface current data. Hardware improvements have been investigated, including IF amplifier changes and loop-antenna arrays for shipboard operation. Copyright ¬© 1986 by The Institute of Electrical and Electronics Engineers, Inc.</t>
  </si>
  <si>
    <t>251-257</t>
  </si>
  <si>
    <t>60028229;60028229;60028229</t>
  </si>
  <si>
    <t>6701740049;57212825129;6701885309</t>
  </si>
  <si>
    <t>Gurgel, Klaus Werner;Essen, H. H.;Schirmer, Florian</t>
  </si>
  <si>
    <t>Hamburg</t>
  </si>
  <si>
    <t>Universit√§t Hamburg</t>
  </si>
  <si>
    <t>Gurgel K.</t>
  </si>
  <si>
    <t>CODAR in Germany‚ÄîA Status Report Valid November 1985</t>
  </si>
  <si>
    <t>10.1109/JOE.1986.1145170</t>
  </si>
  <si>
    <t>2-s2.0-0022701039</t>
  </si>
  <si>
    <t>['surface integral', 'previously obtained', 'near field', 'microwave hyperthermia', 'insulated dipole', 'geophysical applications', 'computed results']</t>
  </si>
  <si>
    <t>The near field of an insulated dipole antenna in a dissipative dielectric medium is important in microwave hyperthermia and geophysical applications. The electric field near an insulated dipole has been calculated by the direct numerical evaluation of a surface integral over the insulation. The computed results are compared with those previously obtained by an approximate numerical calculation.</t>
  </si>
  <si>
    <t>459-463</t>
  </si>
  <si>
    <t>MTT-34</t>
  </si>
  <si>
    <t>60019947;60019947</t>
  </si>
  <si>
    <t>7201591225;7202185170</t>
  </si>
  <si>
    <t>Casey, John P.;Bansal, Rajeev</t>
  </si>
  <si>
    <t>New London</t>
  </si>
  <si>
    <t>US Naval Underwater Systems Center</t>
  </si>
  <si>
    <t>Casey J.P.</t>
  </si>
  <si>
    <t>NEAR FIELD OF AN INSULATED DIPOLE IN A DISSIPATIVE DIELECTRIC MEDIUM.</t>
  </si>
  <si>
    <t>10.1109/tmtt.1986.1133370</t>
  </si>
  <si>
    <t>2-s2.0-0022701060</t>
  </si>
  <si>
    <t>['thus creating', 'still requires', 'source mounted', 'simple format', 'moment method', 'geometrical theory', 'flat section', 'fair amount', 'easily applied', 'conducting surface', 'asymptotic result', 'also useful']</t>
  </si>
  <si>
    <t>An asymptotic result is obtained for evaluating the diffraction of a plane wave incident along a perfectly conducting flat surface toward a drop in this surface. This drop is formed with a convex cylinder smoothly joined to the flat section, thus creating a discontinuity in curvature at the join. The asymptotic result is also useful for analyzing the radiation of a source mounted on the flat section of the conducting surface. Unlike a previously available solution which still requires a fair amount of numerical evaluation using a hybrid approach combining the moment method with the geometrical theory of diffraction, the computation of this asymptotic result is simple and efficient. Since this result is expressed in the simple format of the geometrical theory of diffraction, it is easily applied to solving more complicated diffraction problems. An application is found in the aperture-matched horn designs. ¬© 1986 IEEE.</t>
  </si>
  <si>
    <t>503-509</t>
  </si>
  <si>
    <t>Chuang, C. W.</t>
  </si>
  <si>
    <t>Chuang C.W.</t>
  </si>
  <si>
    <t>An Asymptotic Result for the Diffraction of Plane Waves Propagating Along a Cylindrically Truncated Flat Surface</t>
  </si>
  <si>
    <t>10.1109/TAP.1986.1143844</t>
  </si>
  <si>
    <t>2-s2.0-0022701096</t>
  </si>
  <si>
    <t>['spherical wave', 'related simply', 'range uncertainties', 'radial position', 'plane wave', 'phase difference', 'patterns measured', 'one application', 'field measurement', 'direct far', 'circuit representation', 'asymptotic form']</t>
  </si>
  <si>
    <t>The exact-circuit representation of spherical modes allows the derivation of a convenient asymptotic relationship for the phase difference between a plane wave and a spherical wave as a function of the radial position and spherical mode index. One application of this asymptotic form is to allow the effects of range uncertainties on patterns measured in a near-field antenna range to be related simply to the more familiar finite range effects in a direct far-field measurement. ¬© 1986 IEEE.</t>
  </si>
  <si>
    <t>595-597</t>
  </si>
  <si>
    <t>Thal, Herbert L.</t>
  </si>
  <si>
    <t>Valley Forge Space Center Reentry Systems Operation</t>
  </si>
  <si>
    <t>Thal H.L.</t>
  </si>
  <si>
    <t>Asymptotic Expansion for Spherical Mode Phase with Application to Near-Field Measurements</t>
  </si>
  <si>
    <t>10.1109/TAP.1986.1143863</t>
  </si>
  <si>
    <t>2-s2.0-0022701099</t>
  </si>
  <si>
    <t>['watson transformation', 'time response', 'time region', 'technique known', 'step process', 'spherical antenna', 'previous analyses', 'frequency results', 'frequency representation', 'fourier transformed', 'conclusions regarding', 'antenna shapes']</t>
  </si>
  <si>
    <t>The early-time response of the spherical antenna is determined by a two-step process. First, the high-frequency representation is derived by the technique known as the Watson transformation. The high-frequency results are then Fourier transformed to obtain the time response. The time region where these results are valid is given and comparisons to previous analyses are made. Conclusions regarding the utility of this method to other antenna shapes and different time regions are discussed. ¬© 1986 IEEE.</t>
  </si>
  <si>
    <t>521-527</t>
  </si>
  <si>
    <t>Kotulski, Joseph D.</t>
  </si>
  <si>
    <t>Albuquerque</t>
  </si>
  <si>
    <t>Sandia National Laboratories, New Mexico</t>
  </si>
  <si>
    <t>Kotulski J.</t>
  </si>
  <si>
    <t>Early-Time Response of the Spherical Antenna</t>
  </si>
  <si>
    <t>10.1109/TAP.1986.1143849</t>
  </si>
  <si>
    <t>2-s2.0-0022701196</t>
  </si>
  <si>
    <t>['software control', 'signals received', 'receiving system', 'phase modes', 'phase difference', 'paper describes', 'null steering', 'null formation', 'mode outputs', 'mode components', 'either beam', 'direction finding', 'butler matrix', 'bearing measurement', 'array receiving', 'appropriate phase', 'amplitude weightings', 'also offers', '4 multiplied']</t>
  </si>
  <si>
    <t>The paper describes an HF-circular-array receiving and direction finding system which also offers a capability for null steering. The experimental array consists of four wideband active loop antennas which feed a 4 multiplied by 4 Butler matrix. The action of the Butler matrix is to analyze the signals received by the array in terms of phase-mode components. Direction finding can then be carried out by measurig the phase difference between phase-mode outputs of the matrix, and either beam or null formation can be achieved by combining such phase modes with appropriate phase and amplitude weightings. The experimental system uses a microcomputer based adaptive technique for the bearing measurement. The advantage of this technique is that it employs a single unmodified hf receiver and it also offers a capability for null steering by means of software control of the receiving system.</t>
  </si>
  <si>
    <t>147-154</t>
  </si>
  <si>
    <t>60022148;60022148;60022148</t>
  </si>
  <si>
    <t>6506513087;57217554066;57197491583</t>
  </si>
  <si>
    <t>Karavassilis, N.;Davies, D. E.N.;Guy, C. G.</t>
  </si>
  <si>
    <t>University College London</t>
  </si>
  <si>
    <t>Karavassilis N.</t>
  </si>
  <si>
    <t>EXPERIMENTAL HF CIRCULAR ARRAY WITH DIRECTION FINDING AND NULL STEERING CAPABILITIES.</t>
  </si>
  <si>
    <t>10.1049/ip-h-2.1986.0024</t>
  </si>
  <si>
    <t>2-s2.0-0022702870</t>
  </si>
  <si>
    <t>602-604</t>
  </si>
  <si>
    <t>60005304;60005304</t>
  </si>
  <si>
    <t>7004066834;56234765300</t>
  </si>
  <si>
    <t>Brookner, Eli;Howell, James M.</t>
  </si>
  <si>
    <t>Brookner E.</t>
  </si>
  <si>
    <t>Adaptive‚ÄîAdaptive Array Processing</t>
  </si>
  <si>
    <t>10.1109/PROC.1986.13507</t>
  </si>
  <si>
    <t>2-s2.0-0022702884</t>
  </si>
  <si>
    <t>['spectral estimation', 'simulated data', 'simple two', 'several forms', 'several direction', 'readily shown', 'radiating source', 'radar target', 'original version', 'national oceanic', 'investigate properties', 'improve upon', 'finding algorithms', 'existing data', 'element interferometer', 'electronics engineers', 'direction finding', 'beam forming', 'atmospheric administration', 'asymmetrical bias', 'array consists', '2151 wavelengths']</t>
  </si>
  <si>
    <t>An HF radar called the Coastal Ocean Dynamics Applications Radar (CODAR) is presently being used in several forms to measure ocean surface parameters. The original version was developed by the National Oceanic and Atmospheric Administration (NOAA) and utilizes a four-element receive array. The array consists of four equally spaced elements arranged on a circle with a radius of 0.2151 wavelengths (at 25.4 MHz). It was designed to measure ocean currents using a direction-finding technique based on an extension to a simple two-element interferometer. The problem of determining the bearing of a radiating source can be readily shown to be equivalent to that incurred in spectral estimation. In an attempt to improve upon the processing of existing data, modern nonlinear spectral estimation techniques are applied in a beam-forming bearing estimation procedure and compared against several direction-finding algorithms. Enhancement of bearing estimators via analysis of the eigenstructure of a spatial correlation matrix is included. Antenna response patterns are calculated and used to investigate properties of direction-finding algorithms. Simulated data are used for a comparison of direction finding and beam forming. The asymmetrical bias of each method is investigated to determine its effect on the error in estimating the angle of arrival of a radar target. Copyright ¬© 1986 by The Institute of Electrical and Electronics Engineers, Inc.</t>
  </si>
  <si>
    <t>296-303</t>
  </si>
  <si>
    <t>60189778;60017592</t>
  </si>
  <si>
    <t>6603367759;7201543362</t>
  </si>
  <si>
    <t>Jeans, Philip K.;Donnelly, Rod</t>
  </si>
  <si>
    <t>St John's;Ottawa</t>
  </si>
  <si>
    <t>C-Core Research Institute;Carleton University</t>
  </si>
  <si>
    <t>Jeans P.K.</t>
  </si>
  <si>
    <t>Four-Element CODAR Beam Forming</t>
  </si>
  <si>
    <t>10.1109/JOE.1986.1145174</t>
  </si>
  <si>
    <t>2-s2.0-0022702890</t>
  </si>
  <si>
    <t>['sea floor', 'point admittance', 'particular reference', 'low frequencies', 'internal impedance', 'effective length', 'earth near', 'copper conductor', 'air surface', '300 khz', '3 hz']</t>
  </si>
  <si>
    <t>The properties of the bare metal dipole embedded in a dissipative medium near a boundary are examined. These include the distribution of current, the driving-point admittance and impedance, and the effective length, with particular reference to antennas in the earth near the air surface at frequencies in the range from 30 to 300 kHz and antennas on the sea floor at frequencies in the range from 0.3 to 3 Hz. The effects of the internal impedance of the copper conductor are included at the low frequencies where they are important. ¬© 1986 IEEE.</t>
  </si>
  <si>
    <t>483-489</t>
  </si>
  <si>
    <t>King, Ronold W.P.</t>
  </si>
  <si>
    <t>Harvard University</t>
  </si>
  <si>
    <t>Antennas in Material Media Near Boundaries with Application to Communication and Geophysical Exploration, Part I: The Bare Metal Dipole</t>
  </si>
  <si>
    <t>10.1109/TAP.1986.1143848</t>
  </si>
  <si>
    <t>2-s2.0-0022702906</t>
  </si>
  <si>
    <t>['symmetry axis', 'set equal', 'required illumination', 'optimal fields', 'numerical integration', 'mode coefficients', 'integrating numerically', 'found using', 'cylindrical harmonics', 'cylinder around', '90 percent']</t>
  </si>
  <si>
    <t>A spherical reflector antenna can be illuminated by a radiating line source along its symmetry axis. The optimal fields on a cylinder around this axis are found using a modal expansion technique. The optimal fields are expressed as combinations of cylindrical harmonics with unknown mode coefficients and set equal to the required illumination on the sphere. The resultant integral equations are solved using steepest descent methods, giving the mode coefficients. These coefficients are then checked by numerical integration. The optimal cylindrical fields are found from these mode coefficients both by integrating numerically and by steepest descent methods. The results of both techniques are checked by numerical integration. The results give theoretical aperture efficiencies of greater than 90 percent at sufficiently short wavelengths. ¬© 1986 IEEE.</t>
  </si>
  <si>
    <t>528-538</t>
  </si>
  <si>
    <t>Baker, Lynn A.</t>
  </si>
  <si>
    <t>Ithaca</t>
  </si>
  <si>
    <t>National Astronomy and Ionosphere Center, New York</t>
  </si>
  <si>
    <t>Baker L.</t>
  </si>
  <si>
    <t>Optimum Cylindrical Near Fields for Illuminating a Spherical Reflector</t>
  </si>
  <si>
    <t>10.1109/TAP.1986.1143850</t>
  </si>
  <si>
    <t>2-s2.0-0022702972</t>
  </si>
  <si>
    <t>['numerically designed', 'impedance matching', 'feed point', 'desired amplitudes', 'cophasal excitations', 'adjacent slots']</t>
  </si>
  <si>
    <t>A numerical design method for a waveguide slot array antenna is proposed, by which the array, which has a low sidelobe pattern, is numerically designed. The slots are resonant, and the sources with cophasal excitations and desired amplitudes are designed by adjusting the space between the adjacent slots. It is shown that the desired low sidelobe pattern can be obtained by this method. Another design procedure is proposed to obtain the impedance matching at the feed point.</t>
  </si>
  <si>
    <t>155-158</t>
  </si>
  <si>
    <t>60194529;60194529</t>
  </si>
  <si>
    <t>7102186437;7201747933</t>
  </si>
  <si>
    <t>Tsunoda, Y.;Goto, N.</t>
  </si>
  <si>
    <t>Kisarazu</t>
  </si>
  <si>
    <t>National Institute of Technology, Kisarazu College</t>
  </si>
  <si>
    <t>Tsunoda Y.</t>
  </si>
  <si>
    <t>NONUNIFORMITY SPACED SLOT ARRAY ANTENNA WITH LOW SIDELOBE PATTERN.</t>
  </si>
  <si>
    <t>10.1049/ip-h-2.1986.0025</t>
  </si>
  <si>
    <t>2-s2.0-0022703040</t>
  </si>
  <si>
    <t>['transformation formulas', 'produce beams', 'planes perpendicular', 'field patterns', 'develop formulas', 'cylindrical lenses', 'beam waists', 'antenna feeds', '94 ghz']</t>
  </si>
  <si>
    <t>We develop formulas for Gaussian beam transformation with fixed total distance between beamwaists, and consider the use of cylindrical lenses or mirrors to produce beams which are not symmetric about the axis of propagation. For antenna feeds, it is necessary that the beam waists for both planes perpendicular to the axis of propagation be coincident. This requirement is analyzed, and appropriate transformation formulas obtained. The far-field patterns of a scalar feed horn cylindrical lens Combination operating at a frequency of 94 GHz have been measured and found to be in quite good agreement with the elliptical patterns predicted by the transformation formulas. ¬© 1986 IEEE.</t>
  </si>
  <si>
    <t>603-607</t>
  </si>
  <si>
    <t>Goldsmith, Paul F.</t>
  </si>
  <si>
    <t>Amherst</t>
  </si>
  <si>
    <t>Millitech Corp</t>
  </si>
  <si>
    <t>Goldsmith P.</t>
  </si>
  <si>
    <t>Gaussian Beam Transformation with Cylindrical Lenses</t>
  </si>
  <si>
    <t>10.1109/TAP.1986.1143861</t>
  </si>
  <si>
    <t>2-s2.0-0022703112</t>
  </si>
  <si>
    <t>['wave radars', 'transmitting antenna', 'target signal', 'surface roughness', 'standard estimates', 'software model', 'results predicted', 'receiving antenna', 'received spectra', 'predicted using', 'predicted spectra', 'ocean surface', 'individual icebergs', 'iceberg target', 'hardware used', 'experiment conducted', 'element narrow', 'electronics engineers', 'doppler spectrum', 'detection model', 'data acquired', 'comparison give', 'byron bay', 'backscattered doppler', 'atmospheric noise', '40 mhz']</t>
  </si>
  <si>
    <t>A software detection model has been developed to predict the returned Doppler spectrum for an iceberg target for ground-wave Doppler radars. This software model is based on proposed new estimates for the backscattered Doppler-dependent iceberg cross section for assumed iceberg models, as well as the backscattered Doppler spectrum from the ocean surface. The model includes estimates for forward and reverse transmission losses, based on classical spherical earth derivations. In addition, the transmission losses account for the effects of surface roughness through a modified surface impedance. Standard estimates for man-made and atmospheric noise have been considered in the detection model. A comparison between the results predicted by the detection model and data acquired during an experiment conducted at Byron Bay, Labrador, Canada has been effected. The hardware used for the experiment was an HF Doppler radar operating at 25.40 MHz. The transmitting antenna was a three-element Yagi array and the receiving antenna a 24-element narrow-beam linear array. By using iceberg ground truthing information the Doppler spectrum for individual icebergs was predicted using the software model. The predicted spectra were compared with the received spectra on a target signal-to-noise power ratio basis. The results of this comparison give a degree of confidence to the detection model and show that ground-wave radars are effective ice hazard remote sensors. Copyright ¬© 1986 by The Institute of Electrical and Electronics Engineers, Inc.</t>
  </si>
  <si>
    <t>276-284</t>
  </si>
  <si>
    <t>60019000;60019000;60189778</t>
  </si>
  <si>
    <t>56862729900;55455762400;6603757667</t>
  </si>
  <si>
    <t>Walsh, John;Srivastava, Satish K.;Dawe, Barry J.</t>
  </si>
  <si>
    <t>St John's;St John's</t>
  </si>
  <si>
    <t>C-Core Research Institute;Memorial University of Newfoundland</t>
  </si>
  <si>
    <t>60189778;60019000</t>
  </si>
  <si>
    <t>Walsh J.</t>
  </si>
  <si>
    <t>Remote Sensing of Icebergs by Ground-Wave Doppler Radar</t>
  </si>
  <si>
    <t>10.1109/JOE.1986.1145166</t>
  </si>
  <si>
    <t>2-s2.0-0022703219</t>
  </si>
  <si>
    <t>['transform feed', 'rotman lens', 'results achieved', 'operating principles', 'met easily', 'low sidelobe', 'internal reflections', 'experimental model', 'difficulties encountered', 'detailed design', 'brief summary', 'antenna pattern', '9 ghz', '20 percent']</t>
  </si>
  <si>
    <t>A completely overlapped subarray antenna was designed, fabricated, and tested to demonstrate its broad-band, low sidelobe, wide scan angle performance. It uses time delay steering at the inputs to a transform feed, which illuminates a phase-shifter steered objective lens. The transform feed is a Rotman lens and the objective is a cylindrical bootlace lens, both of which are parallel plate waveguide cavities with coaxial probe elements. The signal bandwidth goal of 20 percent (8.1-9.9 GHz) at 55¬∞ scan was met easily, however, achieving the peak sidelobe goal of - 30 dB proved more difficult because of internal reflections in the Rotman lens beamformer. A brief summary is presented of the completely overlapped subarray antenna (COSA) concept to explain the detailed design of our experimental model. Antenna pattern and S-parameter measurements illustrate the operating principles, the difficulties encountered, and the results achieved. ¬© 1986 IEEE.</t>
  </si>
  <si>
    <t>465-474</t>
  </si>
  <si>
    <t>60001247;60001247</t>
  </si>
  <si>
    <t>7003993075;7101912204</t>
  </si>
  <si>
    <t>Southall, Hugh L.;McGrath, Daniel T.</t>
  </si>
  <si>
    <t>Southall H.L.</t>
  </si>
  <si>
    <t>An Experimental Completely Overlapped Subarray Antenna</t>
  </si>
  <si>
    <t>10.1109/TAP.1986.1143839</t>
  </si>
  <si>
    <t>2-s2.0-0022703228</t>
  </si>
  <si>
    <t>['scattering matrix', 'radar system', 'poincare sphere', 'geometrically interpreted']</t>
  </si>
  <si>
    <t>The polarization scattering matrix measured by a bistatic radar system generally will be asymmetric. The scattering matrix will also be asymmetric when the radar system is monostatic, but the intervening propagation medium is anisotropic. Kennaugh's optimal polarizations theory is generalized to the case of the asymmetric scattering matrix. The radar antenna polarizations to be used for maximum and zero power receptions are defined and geometrically interpreted on the Poincare sphere. These polarizations, termed optimal polarizations, may be used to enhance the level of target echo return, to discriminate against undesired interference sources, or to classify radar targets. ¬© 1986 IEEE.</t>
  </si>
  <si>
    <t>569-574</t>
  </si>
  <si>
    <t>60000745;60027561</t>
  </si>
  <si>
    <t>8083786100;7006670998</t>
  </si>
  <si>
    <t>Davidovitz, Marat;Boerner, Wolfgang Martin</t>
  </si>
  <si>
    <t>Chicago;Urbana</t>
  </si>
  <si>
    <t>University of Illinois at Chicago;University of Illinois Urbana-Champaign</t>
  </si>
  <si>
    <t>60027561;60000745</t>
  </si>
  <si>
    <t>Davidovitz M.</t>
  </si>
  <si>
    <t>Extension of Kennaugh's Optimal Polarization Concept to the Asymmetric Scattering Matrix Case</t>
  </si>
  <si>
    <t>10.1109/TAP.1986.1143845</t>
  </si>
  <si>
    <t>2-s2.0-0022703229</t>
  </si>
  <si>
    <t>['yield advantages', 'wave characteristics', 'useful results', 'united kingdom', 'surface currents', 'steerable narrow', 'steerable array', 'skywave radar', 'site radar', 'sea extending', 'put forward', 'propagation monitoring', 'problems remaining', 'principal effects', 'present achievements', 'particular emphasis', 'operational experience', 'noise floor', 'mhz band', 'latter case', 'island site', 'hf ground', 'hf band', 'fitting technique', 'electronics engineers', 'doppler spectra', 'different systems', 'db ratio', 'current progress', 'buoy data', 'beam radars', 'achieved measurements', '40 percent', '200 km', '20 percent', '14 percent']</t>
  </si>
  <si>
    <t>Present achievements in HF ground-wave radar remote mapping of surface currents and wave characteristics are reviewed, and the features of the different systems that are in use are described. Particular emphasis is given to the problems remaining to ensure effective mapping of nondirectional wave parameters and wave directional spectra over a sector of sea extending up to a range of 150-200 km from a coastal or island site. As an example of current progress, measurements in the United Kingdom of first-moment wave period by single-site radar have achieved measurements to within 15 percent of buoy data over a range from 4 to 9 s. Measurements of significant wave height gave standard deviations of 15 and 20 percent for wave heights less than and greater than 2 m, respectively. In the latter case, a bias of 40 percent was found, which later work suggests is reducible to about 14 percent, using a model-fitting technique. To achieve directional wave spectrum measurement with a single radar requires some 40-dB ratio between the Bragg line return and the noise floor of the Doppler spectra. A two-site radar has been shown to yield advantages for directional spectrum measurement. The design of steerable narrow-beam radars in the 6-25-MHz band to achieve such performance is discussed. Suitable transmitted waveforms to achieve good rejection of interference and to be acceptable in the HF band are put forward. The operational experience in the United Kingdom, obtained with a particular FM interrupted continuous-wave radar system associated with a steerable array, is reported. Results of simulating the effect of the antenna radiation pattern on the observed Doppler spectra are illustrated. The principal effects are on the weaker Bragg line and the second-order continuum around it. This can result in errors in deduced surface wind direction and directional wave spectrum. Finally, some useful results on propagation monitoring of a skywave radar with the aid of a range-Doppler graphical output are reported. Copyright ¬© 1986 by The Institute of Electrical and Electronics Engineers, Inc.</t>
  </si>
  <si>
    <t>150-157</t>
  </si>
  <si>
    <t>Shearman, E. D.Ramsay</t>
  </si>
  <si>
    <t>Shearman E.</t>
  </si>
  <si>
    <t>A Review of Methods of Remote Sensing of Sea-Surface Conditions by HF Radar and Design Considerations for Narrow-Beam Systems</t>
  </si>
  <si>
    <t>10.1109/JOE.1986.1145181</t>
  </si>
  <si>
    <t>2-s2.0-0022703281</t>
  </si>
  <si>
    <t>['radiation characteristic', 'experimental results']</t>
  </si>
  <si>
    <t>The radiation characteristic of piecewise homogeneous dielectric rod antennas is studied by using the volume equivalence principle. Experimental results are presented for comparison. ¬© 1986 IEEE.</t>
  </si>
  <si>
    <t>598-601</t>
  </si>
  <si>
    <t>60030553;60030553</t>
  </si>
  <si>
    <t>6603795399;7006272544</t>
  </si>
  <si>
    <t>Mahdjoubi, K.;Terret, C.</t>
  </si>
  <si>
    <t>An Analysis of Piecewise Homogeneous Dielectric Rod Antennas</t>
  </si>
  <si>
    <t>10.1109/TAP.1986.1143858</t>
  </si>
  <si>
    <t>2-s2.0-0022703296</t>
  </si>
  <si>
    <t>['wave amplifiers', 'using monte', 'squintless traveling', 'respectively ),', 'relative performance', 'new structures', 'mismatch effects', 'finite loss', 'design techniques', 'conventional traveling', 'carlo simulations', 'called low', 'broad bandwidths', 'also considered']</t>
  </si>
  <si>
    <t>Two new networks with the potential for good port VSWR over very broad bandwidths are proposed for use in both low-power balanced amplifiers and high-power combining systems. These new structures, which are called low-sidelobe and squintless traveling-wave amplifiers (LSTWA and SQTWA, respectively), have been derived from conventional traveling-wave amplifiers (TWA) by utilizing phased array antenna concepts and design techniques. Using Monte-Carlo simulations, the relative performance of these structures is compared. Finite loss and mismatch effects are also considered.</t>
  </si>
  <si>
    <t>446-451</t>
  </si>
  <si>
    <t>Friedgut, M.</t>
  </si>
  <si>
    <t>Amalgamated Wireless Australasia Limited</t>
  </si>
  <si>
    <t>Friedgut M.</t>
  </si>
  <si>
    <t>NEW CONCEPTS IN TRAVELING-WAVE AMPLIFIERS.</t>
  </si>
  <si>
    <t>10.1109/tmtt.1986.1133366</t>
  </si>
  <si>
    <t>2-s2.0-0022703298</t>
  </si>
  <si>
    <t>['wind direction', 'thirty maps', 'surface charts', 'successfully detected', 'one front', 'north sea', 'measurements show', 'front detection', 'finally discussed', 'electronics engineers', 'day experiment', 'data corresponding', 'constant velocity']</t>
  </si>
  <si>
    <t>The skywave radar located at Valensole is described. The front localization method is reviewed and discussed. Wind direction was mapped over the North Sea during a three-day experiment. Thirty maps were collected and two cold fronts were successfully detected and tracked. Data corresponding to one front are presented, discussed, and compared to French Meteorological Office (FMO) surface charts. The measurements show that this front did not move with a constant velocity. Front detection is finally discussed in terms of spatial localization accuracy, resolution, and detectability. Copyright ¬© 1986 by The Institute of Electrical and Electronics Engineers, Inc.</t>
  </si>
  <si>
    <t>174-179</t>
  </si>
  <si>
    <t>;60001422</t>
  </si>
  <si>
    <t>7103268728;13007466900</t>
  </si>
  <si>
    <t>Parent, Jacques;Gaffard, Catherine</t>
  </si>
  <si>
    <t>Sorbonne Universite</t>
  </si>
  <si>
    <t>Parent J.</t>
  </si>
  <si>
    <t>Detection of Meteorological Fronts over the North Sea with Valensole Skywave Radar</t>
  </si>
  <si>
    <t>10.1109/JOE.1986.1145177</t>
  </si>
  <si>
    <t>2-s2.0-0022704408</t>
  </si>
  <si>
    <t>['waves diffracted', 'substantial reduction', 'solved using', 'present study', 'one way', 'may cause', 'diffraction problem', 'designing flush', 'certain situations', 'added complexity']</t>
  </si>
  <si>
    <t>The study of surface wave diffraction by a truncated dielectric slab recessed in a perfectly conducting surface is of importance in designing flush-mounted dielectric covered antennas. The incident surface wave gives rise to waves diffracted and reflected by the junction at the termination of the dielectric. A strong reflected surface wave is undesirable in certain situations in that it may cause a problem in matching antenna impedances. One way to reduce the reflected surface wave is to use an inhomogeneous dielectric near the junction. If the inhomogeneous dielectric near the junction is lossy, a substantial reduction of the reflected surface wave can be achieved as demonstrated in the present study. Owing to the added complexity by including inhomogeneous dielectrics, this diffraction problem is solved using an integral equation numerical approach. ¬© 1986 IEEE.</t>
  </si>
  <si>
    <t>496-502</t>
  </si>
  <si>
    <t>Chuang C.</t>
  </si>
  <si>
    <t>Surface Wave Diffraction by a Truncated Inhomogeneous Dielectric Slab Recessed in a Conducting Surface</t>
  </si>
  <si>
    <t>10.1109/TAP.1986.1143847</t>
  </si>
  <si>
    <t>2-s2.0-0022704422</t>
  </si>
  <si>
    <t>['wide variety', 'type aircraft', 'solution employs', 'solution accuracy', 'simulated accurately', 'simulate successfully', 'private aircraft', 'predicting high', 'military aircraft', 'measured data', 'fuel tanks', 'especially near', 'dominant effect', 'design capability', 'curved surfaces', 'basic form', 'antennas mounted']</t>
  </si>
  <si>
    <t>An accurate and efficient numerical solution is developed for predicting high-frequency radiation patterns of antennas mounted on curved surfaces. This solution employs the uniform geometrical theory of diffraction (UTD) and has mainly been used to analyze airborne antenna patterns. In this case the aircraft is modeled in its most basic form so that the solution is applicable to general-type aircraft. The fuselage is modeled as a perfectly conducting composite ellipsoid, whereas, the wings, stabilizers, nose, fuel tanks, and engines, etc. are simulated by perfectly conducting flat plates. The composite-ellipsoid fuselage model is necessary to simulate successfully the wide variety of real world fuselage shapes. Since the antenna is mounted on the fuselage, it has a dominant effect on the resulting radiation pattern, so it must be simulated accurately, especially near the antenna. Various radiation patterns are calculated for military aircraft, private aircraft, and the space shuttle orbiter. The application of this solution to practical airborne antenna problems illustrates its versatility and design capability. The solution accuracy is verified by the comparisons between calculated and measured data. ¬© 1986 IEEE.</t>
  </si>
  <si>
    <t>554-562</t>
  </si>
  <si>
    <t>60015272;60003500</t>
  </si>
  <si>
    <t>7601362092;7004270570</t>
  </si>
  <si>
    <t>Kim, Jacob J.;Burnside, Walter D.</t>
  </si>
  <si>
    <t>Dallas;Columbus</t>
  </si>
  <si>
    <t>Texas Instruments;The Ohio State University</t>
  </si>
  <si>
    <t>Kim J.</t>
  </si>
  <si>
    <t>Simulation and Analysis of Antennas Radiating in a Complex Environment</t>
  </si>
  <si>
    <t>10.1109/TAP.1986.1143838</t>
  </si>
  <si>
    <t>2-s2.0-0022704423</t>
  </si>
  <si>
    <t>['total power', 'specific example', 'simple way']</t>
  </si>
  <si>
    <t>The total power from a radiating slot involves double integrals. A simple way of performing these integrations by using infinite product and series expansions within the integrand is presented. A specific example is given to demonstrate its usefulness. ¬© 1986 IEEE.</t>
  </si>
  <si>
    <t>597-598</t>
  </si>
  <si>
    <t>Gera, Amos E.</t>
  </si>
  <si>
    <t>Ashdod</t>
  </si>
  <si>
    <t>Elta Electronics Industries Ltd.</t>
  </si>
  <si>
    <t>Gera A.</t>
  </si>
  <si>
    <t>A Simplified Way of Evaluating the Radiation Power Integral</t>
  </si>
  <si>
    <t>10.1109/TAP.1986.1143857</t>
  </si>
  <si>
    <t>2-s2.0-0022704486</t>
  </si>
  <si>
    <t>['two bandwidths', 'tower hardware', 'predictions based', 'noise preamplifier', 'midspan conductors', 'kv transmission', 'electronics engineers', 'electromagnetic interference', '200 mhz']</t>
  </si>
  <si>
    <t>Electromagnetic interference (EMI) measurements in the 900 MHz range from a 230-kV and 500-kV transmission are reported. The paper presents measurements made from the tower hardware and midspan conductors in both fair and foul weather conditions. A sensitive meaurement system consisting of a high-gain parabolic antenna and a low-noise preamplifier were employed to gather EMI data from four different detectors and two bandwidths. The results are then compared with predictions based on extrapolation of previous data gathered at frequencies below 200 MHz. Copyright ¬© 1986 by The Institute of Electrical and Electronics Engineers, Inc.</t>
  </si>
  <si>
    <t>140-149</t>
  </si>
  <si>
    <t>IEEE Transactions on Power Delivery</t>
  </si>
  <si>
    <t>60010167;100327286;100327286;115596133</t>
  </si>
  <si>
    <t>7004196236;7201693241;6602320714;6506378685</t>
  </si>
  <si>
    <t>Chartier, V. L.;Sheridan, R.;DiPlacido, J. N.;Loftness, M. O.</t>
  </si>
  <si>
    <t>Portland;Olympia;Boston</t>
  </si>
  <si>
    <t>Bonneville Power Administration;Chas. T. Main, Inc. Engineers;Chas. T. Main, Inc.</t>
  </si>
  <si>
    <t>60010167;115596133;100327286</t>
  </si>
  <si>
    <t>Chartier V.</t>
  </si>
  <si>
    <t>Electromagnetic interference measurements at 900 mhz on 230-kv and 500-kv transmission lines</t>
  </si>
  <si>
    <t>10.1109/TPWRD.1986.4307944</t>
  </si>
  <si>
    <t>2-s2.0-0022704629</t>
  </si>
  <si>
    <t>['¬© 1986', 'transducer system', 'performance test', 'microwave sidebands', 'japan society', 'ghz scso', 'frequency signal', 'applied physics', 'antenna frequency', '4 x104', '23 mk', '2 k']</t>
  </si>
  <si>
    <t>A low-noise parametric vibration transducer using a pair of superconducting microwave cavities has been developed for use with cryogenic gravitational radiation antennas. Pumped by a 9.7-GHz SCSO, the cavities convert mechanical vibration into microwave sidebands which, after demodulation, reproduce the low-frequency signal. For the performance test of the transducer system, the cavities were mounted on a 15-kHz prototype disk antenna at 4.2 K. A transducer noise temperature of 23 mK was obtained at the antenna frequency, and hence a quantum noise number of 3.4 X104. ¬© 1986 The Japan Society of Applied Physics.</t>
  </si>
  <si>
    <t>622-626</t>
  </si>
  <si>
    <t>Japanese Journal of Applied Physics</t>
  </si>
  <si>
    <t>60025272;60025272;60025272</t>
  </si>
  <si>
    <t>7004058311;7401534077;7103211355</t>
  </si>
  <si>
    <t>Tsubono, Kimio;Ohashi, Masatake;Hirakawa, Hiromasa</t>
  </si>
  <si>
    <t>Tsubono K.</t>
  </si>
  <si>
    <t>Parametric transducer for gravitational radiation detector</t>
  </si>
  <si>
    <t>10.1143/JJAP.25.622</t>
  </si>
  <si>
    <t>2-s2.0-0022705059</t>
  </si>
  <si>
    <t>['wide bandwidths', 'series capacitance', 'periodic technique', 'periodic arrays', 'optimum element', 'microstrip patch', 'measured results', 'limited bandwidth', 'electromagnetic coupling', 'direct connection', 'beta analysis', '1 bandwidth']</t>
  </si>
  <si>
    <t>The applications of the log-periodic technique to the series-fed electromagnetically coupled overlaid-patch array allows antennas with flat conformal characteristics and wide bandwidths to be obtained. A k- beta analysis of this and other microstrip array types indicate that the microstrip patch is not an optimum element for log-periodic arrays and that direct connection will result in arrays having a limited bandwidth. The addition of series capacitance to the patch equivalent circuit, implemented by electromagnetic coupling, allows an optimum to be approached. Log-periodic overlaid patch array design and measured results for an array with a 4:1 bandwidth are presented.</t>
  </si>
  <si>
    <t>127-136</t>
  </si>
  <si>
    <t>Hall, P. S.</t>
  </si>
  <si>
    <t>Swindon</t>
  </si>
  <si>
    <t>Defence College of Management and Technology</t>
  </si>
  <si>
    <t>Hall P.</t>
  </si>
  <si>
    <t>MULTIOCTAVE BANDWIDTH LOG-PERIODIC MICROSTRIP ANTENNA ARRAY.</t>
  </si>
  <si>
    <t>10.1049/ip-h-2.1986.0021</t>
  </si>
  <si>
    <t>2-s2.0-0022705079</t>
  </si>
  <si>
    <t>['two dual', 'two bearings', 'surface currents', 'spectral data', 'realistic signal', 'least squares', 'given frequency', 'ensemble averaging', 'electronics engineers', 'doppler spectrum', 'coverage area', 'codar operations', 'biases produced', 'angle techniques', 'angle situation', 'allows signals']</t>
  </si>
  <si>
    <t>Extraction of surface currents from first-order CODAR sea echo requires use of a model that allows signals from two bearings to contribute to the Doppler spectrum at a given frequency, This is called the dual-angle situation, and it applies over much of the coverage area. Two dual-angle techniques have appeared in the literature: a least-squares algorithm used with a crossed-loop antenna system, and a closed-form approach applied to a four-element square array. We evaluate these methods against realistic signal and noise scenarios encountered in CODAR operations, and study nonstatistical biases remaining after infinite-ensemble averaging of the input voltage cross-spectral data. Based on these simulations, biases produced with the closed-form methods exceed those for the crossed-loop system analyzed with least squares by typically 150 percent. Copyright ¬© 1986 by The Institute of Electrical and Electronics Engineers, Inc.</t>
  </si>
  <si>
    <t>322-326</t>
  </si>
  <si>
    <t>An Evaluation of Least-Squares and Closed-Form. Dual-Angle Methods for CODAR Surface-Current Applications</t>
  </si>
  <si>
    <t>10.1109/JOE.1986.1145159</t>
  </si>
  <si>
    <t>2-s2.0-0022705101</t>
  </si>
  <si>
    <t>['‚ àº75', '‚ àº125', '¬© 1986', 'theoretical dependence', 'satellite observations', 'ocean resulted', 'model calculations', 'droplet clouds', 'cloud temperature', 'antenna smoothing', 'absorption spectrum', '160 ghz']</t>
  </si>
  <si>
    <t>Theoretical dependence of microwave absorption spectrum in droplet clouds is considered. Peculiarities of absorption spectrum as function of cloud temperature over frequency ranges ‚àº10-45, ‚àº75-115 and ‚àº125-160 GHz are discussed. On the basis of model calculations, the variations of outgoing brightness temperature over ocean resulted from cloud parameters changes are estimated. The measurements of cloud microwave emission from the R V Academician Alexander Nesmeyanov are presented. Ship experimental data are used to estimate the influence of antenna smoothing from satellite observations. ¬© 1986.</t>
  </si>
  <si>
    <t>175-183</t>
  </si>
  <si>
    <t>Mitnik, L. M.</t>
  </si>
  <si>
    <t>Russian Federation</t>
  </si>
  <si>
    <t>Vladivostok</t>
  </si>
  <si>
    <t>V.I. Il'ichev Pacific Oceanological Institute</t>
  </si>
  <si>
    <t>Mitnik L.</t>
  </si>
  <si>
    <t>Microwave radiometric investigation of cloud characteristics from satellites</t>
  </si>
  <si>
    <t>10.1016/0094-5765(86)90062-7</t>
  </si>
  <si>
    <t>2-s2.0-0022705170</t>
  </si>
  <si>
    <t>['¬© 1986', 'significantly reduced', 'rights reserved', 'resonant surface', 'receiving antenna', 'physical society', 'peak values', 'numerical analyses', 'large angles', 'electrostatic fields', 'cylindrical waveguide']</t>
  </si>
  <si>
    <t>Localized electron plasma oscillations excited at the resonant surface by low-power microwaves incident obliquely on an inhomogeneous unmagnetized plasma in a cylindrical waveguide are measured by a receiving antenna. The disturbance by the antenna on the electrostatic fields is significantly reduced in our condition with a steep density gradient and large angles of incidence. As a result, patterns of large and broad resonance field including phase information are observed. The peak values of the resonantly excited field are compared with numerical analyses. ¬© 1986, THE PHYSICAL SOCIETY OF JAPAN. All rights reserved.</t>
  </si>
  <si>
    <t>1142-1150</t>
  </si>
  <si>
    <t>Journal of the Physical Society of Japan</t>
  </si>
  <si>
    <t>60031126;60031126;60031126;60000264</t>
  </si>
  <si>
    <t>57101405100;57194127965;6701557570;22975730800</t>
  </si>
  <si>
    <t>Minami, Kazuo;Izawa, Koichi;Kaminaga, Masanobu;Ishii, Kazushige</t>
  </si>
  <si>
    <t>Tokyo;Nagoya</t>
  </si>
  <si>
    <t>Tokyo Institute of Technology;Nagoya University</t>
  </si>
  <si>
    <t>60031126;60000264</t>
  </si>
  <si>
    <t>Minami K.</t>
  </si>
  <si>
    <t>Measurement of Localized Electrostatic Oscillations Excited by Low-Power Microwaves in a Plasma Waveguide</t>
  </si>
  <si>
    <t>10.1143/JPSJ.55.1142</t>
  </si>
  <si>
    <t>2-s2.0-0022705216</t>
  </si>
  <si>
    <t>['¬© 1986', 'thylakoid phosphorylation', 'theoretical predictions', 'substantially shifted', 'state level', 'spinach chloroplasts', 'specifically enriched', 'redox levels', 'photosystem ii', 'phosphorylated thylakoids', 'oxidized q', 'oxidized one', 'overall velocity', 'large increases', 'increased photosystem', 'electron flow', 'condition exists']</t>
  </si>
  <si>
    <t>The effect of thylakoid phosphorylation on noncyclic electron transport in spinach chloroplasts was investigated by measuring both the reduction of nicotinamide adenine dinucleotide phosphate (NADP) and the steady-state redox level of the primary electron acceptor quinone of photosystem II (Q) during electron flow to NADP. These data are compared with the theoretical predictions for an electron transport model which relates both the redox levels of Q and the photosystem II optical cross section to the overall velocity of noncyclic electron flow. It is demonstrated that (1) transfer of 15-20% of the photosystem II antenna to photosystem I may stimulate electron flow to NADP only if Q is less than 60-70% oxidized (this condition exists with our thylakoids, even at extremely low absorption fluxes, when the illumination is not specifically enriched in photosystem I absorbed wavelengths); (2) in phosphorylated thylakoids the steady-state redox level of Q is substantially shifted to a more oxidized one (measurements of this parameter using light of different wavelengths quantitatively support the idea that thylakoid phosphorylation leads to increased photosystem I and decreased photosystem II cross sections); (3) thylakoid phosphorylation leads to stimulated noncyclic electron flow to NADP only when the increased photosystem I antenna is able to bring about large increases in the steady-state level of oxidized Q. ¬© 1986.</t>
  </si>
  <si>
    <t>108-113</t>
  </si>
  <si>
    <t>60030318;60030318</t>
  </si>
  <si>
    <t>7201971898;7006530694</t>
  </si>
  <si>
    <t>Jennings, Robert C.;Zucchelli, Giuseppe</t>
  </si>
  <si>
    <t>Milan</t>
  </si>
  <si>
    <t>Universit√† degli Studi di Milano</t>
  </si>
  <si>
    <t>Jennings R.</t>
  </si>
  <si>
    <t>Studies on thylakoid phosphorylation and noncyclic electron transport</t>
  </si>
  <si>
    <t>10.1016/0003-9861(86)90454-6</t>
  </si>
  <si>
    <t>2-s2.0-0022705329</t>
  </si>
  <si>
    <t>['similar media', 'secondary array', 'second frequency', 'physical area', 'microstrip radiators', 'many applications']</t>
  </si>
  <si>
    <t>In many applications, particularly on aircraft, the integration of two or more antennas into the same physical area is desirable. A technique, using compensated grating structures, is described which offers the opportunity of constructing radiating elements and feeds which are 'invisible' at a second frequency. This technique is described and its application to microstrip and other similar media is discussed. Attention is given to the edges of the structures, and measured results showing the 'invisibility' are presented. An array of 'invisible' microstrip radiators has been mounted in an existing primary aperture. Primary radiation patterns are given, which show the small degradation introduced by the secondary array.</t>
  </si>
  <si>
    <t>137-142</t>
  </si>
  <si>
    <t>116361700;116361700</t>
  </si>
  <si>
    <t>7004151326;7006987468</t>
  </si>
  <si>
    <t>Bond, K.;Shelley, M. W.</t>
  </si>
  <si>
    <t>Harlow</t>
  </si>
  <si>
    <t>Cossor Electronics Ltd</t>
  </si>
  <si>
    <t>Bond K.</t>
  </si>
  <si>
    <t>DUAL FREQUENCY ANTENNA INTEGRATION USING INVISIBLE GRATING STRUCTURES.</t>
  </si>
  <si>
    <t>10.1049/ip-h-2.1986.0022</t>
  </si>
  <si>
    <t>2-s2.0-0022705556</t>
  </si>
  <si>
    <t>['v ).', 'using high', 'tremendous effort', 'secondary pattern', 'reflector geometry', 'reflector antenna', 'reduction schemes', 'recent years', 'radiation integral', 'numerically evaluating', 'frequency approximations', 'fourier integrals', 'force fft', 'different analyses', 'computation time', 'comparable accuracy']</t>
  </si>
  <si>
    <t>Using high-frequency approximations, the secondary pattern of a reflector antenna can be calculated by numerically evaluating a radiation integral I(u, v). In recent years, tremendous effort has been expended to reducing I (u, v) to Fourier integrals. These reduction schemes are invariably reflector geometry dependent. Hence, different analyses/computer software development must be carried out for different reflector shapes/boundaries. The purpose of this communication is to point out that as the computer power improves, these reduction schemes may not always be necessary. Comparable accuracy and computation time can be achieved by evaluating I (u, u) by a brute-force fast Fourier transform (FFT) described in this note. Furthermore, there is virtually no restriction on the reflector geometry by using the brute-force FFT. ¬© 1986 IEEE.</t>
  </si>
  <si>
    <t>592-595</t>
  </si>
  <si>
    <t>60022774;60000745;115569197;60026717</t>
  </si>
  <si>
    <t>7202365940;7601396617;7403166334;7006577375</t>
  </si>
  <si>
    <t>Lam, P. T.;Lee, Shung Wu;Hung, C. C.H.;Acosta, R.</t>
  </si>
  <si>
    <t>Cleveland;Boulevard;Urbana;San Jose</t>
  </si>
  <si>
    <t>NASA Glenn Research Center;Lockheed Martin Space Systems Company;University of Illinois Urbana-Champaign;DRG</t>
  </si>
  <si>
    <t>60026717;60022774;60000745;115569197</t>
  </si>
  <si>
    <t>Lam P.T.</t>
  </si>
  <si>
    <t>Strategy for Reflector Pattern Calculation: Let the Computer Do the Work</t>
  </si>
  <si>
    <t>10.1109/TAP.1986.1143856</t>
  </si>
  <si>
    <t>2-s2.0-0022705643</t>
  </si>
  <si>
    <t>['serrated edges', 'rectangular aperture', 'geometrical theory', 'fresnel field', 'fast prediction', 'diffraction effects', 'antenna systems', 'always influenced']</t>
  </si>
  <si>
    <t>The performance of antenna systems is always influenced by diffraction effects. Diffraction problems may be analyzed using physical optics or geometrical theory of diffraction. The Fresnel field of a rectangular aperture with serrated edges is analyzed using physical optics. The method can be applied in compact antenna test range design for a fast prediction of the test-zone field performance.</t>
  </si>
  <si>
    <t>108-114</t>
  </si>
  <si>
    <t>Beeckman, P. A.</t>
  </si>
  <si>
    <t>Beeckman P.</t>
  </si>
  <si>
    <t>PREDICTION OF THE FRESNEL REGION FIELD OF A COMPACT ANTENNA TEST RANGE WITH SERRATED EDGES.</t>
  </si>
  <si>
    <t>10.1049/ip-h-2.1986.0018</t>
  </si>
  <si>
    <t>2-s2.0-0022706640</t>
  </si>
  <si>
    <t>['symmetry assumptions', 'optical transformer', 'geometrical optics', 'flexible approach', 'design equations', 'complex coordinates', 'ampere equation']</t>
  </si>
  <si>
    <t>The formulation of design equations for shaped dielectric lenses is considered under the assumptions of geometrical optics. The use of complex coordinates to track the refracted-ray directions introduces a flexible approach in which no symmetry assumptions are necessary. The problem of designing a lens to serve as an optical transformer for aperture distribution control is shown, in general, to require the solution of a Monge-Ampere equation.</t>
  </si>
  <si>
    <t>60025225;60025225</t>
  </si>
  <si>
    <t>7004261323;6602206040</t>
  </si>
  <si>
    <t>Westcott, B. S.;Brickell, F.</t>
  </si>
  <si>
    <t>Westcott B.S.</t>
  </si>
  <si>
    <t>GENERAL DIELECTRIC-LENS SHAPING USING COMPLEX CO-ORDINATES.</t>
  </si>
  <si>
    <t>10.1049/ip-h-2.1986.0020</t>
  </si>
  <si>
    <t>2-s2.0-0022706641</t>
  </si>
  <si>
    <t>['wire connected', 'two types', 'tower stubs', 'tower near', 'three types', 'skywire stubs', 'remedial measures', 'radiation pattern', 'least expensive', 'electronics engineers', 'effectiveness varies', 'desired frequency', 'create distortion', 'also tested']</t>
  </si>
  <si>
    <t>A power transmission line can create distortion of the radiation pattern of a nearby AM radio brcadcast antenna array. Techniques have been developed to study this effect and remedial measures are proposed to minimize it. Three types of tower stubs have been tested. These consist of lengths of wire connected to the tower near the top and terminated near ground with capacitors that are tuned to the desired frequency. The effectiveness varies with the canplexity of the stub. Two types of skywire stubs were also tested. These were difficult to tune, difficult to test and perhaps not as effective as tower stubs. Isolating the skywire from transmission towers remains the least expensive but least predictable remedial measure. A systematic masurement technique for verifying the effects of remedial measures is presented. Copyright ¬© 1986 by The Institute of Electrical and Electronics Engineers, Inc.</t>
  </si>
  <si>
    <t>163-168</t>
  </si>
  <si>
    <t>60016435;60016435</t>
  </si>
  <si>
    <t>6701672736;57213433146</t>
  </si>
  <si>
    <t>Madge, R. C.;Jones, D. E.</t>
  </si>
  <si>
    <t>Toronto</t>
  </si>
  <si>
    <t>Ontario Hydro Technologies</t>
  </si>
  <si>
    <t>Madge R.</t>
  </si>
  <si>
    <t>Effect of power lines on AM radio broadcast radiation patterns</t>
  </si>
  <si>
    <t>10.1109/TPWRD.1986.4307947</t>
  </si>
  <si>
    <t>2-s2.0-0022707061</t>
  </si>
  <si>
    <t>['wide range', 'wave antenna', 'treated specifically', 'three examples', 'subsurface communication', 'sea floor', 'insulated antenna', 'input power', 'important effects', 'geophysical measurements', 'electric field', 'effective length', 'different properties', 'current distribution', 'antiresonant antenna', '1 mhz', '1 khz']</t>
  </si>
  <si>
    <t>The properties of the insulated antenna in a dissipative medium near a boundary are reviewed. The important effects on antennas of being embedded in media with different properties over a wide range of frequencies are treated specifically in terms of three examples. These are: 1) a traveling-wave antenna in the earth below air at f ~ 0.1 MHz for subsurface communication; 2) an antiresonant antenna on the sea floor at f ~ 1 kHz and 3) an electrically short antenna on the sea floor at f ~ 1 Hz‚Äîboth for geophysical measurements. In each case the current distribution, impedance, input power, effective length, and electric field in the range of interest are determined. ¬© 1986 IEEE.</t>
  </si>
  <si>
    <t>490-496</t>
  </si>
  <si>
    <t>King R.</t>
  </si>
  <si>
    <t>Antennas in Material Media Near Boundaries with Application to Communication and Geophysical Exploration, Part II: The Terminated Insulated Antenna</t>
  </si>
  <si>
    <t>10.1109/TAP.1986.1143843</t>
  </si>
  <si>
    <t>2-s2.0-0022707099</t>
  </si>
  <si>
    <t>18-24</t>
  </si>
  <si>
    <t>Electrical Engineering in Japan</t>
  </si>
  <si>
    <t>60031126;60031126;60031126;60031126</t>
  </si>
  <si>
    <t>56160777700;7005938032;57216195333;7202283647</t>
  </si>
  <si>
    <t>Suzuki, Mitsuaki;Hotta, Eiki;Ohta, Hiroshi;Hayashi, Izumi</t>
  </si>
  <si>
    <t>Tokyo Institute of Technology</t>
  </si>
  <si>
    <t>Suzuki M.</t>
  </si>
  <si>
    <t>Toroidal current drive experiment by m =+1, ‚àí1 nonaxisymmetric Alfv√©n wave</t>
  </si>
  <si>
    <t>10.1002/eej.4391060303</t>
  </si>
  <si>
    <t>2-s2.0-0022709799</t>
  </si>
  <si>
    <t>National Science Foundation</t>
  </si>
  <si>
    <t>MCS-8200883</t>
  </si>
  <si>
    <t>NSF</t>
  </si>
  <si>
    <t>['stiffness functions', 'static two', 'static shape', 'reflective surface', 'problem generic', 'parameters estimated', 'numerical results', 'linear spline', 'galerkin projection', 'distributed models', 'data descriptive', 'cubic splines', 'based functions']</t>
  </si>
  <si>
    <t>A parameter and state estimation technique for distributed models is demonstrated through the solution of a problem generic to large space antenna system identification. Assuming the position of the reflective surface of the maypole (hoop/column) antenna to be approximated by the static two-dimensional, stretched-membrane partial differential equation with variable-stiffness coefficient functions, a spline-based approximation procedure is described that estimates the shape and stiffness functions from data set Observations. For given stiffness funcions, the Galerkin projection with linear spline-based functions is applied to project the distributed problem onto a finite-dimensional subspace wherein algebraic equations exist for determining a static shape (state) prediction. The stiffness functions are then parameterized by cubic splines and the parameters estimated by an output error technique. Numerical results are presented for data descriptive of a 100-m-diameter maypole antenna. ¬© 1985 American Institute of Aeronautics and Astronautics, Inc.</t>
  </si>
  <si>
    <t>304-311</t>
  </si>
  <si>
    <t>Journal of Guidance, Control, and Dynamics</t>
  </si>
  <si>
    <t>60011460;60017536;60000854</t>
  </si>
  <si>
    <t>7102104096;7004359157;7101645337</t>
  </si>
  <si>
    <t>Banks, H. T.;Lamm, P. K.;Armstrong, E. S.</t>
  </si>
  <si>
    <t>Dallas;Providence;Hampton</t>
  </si>
  <si>
    <t>Southern Methodist University;Brown University;NASA Langley Research Center</t>
  </si>
  <si>
    <t>60017536;60011460;60000854</t>
  </si>
  <si>
    <t>Banks H.</t>
  </si>
  <si>
    <t>Spline-based distributed system identification with application to large space antennas</t>
  </si>
  <si>
    <t>10.2514/3.20107</t>
  </si>
  <si>
    <t>2-s2.0-0022711338</t>
  </si>
  <si>
    <t>['wiley company', 'various conditions', 'unwanted signal', 'sideband components', 'output distortion', 'observed regardless', 'incident wave', 'inc .,', 'good performance', 'good characteristics', 'frequency characteristics', 'exhibited even', 'desired wave', 'desired signal', 'desirable choice', 'anticipated value', 'adaptive array']</t>
  </si>
  <si>
    <t>When a broadband desired signal is incident on an adaptive array under output‚Äêpower‚Äêminimization with constraints, the sideband components of the desired signal away from the constraints are regarded as the unwanted signal and the frequency characteristics are degraded. The following three constraint methods for broadband desired signals are compared in terms of their output distortion and signal‚Äêto‚Äêinterference‚Äêplus‚Äênoise ratio under various conditions. In the higher‚Äêorder derivative constraint method, good characteristics are exhibited even if little preliminary knowledge is available on the desired signal. However, too much of its degrees of freedom are spent. In the double‚Äêfrequency constraint and the conventional correlation constraint methods, the output distortion increases when the anticipated value of the bandwidth of the desired wave and that of the actually incident wave are different. On the other hand, in the improved correlation constraint method in which the amount of feedback is modified in software, good performance is observed regardless of the bandwidth of the incident wave, and hence is the most desirable choice. Copyright ¬© 1986 Wiley Periodicals, Inc., A Wiley Company</t>
  </si>
  <si>
    <t>117-125</t>
  </si>
  <si>
    <t>60011001;60107350</t>
  </si>
  <si>
    <t>7102188996;7202603406</t>
  </si>
  <si>
    <t>Takao, Kazuaki;Ishizaki, Toshio</t>
  </si>
  <si>
    <t>Kadoma;Kyoto</t>
  </si>
  <si>
    <t>Panasonic Corporation;Kyoto University</t>
  </si>
  <si>
    <t>60107350;60011001</t>
  </si>
  <si>
    <t>Constraints of the output‚Äêpower‚Äêminimization adaptive array for a broadbanded desired signal</t>
  </si>
  <si>
    <t>10.1002/ecja.4410690515</t>
  </si>
  <si>
    <t>2-s2.0-0022715506</t>
  </si>
  <si>
    <t>Ministry of Education</t>
  </si>
  <si>
    <t>MOE</t>
  </si>
  <si>
    <t>['¬© 1986', 'without capture', 'system operation', 'study shows', 'persistent csma', 'omidirectional antenna', 'mobile terminals', 'kleinrock studied', 'greatly enhanced', 'directional antennas']</t>
  </si>
  <si>
    <t>capture effect | directional antenna | expected progress | most-forward-routing | point-to-destination | throughput</t>
  </si>
  <si>
    <t>Takagi and Kleinrock studied the problem of optimal transmission ranges in a packet radio network with mobile terminals, assuming that each terminal is equipped with an omidirectional antenna. The purpose of this paper is to examine the possible improvement gained by directional antennas. The protocols considered include slotted ALOHA (with and without capture) and non-persistent CSMA. Results show throughput performance can be greatly enhanced by proper directional antennas. Two routing strategies, most-forward-routing and point-to-destination, are investigated and compared. The study shows both strategies posses roughly the same degree of performance. However the latter is attractive for its simplicity of system operation. ¬© 1986.</t>
  </si>
  <si>
    <t>337-351</t>
  </si>
  <si>
    <t>Computer Networks and ISDN Systems</t>
  </si>
  <si>
    <t>60095366;60005429</t>
  </si>
  <si>
    <t>7407040882;56979443700</t>
  </si>
  <si>
    <t>Chang, Chung Ju;Chang, Jin Fu</t>
  </si>
  <si>
    <t>Taiwan;Taiwan</t>
  </si>
  <si>
    <t>Taipei;Taipei</t>
  </si>
  <si>
    <t>Ministry of Transportation and Communications, Taiwan;National Taiwan University</t>
  </si>
  <si>
    <t>Chang C.J.</t>
  </si>
  <si>
    <t>Optimal design parameters in a multihop packet radio network using random access techniques</t>
  </si>
  <si>
    <t>10.1016/0169-7552(86)90040-1</t>
  </si>
  <si>
    <t>2-s2.0-0022715584</t>
  </si>
  <si>
    <t>['universe hidden', 'optical telescopes', 'explore regions']</t>
  </si>
  <si>
    <t>A sensitive new radiation detector enables astronomers to explore regions of the universe hidden from optical telescopes, such as sites where stars are now being born. The detector, a superconducting tunnel device, is discussed, and its applications are reviewed.</t>
  </si>
  <si>
    <t>97-102</t>
  </si>
  <si>
    <t>Scientific American</t>
  </si>
  <si>
    <t>May</t>
  </si>
  <si>
    <t>7401766885;7102803490</t>
  </si>
  <si>
    <t>Phillips, Thomas G.;Rutledge, David B.</t>
  </si>
  <si>
    <t>Phillips T.G.</t>
  </si>
  <si>
    <t>SUPERCONDUCTING TUNNEL DETECTORS IN RADIO ASTRONOMY.</t>
  </si>
  <si>
    <t>10.1038/scientificamerican0586-96</t>
  </si>
  <si>
    <t>2-s2.0-0022716708</t>
  </si>
  <si>
    <t>['tissue conductivity', 'simulated conditions', 'shell cylindrical', 'sample power', 'phantoms simulating', 'limited number', 'limb within', 'human body', 'heat deposition', 'electronics engineers', 'design concepts', 'deep heating', 'deep focusing', 'clinical investigation', 'annular phased']</t>
  </si>
  <si>
    <t>The design concepts of a thin-shell cylindrical or annular phased-array of conformal strip radiators is shown to be suitable for deep heating of phantoms simulating the limbs of the human body. The Mini-Annular Phased Array (MAPA) is presently under clinical investigation for the treatment of cancer of the limbs at a limited number of institutions. The effect of frequency and tissue conductivity is shown under simulated conditions for a few sample power-density patterns illustrating the deep focusing of the radiated EM fields. These are compared to a numerical model pattern which can be used to estimate the patterns in varying diameter limbs. The effect of offsetting the limb within the array to steer the pattern of heat deposition has also been shown to produce desirable asymmetrical patterns. Copyright ¬© 1986 by The Institute of Electrical and Electronics Engineers, Inc.</t>
  </si>
  <si>
    <t>508-513</t>
  </si>
  <si>
    <t>Turner, Paul F.</t>
  </si>
  <si>
    <t>Turner P.F.</t>
  </si>
  <si>
    <t>Mini-Annular Phased Array for Limb Hyperthermia</t>
  </si>
  <si>
    <t>10.1109/TMTT.1986.1133384</t>
  </si>
  <si>
    <t>2-s2.0-0022717216</t>
  </si>
  <si>
    <t>['tumor cells', 'show effects', 'power pattern', 'numerical model', 'nonsynchronous array', 'model shows', 'inserted directly', 'improved design', 'heat directly', 'electronics engineers', 'cancerous tumors', 'applicator design', 'also described', 'also applied']</t>
  </si>
  <si>
    <t>Microwave radiating antenna arrays frequently have been inserted directly into cancerous tumors to heat directly and destroy the tumor cells. Example heating patterns are shown with a simple antenna design. An improved design is also described and power absorption patterns are calculated by a three-dimensional numerical model. This model is used to show effects of frequency and applicator design on the power pattern. The numerical model is also applied to show an improved power pattern with a synchronous (equal-phase) compared to a nonsynchronous array. The model shows that an increase in tip capacitance increases the heating at the tip. Copyright ¬© 1986 by The Institute of Electrical and Electronics Engineers, Inc.</t>
  </si>
  <si>
    <t>572-578</t>
  </si>
  <si>
    <t>Salt Lake City</t>
  </si>
  <si>
    <t>BSD Medical Corporation</t>
  </si>
  <si>
    <t>Interstitial Equal-Phased Arrays for EM Hyperthermia</t>
  </si>
  <si>
    <t>10.1109/TMTT.1986.1133394</t>
  </si>
  <si>
    <t>2-s2.0-0022717217</t>
  </si>
  <si>
    <t>['two types', 'transformed domain', 'time required', 'square plates', 'spatial derivatives', 'small ).', 'simple multiplications', 'scatterers analyzed', 'problem solution', 'presented along', 'numerical results', 'novel combination', 'much less', 'conjugate gradient', 'computational procedure']</t>
  </si>
  <si>
    <t>A novel combination of the conjugate gradient (CG) method with the fast Fourier transform technique (FFT) is presented. With this combination, the computational time required to solve large scatterer problems is much less than the time required by the ordinary conjugate gradient method and the method of moments. On the other hand, since the spatial derivatives are replaced with simple multiplications in the transformed domain, some of the computational difficulties present in the ordinary conjugate gradient method and the method of moments do not exist here. Therefore, electrically small structures can also be handled more easily. Finally, since the method is iterative, it is possible to know the accuracy in a problem solution. Two types of scatterers are analyzed: Wires (both very long and very short) and square plates (very large and small). The details of the computational procedure are presented along with numerical results for some of the scatterers analyzed. ¬© 1986 IEEE.</t>
  </si>
  <si>
    <t>635-640</t>
  </si>
  <si>
    <t>60030551;60001777;60001777</t>
  </si>
  <si>
    <t>55650323300;7003593230;7404179013</t>
  </si>
  <si>
    <t>Sarkar, Tapan K.;Arvas, Ercument;Rao, Sadasiva M.</t>
  </si>
  <si>
    <t>Syracuse;Rochester</t>
  </si>
  <si>
    <t>Syracuse University;Rochester Institute of Technology</t>
  </si>
  <si>
    <t>60030551;60001777</t>
  </si>
  <si>
    <t>Sarkar T.K.</t>
  </si>
  <si>
    <t>Application of FFT and the Conjugate Gradient Method for the Solution of Electromagnetic Radiation from Electrically Large and Small Conducting Bodies</t>
  </si>
  <si>
    <t>10.1109/TAP.1986.1143871</t>
  </si>
  <si>
    <t>2-s2.0-0022717220</t>
  </si>
  <si>
    <t>['solved applying', 'radiometric detection', 'layered medium', 'horn antenna', 'field range', 'electronics engineers', 'electromagnetic problem', 'direct contact', 'calculation method', 'better resolution', 'aperture function']</t>
  </si>
  <si>
    <t>A calculation method is introduced and subsequent numerical results are shown for the effect of skin in radiometric detection of breast cancer using a horn antenna in direct contact with the skin. The electromagnetic problem in layered medium is solved applying the exact image theory, which enables the field calculation also in the near-field range. A proposal to optimize the aperture function for better resolution is given. Copyright ¬© 1986 by The Institute of Electrical and Electronics Engineers, Inc.</t>
  </si>
  <si>
    <t>584-588</t>
  </si>
  <si>
    <t>60103653;60103653</t>
  </si>
  <si>
    <t>7004143659;7102492958</t>
  </si>
  <si>
    <t>Alanen, Esko;Lindell, Ismo V.</t>
  </si>
  <si>
    <t>Alanen E.</t>
  </si>
  <si>
    <t>Effect of Skin in Microwave Detection of Breast Cancer</t>
  </si>
  <si>
    <t>10.1109/TMTT.1986.1133396</t>
  </si>
  <si>
    <t>2-s2.0-0022717398</t>
  </si>
  <si>
    <t>['unbiased estimate', 'technique depends', 'subtractive preprocessor', 'spatial smoothing', 'nulling coherent', 'new kind', 'matrix used', 'look direction', 'helps making', 'fixed gain', 'correlation matrix', 'algorithm robust']</t>
  </si>
  <si>
    <t>A new adaptive technique is presented that is capable of nulling coherent, as well as incoherent, jammers while maintaining a fixed gain in the look direction. The technique depends on the use of new kind of correlation matrix and a subtractive preprocessor. It does not require any spatial smoothing. It requires 2M elements to null M - 1 coherent jammers in the presence of noise. The matrix used in the technique is such that its unbiased estimate in the presence of noise can be obtained. This helps making the algorithm robust to noise in finding the desired weight vector to be used by the array. ¬© 1986 IEEE.</t>
  </si>
  <si>
    <t>702-710</t>
  </si>
  <si>
    <t>Luthra, Ajay K.</t>
  </si>
  <si>
    <t>Luthra A.K.</t>
  </si>
  <si>
    <t>A Solution to the Adaptive Nulling Problem with a Look-Direction Constraint in the Presence of Coherent Jammers</t>
  </si>
  <si>
    <t>10.1109/TAP.1986.1143878</t>
  </si>
  <si>
    <t>2-s2.0-0022717403</t>
  </si>
  <si>
    <t>['heuristic approach', 'exact solution']</t>
  </si>
  <si>
    <t>A uniform asymptotic expansion (UAE) of Maliuzhinets' exact solution for incident plane wave diffraction by a half-plane with two face impedances has been obtained using Van der Waerden's method. This solution has been further extended to the case of arbitrary line source incidence using a heuristic approach. ¬© 1986 IEEE.</t>
  </si>
  <si>
    <t>718-723</t>
  </si>
  <si>
    <t>60004750;60033154</t>
  </si>
  <si>
    <t>56048579300;7402672382</t>
  </si>
  <si>
    <t>Sanyal, Subrata;Bhattacharyya, Asoke K.</t>
  </si>
  <si>
    <t>Canada;India</t>
  </si>
  <si>
    <t>Montreal;Kharagpur</t>
  </si>
  <si>
    <t>Concordia University;Indian Institute of Technology Kharagpur</t>
  </si>
  <si>
    <t>60033154;60004750</t>
  </si>
  <si>
    <t>Sanyal S.</t>
  </si>
  <si>
    <t>Diffraction by a Half-Plane with two Face Impedances Uniform Asymptotic Expansion for Plane Wave and Arbitrary Line Source Incidence</t>
  </si>
  <si>
    <t>10.1109/TAP.1986.1143887</t>
  </si>
  <si>
    <t>2-s2.0-0022717404</t>
  </si>
  <si>
    <t>['¬© asce', 'wide range', 'welding techniques', 'truss members', 'traditional rectangular', 'structural tubing', 'structural engineers', 'structural advantages', 'recently however', 'recent advances', 'present uses', 'new applications', 'increased availability', 'dimensional trusses', 'article examines', 'architects alike']</t>
  </si>
  <si>
    <t>The structural advantages and aesthetics of a triangular cross section truss have long been recognized by structural engineers and architects alike. Until recently however, it has not been considered cost effective to design and build this system over the traditional rectangular or two-dimensional trusses. But with recent advances in welding techniques, the use of computer analysis methods, and the increased availability of structural tubing for truss members, the triangular cross section truss has seen a wide range of new applications. This article examines the advantages and disadvantages of this type of truss as well as past and present uses of the system for various structural applications. ¬© ASCE.</t>
  </si>
  <si>
    <t>1088-1096</t>
  </si>
  <si>
    <t>Journal of Structural Engineering (United States)</t>
  </si>
  <si>
    <t>Durfee, Robert H.</t>
  </si>
  <si>
    <t>New Britain</t>
  </si>
  <si>
    <t>CE Maguire Inc</t>
  </si>
  <si>
    <t>Durfee R.H.</t>
  </si>
  <si>
    <t>Review of triangular cross section truss systems</t>
  </si>
  <si>
    <t>10.1061/(ASCE)0733-9445(1986)112:5(1088)</t>
  </si>
  <si>
    <t>2-s2.0-0022717439</t>
  </si>
  <si>
    <t>['vertical planes', 'thesurrounding area', 'nasa effort', 'less susceptible', 'joint dot', 'ils ).', 'common civil', 'april 1978']</t>
  </si>
  <si>
    <t>The National Microwave Landing System (MLS) program is a joint DOT/DOD/NASA effort to implement a common civil/military precision landing, system to replace the current Instrument Landing System (ILS). The MLS will be capable of providing precision landing guidance down to Category III minimum while allowing for complex approach paths in both the horizontal and vertical planes. The system is based on the Time Reference Scanning Beam (TRSB) technique which was selected by the International Civil Aviation Organization (ICAO) in April 1978 as the new international landing system standard. MLS is less susceptible to interference from thesurrounding area and provides a greater signal coverage area than ILS. ¬© 1986 IEEE</t>
  </si>
  <si>
    <t>IEEE Aerospace and Electronic Systems Magazine</t>
  </si>
  <si>
    <t>60025576;60025576</t>
  </si>
  <si>
    <t>56782103700;56782139700</t>
  </si>
  <si>
    <t>Thomas, L. T.;Evans, E.</t>
  </si>
  <si>
    <t>Dayton</t>
  </si>
  <si>
    <t>Wright-Patterson AFB</t>
  </si>
  <si>
    <t>Thomas L.T.</t>
  </si>
  <si>
    <t>Microwave landing system</t>
  </si>
  <si>
    <t>10.1109/MAES.1986.5005109</t>
  </si>
  <si>
    <t>2-s2.0-0022717494</t>
  </si>
  <si>
    <t>['steering mechanism', 'source location', 'pulse basis', 'nonsinusoidal waves', 'main beam', 'incoming signals', 'beam forming', 'array system', 'array axis', 'angular coordinate']</t>
  </si>
  <si>
    <t>A self-steering array system is described for beam forming with nonsinusoidal waves. The array system electronically steers a main beam in the direction of the source from which the wavefront is arriving without prior knowledge of the source location. The beam-steering mechanism is based on obtaining angular information about the source from the directional distortion exhibited by the sum of the received nonsinusoidal waves. The prinicple of monopulse tracking radar is applied to the array system so that the angular coordinate of the source can be determined with respect to the array axis. If the source is in motion, it can be tracked on pulse-to-pulse basis. Further improvements of the self-steering array system, to suppress the additive thermal noise present with the incoming signals and to achieve good angular resolution and accuracy, are described.</t>
  </si>
  <si>
    <t>96-104</t>
  </si>
  <si>
    <t>Hussain, Malek G.</t>
  </si>
  <si>
    <t>Kuwait City</t>
  </si>
  <si>
    <t>Kuwait University</t>
  </si>
  <si>
    <t>Hussain M.G.</t>
  </si>
  <si>
    <t>SELF-STEERING ARRAY FOR NONSINUSOIDAL WAVES.</t>
  </si>
  <si>
    <t>10.1109/temc.1986.4307255</t>
  </si>
  <si>
    <t>2-s2.0-0022717576</t>
  </si>
  <si>
    <t>['trigonometric functions', 'reflector antenna', 'radiation integral', 'radial direction', 'phase function', 'phase exponential', 'matching points', 'manner similar', 'lcm ).', 'expansion coefficients', 'circumferential direction', 'approximation error', 'amplitude function']</t>
  </si>
  <si>
    <t>A simplified numerical method is described for computing the radiation integral of a reflector antenna which is associated with either the aperture field method (AFM) or the induced current method (lCM). The method involves linear approximation of the phase function and absorption of the approximation error into amplitude function. Then the integrand is rewritten as a slowly varying function multiplied by the phase exponential. The slowly varying function is expanded in terms of a polynomial for the radial direction and trigonometric functions for the circumferential direction. Expansion coefficients are determined by matching at points on the aperture. The matching points are chosen in a manner similar to that of a two-dimensional numerical integration scheme. ¬© 1986 IEEE.</t>
  </si>
  <si>
    <t>732-737</t>
  </si>
  <si>
    <t>60103680;60103680</t>
  </si>
  <si>
    <t>55390837800;7401432606</t>
  </si>
  <si>
    <t>Hongo, Kohei;Matsuura, Hideaki</t>
  </si>
  <si>
    <t>Shizuoka</t>
  </si>
  <si>
    <t>Shizuoka University</t>
  </si>
  <si>
    <t>Hongo K.</t>
  </si>
  <si>
    <t>Simplified Technique for Evaluating the Radiation Integrals</t>
  </si>
  <si>
    <t>10.1109/TAP.1986.1143882</t>
  </si>
  <si>
    <t>2-s2.0-0022717580</t>
  </si>
  <si>
    <t>['small improvement', 'overall dimensions', 'individual applicators', 'homogeneous muscle', 'field size', 'electronics engineers', 'array applicator', 'additional advantage', '915 mhz']</t>
  </si>
  <si>
    <t>Absorbed power distribution in a homogeneous muscle-like tissue due to a planar coherent array consisting of 16 small direct contact applicators at 434 and 915 MHz are calculated, assuming various relative phases an amplitudes are compared with that of a single aperture source at the same frequency with the same overall dimensions. The array applicator may offer improvement in field size or, when focused, a small improvement in penetration, but in practice the performance is very dependent upon bolus thickness. An additional advantage of the array applicator is the ability to modify absorbed power distributions during use by changing the amplitudes of individual applicators. Copyright ¬© 1986 by The Institute of Electrical and Electronics Engineers, Inc.</t>
  </si>
  <si>
    <t>484-489</t>
  </si>
  <si>
    <t>60020416;60020416;115596180</t>
  </si>
  <si>
    <t>7102820326;7005458538;57213237417</t>
  </si>
  <si>
    <t>Hand, J. W.;Cheetham, J. L.;Hind, A. J.</t>
  </si>
  <si>
    <t>United Kingdom;United Kingdom</t>
  </si>
  <si>
    <t>London;Sunbury-on-Thames</t>
  </si>
  <si>
    <t>Hammersmith Hospital;Siemens Ltd.</t>
  </si>
  <si>
    <t>60020416;115596180</t>
  </si>
  <si>
    <t>Hand J.W.</t>
  </si>
  <si>
    <t>Absorbed Power Distributions from Coherent Microwave Arrays for Localized Hyperthermia</t>
  </si>
  <si>
    <t>10.1109/TMTT.1986.1133380</t>
  </si>
  <si>
    <t>2-s2.0-0022717701</t>
  </si>
  <si>
    <t>['principal advantage', 'optimal amplitudes', 'numerical examples', 'human body', 'general principle', 'excitation amplitude', 'electronics engineers', 'electromagnetic multi', 'applicator systems', '68 mhz']</t>
  </si>
  <si>
    <t>A method is proposed for determining the excitation amplitude and phaseof each applicator in electromagnetic multi-applicator systems for forming a narrow high temperature zone inside the human body. The principal advantage of this method for determining the optimal amplitudes and phases is its simplicity and reasonableness. The general principle is explained by using the example of an elliptical body region, heated by several line current sources placed outside the body. Numerical examples are presented for the case where a human abdominal region composed of muscular and spinal layers surrounded by a cooling water layer is excited by several line sources at 40.68 MHz. Copyright ¬© 1986 by The Institute of Electrical and Electronics Engineers, Inc.</t>
  </si>
  <si>
    <t>532-538</t>
  </si>
  <si>
    <t>60024322;60024322;60024322</t>
  </si>
  <si>
    <t>7203027902;55160815500;35567682900</t>
  </si>
  <si>
    <t>Morita, Nagayoshi;Hamasaki, Takeshi;Kumagai, Nobuaki</t>
  </si>
  <si>
    <t>Suita</t>
  </si>
  <si>
    <t>Osaka University</t>
  </si>
  <si>
    <t>Morita N.</t>
  </si>
  <si>
    <t>An Optimal Excitation Method in Multi-Applicator Systems for Forming a Hot Zone Inside the Human Body</t>
  </si>
  <si>
    <t>10.1109/TMTT.1986.1133388</t>
  </si>
  <si>
    <t>2-s2.0-0022717772</t>
  </si>
  <si>
    <t>['structure exactly', 'strain energy', 'space frame', 'rights reserved', 'preloaded structure', 'predefined shape', 'paper presents', 'optimization method', 'enforced deformations', 'also presents']</t>
  </si>
  <si>
    <t>This paper presents an optimization method for achieving a predefined structural shape in a space frame. It also presents a general analysis method for structural enforced deformations that are required to preload a structure exactly to a set of prescribed values via turnbuckles or in a structural analysis using MSC/NASTRAN. The analysis and optimization of a cable-tensioned, stabilized, hoop/column-type antenna reflector structure is presented to demonstrate the application of these mehods. The optimization method minimizes the sum of the squares of the displacement or the strain energy in the preloaded structure with respect to a predefined shape. The independent optimization variables used are the enforced deformations. ¬© American Institute of Aeronautics and Astronautics, Inc., 1986, All rights reserved.</t>
  </si>
  <si>
    <t>308-315</t>
  </si>
  <si>
    <t>Shieh, Rong C.</t>
  </si>
  <si>
    <t>Oakton</t>
  </si>
  <si>
    <t>MRJ Inc.</t>
  </si>
  <si>
    <t>Shieh R.C.</t>
  </si>
  <si>
    <t>Preload modeling, analysis, and optimal design techniques for beam/rod/cable element structures</t>
  </si>
  <si>
    <t>10.2514/3.25113</t>
  </si>
  <si>
    <t>2-s2.0-0022717811</t>
  </si>
  <si>
    <t>['transverse direction', 'thermal field', 'phase information', 'numerical simulation', 'multispectral technique', 'microwave antennas', 'make use', 'electronics engineers', 'biological tissues']</t>
  </si>
  <si>
    <t>The feasibility of reconstructing the thermal field in biological tissues from brightness data measured by an array of microwave antennas is investigated through a numerical simulation. The array does not make use of phase information and is synthesized through the Kalman filter algorithm. The obtained results indicate that, by a multispectral technique, such a synthetic array might be able to achieve spatial resolution not only in a transverse direction, but also in depth. Copyright ¬© 1986 by The Institute of Electrical and Electronics Engineers, Inc.</t>
  </si>
  <si>
    <t>579-583</t>
  </si>
  <si>
    <t>60027509;60027509;60027509</t>
  </si>
  <si>
    <t>7003292252;7005171615;55576055500</t>
  </si>
  <si>
    <t>Bardati, Fernando;Mongiardo, Mauro;Solimini, Domenico</t>
  </si>
  <si>
    <t>Rome</t>
  </si>
  <si>
    <t>Universit√† degli Studi di Roma "Tor Vergata"</t>
  </si>
  <si>
    <t>Bardati F.</t>
  </si>
  <si>
    <t>Synthetic Array for Radiometric Retrieval of Thermal Fields in Tissues</t>
  </si>
  <si>
    <t>10.1109/TMTT.1986.1133395</t>
  </si>
  <si>
    <t>2-s2.0-0022717886</t>
  </si>
  <si>
    <t>['variable self', 'tuning controller', 'thermal process', 'temperature distribution', 'surrounding tissue', 'space model', 'rf applicators', 'relative phases', 'phased array', 'individual applicators', 'given point', 'feedback control', 'electronics engineers', 'corresponding number', 'control inputs']</t>
  </si>
  <si>
    <t>A strategy for controlling the temperature distribution in tissue, irradiated by a phased array of RF applicators, is described. Using the amplitudes and relative phases from the individual applicators as control inputs, feedback control is established from a corresponding number of measured tissue temperatures. Optimal control theory based on a state-space model of the thermal process is used for designing the multi-variable self-tuning controller. Simulations of the two-dimensional temperature distribution in cylindrical homogeneous muscle tissue indicate that it is possible to place a temperature maximum near a given point and to maintain therapeutic temperatures in a specified tumor area while the temperatures in the surrounding tissue are lower. Copyright ¬© 1986 by The Institute of Electrical and Electronics Engineers, Inc.</t>
  </si>
  <si>
    <t>597-603</t>
  </si>
  <si>
    <t>60022134;60022134</t>
  </si>
  <si>
    <t>7004998093;7102393071</t>
  </si>
  <si>
    <t>Knudsen, Morten;Hartmann, Uwe</t>
  </si>
  <si>
    <t>Denmark</t>
  </si>
  <si>
    <t>Aalborg</t>
  </si>
  <si>
    <t>Aalborg University</t>
  </si>
  <si>
    <t>Knudsen M.</t>
  </si>
  <si>
    <t>Optimal Temperature Control With Phased Array Hyperthermia System</t>
  </si>
  <si>
    <t>10.1109/TMTT.1986.1133398</t>
  </si>
  <si>
    <t>2-s2.0-0022717887</t>
  </si>
  <si>
    <t>['theoretical predictions', 'surrounding tissue', 'square array', 'single antenna', 'seated tumors', 'sar patterns', 'sar distribution', 'reflected power', 'recent years', 'quite reproducible', 'overall length', 'measured values', 'maximum sar', 'longitudinal extent', 'longitudinal direction', 'junction plane', 'hyperthermia system', 'heating pattern', 'good agreement', 'gives information', 'four 915', 'experiments showed', 'experimental results', 'experiment demonstrated', 'energy absorption', 'electronics engineers', 'either 6', 'critical parameter', 'array hyperthermia', 'antenna resulted', 'antenna array', '7 cm', '50 percent', '5 cm', '3 cm']</t>
  </si>
  <si>
    <t>In recent years, a number of groups have been investigating the use of interstitial microwave antenna-array hyperthermia (IMAAH) systems for the treatment of superficial and deep-seated tumors. A critical parameter in any hyperthermia system is the SAR (specific absorption rate) pattern, which gives information about the energy absorption in the tumor and surrounding tissue. In this paper, we compare the theoretical and measured values of the SAR distribution for an array of four 915-MHz antennas implanted on the corners of a 2-cm square array. The overall length of the antennas was assumed to be 7 cm theoretically and was either 6 or 7 cm for the measurements. In general, there was good agreement between the theoretical predictions and the experimental results. In particular, both theory and experiment demonstrated that the maximum SAR occurred in the junction plane of the antenna array and at the center of the square array. Similarly, both showed that the longitudinal extent of the heating pattern is about 5 cm for a single antenna, but closer to 3 cm for an array where the longitudinal extent is defined by the length in the longitudinal direction where the SAR is greater than 50 percent of the maximum. The experiments showed that the SAR patterns were quite reproducible, and that the use of double stub tuners to minimize the reflected power for each antenna resulted in poorer SAR patterns due to phase variations created by the tuners. However, the use of an attenuator with each antenna to equalize the maximum SAR from each antenna did improve the SAR distributions slightly. Copyright ¬© 1986 by The Institute of Electrical and Electronics Engineers, Inc.</t>
  </si>
  <si>
    <t>560-567</t>
  </si>
  <si>
    <t>60030443;60030443;60030443;60030443;60030443</t>
  </si>
  <si>
    <t>7403531361;7005534211;55471810700;6602167161;7003830659</t>
  </si>
  <si>
    <t>Wong, Terence Z.;Strohbehn, John W.;Jones, Kenneth M.;Mechling, Joyce A.;Trembly, B. Stuart</t>
  </si>
  <si>
    <t>Hanover</t>
  </si>
  <si>
    <t>Thayer School of Engineering at Dartmouth</t>
  </si>
  <si>
    <t>Wong T.Z.</t>
  </si>
  <si>
    <t>SAR Patterns from an Interstitial Microwave Antenna-Array Hyperthermia System</t>
  </si>
  <si>
    <t>10.1109/TMTT.1986.1133392</t>
  </si>
  <si>
    <t>2-s2.0-0022717932</t>
  </si>
  <si>
    <t>['wire monopole', 'wave ratio', 'pattern characteristics', 'band performance', '1 bandwidth']</t>
  </si>
  <si>
    <t>The characteristics of a meander dual zigzag wire monopole antenna are described. The antenna provides low height and broad-band performance. Measured voltage standing-wave ratio (VSWR) and pattern characteristics are compared with a conventional, straight-wire monopole over a 3:1 bandwidth. ¬© 1986 IEEE.</t>
  </si>
  <si>
    <t>716-717</t>
  </si>
  <si>
    <t>7404435969;7201415361</t>
  </si>
  <si>
    <t>Wong, Jimmy L.;King, Howard E.</t>
  </si>
  <si>
    <t>Wong J.</t>
  </si>
  <si>
    <t>Height-Reduced Meander Zigzag Monopoles with Broad-Band Characteristics</t>
  </si>
  <si>
    <t>10.1109/TAP.1986.1143880</t>
  </si>
  <si>
    <t>2-s2.0-0022719734</t>
  </si>
  <si>
    <t>['two exponential', 'rectangular cells', 'mesh size', 'integral expression', 'grid surface', 'field close', 'complex space']</t>
  </si>
  <si>
    <t>The exact image theory is applied to the problem of a vertical electric dipole above a plane metallic grid with rectangular cells. The mesh size is assumed small compared to the wavelength and the wire diameter small compared to the mesh size, whence the Kontorovich averged boundary condition concept is applicable. The image current consists of two exponential-line-current waves located in complex space. The theory produces simple asymptotic expressions for the field close to the grid surface. An integral expression for the calculation of the change in the vertical-electric-dipole impedance due to the grid is constructed.</t>
  </si>
  <si>
    <t>107-110</t>
  </si>
  <si>
    <t>7102492958;36803496800;7004143659</t>
  </si>
  <si>
    <t>Lindell, Ismo V.;Akimov, Valeri P.;Alanen, Esko</t>
  </si>
  <si>
    <t>Lindell I.V.</t>
  </si>
  <si>
    <t>IMAGE THEORY FOR DIPOLE EXCITATION OF FIELDS ABOVE AND BELOW A WIRE GRID WITH SQUARE CELLS.</t>
  </si>
  <si>
    <t>10.1109/temc.1986.4307257</t>
  </si>
  <si>
    <t>2-s2.0-0022719803</t>
  </si>
  <si>
    <t>['œ £', 'transformation relating', 'theory applies', 'simple solution', 'reflector antenna', 'quadric surfaces', 'primarily due', 'optical system', 'nonzero angle', 'negligible spillover', 'main reflector', 'imaging reflector', 'image produced', 'image according', 'illuminating efficiently', 'gregorian antennas', 'geometric optics', 'field distributions', 'exact replica', 'ellipsoidal reflector', 'diffraction theory', 'classical problem']</t>
  </si>
  <si>
    <t>The formation of an image by an ellipsoidal reflector under illumination from one of its foci is discussed. The transformation relating the field distributions over two conjugate surfaces Œ£o and Œ£ is determined. It is shown that the image produced by the reflected field E over Œ£ is not an exact replica of the illumination of Œ£0, but E = Ei + Œ¥E, where Ei is the image according to geometric optics. The distortion Œ¥E is primarily due to the nonzero angle of incidence i on the reflector. If i = 0 then Œ¥E ‚âÉ 0, in agreement with Fresnel's diffraction theory for an optical system of revolution. The theory applies in general to any multireflector arrangement derived from quadric surfaces of revolution and, in particular, to Cassegrainian and Gregorian antennas. As an application, a simple solution to the classical problem of illuminating efficiently the aperture of a reflector antenna is proposed. A horn of relatively small aperture is combined with an imaging reflector. The imaging reflector, an ellipsoid, transforms the horn aperture distribution into a magnified image illuminating efficiently the main reflector, with negligible spillover over a wide frequency range. ¬© 1986 IEEE.</t>
  </si>
  <si>
    <t>689-701</t>
  </si>
  <si>
    <t>Dragone, Corrado</t>
  </si>
  <si>
    <t>Murray</t>
  </si>
  <si>
    <t>Nokia Bell Labs</t>
  </si>
  <si>
    <t>Dragone C.</t>
  </si>
  <si>
    <t>Theory of Imaging in Cassegrainian and Gregorian Antennas</t>
  </si>
  <si>
    <t>10.1109/TAP.1986.1143870</t>
  </si>
  <si>
    <t>2-s2.0-0022719804</t>
  </si>
  <si>
    <t>['rectangular patch', 'range 1', 'microstrip line', 'corner fed', 'circular polarization', 'aspect ratio', '16 cm']</t>
  </si>
  <si>
    <t>Richmond's reaction integral equation method is used to design a rectangular microstrip patch to produce a circular polarization. A rectangular patch with the aspect ratio a = Wx/Wy, in the range 1.015-1.02 and corner fed by a microstrip line, produces circular polarization. For substrate with thickness d = 0.16 cm, a = 1.017 the nearly square patch gives maximum bandwidth. ¬© 1986 IEEE.</t>
  </si>
  <si>
    <t>744-746</t>
  </si>
  <si>
    <t>60004750;60004750</t>
  </si>
  <si>
    <t>7102211143;7201995024</t>
  </si>
  <si>
    <t>Deshpande, M. D.;Das, N. K.</t>
  </si>
  <si>
    <t>Kharagpur</t>
  </si>
  <si>
    <t>Indian Institute of Technology Kharagpur</t>
  </si>
  <si>
    <t>Deshpande M.</t>
  </si>
  <si>
    <t>Rectangular Microstrip Antenna for Circular Polarization</t>
  </si>
  <si>
    <t>10.1109/TAP.1986.1143886</t>
  </si>
  <si>
    <t>2-s2.0-0022719872</t>
  </si>
  <si>
    <t>['tissues located', 'temperature distribution', 'single applicator', 'saline solution', 'results show', 'radiated electromagnetic', 'new type', 'microwave hyperthermia', 'maximum intensity', 'hyperthermic range', 'hyperthermia using', 'heating pattern', 'generated inside', 'experimental results', 'electronics engineers', 'dissipative medium', 'depth theoretically', 'could control', 'convergent effect', '6 percent', '430 mhz']</t>
  </si>
  <si>
    <t>A new type of applicator for microwave hyperthermia at 430 MHz has been developed. The applicator, which consists of an integrated waveguide array, has a convergent effect of the radiated electromagnetic (EM) field in lossy dielectric media, and it can change the heating pattern in the medium with ease. The electric field distributions from the aperture of the applicator were measured in a saline solution having a concentration of 0.2-0.6 percent which served as the model of simulated human tissues. The results show that when using the above applicator, the location of maximum intensity of the electric field could be generated inside of the dissipative medium. The calculations of temperature distribution were performed in the model by using the experimental results of the electric field distribution. The applicator could change the transverse electric field distribution inside the medium, and then could control the depth of tissues located to the hyperthermic range. The heating range available for hyperthermia using our single applicator is maximum 60 mm in depth theoretically. Copyright ¬© 1986 by The Institute of Electrical and Electronics Engineers, Inc.</t>
  </si>
  <si>
    <t>631-635</t>
  </si>
  <si>
    <t>60004176;60025997;60025997;60019916</t>
  </si>
  <si>
    <t>7004151048;36901229000;36047913300;56023548200</t>
  </si>
  <si>
    <t>Nikawa, Yoshio;Katsumata, Tohru;Kikuchi, Makoto;Mori, Shinsaku</t>
  </si>
  <si>
    <t>Tokyo;Tokorozawa;Yokosuka</t>
  </si>
  <si>
    <t>Keio University;National Defense Medical College Tokorozawa;National Defense Academy of Japan</t>
  </si>
  <si>
    <t>60025997;60019916;60004176</t>
  </si>
  <si>
    <t>Nikawa Y.</t>
  </si>
  <si>
    <t>An Electric Field Converging Applicator with Heating Pattern Controller for Microwave Hyperthermia</t>
  </si>
  <si>
    <t>10.1109/TMTT.1986.1133403</t>
  </si>
  <si>
    <t>2-s2.0-0022719919</t>
  </si>
  <si>
    <t>['widespread applications', 'several bodies', 'proposed method', 'practical problems', 'plane wave', 'performance accurately', 'numerical method', 'moderate values', 'microstrip antennas', 'formulation type', 'electromagnetic field', 'different objects', 'dielectric rod', 'dielectric constant']</t>
  </si>
  <si>
    <t>A numerical method for determining the electromagnetic field in the presence of one or several bodies of revolution is presented. The objects can be made of conductors, dielectrics or their combinations. The excitation is assumed to be due to a plane wave or infinitesimal electric dipoles located within or outside the dielectric Several formulation types are considered and used to investigate the scattering by different objects. It is found that for moderate values of the dielectric constant, all formulation types give satisfactory results. However, for small or large relative permittivities the solution accuracies depend on the formulation type. As an application of the method to practical problems, two special cases of dielectric rod and microstrip antennas are considered. These antennas have widespread applications and the proposed method can be used to investigate their performance accurately. ¬© 1986 IEEE.</t>
  </si>
  <si>
    <t>666-673</t>
  </si>
  <si>
    <t>7004922524;8092251400</t>
  </si>
  <si>
    <t>Kishk, A. A.;Shafai, Lotfollah</t>
  </si>
  <si>
    <t>Kishk A.A.</t>
  </si>
  <si>
    <t>Different Formulations for Numerical Solution of Single or Multibodies of Revolution with Mixed Boundary Conditions</t>
  </si>
  <si>
    <t>10.1109/TAP.1986.1143875</t>
  </si>
  <si>
    <t>2-s2.0-0022719921</t>
  </si>
  <si>
    <t>['theoretically analyzed', 'techniques result', 'studied first', 'simple phantoms', 'significant changes', 'sar patterns', 'phase changes', 'pelvic region', 'models based', 'electronics engineers', 'effective heating', 'computerized tomography', 'clinical treatments', 'better control', 'amplitude control', 'also shown', '60 mhz', '30 ¬∞', '20 percent']</t>
  </si>
  <si>
    <t>The phase and amplitude control of power deposition patterns for the BSD Annular Phased Array (APA) has been theoretically analyzed at a frequency of 60 MHz. Absorbed power patterns in simple circular cross-sectional cylindrical dielectric structures were studied first to compare with published experimental results. Models based on computerized tomography (CT) scans from the pelvic region have been used for predicting the specific absorption rate (SAR) patterns in patients. Significant changes were observed with phase changes of 30¬∞ and relative amplitude changes of 20 percent. The theoretical predictions qualitatively agree with the experimental results reported for simple phantoms. It is also shown that these techniques result in a better control of the SAR patterns and thus more effective heating of tumors situated eccentrically within the pelvis, which we have confirmed in clinical treatments. Copyright ¬© 1986 by The Institute of Electrical and Electronics Engineers, Inc.</t>
  </si>
  <si>
    <t>514-519</t>
  </si>
  <si>
    <t>60033293;60025488;60015879;60015879</t>
  </si>
  <si>
    <t>6701754514;34769915200;26644058300;7103127879</t>
  </si>
  <si>
    <t>Sathiaseelan, V.;Iskander, M. F.;Howard, G. C.W.;Bleehen, N. M.</t>
  </si>
  <si>
    <t>United States;United States;United Kingdom</t>
  </si>
  <si>
    <t>Seattle;Salt Lake City;London</t>
  </si>
  <si>
    <t>University of Washington Medical Center;The University of Utah;Medical Research Council</t>
  </si>
  <si>
    <t>60033293;60025488;60015879</t>
  </si>
  <si>
    <t>Sathiaseelan V.</t>
  </si>
  <si>
    <t>Theoretical Analysis and Clinical Demonstration of the Effect of Power Pattern Control Using the Annular Phased-Array Hyperthermia System</t>
  </si>
  <si>
    <t>10.1109/TMTT.1986.1133385</t>
  </si>
  <si>
    <t>2-s2.0-0022720048</t>
  </si>
  <si>
    <t>['well examined', 'theoretical model', 'technique described', 'radiation performance', 'radiation patterns', 'radiation pattern', 'pattern calculation', 'mobile antennas', 'measured results', 'gtd ).', 'geometrical theory', 'frequency range', 'experimental studies', 'electronics engineers', 'earth condition', 'design tool', 'automobile body', '900 mhz']</t>
  </si>
  <si>
    <t>Theoretical and experimental studies are made on radiation patterns of mobile antennas within the frequency range from 300 to 900 MHz. In order to calculate vertical plane patterns of a quarter wavelength monopole and a half-wavelength dipole located on an automobile's roof, a theoretical model of an automobile body is developed in conjunction with the geometrical theory of diffraction (GTD). The theoretical model consists of three perfectly conducting plates. It is ascertained from a comparison between calculated and measured results for the feed point impedance and the radiation pattern that the effect of the body and the earth can be well examined with the theoretical model. The results of pattern calculation for the above two antennas show that the radiation patterns depend largely on the configuration of the automobile body and the earth condition. The technique described in this paper can be used as a design tool to estimate the radiation performance of mobile antennas. Copyright ¬© 1986 by The Institute of Electrical and Electronics Engineers, Inc.</t>
  </si>
  <si>
    <t>57-62</t>
  </si>
  <si>
    <t>7403216058;7401729105</t>
  </si>
  <si>
    <t>Nishikawa, Kunitoshi;Asano, Yoshikazu</t>
  </si>
  <si>
    <t>Nishikawa K.</t>
  </si>
  <si>
    <t>Vertical Radiation Patterns of Mobile Antenna in UHF Band</t>
  </si>
  <si>
    <t>10.1109/T-VT.1986.24071</t>
  </si>
  <si>
    <t>2-s2.0-0022720145</t>
  </si>
  <si>
    <t>['tests made', 'source antennas', 'open field', 'measured results', 'general use', 'error predicted', 'emission limits', 'attenuation measurement']</t>
  </si>
  <si>
    <t>The Federal Communications Commission (FCC) requires that all computing devices meet radiated electromagnetic (EM) emission limits before they are marketed in the US. EM emission measurements must be made in an environment where the results can be correlated with the results of tests made in an open field. Although the FCC does not specify a method of correlation, it is not uncommon to add or subtract correction factors to the measured results. It is found that correction factors based on testing with source antennas having particular radiation patterns are only valid when applied to the measurement of products with similar radiation pattern. Whenever a product with an unknown radiation pattern is measured, the total error due to unwanted reflections may be different from the error predicted by a site-attenuation measurement. For this reason, the general use of correction factors obtained from the site attenuation data should be avoided.</t>
  </si>
  <si>
    <t>105-107</t>
  </si>
  <si>
    <t>Hubing, Todd H.</t>
  </si>
  <si>
    <t>Armonk</t>
  </si>
  <si>
    <t>International Business Machines</t>
  </si>
  <si>
    <t>Hubing T.H.</t>
  </si>
  <si>
    <t>CORRECTING RADIATED EM EMISSION DATA MEASURED IN NONIDEAL ENVIRONMENTS.</t>
  </si>
  <si>
    <t>10.1109/temc.1986.4307256</t>
  </si>
  <si>
    <t>2-s2.0-0022721016</t>
  </si>
  <si>
    <t>['various attempts', 'two single', 'superimposing fields', 'single dipole', 'seated tumors', 'proposed applicator', 'preliminary calculation', 'phase currents', 'phase coherence', 'penetration depth', 'may undergo', 'limited sizes', 'heating deep', 'fundamental tests', 'fields approximation', 'fat tissues', 'electronics engineers', 'easily controlled', 'dipole applicator', 'defined maximum', 'controlled volumes', 'controlled shift', 'circuit design', 'better performance', 'also described', '7 cm', '27 mhz']</t>
  </si>
  <si>
    <t>In studies on heating deep-seated tumors, various attempts have been made to develop radiofrequency applicators and to confine the controlled volumes into limited sizes at variable useful depths. Results of the present investigation show that the conduction-current mechanism dominates the heating with magnetic dipoles working at frequencies as low as 27 MHz, and that two single-magnetic dipoles forming a loosely coupled pair (twin-dipole applicator) fed by low-frequency, in-phase currents, give a better performance than a single dipole of the same size, due to the phase coherence of the superimposing fields. A number of single-dipole and twin-dipole applicator working at 27 MHz have been developed and given the fundamental tests on phantoms simulating muscle and fat tissues. The results obtained show the feasibility of the proposed applicator to produce a penetration depth up to 7 cm and a power deposition pattern showing a well-defined maximum, which may undergo a controlled shift of a few centimeters in depth. Moreover, the surface overheating may be easily controlled. A circuit design is described that improves the matching and the uniformity of the power deposition pattern. A preliminary calculation in the quasi-static-fields approximation of the electric field induced by the twin-dipole applicator in air is also described. Copyright ¬© 1986 by The Institute of Electrical and Electronics Engineers, Inc.</t>
  </si>
  <si>
    <t>612-619</t>
  </si>
  <si>
    <t>60027509;60032350;60027509;60027509</t>
  </si>
  <si>
    <t>6603741821;6603548909;6505951272;6602085428</t>
  </si>
  <si>
    <t>Franconi, Cafiero;Tiberio, Carlo Alberto;Raganella, Luigi;Begnozzi, Luisa</t>
  </si>
  <si>
    <t>Italy;Italy</t>
  </si>
  <si>
    <t>Rome;Rome</t>
  </si>
  <si>
    <t>Sapienza Universit√† di Roma;Universit√† degli Studi di Roma "Tor Vergata"</t>
  </si>
  <si>
    <t>60032350;60027509</t>
  </si>
  <si>
    <t>Franconi C.</t>
  </si>
  <si>
    <t>Low-Frequency RF Twin-Dipole Applicator for Intermediate Depth Hyperthermia</t>
  </si>
  <si>
    <t>10.1109/TMTT.1986.1133400</t>
  </si>
  <si>
    <t>2-s2.0-0022721018</t>
  </si>
  <si>
    <t>['mixed environment', 'interference environments', 'hostile emitters', 'graphic outputs', 'different waveforms', 'detection thresholds', 'computer model', 'compare antijam', 'based comparisons']</t>
  </si>
  <si>
    <t>A computer model is described to evaluate airborne radio performance in a mixed environment of friendly and hostile emitters. A new performance criterion, the communications operability volume, is introduced. This criterion permits operational, scenario-based comparisons of various radio designs over a range of interference environments. Communications operability volumes can be calculated for different waveforms, receiver antenna patterns (including adaptive arrays), and detection thresholds. An empirical propagation algorithm is used to calculate path losses and/or maximum communications range. The computer model provides several types of graphic outputs that are used to compare antijam or electromagnetic compatibility performance for different radio designs at various locations relative to the sources of interference in a scenario. ¬© 1986 IEEE</t>
  </si>
  <si>
    <t>462-474</t>
  </si>
  <si>
    <t>IEEE Transactions on Communications</t>
  </si>
  <si>
    <t>115882747;115882747;115882747;115882747</t>
  </si>
  <si>
    <t>7004367116;7410389690;56917342800;7402435949</t>
  </si>
  <si>
    <t>Koester, David P.;Smith, Leonard E.;Stevens, Robert R.;Cook, Charles E.</t>
  </si>
  <si>
    <t>MITER Corporation</t>
  </si>
  <si>
    <t>Koester D.P.</t>
  </si>
  <si>
    <t>A Computer Model to Evaluate Airborne Receiver Performance in Interference Environments</t>
  </si>
  <si>
    <t>10.1109/TCOM.1986.1096566</t>
  </si>
  <si>
    <t>2-s2.0-0022721039</t>
  </si>
  <si>
    <t>['two approaches', 'turbulent region', 'time variability', 'system design', 'special emphasis', 'space paths', 'section approach', 'results found', 'results derived', 'remote sensing', 'rain attenuation', 'radar equation', 'polarization dependence', 'millimeter region', 'important aspect', 'general reduced', 'fresnel zone', 'equations derived', 'detailed comparison', 'approach 2', 'apparent scintillations', 'antenna diameter', 'also discussed', 'agreement found', '1 ).']</t>
  </si>
  <si>
    <t>The variance and spectrum of amplitude scintillations due to scattering in both turbulent clear air and rain, are investigated. Included are the important aspect of antenna aperture smoothing with special emphasis on earth-space paths and the equations derived are applicable to system design and remote sensing. A detailed comparison with published experimental results is carried out and the agreement found is good. Two approaches are described in detail: 1) the point receiver classical wave scattering results are modified to include aperture effects, 2) a scalar scattering cross-section approach is combined with the radar equation and the results derived are similar to those of 1). In addition, approach 2) includes the case of rain. Among the results found it is shown that because the scintillation intensity depends on the ratio between the antenna diameter and the diameter of the Fresnel zone in the turbulent region, low elevation paths counteract the tendency to smoothing by large earth station antennas and the scintillations observed remain large. Also pure scattering induced rain scintillations, even in the millimeter region, are in general reduced to an almost negligible level due to aperture smoothing even though for a theoretical point receiver they would be very intense. The time variability of rain attenuation and its polarization dependence as a source of apparent scintillations are also discussed. ¬© 1986 IEEE.</t>
  </si>
  <si>
    <t>646-657</t>
  </si>
  <si>
    <t>55944873500;7005360728</t>
  </si>
  <si>
    <t>Haddon, John;Vilar, Enric</t>
  </si>
  <si>
    <t>Haddon J.</t>
  </si>
  <si>
    <t>Scattering Induced Microwave Scintillations From Clear Air And Rain on Earth Space Paths and the Influence of Antenna Aperture</t>
  </si>
  <si>
    <t>10.1109/TAP.1986.1143867</t>
  </si>
  <si>
    <t>2-s2.0-0022721174</t>
  </si>
  <si>
    <t>['surface waves', 'small array', 'practical interest', 'power lost', 'element patterns']</t>
  </si>
  <si>
    <t>Finite phased arrays of rectangular microstrip patch antennas are analyzed. Reflection coefficient magnitudes, element patterns and efficiency (based on power lost to surface waves) are calculated for various sized arrays on substrates of practical interest and are compared with previous infinite array solutions. Measured element patterns and mutual coupling data for a small array are presented and compared with calculations. ¬© 1986 IEEE.</t>
  </si>
  <si>
    <t>658-665</t>
  </si>
  <si>
    <t>Pozar, David M.</t>
  </si>
  <si>
    <t>Pozar D.M.</t>
  </si>
  <si>
    <t>Finite Phased Arrays of Rectangular Microstrip Patches</t>
  </si>
  <si>
    <t>10.1109/TAP.1986.1143868</t>
  </si>
  <si>
    <t>2-s2.0-0022721175</t>
  </si>
  <si>
    <t>['water tank', 'substantial increase', 'practical procedure', 'loaded open', 'living patient', 'focusing ability', 'ended wave', 'element excitation', 'element array', 'electronics engineers']</t>
  </si>
  <si>
    <t>A seven-element array of dielectric-loaded open-ended wave- guides totally immersed in a water tank is tested as a possible hyperthermia applicator. Experimental results show a substantial increase in focusing ability of the array if a conjugate matching scheme is used to adjust the phase of each element excitation. This scheme could offer a practical procedure for operating a focused hyperthermia applicator in a living patient. Copyright ¬© 1986 by The Institute of Electrical and Electronics Engineers, Inc.</t>
  </si>
  <si>
    <t>490-494</t>
  </si>
  <si>
    <t>60000745;60000745;60000745;60000745</t>
  </si>
  <si>
    <t>6601966872;7202062608;55729695900;7601396617</t>
  </si>
  <si>
    <t>Loane, J.;Ling, H.;Wang, B. F.;Lee, S. W.</t>
  </si>
  <si>
    <t>Urbana</t>
  </si>
  <si>
    <t>University of Illinois Urbana-Champaign</t>
  </si>
  <si>
    <t>Loane J.</t>
  </si>
  <si>
    <t>Experimental Investigation of a Retro-Focusing Microwave Hyperthermia Applicator: Conjugate-Field Matching Scheme</t>
  </si>
  <si>
    <t>10.1109/TMTT.1986.1133381</t>
  </si>
  <si>
    <t>2-s2.0-0022721273</t>
  </si>
  <si>
    <t>['well known', 'tumor periphery', 'ring arrays', 'ring array', 'radial slices', 'quantitative evaluation', 'produce patterns', 'partially solved', 'nonspherical tumors', 'mechanical scanning', 'lossy media', 'intensity along', 'greatly reduced', 'focal rings', 'focal regions', 'focal length', 'electronics engineers', 'easily changed', 'directed around', 'circularly asymmetric', 'circular symmetry', 'central axis', 'bioheat equation', 'arrays produce', 'appropriate phasing', 'also used', 'also provide']</t>
  </si>
  <si>
    <t>Concentric-ring phased arrays subdivided into sectors (radial slices) can, with appropriate phasing, produce power absorption patterns useful for hyperthermia cancer therapy. The ability of a concentric-ring array to move a focal region along the central axis of the transducer is well known. Less well known is the ability of such an array to produce variable diameter annular (or ring) focal regions. Such focal rings can be effective in heating some tumors if directed around the tumor periphery. These focal rings have been produced in the past by fixed annular focus lenses, or effectively by mechanical scanning of ‚Äúpoint‚Äù focus ultrasonic transducers. Production of these focal rings by a concentric-ring phased array has the advantage of allowing the focal ring diameter and focal length to be easily changed and scanned by phasing providing much greater heating flexibility. However, under some conditions such arrays produce very large secondary focus effects along the central axis of the array. Concentric-ring arrays can also provide only patterns of circular symmetry. These problems can be partially solved by dividing the disk of the array into sectors. By appropriate phasing of the sectors, the intensity along the central axis can be greatly reduced. Moreover, appropriate phasing of the rings and sectors can produce patterns that are circularly asymmetric. By controlling these asymmetries, nonspherical tumors can be heated more optimally. Power absorption patterns in lossy media for this class of applicators are analyzed numerically allowing a quantitative evaluation of both advantages and limitations of this approach. A thermal model based on the bioheat equation is also used to predict temperature distributions in volumes where important thermal parameters, particularly blood flow, are varied. Copyright ¬© 1986 by The Institute of Electrical and Electronics Engineers, Inc.</t>
  </si>
  <si>
    <t>542-551</t>
  </si>
  <si>
    <t>60000745;60003381</t>
  </si>
  <si>
    <t>7103033158;7202896836</t>
  </si>
  <si>
    <t>Cain, Charles A.;Umemura, Shin Ichiro</t>
  </si>
  <si>
    <t>Japan;United States</t>
  </si>
  <si>
    <t>Tokyo;Urbana</t>
  </si>
  <si>
    <t>Hitachi, Ltd.;University of Illinois Urbana-Champaign</t>
  </si>
  <si>
    <t>60003381;60000745</t>
  </si>
  <si>
    <t>Cain C.A.</t>
  </si>
  <si>
    <t>Concentric-Ring and Sector-Vortex Phased-Array Applicators for Ultrasound Hyperthermia</t>
  </si>
  <si>
    <t>10.1109/TMTT.1986.1133390</t>
  </si>
  <si>
    <t>2-s2.0-0022721275</t>
  </si>
  <si>
    <t>['matv systems', 'generalized n', 'frequency dependent', 'experimentally confirmed', 'design theory', 'circuit elements']</t>
  </si>
  <si>
    <t>The design theory of a generalized n-way power divider with arbitrary dividing ratios is presented. The divider, which consists of ideal multiwinding transformers and resistors only, can be used for CATV and/or MATV systems. Since the circuit elements are not frequency dependent, the proposed power divider is of extremely broad bandwidth. The validity of the design theory is experimentally confirmed.</t>
  </si>
  <si>
    <t>116-121</t>
  </si>
  <si>
    <t>CE-32</t>
  </si>
  <si>
    <t>IEEE Transactions on Consumer Electronics</t>
  </si>
  <si>
    <t>Kim, Dong Il</t>
  </si>
  <si>
    <t>South Korea</t>
  </si>
  <si>
    <t>Busan</t>
  </si>
  <si>
    <t>Korea Maritime and Ocean University</t>
  </si>
  <si>
    <t>Kim D.I.</t>
  </si>
  <si>
    <t>DESIGN OF GENERALIZED N-WAY POWER DIVIDER FOR CATV AND/OR MATV SYSTEMS.</t>
  </si>
  <si>
    <t>10.1109/TCE.1986.290142</t>
  </si>
  <si>
    <t>2-s2.0-0022721291</t>
  </si>
  <si>
    <t>['thermal stress', 'temperature distribution', 'statically determinate', 'small forces', 'rights reserved', 'member lengths', 'frequency comparisons', 'curved platforms', 'antenna concepts', 'also investigated', 'additional advantage']</t>
  </si>
  <si>
    <t>The geometry of a class of statically determinate platforms is developed and vibration frequencies determined. Such configurations allow shape control by changing the member lengths to be accomplished with small forces. An additional advantage of a statically determinate structure is that it is free of thermal stress under any temperature distribution. Frequency comparisons between statically determinate and more conventional redundant platforms are presented. Vibration of curved platforms that can be used as antenna concepts is also investigated. Alternative concepts incorporating the statically determinate design, but having improved dynamic characteristics, are suggested. ¬© American Institute of Aeronautics and Astronautics, Inc., 1986, All rights reserved.</t>
  </si>
  <si>
    <t>303-307</t>
  </si>
  <si>
    <t>60000854;60007652</t>
  </si>
  <si>
    <t>7404765306;6507070456</t>
  </si>
  <si>
    <t>Anderson, M. S.;Nimmo, N. A.</t>
  </si>
  <si>
    <t>Norfolk;Hampton</t>
  </si>
  <si>
    <t>Old Dominion University;NASA Langley Research Center</t>
  </si>
  <si>
    <t>60007652;60000854</t>
  </si>
  <si>
    <t>Dynamic characteristics of statically determinate space-truss platforms</t>
  </si>
  <si>
    <t>10.2514/3.25112</t>
  </si>
  <si>
    <t>2-s2.0-0022722030</t>
  </si>
  <si>
    <t>['œ ®', 'wedge angle', 'skin depth', 'justified neglect', 'horn apertures', 'field leaking', 'electronics engineers', 'conductive material', 'array applicator']</t>
  </si>
  <si>
    <t>We develop a criterion for the justified neglect of the field leaking from the regions between the horn apertures in a phased-array applicator. The condition is (6/Œ¥)Œ® &lt;&lt; 1, where 8 is the skin depth of the conductive material, b is the radius of the torso or limb, and Œ® is the wedge angle between the horn apertures. Copyright ¬© 1986 by The Institute of Electrical and Electronics Engineers, Inc.</t>
  </si>
  <si>
    <t>539-541</t>
  </si>
  <si>
    <t>Wait, James R.</t>
  </si>
  <si>
    <t>Analysis of the Radiation Leakage for a Four-Aperture Phased-Array Applicator in Hyperthermia Therapy</t>
  </si>
  <si>
    <t>10.1109/TMTT.1986.1133389</t>
  </si>
  <si>
    <t>2-s2.0-0022722410</t>
  </si>
  <si>
    <t>['wave polarization', 'value expected', 'takes place', 'systems operating', 'receiving antennas', 'paper takes', 'model predicts', 'losses cause', 'hybrid systems', 'examined using', 'data throughput', 'also given']</t>
  </si>
  <si>
    <t>The problems of polarization rotation losses, in meteor burst communication systems, are examined using a theoretical model developed for the purpose. The paper takes into account both the polarization changes due to ionospheric Faraday rotation and the rotation of the wave polarization that takes place as a result of scattering from underdense meteor trails. Linearly polarized systems, employing copolar transmitting and receiving antennas, and hybrid systems, employing a linearly polarized transmitting antenna and a circularly polarized receiving antenna, are studied. It is shown that, particularly in linearly polarized systems, polarization rotation may introduce unexpected diurnal performance variations in systems operating at frequencies ‚àº40 MHz. For the two 40‚ÄêMHz linearly polarized links investigated in detail the model predicts that, for noon summer solstice conditions during periods with a high solar sunspot number, these losses cause a reduction in data throughput to between 15 and 70% of the value expected had no polarization rotation occurred. By using a cross polarization approach, qualitative experimental confirmation of the predictions is also given. Published in 1986 by the American Geophysical Union.</t>
  </si>
  <si>
    <t>501-510</t>
  </si>
  <si>
    <t>Cannon, Paul S.</t>
  </si>
  <si>
    <t>Cannon P.</t>
  </si>
  <si>
    <t>Polarization rotation in meteor burst communication systems</t>
  </si>
  <si>
    <t>10.1029/RS021i003p00501</t>
  </si>
  <si>
    <t>2-s2.0-0022722467</t>
  </si>
  <si>
    <t>['well established', 'thermal analysis', 'rights reserved', 'respective areas', 'dimensional model', 'approach taken', 'ablating medium']</t>
  </si>
  <si>
    <t>Development of an advanced interceptor vehicle instrumentation system required the thermal analysis of a conformal phased array antenna subjected to hypersonic flight velocities. Thermal, structural, and electrical considerations mandated that three-dimensional temperature fields in a charring, ablating medium be developed. The approach taken to solve the problem was to develop boundary conditions via multiple onedimensional charring ablation analyses and impose these on a three-dimensional temperature analysis model, using a graphics-oriented preprocessing routine. A time-temperature boundary condition was imposed on the three-dimensional model at a depth below the preflight external surface. The in-depth temperature fields that were developed were then used with a structural analysis routine to estimate material stress levels during flight. The computer codes used in this analysis were all well established in their respective areas of application. ¬© American Institute of Aeronautics and Astronautics, Inc., 1986, All rights reserved.</t>
  </si>
  <si>
    <t>231-236</t>
  </si>
  <si>
    <t>60005304;60005304;60005304;60005304</t>
  </si>
  <si>
    <t>6603849250;7402209401;7004735443;6507840910</t>
  </si>
  <si>
    <t>Campion, Kevin;Gallagher, Joseph J.;Paradis, Leo R.;Shukis, Francis A.</t>
  </si>
  <si>
    <t>Campion K.</t>
  </si>
  <si>
    <t>Thermal analysis technique applied to a conformal phased array antenna</t>
  </si>
  <si>
    <t>10.2514/3.25104</t>
  </si>
  <si>
    <t>2-s2.0-0022722468</t>
  </si>
  <si>
    <t>['wave analysis', 'tumor tissues', 'thermograms used', 'therapeutic temperature', 'theoretical analysis', 'superficial tumors', 'resistance thermistors', 'recurrent melanomas', 'plane wave', 'lower leg', 'lower extremities', 'invasive thermometry', 'incident waves', 'experimentally verify', 'electronics engineers', 'either parallel', 'cylindrical tissue', 'cylindrical structures', 'cylindrical phantoms', 'cylinder ),', 'clinical trial', 'array system', 'array similar', 'array 915']</t>
  </si>
  <si>
    <t>A phased-array 915-MHz microwave system consisting of four 13 x 13 cm square applicators was constructed and tested for its design in heating both deep and superficial tumors in cylindrical structures such as the upper and lower extremities or neck. Since each applicator produced SAR patterns in cylindrical phantoms in a plane through the array similar to those produced by a plane wave, a theoretical analysis of the SAR patterns due to the superposition of four plane waves incident on a cylindrical tissue was done. By altering the orientation of the E-field (either parallel or perpendicular to the axis of the cylinder), as well as the phase and amplitude of the incident waves, various distinct SAR patterns were predicted. Thermograms used to experimentally verify the SAR patterns produced by the four applicators showed similar results with those predicted by the plane-wave analysis. A patient with recurrent melanomas on a lower leg was subjected to a clinical trial of hyperthermia in which high tissue temperatures were produced by utilizing two sets of the phased-array system in series. A therapeutic temperature of 43¬∞C in tumor tissues was confirmed by invasive thermometry with high-resistance thermistors. Copyright ¬© 1986 by The Institute of Electrical and Electronics Engineers, Inc.</t>
  </si>
  <si>
    <t>502-507</t>
  </si>
  <si>
    <t>60015481;60007474;60007474</t>
  </si>
  <si>
    <t>7103362082;24452192400;7201921588</t>
  </si>
  <si>
    <t>Guy, Arthur W.;Chou, Chung Kwang;Luk, Kenneth H.</t>
  </si>
  <si>
    <t>Seattle;Duarte</t>
  </si>
  <si>
    <t>University of Washington;City of Hope National Med Center</t>
  </si>
  <si>
    <t>60015481;60007474</t>
  </si>
  <si>
    <t>Guy A.W.</t>
  </si>
  <si>
    <t>915-MHz Phased-Array System for Treating Tumors in Cylindrical Structures</t>
  </si>
  <si>
    <t>10.1109/TMTT.1986.1133383</t>
  </si>
  <si>
    <t>2-s2.0-0022722758</t>
  </si>
  <si>
    <t>['show quantitatively', 'hence cannot', 'antenna system']</t>
  </si>
  <si>
    <t>The characteristics of an antenna system consisting of opened parasitic elements and a nearby parallel driven dipole antenna are investigated. The aim is to show quantitatively the significance of the opened parasitic elements that affect the characteristics of the antenna system, and hence cannot be ignored as the radius of the elements becomes thick and the interelement spacing becomes small. ¬© 1986 IEEE.</t>
  </si>
  <si>
    <t>711-713</t>
  </si>
  <si>
    <t>60014256;60014256;60014256</t>
  </si>
  <si>
    <t>7601317130;7102376306;7403304145</t>
  </si>
  <si>
    <t>Zhang, Yimin;Hirasawa, Kazuhiro;Fujimoto, Kyohei</t>
  </si>
  <si>
    <t>Tsukuba</t>
  </si>
  <si>
    <t>University of Tsukuba</t>
  </si>
  <si>
    <t>Zhang Y.</t>
  </si>
  <si>
    <t>Opened Parasitic Elements Nearby a Driven Dipole</t>
  </si>
  <si>
    <t>10.1109/TAP.1986.1143888</t>
  </si>
  <si>
    <t>2-s2.0-0022722761</t>
  </si>
  <si>
    <t>['squares algorithm', 'square array', 'sources lie', 'patterndistortion ),', 'pattern distortion', 'particular closed', 'mutual coupling', 'increased mutual', 'form methods', 'estimate bearing', 'directional biases', 'coupling bias', '15 ¬∞.']</t>
  </si>
  <si>
    <t>Directional biases are shown to exist for a four-element square CODAR receiving array used for coastal current mapping. The sources being sidelobes and mutual coupling (a type of patterndistortion), these nonstatistical biases depend both on the geometry/size of the square array as well as the particular closed-form algorithm employed to estimate bearing. Typical rms errors due to these sources lie between 5-15¬∞. Reconfiguration of the four-element antenna geometry may reduce sidelobe biases when closed-form algorithms areemployed, but only at the expense of increased mutual-coupling bias. A least-squares algorithm is given that corrects for pattern distortion, circumventing this shortcoming of closed-form methods; this algorithm can also improve sidelobe biases. Other antenna systems possessing no sidelobes are in use for CODAR that eliminate these sources of error. ¬© 1986 IEEE.</t>
  </si>
  <si>
    <t>415-420</t>
  </si>
  <si>
    <t>Codar Directional Biases with a Four-Element Antenna Array</t>
  </si>
  <si>
    <t>10.1109/TGRS.1986.289600</t>
  </si>
  <si>
    <t>2-s2.0-0022722955</t>
  </si>
  <si>
    <t>['wavelength monopole', 'phase contour', 'phase characteristics', 'phase center', 'monopole axis', 'apparent center', 'analyzed using']</t>
  </si>
  <si>
    <t>The quarter-wavelength monopole over an array of radial ground rods is analyzed using the method of moments to obtain the radiated field amplitude and phase characteristics. The phase center is calculated as a function of polar observation angle by finding the apparent center of curvature of the phase contour. It is found that the resulting phase center location is not confined to the monopole axis as has previously been suggested. ¬© 1986 IEEE.</t>
  </si>
  <si>
    <t>741-744</t>
  </si>
  <si>
    <t>60016983;60016983</t>
  </si>
  <si>
    <t>7004680083;36882000000</t>
  </si>
  <si>
    <t>Tranquilla, James M.;Best, Steven R.</t>
  </si>
  <si>
    <t>Fredericton</t>
  </si>
  <si>
    <t>University of New Brunswick</t>
  </si>
  <si>
    <t>Tranquilla J.</t>
  </si>
  <si>
    <t>Phase Center Considerations for the Monopole Antenna</t>
  </si>
  <si>
    <t>10.1109/TAP.1986.1143879</t>
  </si>
  <si>
    <t>2-s2.0-0022722964</t>
  </si>
  <si>
    <t>['system produces', 'phase coherence', 'nonuniform within', 'maximum sar', 'experiment show', 'electronics engineers', 'direction perpendicular', 'average sar', 'array hyperthermia', '95 percent', '915 mhz']</t>
  </si>
  <si>
    <t>The interstitial microwave antenna-array hyperthermia (IMAAH) system produces a pattern of specific absorption rate (SAR) that is nonuniform within a 2-cm square array driven in phase at 915 MHz. Theory and experiment show that the point of phase coherence (maximum SAR) can be shifted to a point where the SAR is small by changing the antenna driving phases. Rapid shifting makes the time-average SAR more uniform in the direction perpendicular to the antennas. In 95 percent of the antenna junction plane, the time-average SAR is constant within 10 percent. Copyright ¬© 1986 by The Institute of Electrical and Electronics Engineers, Inc.</t>
  </si>
  <si>
    <t>568-571</t>
  </si>
  <si>
    <t>60030443;60030443;60030443;60030443;60030443;60030443</t>
  </si>
  <si>
    <t>7003830659;55458762800;57199919579;7401758720;7403531361;7005534211</t>
  </si>
  <si>
    <t>Trembly, B. Stuart;Wilson, Andrew H.;Sullivan, Michael J.;Stein, Alexander D.;Wong, Terence Z.;Strohbehn, John W.</t>
  </si>
  <si>
    <t>Trembly B.S.</t>
  </si>
  <si>
    <t>Control of the SAR Pattern with in an Interstitial Microwave Array through Variation of Antenna Driving Phase</t>
  </si>
  <si>
    <t>10.1109/TMTT.1986.1133393</t>
  </si>
  <si>
    <t>2-s2.0-0022723378</t>
  </si>
  <si>
    <t>['theoretical ones', 'set temperature', 'practical one', 'phantom model', 'noninvasive heating', 'maximum depth', 'human tissues', 'heating location', 'experimental results', 'energy deep', 'electronics engineers', 'applicator show', 'agree well', '30 mm']</t>
  </si>
  <si>
    <t>A direct-contact lens applicator for local microwave hyperthermia is proposed and developed with a computer-controlled microwave heating system. The applicator is a practical one that can converge the radiated electromagnetic field to deposit its energy deep in human tissues. The experimental results, which agree well with the theoretical ones, show that the applicator which operated at 2450 MHz could heat at twice the depth at which a simple and conventional waveguide applicator could heat. The experimental results using a developed computer system that supplies microwave energy and circulated cooling water to the developed applicator show that the fluctuations of temperature at the heating location in the human tissue model were maintained within ¬±0.3¬∞C of the set temperature. The results of the phantom model and the animal experiment using the system with the applicator show that the maximum depth of noninvasive heating was more than 30 mm below the surface. These results are available for the clinical hyperthermia treatment of cancer. Copyright ¬© 1986 by The Institute of Electrical and Electronics Engineers, Inc.</t>
  </si>
  <si>
    <t>626-630</t>
  </si>
  <si>
    <t>60025997;60025997;60025997;60019916</t>
  </si>
  <si>
    <t>7004151048;55738414300;36047913300;56023548200</t>
  </si>
  <si>
    <t>Nikawa, Yoshio;Watanabe, Hiromi;Kikuchi, Makoto;Mori, Shinsaku</t>
  </si>
  <si>
    <t>Tokyo;Tokorozawa</t>
  </si>
  <si>
    <t>Keio University;National Defense Medical College Tokorozawa</t>
  </si>
  <si>
    <t>60025997;60019916</t>
  </si>
  <si>
    <t>A Direct-Contact Microwave Lens Applicator with a Microcomputer-Controlled Heating System for Local Hyperthermia</t>
  </si>
  <si>
    <t>10.1109/TMTT.1986.1133402</t>
  </si>
  <si>
    <t>2-s2.0-0022723380</t>
  </si>
  <si>
    <t>['waveguide adapter', 'theoretical values', 'reflector antennas', 'receiving pattern', 'pattern agreement', 'mismatch loss', 'frequency dependence', 'expression yields', 'effective aperture', 'band measurements', 'band frequencies', 'axis gain']</t>
  </si>
  <si>
    <t>The response of reflector antennas to out-of-band frequencies has been analyzed using physical optics. A simple approximate expression has been obtained for the effective aperture, and this expression yields both the receiving pattern and the frequency dependence of the on-axis gain. The theory has been compared with published out-of-band measurements, and the pattern agreement is good, but the measured gain falls below theoretical values. This discrepancy is explained by mismatch loss in the coax-to-waveguide adapter.</t>
  </si>
  <si>
    <t>80-89</t>
  </si>
  <si>
    <t>Hill, David A.</t>
  </si>
  <si>
    <t>Hill D.A.</t>
  </si>
  <si>
    <t>OUT-OF-BAND RESPONSE OF REFLECTOR ANTENNAS.</t>
  </si>
  <si>
    <t>10.1109/temc.1986.4307253</t>
  </si>
  <si>
    <t>2-s2.0-0022723681</t>
  </si>
  <si>
    <t>['reflection operations', 'realistic case', 'problems caused', 'prediction process', 'phased array', 'muscle layers', 'muscle layer', 'multiapplicator system', 'minimum number', 'layered tissue', 'experimental results', 'electronics engineers', 'design requirements', 'contacting radiators', 'algorithm enables', '45 ghz']</t>
  </si>
  <si>
    <t>Results are presented which demonstrate localized heating at depth, by a phased array in a homogeneous thorax phantom and the problems caused by a more realistic case of a layered tissue equivalent phantom. A phased array of contacting radiators is proposed for overcoming the difficulty of selective heating within the body cavity caused primarily by the muscle layer. The field from one aperture radiator in contact with layered tissue is predicted by a planar spectral diffraction algorithm incorporating transmission and reflection operations on the plane wave spectrum. This prediction process is validated by experimental results. The algorithm enables the prediction of a minimum number of phased contacting radiators required for selective heating within lung tissue through fat and muscle layers at 2.45 GHz, and provides a guide for the design requirements of a multiapplicator system. Copyright ¬© 1986 by The Institute of Electrical and Electronics Engineers, Inc.</t>
  </si>
  <si>
    <t>526-531</t>
  </si>
  <si>
    <t>60001881;60001881;60018736;60018736</t>
  </si>
  <si>
    <t>6603846307;7403369332;7101995292;57196541494</t>
  </si>
  <si>
    <t>Cudd, P. A.;Anderson, A. P.;Hawley, M. S.;Conway, J.</t>
  </si>
  <si>
    <t>Sheffield;Sheffield</t>
  </si>
  <si>
    <t>Weston Park Cancer Centre;The University of Sheffield</t>
  </si>
  <si>
    <t>60018736;60001881</t>
  </si>
  <si>
    <t>Cudd P.A.</t>
  </si>
  <si>
    <t>Phased-Array Design Considerations for Deep Hyperthermia Through Layered Tissue</t>
  </si>
  <si>
    <t>10.1109/TMTT.1986.1133387</t>
  </si>
  <si>
    <t>2-s2.0-0022723683</t>
  </si>
  <si>
    <t>['transmission methods', 'system problems', 'failure modes', 'environmental effects']</t>
  </si>
  <si>
    <t>Alternatives in today's broadband community antenna television (CATV) distribution are discussed with emphasis on television signal distribution. An overview of important system parameters affecting cable performance is given. A number of amplification and transmission methods as well as environmental effects are discussed. Finally, failure modes and other system problems are addressed.</t>
  </si>
  <si>
    <t>86-92</t>
  </si>
  <si>
    <t>Thompson, Lee</t>
  </si>
  <si>
    <t>Scientific Atlanta, Inc.</t>
  </si>
  <si>
    <t>Thompson L.</t>
  </si>
  <si>
    <t>WIDEBAND DISTRIBUTION PROBLEMS IN CABLE.</t>
  </si>
  <si>
    <t>10.1109/TCE.1986.290138</t>
  </si>
  <si>
    <t>2-s2.0-0022723692</t>
  </si>
  <si>
    <t>['traffic capacity', 'splitting cells', 'major concern', 'main thrust', 'handoff mechanism', 'elements described', 'electronics engineers', 'design criterion', 'channel interference', 'algorithmic considerations']</t>
  </si>
  <si>
    <t>A major concern in a cellular mobile radio system is the co-channel interference. Therefore, the reduction of co-channel interference becomes a main thrust for the system design engineers. We use the co-channel interference reduction factor as a design criterion and predict the signal-to-interference (S/I) ratios in different system configurations. The handoff mechanism and algorithmic considerations, the traffic capacity and procedure for splitting cells, and the near-end-to-far-end ratio interference and reduction are the elements described. Copyright ¬© 1986 by The Institute of Electrical and Electronics Engineers, Inc.</t>
  </si>
  <si>
    <t>48-56</t>
  </si>
  <si>
    <t>Lee, William C.Y.</t>
  </si>
  <si>
    <t>White Plains</t>
  </si>
  <si>
    <t>ITT</t>
  </si>
  <si>
    <t>Lee W.</t>
  </si>
  <si>
    <t>Elements of Cellular Mobile Radio Systems</t>
  </si>
  <si>
    <t>10.1109/T-VT.1986.24070</t>
  </si>
  <si>
    <t>2-s2.0-0022723789</t>
  </si>
  <si>
    <t>['¬© 1986', 'three parts', 'term applications', 'second part', 'rigidized membranes', 'present technology', 'paper discusses', 'needed developments', 'different areas', 'development status', 'available materials', 'application fields', 'antenna reflectors']</t>
  </si>
  <si>
    <t>The technology of inflatable, chemically-rigidized membranes for the realization of large space structures has been investigated in Europe during the last few years, with emphasis on antenna reflectors. The paper discusses the near-term applications, which can be covered by the present technology, or small modifications thereof. The discussion is subdivided into three parts. First, the application fields are surveyed. In the second part, the development status in the different areas is presented. Finally, the suitability of the available materials is discussed and the needed developments are summarized. ¬© 1986.</t>
  </si>
  <si>
    <t>455-465</t>
  </si>
  <si>
    <t>109539469;60029398</t>
  </si>
  <si>
    <t>7007016033;6602457433</t>
  </si>
  <si>
    <t>Bernasconi, Marco C.;Reibaldi, Giuseppe G.</t>
  </si>
  <si>
    <t>France;Switzerland</t>
  </si>
  <si>
    <t>Paris;Zurich</t>
  </si>
  <si>
    <t>European Space Agency - ESA;Contraves AG</t>
  </si>
  <si>
    <t>60029398;109539469</t>
  </si>
  <si>
    <t>Bernasconi M.</t>
  </si>
  <si>
    <t>Inflatable, space-rigidized structures. Overview of applications and their technology impact</t>
  </si>
  <si>
    <t>0094-5765(86)90146-3</t>
  </si>
  <si>
    <t>10.1016/0094-5765(86)90146-3</t>
  </si>
  <si>
    <t>2-s2.0-0022724809</t>
  </si>
  <si>
    <t>['¬© 1986', 'via cs', 'transmitted materials', 'terminal equipments', 'simizu harbour', 'scpc systems', 'scpc system', 'ray films', 'original colors', 'heart sounds', 'heart sound', 'found possible', 'fi reproduction', 'equivalent channel', 'emergency conditions', 'doctors suggested', 'breathing sounds', 'affected parts', '300 hz', '2 satellite', '), assuming']</t>
  </si>
  <si>
    <t>Experiments on the quick-relief medical communications via the CS-2 satellite were carried out by using two types of 30 20 GHz small transportable earth stations whose antenna diameters are 1 and 2 m. As the terminal equipments, FM-SCPC systems with a one-telephone-equivalent channel were prepared for the transmission of voice, color freezed picture (9.6 kbps), supersonic echo signal and heart sound from a electro-cardiograph. Signals from various medical equipments were transmitted by an FM-SCPC system from Simizu harbour (1 m station) to Tokyo transportable station (2 m), assuming that a person was injured in the ship and the ship came alongside the pier. Transmitted materials are mainly various kinds of pictures of affected parts, X-ray films and electro-cardiograph with breathing sounds. It was found possible to send various medical information mentioned above via CS-2 by the 30 20 GHz simple communication systems with one-telephone-equivalent channel. Doctors suggested it would be possible to judge very well about the patients' emergency conditions and to give quick consult with inevitable treatment procedures for them. However, a few problems were found in the Hi-Fi reproduction of original colors and in the transmission of heart sounds in the very low frequency band less than 300 Hz. ¬© 1986.</t>
  </si>
  <si>
    <t>459-466</t>
  </si>
  <si>
    <t>June 1986/July 1986</t>
  </si>
  <si>
    <t>105409527;105409527;105409527;105409527;105409527;60009885</t>
  </si>
  <si>
    <t>7004088291;7004528581;7103229294;35452406400;7202209355;7103105748</t>
  </si>
  <si>
    <t>Otsu, Yuichi;Choh, Toshio;Yamazaki, Ichiro;Kosaka, Katsuhiko;Iguchi, Masaaki;Nakajima, Isao</t>
  </si>
  <si>
    <t>Tokai University;Radio Research Laboratories</t>
  </si>
  <si>
    <t>60009885;105409527</t>
  </si>
  <si>
    <t>Otsu Y.</t>
  </si>
  <si>
    <t>Experiments on the quick-relief medical communications via the Japan's domestic communication satellite CS-2 for the case of disasters and emergencies</t>
  </si>
  <si>
    <t>0094-5765(86)90099-8</t>
  </si>
  <si>
    <t>10.1016/0094-5765(86)90099-8</t>
  </si>
  <si>
    <t>2-s2.0-0022732450</t>
  </si>
  <si>
    <t>['ptd correction', 'physical theory', 'physical optics', 'electronics engineers']</t>
  </si>
  <si>
    <t>A physical optics (PO) and physical theory of diffraction (PTD) analysis of symmetric and offset dual reflector antennas is performed. It is shown that in most cases PO gives sufficient accuracy, but the PTD correction can be of importance to determine the depolarization, especially if the subreflector edge taper is low. Copyright ¬© 1986 by The Institute of Electrical and Electronics Engineers, Inc.</t>
  </si>
  <si>
    <t>849-853</t>
  </si>
  <si>
    <t>Skyttemyr, Svein Andreas</t>
  </si>
  <si>
    <t>Kjeller</t>
  </si>
  <si>
    <t>Norwegian Telecom Research</t>
  </si>
  <si>
    <t>Skyttemyr S.A.</t>
  </si>
  <si>
    <t>Cross Polarization in Dual Reflector Antennas‚ÄîA PO and PTD Analysis</t>
  </si>
  <si>
    <t>10.1109/TAP.1986.1143906</t>
  </si>
  <si>
    <t>2-s2.0-0022733649</t>
  </si>
  <si>
    <t>['secondary reflector', 'numerical methods', 'main reflectors', 'generic curves', 'arbitrary series', 'antennas obeying']</t>
  </si>
  <si>
    <t>The design of dual reflector antennas has been simplified by a method of deriving the secondary reflector from any prescribed main reflector for general focusing conditions. Consequently, main reflectors which are constructed from a series of generic curves can be considered, and they and their associated subreflectors optimised to satisfy a given second condition by numerical methods. This is illustrated for antennas obeying the Abbe sine condition or giving a prescribed aperture distribution by optimising the coefficients and parameters of an arbitrary series of generic curves.</t>
  </si>
  <si>
    <t>221-226</t>
  </si>
  <si>
    <t>Jun</t>
  </si>
  <si>
    <t>60021097;60021097</t>
  </si>
  <si>
    <t>7004675477;57198544516</t>
  </si>
  <si>
    <t>Cornbleet, S.;Smith, G.</t>
  </si>
  <si>
    <t>Guildford</t>
  </si>
  <si>
    <t>University of Surrey</t>
  </si>
  <si>
    <t>Cornbleet S.</t>
  </si>
  <si>
    <t>DUAL REFLECTOR ANTENNAS WITH AMPLITUDE, PHASE OR ABBE CONDITIONS.</t>
  </si>
  <si>
    <t>10.1049/ip-h-2.1986.0039</t>
  </si>
  <si>
    <t>2-s2.0-0022734356</t>
  </si>
  <si>
    <t>['¬© 1986', 'rights reserved', 'matching approach', 'loaded waveguides', 'experimental results', 'electrical engineers', 'different dielectrics', 'cylindrical mode', 'analysing structures', 'analyse dielectric']</t>
  </si>
  <si>
    <t>Horn antennas | Waveguides</t>
  </si>
  <si>
    <t>A cylindrical mode-matching approach has been used to analyse dielectric-loaded waveguides and horns. The method is capable of analysing structures with many annular regions of different dielectrics. The technique has been validated by comparing with experimental results. ¬© 1986, The Institution of Electrical Engineers. All rights reserved.</t>
  </si>
  <si>
    <t>685-686</t>
  </si>
  <si>
    <t>7003852396;7004020025;6701722050</t>
  </si>
  <si>
    <t>Tun, S. M.;Philippou, G. Y.;Adatia, N. A.</t>
  </si>
  <si>
    <t>Tun S.</t>
  </si>
  <si>
    <t>Analysis of rotationally symmetric dielectric-loaded waveguides and horns</t>
  </si>
  <si>
    <t>10.1049/el:19860468</t>
  </si>
  <si>
    <t>2-s2.0-0022734365</t>
  </si>
  <si>
    <t>['¬© 1986', 'rights reserved', 'leaky modes', 'hybrid element', 'element method', 'electrical engineers', 'channel waveguide', 'arbitrary cross']</t>
  </si>
  <si>
    <t>Antennas | Waveguide antennas</t>
  </si>
  <si>
    <t>A finite-element method is described for the analysis of leaky modes of open uniform waveguides with arbitrary cross-section. The field is represented by a hybrid element in the infinite exterior region, and by conventional triangular elements inside and near the waveguide. Results are presented for channel waveguide, slotted square guide and slotted circular waveguide. ¬© 1986, The Institution of Electrical Engineers. All rights reserved.</t>
  </si>
  <si>
    <t>697-699</t>
  </si>
  <si>
    <t>Bird, T. S.</t>
  </si>
  <si>
    <t>Melbourne</t>
  </si>
  <si>
    <t>Commonwealth Scientific and Industrial Research Organization</t>
  </si>
  <si>
    <t>Bird T.</t>
  </si>
  <si>
    <t>Finite-element analysis of leaky waveguide antennas</t>
  </si>
  <si>
    <t>10.1049/el:19860477</t>
  </si>
  <si>
    <t>2-s2.0-0022734367</t>
  </si>
  <si>
    <t>['window heaters', 'test results', 'techniques used', 'presents results', 'paper describes', 'motor vehicles', 'medium frequencies', 'low band', 'experimental rear', 'developed recently', 'conflicting constraints', 'broadcast reception', 'back vehicle']</t>
  </si>
  <si>
    <t>Aerials which employ the conductors of the rear-window heaters of motor vehicles have been developed recently for broadcast reception at low and medium frequencies and v. h. f. This paper describes the techniques used to optimize their performance and presents results from a production saloon car. An experimental rear-window heater aerial for transmitting and receiving in the v. h. f. low band is described and the conflicting constraints of efficiency, bandwidth, power-handling and cost are discussed. Test results are presented for a hatch-back vehicle and compared with those from roof and wing-mounted whip aerials.</t>
  </si>
  <si>
    <t>223-227</t>
  </si>
  <si>
    <t>Jun-Jul</t>
  </si>
  <si>
    <t>60025779;60025779</t>
  </si>
  <si>
    <t>7102804559;6701540049</t>
  </si>
  <si>
    <t>Last, J. D.;Easter, B.</t>
  </si>
  <si>
    <t>Bangor</t>
  </si>
  <si>
    <t>Bangor University</t>
  </si>
  <si>
    <t>Last J.</t>
  </si>
  <si>
    <t>Rear-window heater antennas for mobile radio and for broadcast reception</t>
  </si>
  <si>
    <t>10.1049/jiere.1986.0087</t>
  </si>
  <si>
    <t>2-s2.0-0022735281</t>
  </si>
  <si>
    <t>['treated using', 'solution demonstrated', 'reflector surface', 'prescribed far', 'example solutions', 'design approach', 'cartesian grid']</t>
  </si>
  <si>
    <t>The problem of synthesising a reflector surface to produce a prescribed far-field radiation pattern when illuminated by a point source feed is treated using the complex coordinate method of Westcott. The far-field boundary value problem is formulated on a Cartesian grid and the solution demonstrated for two examples typical of satellite communication systems. The potential of the design approach is examined thorugh diffraction analysis of shaped antennas derived from the example solutions.</t>
  </si>
  <si>
    <t>213-220</t>
  </si>
  <si>
    <t>7006639115;7003852396;6701722050</t>
  </si>
  <si>
    <t>Mehler, M.;Tun, S.;Adatia, N.</t>
  </si>
  <si>
    <t>DIRECT FAR-FIELD GO SYNTHESIS OF SHAPED BEAM REFLECTOR ANTENNAS.</t>
  </si>
  <si>
    <t>10.1049/ip-h-2.1986.0038</t>
  </si>
  <si>
    <t>2-s2.0-0022736225</t>
  </si>
  <si>
    <t>['unbounded space', 'proposed method', 'planar waveguide', 'microwave method', 'metallic post', 'measuring impedance', 'launched discontinuity', 'input impedance', 'derived considering', 'analytical expression', 'also applicable']</t>
  </si>
  <si>
    <t>A microwave method of measuring the input impedance of any broadwall-launched discontinuity in microstrip transmission lines has been suggested, and the reactance of a metallic post forming a broadwall-launched discontinuity in a microstrip transmission line has been characterized. An analytical expression for reactance of this metallic post has been derived considering it to be an antenna in unbounded space under appropriate boundary conditions, and considering the strip transmission line as an approximation of a planar waveguide. The proposed method is also applicable for measuring impedance of any other broadwall-launched discontinuity in microstrip transmission lines.</t>
  </si>
  <si>
    <t>126-129</t>
  </si>
  <si>
    <t>IM-35</t>
  </si>
  <si>
    <t>IEEE Transactions on Instrumentation and Measurement</t>
  </si>
  <si>
    <t>60021988;60021988</t>
  </si>
  <si>
    <t>6701661006;7005871729</t>
  </si>
  <si>
    <t>Das Gupta, Chinmoy;Tomar, R. S.</t>
  </si>
  <si>
    <t>Kanpur</t>
  </si>
  <si>
    <t>Indian Institute of Technology Kanpur</t>
  </si>
  <si>
    <t>Das Gupta C.</t>
  </si>
  <si>
    <t>RESONANCE METHOD OF MEASUREMENT OF INPUT IMPEDANCE OF ANY BROADWALL-LAUNCHED DISCONTINUITY IN MICROSTRIP TRANSMISSION LINE.</t>
  </si>
  <si>
    <t>10.1109/TIM.1986.6499077</t>
  </si>
  <si>
    <t>2-s2.0-0022736488</t>
  </si>
  <si>
    <t>['space wavelength', 'power gain', 'plane reflector', 'numerically analyzed', 'frequency range', 'electronics engineers', 'current distribution', 'analysis shows', 'also demonstrated', '9 x', '5 x', '5 db', '4 x', '3 x']</t>
  </si>
  <si>
    <t>An Archimedean planar spiral antenna is numerically analyzed in the presence of a conducting plane reflector. The analysis shows that the spiral antenna backed by the plane reflector has two distinct regions in the current distribution, which explain the radiation of a circularly polarized wave for the outer circumference C ranging over about 1.3 X &lt; C &lt; 1.5 X and C &gt; 2.9 X, where X is a free-space wavelength. Further consideration is given to a truncated spiral antenna whose outer circumference is on the order of 1.4 X. The truncated spiral antenna maintains a decaying current distribution and radiates a circularly polarized wave over a 1:1.2 frequency bandwidth. It is also demonstrated that a power gain on the order of 8.5 dB is realized over the same frequency range. Copyright ¬© 1986 by The Institute of Electrical and Electronics Engineers, Inc.</t>
  </si>
  <si>
    <t>791-796</t>
  </si>
  <si>
    <t>60030526;60030526;60030526;60030526;60082079</t>
  </si>
  <si>
    <t>55633340100;7005277837;57198394696;7003298527;56405174700</t>
  </si>
  <si>
    <t>Nakano, Hisamatsu;Nogami, Kazuo;Arai, Satoshi;Mimaki, Hiroaki;Yamauchi, Junji</t>
  </si>
  <si>
    <t>A Spiral Antenna Backed by a Conducting Plane Reflector</t>
  </si>
  <si>
    <t>10.1109/TAP.1986.1143893</t>
  </si>
  <si>
    <t>2-s2.0-0022736586</t>
  </si>
  <si>
    <t>['transmission coefficients', 'time according', 'strip grating', 'simple rule', 'projected grating', 'plane wave', 'normal incidence', 'magnetic currents', 'grating parameters', 'finite size', 'fictitious problem', 'every point', 'equivalent electric', 'equivalent currents', 'derived using', 'calculate scattering', 'arbitrary wave', 'arbitrary size', 'actual grating']</t>
  </si>
  <si>
    <t>A simple approximation method to calculate scattering from a strip grating of a finite size is proposed for arbitrarily polarised incidence. The grating parameters are transformed at the same time according to a simple rule. Then, reflection and transmission coefficients for a plane wave are calculated for the fictitious problem of normal incidence on the projected grating. Equivalent electric and magnetic currents are derived using these coefficients at every point on the actual grating. Integration of these equivalent currents over the actual grating gives the scattering of an arbitrary wave from a grating of arbitrary size and shape. The accuracy and validity of this method are verified by experiments.</t>
  </si>
  <si>
    <t>203-208</t>
  </si>
  <si>
    <t>60031126;60031126;60031126</t>
  </si>
  <si>
    <t>35495699200;57206124011;7003867576</t>
  </si>
  <si>
    <t>Ando, M.;Kondo, A.;Kagoshima, K.</t>
  </si>
  <si>
    <t>Ando M.</t>
  </si>
  <si>
    <t>SCATTERING OF AN ARBITRARY WAVE BY A THIN STRIP GRATING REFLECTOR.</t>
  </si>
  <si>
    <t>10.1049/ip-h-2.1986.0036</t>
  </si>
  <si>
    <t>2-s2.0-0022737193</t>
  </si>
  <si>
    <t>['wave array', 'tropospheric events', 'seasonal variations', 'phase fluctuations', 'nobeyama millimeter', 'moist air', 'good relations', 'etc .)', 'electronics engineers', 'atmospheric structures', 'antenna spacings']</t>
  </si>
  <si>
    <t>Phase fluctuations at 22 GHz introduced by tropospheric events were measured by observing cosmic compact radio sources with the Nobeyama millimeter-wave array on antenna spacings of 27 to 540 m. The observed interferometer phases were used to derive Allan standard deviations œÉA of phase fluctuations. The standard deviations œÉA had good relations to antenna spacing L as a function, œÉA =A √ó LN + B. The exponent N derived from the observations in February distributed around 5/6 as expected from the Kolmogorov turbulence model, but was smaller than 5/6 from the observations in May. Time domain spectra of œÉA also imply that atmospheric structures (such as moist air, clouds, precipitation, etc.) have seasonal variations. Meteorological parameters monitored at the height of 20 m did not show good correlations to œÉA. Copyright ¬© 1986 by The Institute of Electrical and Electronics Engineers, Inc.</t>
  </si>
  <si>
    <t>797-803</t>
  </si>
  <si>
    <t>7103325712;56252992000;35449270400</t>
  </si>
  <si>
    <t>Kasuga, Takashi;Ishiguro, Matsato;Kawabe, Ryohei</t>
  </si>
  <si>
    <t>Kasuga T.</t>
  </si>
  <si>
    <t>Interferometric Measurement of Tropospheric Phase Fluctuations at 22 GHz on Antenna Spacings of 27 to 540 m</t>
  </si>
  <si>
    <t>10.1109/TAP.1986.1143896</t>
  </si>
  <si>
    <t>2-s2.0-0022737196</t>
  </si>
  <si>
    <t>['type processor', 'paper presents', 'orthogonal decomposition', 'optimisation problem', 'domain processors', 'direct way', 'constraint matrix', 'approach enables']</t>
  </si>
  <si>
    <t>The paper presents a technique for transforming linearly constrained broadband time-domain processors to an unconstrained partitioned form via an orthogonal decomposition of the constraint matrix. It is shown that the partitioned structure drops out naturally from solving the mathematics of the transformed, unconstrained, optimisation problem. This approach enables the relationship between the Frost-type processor and the unconstrained partitioned processor to be established in a direct way.</t>
  </si>
  <si>
    <t>209-212</t>
  </si>
  <si>
    <t>60005510;60005510</t>
  </si>
  <si>
    <t>7102842938;7005144794</t>
  </si>
  <si>
    <t>Er, M. H.;Cantoni, A.</t>
  </si>
  <si>
    <t>Singapore</t>
  </si>
  <si>
    <t>Singapore City</t>
  </si>
  <si>
    <t>Nanyang Technological University</t>
  </si>
  <si>
    <t>Er M.</t>
  </si>
  <si>
    <t>TRANSFORMATION OF LINEARLY CONSTRAINED BROADBAND PROCESSORS TO UNCONSTRAINED PARTITIONED FORM.</t>
  </si>
  <si>
    <t>10.1049/ip-h-2.1986.0037</t>
  </si>
  <si>
    <t>2-s2.0-0022738161</t>
  </si>
  <si>
    <t>['unified approach', 'technique presented', 'synthesis problem', 'space green', 'point dipoles', 'planar contour', 'formulated employing', 'electronics engineers', 'arbitrary shape', 'also presented']</t>
  </si>
  <si>
    <t>A unified approach for synthesizing the near or far-field radiation patterns of an array of uniformly or nonuniformly spaced point sources or directive elements located on a planar contour of arbitrary shape is presented. The synthesis problem is formulated employing the free-space Green's dyadic as well as the translational and rotational addition theorems for spherical vector wave functions. A similar unified approach for synthesizing the near or far-field radiation patterns of a uniformly or nonuniformly spaced linear array of point dipoles is also presented. The validity of the technique presented is established with several typical numerical illustrations. Copyright ¬© 1986 by The Institute of Electrical and Electronics Engineers, Inc.</t>
  </si>
  <si>
    <t>773-778</t>
  </si>
  <si>
    <t>60025757;60025757;60025757</t>
  </si>
  <si>
    <t>7006389495;6508321145;57196879945</t>
  </si>
  <si>
    <t>Narasimhan, M. S.;Varadarangan, K.;Christopher, S.</t>
  </si>
  <si>
    <t>Chennai</t>
  </si>
  <si>
    <t>Indian Institute of Technology Madras</t>
  </si>
  <si>
    <t>Narasimhan M.</t>
  </si>
  <si>
    <t>A New Technique of Synthesis of the Near or Far-Field Patterns of Arrays</t>
  </si>
  <si>
    <t>10.1109/TAP.1986.1143892</t>
  </si>
  <si>
    <t>2-s2.0-0022738164</t>
  </si>
  <si>
    <t>['resonant frequencies', 'investigated experimentally', 'existing formulas', 'electronics engineers', 'electromagnetic properties', 'electrical thickness', 'dielectric substrate', '23 wavelengths']</t>
  </si>
  <si>
    <t>The electromagnetic properties of electrically thick rectangular microstrip antennas were investigated experimentally. Antennas were fabricated with different patch sizes and with electrical thicknesses ranging from 0.03 to 0.23 wavelengths in the dielectric substrate. The resonant frequencies were measured and compared to existing formulas. The bandwidth was calculated as a function of electrical thickness and the antenna radiation patterns were measured. Copyright ¬© 1986 by The Institute of Electrical and Electronics Engineers, Inc.</t>
  </si>
  <si>
    <t>767-772</t>
  </si>
  <si>
    <t>60028909;60005837;60005837</t>
  </si>
  <si>
    <t>7401837663;7402507033;7202452162</t>
  </si>
  <si>
    <t>Chang, Esin;Long, Stuart A.;Richards, William F.</t>
  </si>
  <si>
    <t>Houston;Houston</t>
  </si>
  <si>
    <t>Shell Oil Company;University of Houston</t>
  </si>
  <si>
    <t>60028909;60005837</t>
  </si>
  <si>
    <t>Chang E.</t>
  </si>
  <si>
    <t>An Experimental Investigation of Electrically Thick Rectangular Microstrip Antennas</t>
  </si>
  <si>
    <t>10.1109/TAP.1986.1143890</t>
  </si>
  <si>
    <t>2-s2.0-0022738487</t>
  </si>
  <si>
    <t>['results based', 'long dipoles', 'input impedance', 'hopf solution', 'effective length', 'different lengths', 'corresponding values', 'also tabulated']</t>
  </si>
  <si>
    <t>R. A. Hurd's Wiener-Hopf solution for the input impedance of long dipoles of different lengths and radii is extended and compared with results based on other methods. Corresponding values of effective length and directivity are also tabulated.</t>
  </si>
  <si>
    <t>707-716</t>
  </si>
  <si>
    <t>6701492696;7103051886</t>
  </si>
  <si>
    <t>Saoudy, S.;Hamid, M.</t>
  </si>
  <si>
    <t>Saoudy S.</t>
  </si>
  <si>
    <t>TABLES OF INPUT IMPEDANCE AND DIRECTIVITY OF LONG LINEAR ANTENNAS.</t>
  </si>
  <si>
    <t>10.1139/p86-129</t>
  </si>
  <si>
    <t>2-s2.0-0022738627</t>
  </si>
  <si>
    <t>['unmanned missions', 'three 64', 'six 34', 'project galileo', 'planned two', 'one spacecraft', 'nine antennas', 'meter ones', 'meter antennas', 'late 20th', 'jovian atmosphere', 'interplanetary environment', 'future use', 'explore jupiter', 'dsn 64', 'deep space', 'based systems', 'band transmissions', 'also reported', '70 meters']</t>
  </si>
  <si>
    <t>Centimeter-band transmissions, three-dimensional data compression, and laser-based systems are discussed for future use in unmanned missions to deep space. Project Galileo, a planned two-in-one spacecraft that is to explore Jupiter and four of its moons as an orbiting weather satellite, while a conical probe detaches from the orbiter and plunges into the Jovian atmosphere, is highlighted. Details of the Galileo communicatios link and interplanetary environment are described. The upgrading of NASA's Deep Space Network (DSN) is also reported. This network is being upgraded to nine antennas: six 34-meter antennas and three 64-meter ones; and by the time the Galileo craft reaches Jupiter, the DSN 64-meter antennas will have been enlarged to 70 meters. Proposals for more advanced communications links to be used for late 20th and early 21st century space missions are outlined.</t>
  </si>
  <si>
    <t>60-65</t>
  </si>
  <si>
    <t>IEEE Spectrum</t>
  </si>
  <si>
    <t>7006121568;6506891073;57220527004</t>
  </si>
  <si>
    <t>Posner, Edward C.;Horttor, Richard L.;Grant, Terry L.</t>
  </si>
  <si>
    <t>Posner E.C.</t>
  </si>
  <si>
    <t>COMMUNICATING FROM THE EDGE OF THE SOLAR SYSTEM.</t>
  </si>
  <si>
    <t>10.1109/MSPEC.1986.6370934</t>
  </si>
  <si>
    <t>2-s2.0-0022739040</t>
  </si>
  <si>
    <t>['thus proved', 'reaction theorem', 'poor convergence', 'mutual admittance', 'derived via', 'derive formulas', 'alternative way']</t>
  </si>
  <si>
    <t>The extended Poynting vector method is used to derive formulas for the mutual admittance between two identical slots on a perfectly conducting circular cylinder. Formulas for this geometry have earlier been derived via the reaction theorem. A disadvantage with those expressions is the poor convergence of the integral for large axial slot separations. Through extensive manipulations one formula can be converted into the other, but for large axial slot separations the Poynting vector method gives converging expressions directly. It is thus proved that the extended Poynting vector method provides an alternative way of obtaining the mutual admittance between apertures on a cylinder.</t>
  </si>
  <si>
    <t>238-240</t>
  </si>
  <si>
    <t>Sohtell, E. V.</t>
  </si>
  <si>
    <t>Sweden</t>
  </si>
  <si>
    <t>Gothenburg</t>
  </si>
  <si>
    <t>Chalmers University of Technology</t>
  </si>
  <si>
    <t>Sohtell E.</t>
  </si>
  <si>
    <t>MUTUAL ADMITTANCE BETWEEN SLOTS ON A CYLINDER USING THE EXTENDED POYNTING VECTOR METHOD.</t>
  </si>
  <si>
    <t>10.1049/ip-h-2.1986.0042</t>
  </si>
  <si>
    <t>2-s2.0-0022739550</t>
  </si>
  <si>
    <t>['reflector antennas', 'polarized sidelobes', 'low reflection', 'low cross', 'feed horns', 'extensive theoretical', 'experimental investigations', 'electronics engineers', 'design techniques', 'continuous bandwidths', 'constant beamwidth', '30 ¬∞,']</t>
  </si>
  <si>
    <t>Design procedures based on extensive theoretical and experimental investigations are given for hybrid-mode corrugated conical horns having near-constant beamwidth, low cross-polarized sidelobes and low reflection for continuous bandwidths up to 2.1:1. The design techniques are applicable for horn flare semi-angles to about 30¬∞, which includes most feed horns in dual-reflector antennas. Copyright ¬© 1986 by The Institute of Electrical and Electronics Engineers, Inc.</t>
  </si>
  <si>
    <t>750-757</t>
  </si>
  <si>
    <t>60029470;60029470;60029470</t>
  </si>
  <si>
    <t>35571763900;7201399131;35571713000</t>
  </si>
  <si>
    <t>Thomas, Bruce Maca;James, Graeme L.;Greene, Kieran J.</t>
  </si>
  <si>
    <t>Thomas B.M.</t>
  </si>
  <si>
    <t>Design of Wide-Band Corrugated Conical Horns for Cassegrain Antennas</t>
  </si>
  <si>
    <t>10.1109/TAP.1986.1143899</t>
  </si>
  <si>
    <t>2-s2.0-0022739781</t>
  </si>
  <si>
    <t>['uhf mobile', 'sar patterns', 'rear window', 'mounted antennas', 'mounted antenna', 'maximum power', 'man sitting', 'electronics engineers', 'child models', 'child kneeling', 'back seat', 'antenna fields', 'ansi guides', 'also measured']</t>
  </si>
  <si>
    <t>Thermography, nonperturbing temperature probes, and E-field sensitive diodes were used to quantify the SAR patterns in human models exposed to UHF mobile-antenna fields. The exposure conditions include man, woman, and child models in the standing position close to roof-and trunk-mounted antennas; man sitting in the back seat near a trunk-mounted antenna; child kneeling in the back seat and looking through the rear window. Incident power densities near the antennas were also measured. Based on the current ANSI radio-frequency protection guide, the exemption of 7-W input power will violate the ANSI primary exposure criterion, but satisfies the 8-W/kg exclusion clauses. A maximum power of 3.5 W would satisfy all of the ANSI guides. Copyright ¬© 1986 by The Institute of Electrical and Electronics Engineers, Inc.</t>
  </si>
  <si>
    <t>671-680</t>
  </si>
  <si>
    <t>7103362082;24452192400</t>
  </si>
  <si>
    <t>Guy, Arthur W.;Chou, Chung Kwang</t>
  </si>
  <si>
    <t>Specific Absorption Rates of Energy in Man Models Exposed to Cellular UHF Mobile-Antenna Fields</t>
  </si>
  <si>
    <t>10.1109/TMTT.1986.1133416</t>
  </si>
  <si>
    <t>2-s2.0-0022739822</t>
  </si>
  <si>
    <t>['satellite systems', 'satellite designs', 'restore connectivity', 'paper reviews', 'paper concludes', 'overseas commercial', 'many countries', 'likely trends', 'large capacity', 'intelsat system', 'high degree', 'frequency intervals', 'desirable attribute', 'copyright 1986', 'communications services', 'brief discussion', 'assigned bands', '100 satellites']</t>
  </si>
  <si>
    <t>This paper reviews the development of international satellite communications over the past two decades. To date over 100 satellites have been launched to provide both domestic and overseas commercial (i.e., non‚Äêmilitary) communications services and this paper largely confines itself to describing the technical developments involved in creating the INTELSAT system which are representative of the field as a whole. INTELSAT, is an international organization established in 1964 to provide overseas communications. It has developed a global system designed to provide (1) a high degree of connectivity and (2) a large communications capacity. Connectivity has been achieved using relatively broad (albeit ‚Äúshaped‚Äù) satellite antenna patterns permitting earth stations in many countries that are illuminated by the same beam to be interconnected. This desirable attribute has, however, required the use of large earth stations and one future technical direction is likely to entail using satellites that generate narrow pencil beams permitting the use of smaller earth stations; on‚Äêboard switching will then be required to restore connectivity between beams. A large capacity has been achieved through the use of ‚Äúfrequency reuse,‚Äù i.e., techniques to utilize the C‚Äêband frequencies assigned for satellite communications several‚Äêfold. This has been accomplished through satellite designs that employ isolated antenna beams to illuminate different parts of the earth and/or beams that view overlapping parts but employ opposite senses of (circular) polarization. Associated with this approach have been efforts to use the assigned bands as efficiently as possible through ‚Äúchannelization,‚Äù i.e., subdividing them into frequency intervals, each of which is served by a transponder amplifier designed to yield minimum interference with its neighbors. The paper concludes with a brief discussion of the likely trends in the design of satellite systems as these evolve in competition with fiber‚Äêoptic cables. Copyright 1986 by the American Geophysical Union.</t>
  </si>
  <si>
    <t>647-664</t>
  </si>
  <si>
    <t>July-August 1986</t>
  </si>
  <si>
    <t>Evans, J. F.</t>
  </si>
  <si>
    <t>Evans J.</t>
  </si>
  <si>
    <t>Twenty years of international satellite communication</t>
  </si>
  <si>
    <t>10.1029/RS021i004p00647</t>
  </si>
  <si>
    <t>2-s2.0-0022741383</t>
  </si>
  <si>
    <t>['tutorial overview', 'specific applications', 'particular attention', 'multilayered earths']</t>
  </si>
  <si>
    <t>During the past two decades, complex image theory techniques have successfully been utilized to determine simple form expressions for the electric and magnetic fields produced by antennas located near the earth's surface, for both single‚Äêlayered and multilayered earths. It is the purpose of this paper to provide a tutorial overview of complex image theory. Particular attention will be paid to its range of validity. Specific applications will also be discussed. This paper is not subject to U.S. copyright. Published in 1986 by the American Geophysical Union.</t>
  </si>
  <si>
    <t>605-616</t>
  </si>
  <si>
    <t>Bannister, Peter R.</t>
  </si>
  <si>
    <t>Bannister P.</t>
  </si>
  <si>
    <t>Applications of complex image theory</t>
  </si>
  <si>
    <t>10.1029/RS021i004p00605</t>
  </si>
  <si>
    <t>2-s2.0-0022745818</t>
  </si>
  <si>
    <t>['¬© 1986', 'upper molar', 'small displacement', 'recently developed', 'promising technique', 'noninvasive measurement', 'microns ),', 'long axes', 'extraoral traction', 'experimentally localized', 'dental research', 'bodily movement', 'applied perpendicular', '700 gm']</t>
  </si>
  <si>
    <t>Center of resistance | force | headgear | laser speckle interferometry | orthodontic tooth movement</t>
  </si>
  <si>
    <t>Laser speckle interferometry, recently developed for noninvasive measurement of small displacement (microns), was used to study the movement of maxillary molars submitted to extraoral traction. Using an antenna-headgear at different horizontal levels, loadings of 700 gm were applied perpendicular to the long axes of these teeth. Bodily movement was observed when the traction line passed slightly occlusal to the trifurcation of the roots. Therefore, the center of resistance of the upper molar was experimentally localized at this level. Laser speckle interferometry proved to be a promising technique for dental research. ¬© 1986.</t>
  </si>
  <si>
    <t>29-36</t>
  </si>
  <si>
    <t>American Journal of Orthodontics and Dentofacial Orthopedics</t>
  </si>
  <si>
    <t>60033316;;</t>
  </si>
  <si>
    <t>7005620653;6506979739;6603003748</t>
  </si>
  <si>
    <t>Dermaut, L. R.;Kleutghen, J. P.J.;De Clerck, H. J.J.</t>
  </si>
  <si>
    <t>Ghent</t>
  </si>
  <si>
    <t>Universiteit Gent</t>
  </si>
  <si>
    <t>Dermaut L.</t>
  </si>
  <si>
    <t>Experimental determination of the center of resistance of the upper first molar in a macerated, dry human skull submitted to horizontal headgear traction</t>
  </si>
  <si>
    <t>0889-5406(86)90024-7</t>
  </si>
  <si>
    <t>10.1016/0889-5406(86)90024-7</t>
  </si>
  <si>
    <t>2-s2.0-0022749461</t>
  </si>
  <si>
    <t>['stochastic relationships', 'routine application', 'radar signals', 'periodogram method', 'periodogram estimates', 'one order', 'noise rather', 'mlm tends', 'mlm increases', 'mlm estimates', 'maximum entropy', 'magnitude smaller', 'largest differences', 'greatest potentials', 'frequency resolution', 'copyright 1986', 'basic importance', 'accuracy occurring']</t>
  </si>
  <si>
    <t>Maximum entropy and maximum likelihood methods (MEM, MLM) are applied to estimate wind‚Äêinduced Doppler shifts of VHF radar signals and to compare the accuracies of both methods with the accuracy of the periodogram method used with the SOUSY VHF Radar. At large signal‚Äêto‚Äênoise ratios (S/N ‚â≥ 100), differences between the three Doppler shift estimates are one order of magnitude smaller than the frequency resolution of the periodogram. At moderate signal‚Äêto‚Äênoise ratios (0.3 ‚â§ S/N ‚â§ 10), MEM and MLM estimates have significantly higher accuracies than the periodogram estimates with the largest differences in accuracy occurring just above S/N = 0.3; MLM tends to be slightly more accurate than MEM. In contrast to the periodogram method, MEM and MLM clearly indicate a limiting signal‚Äêto‚Äênoise ratio (S/N ‚âà 0.3) below which the Doppler shift estimates are dominated by noise rather than radar signals. For any routine application it is of basic importance that there are stochastic relationships between signal‚Äêto‚Äênoise ratio and the prediction error filter lengths of MEM and MLM that yield optimum Doppler shift estimates. Since the accuracy of Doppler shifts obtained by MEM and MLM increases with decreasing spectral width, both methods have their greatest potentials when they are applied to radar signals measured with small antenna beam widths, small pulse lengths and short coherent integration times. Copyright 1986 by the American Geophysical Union.</t>
  </si>
  <si>
    <t>731-736</t>
  </si>
  <si>
    <t>Klostermeyer, J.</t>
  </si>
  <si>
    <t>Klostermeyer J.</t>
  </si>
  <si>
    <t>Experiments with maximum entropy and maximum likelihood spectra of VHF radar signals</t>
  </si>
  <si>
    <t>10.1029/RS021i004p00731</t>
  </si>
  <si>
    <t>2-s2.0-0022749641</t>
  </si>
  <si>
    <t>['two antennas', 'relative positions', 'complex far', 'calculated coupling']</t>
  </si>
  <si>
    <t>Measurements of near-field mutual coupling between two moderate sized microwave antennas were performed and compared to coupling calculated using recently developed computer program. Required input data for the programs are the complex far-field radiation patterns of the antennas and various geometrical factors describing the relative positions and orientations of the two antennas. Measured and calculated coupling as a function of both transverse and radial displacement showed good agreement. ¬© 1986 IEEE</t>
  </si>
  <si>
    <t>952-955</t>
  </si>
  <si>
    <t>60023053;60023053</t>
  </si>
  <si>
    <t>7004384154;7201841610</t>
  </si>
  <si>
    <t>Stubenrauch, Carla F.;Francis, Michael H.</t>
  </si>
  <si>
    <t>Stubenrauch C.</t>
  </si>
  <si>
    <t>Comparison of Measured and Calculated Mutual Coupling in the Near Field Between Microwave Antennas</t>
  </si>
  <si>
    <t>10.1109/TAP.1986.1143923</t>
  </si>
  <si>
    <t>2-s2.0-0022751539</t>
  </si>
  <si>
    <t>['radiation pattern', 'point center', 'electronics engineers', 'demonstrated graphically']</t>
  </si>
  <si>
    <t>The electromagnetic radiation pattern from a ferrite coated dipole antenna is a torus with a point center. By deriving an expression for the far-field electric field and defining a form factor F( Œ∏ ), the dilations and contractions of the radiation pattern were evaluated and demonstrated graphically. Copyright ¬© 1986 by The Institute of Electrical and Electronics Engineers, Inc.</t>
  </si>
  <si>
    <t>828-831</t>
  </si>
  <si>
    <t>Mueller, R. S.</t>
  </si>
  <si>
    <t>St. Louis</t>
  </si>
  <si>
    <t>Emerson Electric</t>
  </si>
  <si>
    <t>Mueller R.S.</t>
  </si>
  <si>
    <t>Microwave Radiation from a Magnetic Dipole in an Azimuthally Magnetized Ferrite Cylinder</t>
  </si>
  <si>
    <t>10.1109/TMTT.1986.1133448</t>
  </si>
  <si>
    <t>2-s2.0-0022751614</t>
  </si>
  <si>
    <t>['various losses', 'transverse electromagnetic', 'theoretical calculations', 'substrate thickness', 'reflection coefficient', 'modes satisfying', 'mode incident', 'microstrip patch', 'measured data', 'matching technique', 'input impedance', 'electric field', 'coaxial cable', 'cavity model', 'boundary conditions', 'also included']</t>
  </si>
  <si>
    <t>A method of computing the input impedance for the probe fed circular microstrip antenna with thick dielectric substrate is presented. Utilizing the framework of the cavity model, the fields under the microstrip patch are expanded in a set of modes satisfying the boundary conditions on the eccentrically located probe, as well as on the cavity magnetic wall. A mode-matching technique is used to solve for the electric field at the junction between the cavity and the coaxial feed cable. The reflection coefficient of the transverse electromagnetic (TEM) mode incident in the coaxial cable is determined, from which the input impedance of the antenna is computed. Measured data are presented to verify the theoretical calculations. Results of the computation of various losses for the circular printed antenna as a function of substrate thickness are also included. ¬© 1986 IEEE</t>
  </si>
  <si>
    <t>905-911</t>
  </si>
  <si>
    <t>60000745;60000745</t>
  </si>
  <si>
    <t>8083786100;7401934487</t>
  </si>
  <si>
    <t>Davidovitz, Marat;Lo, Yuen</t>
  </si>
  <si>
    <t>Input Impedance of a Probe-Fed Circular Microstrip Antenna with Thick Substrate</t>
  </si>
  <si>
    <t>10.1109/TAP.1986.1143911</t>
  </si>
  <si>
    <t>2-s2.0-0022751968</t>
  </si>
  <si>
    <t>['wide flare', 'united states', 'region fields', 'reflector antennas', 'independent development', 'early 1960', 'development include']</t>
  </si>
  <si>
    <t>The simultaneous but independent development in the United States and Australia of circular-aperture corrugated horns in the early 1960's is reviewed. The features of this development include the wide flare-angle corrugated ‚Äúscalar‚Äù horn and the characteristics of focal-region fields of reflector antennas and the single- and multimode cylindrical corrugated horns necessary to feed them. ¬© 1986 IEEE</t>
  </si>
  <si>
    <t>930-935</t>
  </si>
  <si>
    <t>Thomas, Bruce Maca</t>
  </si>
  <si>
    <t>Thomas B.</t>
  </si>
  <si>
    <t>A Review of the Early Developments of Circular-Aperture Hybrid-Mode Corrugated Horns</t>
  </si>
  <si>
    <t>10.1109/TAP.1986.1143914</t>
  </si>
  <si>
    <t>2-s2.0-0022752208</t>
  </si>
  <si>
    <t>['weighted differently', 'performance degradation', 'electronics engineers', 'basic property', 'analysis shows']</t>
  </si>
  <si>
    <t>An analysis shows the performance degradation of a sidelobe cancellation system as the consequence of a basic property of partially adaptive antennas when neighboring interference directions are weighted differently in sign by the radar antenna sidelobes. Copyright ¬© 1986 by The Institute of Electrical and Electronics Engineers, Inc.</t>
  </si>
  <si>
    <t>466-468</t>
  </si>
  <si>
    <t>Krucker, Klavus</t>
  </si>
  <si>
    <t>Wachtberg</t>
  </si>
  <si>
    <t>Fraunhofer Institute for High Frequency Physics and Radar Techniques FHR</t>
  </si>
  <si>
    <t>Krucker K.</t>
  </si>
  <si>
    <t>On a Specific Performance Limitation of Partially Adaptive Antennas</t>
  </si>
  <si>
    <t>10.1109/TAES.1986.310784</t>
  </si>
  <si>
    <t>2-s2.0-0022752505</t>
  </si>
  <si>
    <t>['wave potential', 'substantiated theoretically', 'normal phase', 'latter includes', 'input impedance', 'frequency region', 'francis group']</t>
  </si>
  <si>
    <t>A short, two-element cylindrical antenna immersed in a warm isotropic plasma is studied in the frequency region for which there is electron plasma wave propagation. In order to facilitate the analysis, the antenna is decomposed into the normal phase and zero phase components. The latter includes the effect of the feeder, which is estimated properly taking Landau damping into consideration. The measurements of the input impedance, the wave potential and the directional radiation pattern for electron plasma waves are performed, and substantiated theoretically. The wave potential for the electron plasma wave from the two-element can be observed to be about double, compared with that from the one-element. ¬© 1986 Taylor and Francis Group, LLC.</t>
  </si>
  <si>
    <t>13-25</t>
  </si>
  <si>
    <t>Morita, Yuzuru</t>
  </si>
  <si>
    <t>Saga</t>
  </si>
  <si>
    <t>Saga University</t>
  </si>
  <si>
    <t>Morita Y.</t>
  </si>
  <si>
    <t>Two-element cylindrical antenna in a warm plasma</t>
  </si>
  <si>
    <t>10.1080/00207218608920842</t>
  </si>
  <si>
    <t>2-s2.0-0022752556</t>
  </si>
  <si>
    <t>['¬© 1986', 'theoretical admittance', 'rights reserved', 'radiation admittance', 'linearly polarised', 'line model', 'electrical engineers']</t>
  </si>
  <si>
    <t>Antennas | Transmission lines</t>
  </si>
  <si>
    <t>A quasi-TEM lossy transmission-line model is used to express the radiation admittance of an arbitrary-shape symmetrical patch antenna which is linearly polarised. The theoretical admittance is obtained from the solution of a Riccati differential general equation. ¬© 1986, The Institution of Electrical Engineers. All rights reserved.</t>
  </si>
  <si>
    <t>798-799</t>
  </si>
  <si>
    <t>Dubost, G.</t>
  </si>
  <si>
    <t>Linear Transmission-Line Model Analysis of Arbitrary-Shape Patch Antennas</t>
  </si>
  <si>
    <t>10.1049/el:19860547</t>
  </si>
  <si>
    <t>2-s2.0-0022752757</t>
  </si>
  <si>
    <t>['¬© 1986', 'switched time', 'switch matrix', 'satellite payload', 'rights reserved', 'performance summary', 'paper discusses', 'multibeam satellite', 'local oscillator', 'link budget', 'important constraints', 'frequency reuse', 'electrical engineers', 'domain multiple', 'design considerations', 'antenna performance']</t>
  </si>
  <si>
    <t>Antennas | Satellite links and space communication | Switches and switching theory | Telecommunication</t>
  </si>
  <si>
    <t>The paper discusses some of the particular design problems associated with a multibeam satellite-switched time-domain multiple-access (SS-TDMA) satellite payload. Contiguous beam coverage and frequency reuse between beams are shown to place some important constraints on the antenna performance. The local oscillator, switch matrix and input/output chain designs are dependent on the interbeam switching requirements. These design considerations are referenced to the Olympus Specialised Services Payload, for which a description, performance summary and link budget are presented. ¬© 1986, American Chemical Society. All rights reserved. ¬© 1986, The Institution of Electrical Engineers. All rights reserved.</t>
  </si>
  <si>
    <t>319-325</t>
  </si>
  <si>
    <t>IEE Proceedings F: Communications Radar and Signal Processing</t>
  </si>
  <si>
    <t>Watt, N.</t>
  </si>
  <si>
    <t>Marconi Space Systems</t>
  </si>
  <si>
    <t>Watt N.</t>
  </si>
  <si>
    <t>Multibeam SS-TDMA design considerations related to the Olympus Specialised Services Pay load</t>
  </si>
  <si>
    <t>10.1049/ip-f-1.1986.0055</t>
  </si>
  <si>
    <t>2-s2.0-0022752766</t>
  </si>
  <si>
    <t>['¬± 1', '¬± 0', 'voltage proportional', 'uncommanded loss', 'uncommanded changes', 'two truck', 'two ascending', 'transfer functions', 'transfer function', 'time history', 'sts ephemeris', 'statistical confidence', 'standard error', 'sirb response', 'sirb receiver', 'science objectives', 'receiver recorded', 'range pattern', 'preliminary analysis', 'point targets', 'pattern may', 'orbital pass', 'observed variance', 'nominal provided', 'multidate imagery', 'mounted scatterometers', 'mean difference', 'local angle', 'large number', 'known except', 'interpass variance', 'given date', 'four descending', 'externally calibrated', 'extended targets', 'establish end', 'electronics engineers', 'direct fashion', 'digital numbers', 'data takes', 'data take', 'completely defined', 'common basis', 'central illinois', 'calibrated receivers', 'bit image', 'azimuth directions', 'average 7', 'approximately 0', 'antenna range', 'antenna gain', 'allowing comparison', '85 db', '6 ghz', '35 db', '1 db']</t>
  </si>
  <si>
    <t>Data takes on two ascending orbits of the Shuttle Imaging Radar-B (SIRB) over an agricultural test site in west-central Illinois were used to establish end-to-end transfer functions for conversion of the digital numbers on the 8-bit image to values of the radar backscattering coefficient œÉ¬∞(m2/m2) in dB. The transfer function for each data take was defined by the SIRB response to an array of sixcalibrated point targets of known radar cross section (transponders) and to a large number of area-extended targets also with known radar cross section as measured by externally calibrated, truck-mounted scatterometers. The radar cross section of each transponder at the SIRB center frequency was measured on an antenna range as a function of the local angle of incidence. Two truck-mounted scatterometers observed 20‚Äì80 agricultural fields daily at 1.6 GHz with HH-polarization and at azimuth viewing angles and incidence angles equivalent to those of the SIRB. The form of the transfer function is completely defined by the SIRB receiver and the incoherent averaging procedure incorporated into production of the standard SIRB image product. Assuming that the processing properly accounts for the antenna gain, all transfer function coefficients are known except for the thermal noise power and a system ‚Äúconstant‚Äù that has been shown to vary as a function of uncommanded changes in the effective SIRB transmit power. For each orbital pass, the SIRB thermal noise was estimated from surface areas expected to yield specular reflection, and the system ‚Äúconstant‚Äù was determined for each area on the SIRB image containing a target of known radar cross section. Both the point targets and the area-extended targets were found to yield nearly identical results with a mean difference of approximately 0.1 dB. For a given date, the standard error of the estimate for the system ‚Äúconstant‚Äù as derived by this method is found to vary from¬±0.85 dB to ¬±1.35 dB. The interpass variance of the transfer functions was found to be related to the observed variance of the effective SIRB transmit power. Application of the system transfer functions to SIRB imagery permitted realization of science objectives by allowing comparison of multidate imagery on a common basis. Five of the six transponders also operated as calibrated receivers. For each of six data takes, two ascending and four descending, the receivers were distributed over an area extending approximately 20 km in both range and azimuth directions. For each SIRB data take, each receiver recorded the time history of a voltage proportional to the incident power density at the ground. The observed azimuth beam form appeared to be nominal with respect to specifications. Preliminary analysis of the range pattern, which could not be ascertained in a direct fashion with statistical confidence, indicates that the pattern may be nominal provided that the true antenna boresight is estimated to an accuracy of ¬±20via preliminary estimates of the STS ephemeris. Finally, the uncommanded loss of effective transmit power, which has been attributed to arcing, was found to average 7.1 dB and vary from pass-to-pass by approximately 3 dB. Copyright ¬© 1986 by The Institute of Electrical and Electronics Engineers, Inc.</t>
  </si>
  <si>
    <t>453-461</t>
  </si>
  <si>
    <t>60025778;60025778;100530812;60031581</t>
  </si>
  <si>
    <t>57024545700;7103159953;6603387840;7006935768</t>
  </si>
  <si>
    <t>Dobson, Myron C.;Ulaby, Fawwaz T.;Brunfeldt, David R.;Held, Daniel N.</t>
  </si>
  <si>
    <t>Pasadena;Ann Arbor;Lawrence</t>
  </si>
  <si>
    <t>California Institute of Technology;University of Michigan, Ann Arbor;Applied Microwave Corp</t>
  </si>
  <si>
    <t>60031581;60025778;100530812</t>
  </si>
  <si>
    <t>Dobson M.</t>
  </si>
  <si>
    <t>External Calibration of SIRB Imagery with Area-Extended and Point Targets</t>
  </si>
  <si>
    <t>10.1109/TGRS.1986.289659</t>
  </si>
  <si>
    <t>2-s2.0-0022752942</t>
  </si>
  <si>
    <t>['unlimited bandwidth', 'transverse distribution', 'spacing large', 'space wavelength', 'propagate independently', 'plate waveguide', 'little sensitivity', 'hybrid mode', 'electronics engineers', 'electromagnetic fields', 'corrugated waveguide', 'absorber walls']</t>
  </si>
  <si>
    <t>The electromagnetic fields that can propagate through a parallel-plate waveguide having absorber walls are investigated, and it is shown that dominant TMe 10 and TEe 10 modes can propagate independently with both having: a highly-tapered (cosine-type) transverse distribution, a phase velocity slightly exceeding the speed of light, and very low axial attenuation, especially for a wall-spacing large as compared to a free-space wavelength. In other words, such an absorber-guide acts like a corrugated waveguide having Œª/4‚Äù teeth (balanced-hybrid mode) but it does so over virtually an unlimited bandwidth and with little sensitivity to the absorber's characteristics. Copyright ¬© 1986 by The Institute of Electrical and Electronics Engineers, Inc.</t>
  </si>
  <si>
    <t>761-766</t>
  </si>
  <si>
    <t>60102558;60102558;60102558</t>
  </si>
  <si>
    <t>7006637880;7404914867;6603707852</t>
  </si>
  <si>
    <t>Knop, C. M.;Cheng, Y. B.;Ostertag, E. L.</t>
  </si>
  <si>
    <t>Joliet</t>
  </si>
  <si>
    <t>Andrew Corporation</t>
  </si>
  <si>
    <t>Knop C.M.</t>
  </si>
  <si>
    <t>An Absorber-Wall Parallel-Plate Waveguide</t>
  </si>
  <si>
    <t>10.1109/TMTT.1986.1133438</t>
  </si>
  <si>
    <t>2-s2.0-0022753795</t>
  </si>
  <si>
    <t>['¬© 1986', 'strip lines', 'short sections', 'rights reserved', 'radiating edge', 'proposed configuration', 'nonradiating edges', 'electrical engineers', 'directly coupled', 'central patch']</t>
  </si>
  <si>
    <t>A new hybrid type of configuration has been investigated to obtain wider bandwidth. In the proposed configuration, two parasitic resonators are directly coupled to the nonradiating edges of a central patch through short sections of the micro-strip lines and a third parasitic resonator is gap-coupled with its radiating edge. ¬© 1986, The Institution of Electrical Engineers. All rights reserved.</t>
  </si>
  <si>
    <t>853-855</t>
  </si>
  <si>
    <t>60030553-60013543;60030553;60030553;60030553</t>
  </si>
  <si>
    <t>57193682516;7202044329;6603795399;7006272544</t>
  </si>
  <si>
    <t>Bhatnagar, P. S.;Daniel, J. P.;Mahdjoubi, K.;Terret, C.</t>
  </si>
  <si>
    <t>France;India</t>
  </si>
  <si>
    <t>Rennes;Pilani</t>
  </si>
  <si>
    <t>Universite de Rennes 1;Central Electronics Engineering Research Institute India</t>
  </si>
  <si>
    <t>60030553;60013543</t>
  </si>
  <si>
    <t>Bhatnagar P.</t>
  </si>
  <si>
    <t>Hybrid Edge, Gap And Directly Coupled Triangular Microstrip Antenna</t>
  </si>
  <si>
    <t>10.1049/el:19860584</t>
  </si>
  <si>
    <t>2-s2.0-0022753961</t>
  </si>
  <si>
    <t>['unknown permittivity', 'two sets', 'standard medium', 'saline solutions', 'previous investigators', 'monopole antenna', 'measured using', 'measured permittivities', 'known permittivity', 'input admittance', 'good agreement', 'frequencies using', 'electrical size', 'complex permittivity', 'broad range', 'antenna immersed', 'alcohol 1']</t>
  </si>
  <si>
    <t>A procedure is developed for measuring the complex dielectric permittivity of a material over a broad range of frequencies using a monopole antenna. No restrictions are placed on the electrical size of the antenna. The antenna is calibrated one time by measuring the input admittance in a standard medium with known permittivity, such as air. Next, the admittance is measured with the antenna immersed in a material with unknown permittivity. These two sets of admittances are then used to determine the permittivity of the material. As an application of the procedure, the complex permittivity of the alcohol 1-butanol and saline solutions were measured using a cylindrical monopole antenna. The measured permittivities are in good agreement with those determined by previous investigators. ¬© 1986 IEEE</t>
  </si>
  <si>
    <t>919-929</t>
  </si>
  <si>
    <t>60021032;60021032</t>
  </si>
  <si>
    <t>7403053802;7406739047</t>
  </si>
  <si>
    <t>Scott, Waymond R.;Smith, Glenn S.</t>
  </si>
  <si>
    <t>Georgia Institute of Technology</t>
  </si>
  <si>
    <t>Scott W.</t>
  </si>
  <si>
    <t>Dielectric Spectroscopy Using Monopole Antennas of General Electrical Length</t>
  </si>
  <si>
    <t>10.1109/TAP.1986.1143915</t>
  </si>
  <si>
    <t>2-s2.0-0022754072</t>
  </si>
  <si>
    <t>Centre National d‚ÄôEtudes Spatiales</t>
  </si>
  <si>
    <t>83-3058</t>
  </si>
  <si>
    <t>CNES</t>
  </si>
  <si>
    <t>['simulation conditions', 'rights reserved', 'launcher wall', 'launcher interaction', 'flowfield visualization', 'flow structure', 'density surveys', 'another configuration', 'also presented']</t>
  </si>
  <si>
    <t>Experiments are carried out to quantify interaction effects due to retrorocket plume impingement on Ariane launcher upper stages. Wall pressure measurements, combined with density surveys and flowfield visualization, give useful information on the flow structure in the vicinity of the payload. Wall pressure data obtained in simulation conditions are converted into real flight values by applying an approximate transportation method. Another configuration is also presented where the shock, induced by the plume/launcher interaction, intersects antennas located perpendicular to the launcher wall. The shock impingement induces high levels of local heat fluxes. ¬© American Institute of Aeronautics and Astronautics, Inc., 1986, All rights reserved.</t>
  </si>
  <si>
    <t>368-372</t>
  </si>
  <si>
    <t>117815043;117815043;60008134</t>
  </si>
  <si>
    <t>7006002227;6701311211;6603950841</t>
  </si>
  <si>
    <t>All√©gre, J.;Raffin, M.;Lengrand, J. C.</t>
  </si>
  <si>
    <t>Paris;Meudon</t>
  </si>
  <si>
    <t>CNRS Centre National de la Recherche Scientifique;Soci√©t√© d‚ÄôEtudes de Constructions et de Services</t>
  </si>
  <si>
    <t>60008134;117815043</t>
  </si>
  <si>
    <t>All√©gre J.</t>
  </si>
  <si>
    <t>Experimental study of the plume impingement problem associated with rocket stage separation</t>
  </si>
  <si>
    <t>10.2514/3.25814</t>
  </si>
  <si>
    <t>2-s2.0-0022754115</t>
  </si>
  <si>
    <t>['theoretical investigation', 'system range', 'electronics engineers', 'antenna arrays']</t>
  </si>
  <si>
    <t>Modern radio positioning systems often use multiple- antenna arrays or corner reflector arrays in order to increase the system range. A theoretical investigation of the movement of the antenna phase center on these arrays is carried out, and the resulting distance error is presented for several array configurations. Copyright ¬© 1986 by The Institute of Electrical and Electronics Engineers, Inc.</t>
  </si>
  <si>
    <t>422-427</t>
  </si>
  <si>
    <t>Tranquilla J.M.</t>
  </si>
  <si>
    <t>On the Use of Multiple Antenna Arrays and Corner Reflector Assemblies in Radio Positioning Applications</t>
  </si>
  <si>
    <t>10.1109/JOE.1986.1145198</t>
  </si>
  <si>
    <t>2-s2.0-0022754162</t>
  </si>
  <si>
    <t>['theoretic approach', 'log plot', 'limiting value', 'large range', 'incremental change', 'form equation', 'electronics engineers']</t>
  </si>
  <si>
    <t>A closed-form equation is given for minimum redundancy linear arrays (MRLAs) based on a graph-theoretic approach. The results obtained include an expression for incremental change and a log-log plot for a large range of values as well as a plot of redundancy with limiting value of 4/3. Copyright ¬© 1986 by The Institute of Electrical and Electronics Engineers, Inc.</t>
  </si>
  <si>
    <t>1040-1043</t>
  </si>
  <si>
    <t>Bedrosian, Samuel D.</t>
  </si>
  <si>
    <t>Bedrosian S.D.</t>
  </si>
  <si>
    <t>Nonuniform Linear Arrays: Graph-Theoretic Approach to Minimum Redundancy</t>
  </si>
  <si>
    <t>10.1109/PROC.1986.13581</t>
  </si>
  <si>
    <t>2-s2.0-0022754170</t>
  </si>
  <si>
    <t>['steering vector', 'spnmi processor', 'random errors', 'output snr', 'output signal', 'optimal weights', 'noise ratio', 'nami processor', 'look direction', 'error variance', 'electronics engineers', 'computed using', 'array gain']</t>
  </si>
  <si>
    <t>The optimal weights of an antenna array processor, which maximizes the output signal-to-noise ratio (SNR) in the absence of errors, are computed using the noise-alone matrix inverse (NAMI) and the steering vector in the look direction or the signal-plus-noise matrix inverse (SPNMI) and the steering vector. In practice the estimated steering vector as well as the estimated optimal weights are corrupted by random errors. This paper has analyzed the effects of these errors on the performance of the NAMI processor and the SPNMI processor by deriving analytic expressions for the output signal power, output noise power, output SNR, and the array gain as a function of the error variance. The treatment is for a general array configuration and no assumption about a particular array geometry is made. Copyright ¬© 1986 by The Institute of Electrical and Electronics Engineers, Inc.</t>
  </si>
  <si>
    <t>395-409</t>
  </si>
  <si>
    <t>Godara, Lal C.</t>
  </si>
  <si>
    <t>Error Analysis of the Optimal Antenna Array Processors</t>
  </si>
  <si>
    <t>10.1109/TAES.1986.310775</t>
  </si>
  <si>
    <t>2-s2.0-0022754483</t>
  </si>
  <si>
    <t>['usually restricted', 'transmitted signals', 'performance comparison', 'paper presents', 'multicomponent wavefields', 'modern techniques', 'ionospheric multipath', 'interference effects', 'generally produced', 'electronics engineers', 'cochannel interference']</t>
  </si>
  <si>
    <t>The problem of high-frequency radio direction finding (HFDF) has perennially been compounded by the interference effects of multicomponent wavefields. The wavefields are generally produced by ionospheric multipath or cochannel interference from other transmitted signals. Because HFDF sytems must operate on short duration signals and are usually restricted to limited antenna array apertures, modern techniques of superresolution spectral analysis are applied to resolve the constituency of multicomponent wavefields. This paper presents a performance comparison of five superresolution spectral algorithms in solving the HFDF wave interference problem. Copyright ¬© 1986 by The Institute of Electrical and Electronics Engineers, Inc.</t>
  </si>
  <si>
    <t>432-442</t>
  </si>
  <si>
    <t>60011533;60011533</t>
  </si>
  <si>
    <t>55574240579;7003312504</t>
  </si>
  <si>
    <t>Johnson, R. L.;Miner, G. E.</t>
  </si>
  <si>
    <t>San Antonio</t>
  </si>
  <si>
    <t>Southwest Research Institute</t>
  </si>
  <si>
    <t>Johnson R.L.</t>
  </si>
  <si>
    <t>Comparison of Superresolution Algorithms for Radio Direction Finding</t>
  </si>
  <si>
    <t>10.1109/TAES.1986.310779</t>
  </si>
  <si>
    <t>2-s2.0-0022754713</t>
  </si>
  <si>
    <t>['¬© 1986', 'rights reserved', 'recent advances', 'paper examines', 'paper describes', 'military aerosatcoms', 'electrical engineers', 'development marks', 'antenna technologies']</t>
  </si>
  <si>
    <t>Avionics | Satellite links and space communication</t>
  </si>
  <si>
    <t>The paper describes the development of Europe's first super high frequency (SHF) military aircraft satellite communications ('aerosatcoms') terminal. This development marks the accelerating international interest in both civil and military aerosatcoms which has been spurred by recent advances in space, microwave, modulation and antenna technologies. The paper examines the impact of these advances on the military aircraft project and discusses key design parameters, features and constraints. ¬© 1986, The Institution of Electrical Engineers. All rights reserved.</t>
  </si>
  <si>
    <t>411-419</t>
  </si>
  <si>
    <t>100499409;100499409</t>
  </si>
  <si>
    <t>7102877169;6505935992</t>
  </si>
  <si>
    <t>Cummings, D.;Wildey, C. G.</t>
  </si>
  <si>
    <t>Oxnead</t>
  </si>
  <si>
    <t>Marconi Defence Systems</t>
  </si>
  <si>
    <t>Cummings D.</t>
  </si>
  <si>
    <t>Military Aeronautical Satellite Communications</t>
  </si>
  <si>
    <t>10.1049/ip-f-1.1986.0066</t>
  </si>
  <si>
    <t>2-s2.0-0022754761</t>
  </si>
  <si>
    <t>['underlying rotation', 'signal parameters', 'new approach', 'method relies', 'electronics engineers', 'efficient estimates', 'earlier techniques', 'arrival estimation', 'also applicable']</t>
  </si>
  <si>
    <t>A new approach to Estimation of Signal Parameters by Rotational Invariance Techniques (ESPRIT) is described in the context of direction-of-arrival estimation, but is also applicable to other problems. The method relies on finding the underlying rotation between the common subspaces associated with an array of pairwise-matched and codirectional sensor doublets. ESPRIT has several remarkable advantages over earlier techniques such as MUSIC, and also provides asymptotically unbiased and efficient estimates. Copyright ¬© 1986 by The Institute of Electrical and Electronics Engineers, Inc.</t>
  </si>
  <si>
    <t>1044-1046</t>
  </si>
  <si>
    <t>60012708;60012708;60012708</t>
  </si>
  <si>
    <t>7004920065;7402939479;7102843718</t>
  </si>
  <si>
    <t>Paulraj, A.;Roy, R.;Kailath, T.</t>
  </si>
  <si>
    <t>Paulraj A.</t>
  </si>
  <si>
    <t>A Subspace Rotation Approach to Signal Parameter Estimation</t>
  </si>
  <si>
    <t>10.1109/PROC.1986.13583</t>
  </si>
  <si>
    <t>2-s2.0-0022755283</t>
  </si>
  <si>
    <t>['¬© 1986', 'rights reserved', 'real need', 'problems occurring', 'paper investigates', 'paper demonstrates', 'gain elements', 'frequency reuse', 'electrical engineers', 'demonstration model', 'communications satellites', 'array electronics', 'appropriate configurations', 'active arrays', '32 subarrays', '12 ghz']</t>
  </si>
  <si>
    <t>Antennas (arrays) | Radiocommunication | Satellite links and space communication | Telecommunication</t>
  </si>
  <si>
    <t>The paper investigates the design of active phased arrays for communications satellites. In particular, consideration is given to the problems occurring when active arrays are required to produce multiple beams. There is a real need to keep the complexity of the array electronics to a minimum, but this conflicts with the desire to obtain the greatest possible freedom of control of the radiation pattern produced. The paper demonstrates a method of coping with the problem. Low-gain elements are used to provide design freedom and they are grouped into subarrays to limit the complexity of the rest of the system. With appropriate configurations of subarrays, greatly improved radiation pattern characteristics can be obtained and frequency reuse between multiple beams becomes feasible. A demonstration model of 108 microstrip patches grouped into 32 subarrays, operating at 12 GHz, has been constructed and verifies that the technique is effective. ¬© 1986, American Chemical Society. All rights reserved. ¬© 1986, The Institution of Electrical Engineers. All rights reserved.</t>
  </si>
  <si>
    <t>339-344</t>
  </si>
  <si>
    <t>60022148-118142405;60022148;100314005</t>
  </si>
  <si>
    <t>7103181811;7202841709;57197159727</t>
  </si>
  <si>
    <t>Sheehan, P. G.;Forrest, J. R.;Forrest, J. R.</t>
  </si>
  <si>
    <t>United Kingdom;United Kingdom;United Kingdom</t>
  </si>
  <si>
    <t>London;London;Stanmore</t>
  </si>
  <si>
    <t>University College London;Technology Investor;Marconi Defence Systems Ltd</t>
  </si>
  <si>
    <t>60022148;118142405;100314005</t>
  </si>
  <si>
    <t>Sheehan P.G.</t>
  </si>
  <si>
    <t>Satellite-borne active phased array techniques for mobile communications</t>
  </si>
  <si>
    <t>10.1049/ip-f-1.1986.0057</t>
  </si>
  <si>
    <t>2-s2.0-0022755520</t>
  </si>
  <si>
    <t>['¬© 1986', 'several temperature', 'rights reserved', 'explained quantitatively', 'electrical engineers', 'density conditions', 'aperture antenna', '5 ghz']</t>
  </si>
  <si>
    <t>Attenuation | Dielectrics</t>
  </si>
  <si>
    <t>The relative dielectric constant Œµ, and dielectric loss tan Œ¥ of snow are measured at 9.5 GHz under several temperature and density conditions. The received microwave level degradation of an aperture antenna with snow on it is explained quantitatively by using the obtained dielectric characteristics. ¬© 1986, The Institution of Electrical Engineers. All rights reserved.</t>
  </si>
  <si>
    <t>823-825</t>
  </si>
  <si>
    <t>60022313;60022313;60022313;60022313</t>
  </si>
  <si>
    <t>7202226541;55495528400;57207762039;57211784393</t>
  </si>
  <si>
    <t>Koizumi, S.;Sato, K.;Sato, T.;Shimba, M.</t>
  </si>
  <si>
    <t>Niigata</t>
  </si>
  <si>
    <t>Niigata University</t>
  </si>
  <si>
    <t>Koizumi S.</t>
  </si>
  <si>
    <t>Dielectric Characteristics of Snow in Microwave Frequency</t>
  </si>
  <si>
    <t>10.1049/el:19860565</t>
  </si>
  <si>
    <t>2-s2.0-0022756765</t>
  </si>
  <si>
    <t>['variable earth', 'upgraded version', 'topographic mapping', 'successive days', 'specific targets', 'sirb instrument', 'radiometric accuracy', 'progressively develop', 'orbit aboard', 'october 5', 'including loss', 'incidence angle', 'imaging geometry', 'handling system', 'electronics engineers', 'dynamic range', 'digital data', 'calibration subsystem', 'backscatter signatures', 'areal coverage', 'antenna mechanically', 'additional capability', 'acquire imagery', '60 ¬∞.', '15 ¬∞']</t>
  </si>
  <si>
    <t>On October 5, 1984, the second Shuttle Imaging Radar (SIRB) was launched into orbit aboard the space shuttle Challenger. SIRB is part of an evolutionary radar program designed to progressively develop a multifrequency, multipolarization synthetic aperture radar with a variable Earth-imaging geometry. The SIRB instrument is an upgraded version of SIR-A, with the additional capability of tilting the antenna mechanically to acquire imagery at variable incidence angles ranging from 15¬∞ to 60¬∞. The variable look angle capability provided a means of acquiring multiple incidence angle imagery over specific targets on successive days of the mission. These data are being used to classify surface features by their backscatter signatures as a function of incidence angle and for topographic mapping. In addition to the antenna tilt capability, a digital data-handling system was added to increase the dynamic range, the resolution was improved by a factor of two over SIR-A, and a calibration subsystem was added to improve the radiometric accuracy of the data. The mission had a number of problems, including loss of the primary digital data path between the shuttle and the ground. In spite of these problems, approximately 20 percent of the planned digital data were collected over the 8-day shuttle mission corresponding to an areal coverage of about 6.4 million km2. Copyright ¬© 1986 by The Institute of Electrical and Electronics Engineers, Inc.</t>
  </si>
  <si>
    <t>445-452</t>
  </si>
  <si>
    <t>60009037;60009037;60028556</t>
  </si>
  <si>
    <t>7006337143;7005392498;24571440900</t>
  </si>
  <si>
    <t>Cimino, Jobea;Elachi, Charles;Settle, Mark</t>
  </si>
  <si>
    <t>London;Pasadena</t>
  </si>
  <si>
    <t>BP p.l.c.;Jet Propulsion Laboratory</t>
  </si>
  <si>
    <t>60028556;60009037</t>
  </si>
  <si>
    <t>Cimino J.</t>
  </si>
  <si>
    <t>SIRB‚ÄîThe Second Shuttle Imaging Radar Experiment</t>
  </si>
  <si>
    <t>10.1109/TGRS.1986.289658</t>
  </si>
  <si>
    <t>2-s2.0-0022757354</t>
  </si>
  <si>
    <t>['¬© 1986', 'rights reserved', 'polarisation purity', 'polarisation properties', 'numerical analysis', 'high degree', 'helical antenna', 'experimental results', 'electrical engineers', 'antenna structure']</t>
  </si>
  <si>
    <t>Antennas | Polarisation</t>
  </si>
  <si>
    <t>A helical antenna with a high degree of polarisation purity for directions near endfire is described. The antenna structure was optimised by numerical analysis of its polarisation properties. Theoretical and experimental results are presented. ¬© 1986, The Institution of Electrical Engineers. All rights reserved.</t>
  </si>
  <si>
    <t>787-789</t>
  </si>
  <si>
    <t>60011604;60011604</t>
  </si>
  <si>
    <t>7003780679;6602265580</t>
  </si>
  <si>
    <t>Kraft, U.;M√∂NICH, G.</t>
  </si>
  <si>
    <t>Technical University of Berlin</t>
  </si>
  <si>
    <t>Kraft U.</t>
  </si>
  <si>
    <t>Helix Antenna with Optimised Main-Beam Polarisation</t>
  </si>
  <si>
    <t>10.1049/el:19860540</t>
  </si>
  <si>
    <t>2-s2.0-0022757445</t>
  </si>
  <si>
    <t>['¬© 1986', 'rights reserved', 'recent experiments', 'investigated experimentally', 'electrical engineers', 'broadband behaviour', '5 %.']</t>
  </si>
  <si>
    <t>The broadband behaviour of a pair of stacked triangular microstrip antennas is investigated experimentally. Recent experiments have shown that the bandwidth of a triangular microstrip antenna (TMA) can be broadened to as high as 17-5%. ¬© 1986, The Institution of Electrical Engineers. All rights reserved.</t>
  </si>
  <si>
    <t>864-865</t>
  </si>
  <si>
    <t>60030553;60030553;60030553;60013543</t>
  </si>
  <si>
    <t>57207430223;6603795399;7006272544;57193682516</t>
  </si>
  <si>
    <t>Daniel, J. P.;Mahdjoubi, K.;Terret, C.;Bhatnagar, P. S.</t>
  </si>
  <si>
    <t>Daniel J.P.</t>
  </si>
  <si>
    <t>Experimental Study on Stacked Triangular Microstrip Antennas</t>
  </si>
  <si>
    <t>10.1049/el:19860591</t>
  </si>
  <si>
    <t>2-s2.0-0022757487</t>
  </si>
  <si>
    <t>['unlikely event', 'subject antenna', 'principal high', 'performed successfully', 'may 20', 'final design']</t>
  </si>
  <si>
    <t>The development and performance is described of a high-gain antenna designed to serve on the Pioneer Venus Orbiter spacecraft as a backup to the principal high-gain antenna unit in the unlikely event the mechanically despun antenna mechanism malfunctioned. The final design, a center-fed standing wave array of six sleeve dipoles enclosed in a fiber glass radome, performed successfully, as did all the antennas, on the Pioneer Orbiter spacecraft which was launched on May 20, 1978, as part of the Pioneer Venus mission. Photographs of experimental models giving details of design and construction are included, as well as graphs showing measured pattern and impedance matching characteristics of the subject antenna. ¬© 1986 IEEE</t>
  </si>
  <si>
    <t>891-895</t>
  </si>
  <si>
    <t>Glaser, Jerome I.</t>
  </si>
  <si>
    <t>Glaser J.</t>
  </si>
  <si>
    <t>High-Gain Backup Antenna Design for Pioneer Venus Orbiter Spacecraft</t>
  </si>
  <si>
    <t>10.1109/TAP.1986.1143918</t>
  </si>
  <si>
    <t>2-s2.0-0022757570</t>
  </si>
  <si>
    <t>Langley Research Center</t>
  </si>
  <si>
    <t>NAS1-17919</t>
  </si>
  <si>
    <t>LaRC</t>
  </si>
  <si>
    <t>['¬© 1986', 'tip body', 'stabilizer uses', 'space vehicle', 'slewing maneuver', 'simulation results', 'performed using', 'force actuator', 'flexible modes', 'feedback path', 'dynamic system', 'designed assuming', 'controller includes', 'control law', 'beamtip body', 'attitude angle', 'angle single', 'adaptive controller']</t>
  </si>
  <si>
    <t>We present a control law for large-angle single-axis rotational maneuvers of a spacecraft-beamtip body (an antenna or a reflector) configuration. It is assumed that an unknown but bounded disturbance torque is acting on the spacecraft. A model reference adaptive torque control law is derived for the slewing of the space vehicle. This controller includes a dynamic system in the feedback path and requires only attitude angle and rate of the space vehicle for feedback. For damping out the elastic motion excited by the slewing maneuver, a stabilizer is designed assuming that a torquer and a force actuator are available at the tip body. The stabilizer uses only the flexible modes for the synthesis of the control law. Simulation results are presented to show that fast, large-angle rotational maneuvers can be performed using the adaptive controller and the stabilizer in spite of the presence of continuously acting unknown torque on the spacecraft. ¬© 1986.</t>
  </si>
  <si>
    <t>507-514</t>
  </si>
  <si>
    <t>Singh, Sahjendra N.</t>
  </si>
  <si>
    <t>Hampton</t>
  </si>
  <si>
    <t>ViGYAN, Inc.</t>
  </si>
  <si>
    <t>Singh S.</t>
  </si>
  <si>
    <t>Nonlinear attitude control of flexible spacecraft under disturbance torque</t>
  </si>
  <si>
    <t>0094-5765(86)90029-9</t>
  </si>
  <si>
    <t>10.1016/0094-5765(86)90029-9</t>
  </si>
  <si>
    <t>2-s2.0-0022762562</t>
  </si>
  <si>
    <t>['transmission region', 'tm incidence', 'selective surface', 'reflection band', 'range 1', 'predicted plane', 'normal incidence', 'modal formulation', 'francis group', 'experimental results', 'element currents', 'band antennas', '45 ¬∞', '10 arrays']</t>
  </si>
  <si>
    <t>As a frequency-selective surface for dual-band antennas the gridded square provides a transmission region which lies below the reflection band and separated from it in frequency by a factor in the range 1-3 to about 2. A modal formulation of the element currents is presented. Features of the predicted plane-wave transmission response for TE and TM incidence at 45¬∞ and for normal incidence are compared with experimental results for a sample of 10 arrays. ¬© 1986 Taylor and Francis Group, LLC.</t>
  </si>
  <si>
    <t>219-224</t>
  </si>
  <si>
    <t>105199357;105199357</t>
  </si>
  <si>
    <t>57206216732;7201840709</t>
  </si>
  <si>
    <t>Mok, T. S.;Parker, E. A.</t>
  </si>
  <si>
    <t>The University</t>
  </si>
  <si>
    <t>Mok T.</t>
  </si>
  <si>
    <t>Gridded square frequency-selective surfaces</t>
  </si>
  <si>
    <t>10.1080/00207218608920861</t>
  </si>
  <si>
    <t>2-s2.0-0022766383</t>
  </si>
  <si>
    <t>['¬© 1986', 'uniformity factor', 'rights reserved', 'representative results', 'electrical engineers', 'compact range', 'aperture field']</t>
  </si>
  <si>
    <t>For a dual parabolic cylindrical reflector configuration employed as a compact range, a uniformity factor is defined to indicate the uniformity of the aperture field. The effects of the reflector geometrical parameters on this uniformity factor are studied and some representative results are presented. ¬© 1986, The Institution of Electrical Engineers. All rights reserved.</t>
  </si>
  <si>
    <t>909-911</t>
  </si>
  <si>
    <t>7004817270;8092251400</t>
  </si>
  <si>
    <t>Sanad, M. S.A.;Shafai, L.</t>
  </si>
  <si>
    <t>Sanad M.</t>
  </si>
  <si>
    <t>Uniformity Factor of A Compact Range Using Dual Parabolic Cylindrical Reflectors</t>
  </si>
  <si>
    <t>10.1049/el:19860620</t>
  </si>
  <si>
    <t>2-s2.0-0022766590</t>
  </si>
  <si>
    <t>['window function', 'widely used', 'numerical evaluation', 'fourier transforms', 'fourier transform', 'boundary contour']</t>
  </si>
  <si>
    <t>Two-dimensional window functions and their Fourier transforms are widely used in electromagnetics and optics. It is shown that the two-dimensional Fourier transform of a window function can be written as a line integral along the boundary contour of that window function. This reduction of the two-dimensional Fourier integral to a one-dimensional line integral is attractive for both the closed-form and numerical evaluation of the Fourier transform of complex shaped window functions. Some applications of this new evaluation method are discussed.</t>
  </si>
  <si>
    <t>291-296</t>
  </si>
  <si>
    <t>Aug</t>
  </si>
  <si>
    <t>NEW METHOD TO EVALUATE THE FOURIER TRANSFORM OF A TWO-DIMENSIONAL WINDOW FUNCTION WITH PIECEWISE CONTINUOUS BOUNDARIES. APPLICATION IN ANTENNA THEORY.</t>
  </si>
  <si>
    <t>10.1049/ip-h-2.1986.0051</t>
  </si>
  <si>
    <t>2-s2.0-0022766789</t>
  </si>
  <si>
    <t>['single integration', 'simplified expressions', 'significant improvement', 'second kinds', 'obtained approximately', 'near zone', 'magnetic frill', 'electromagnetic field', 'closed form', 'checked numerically']</t>
  </si>
  <si>
    <t>The simplified expressions for the electromagnetic field of the near zone from the magnetic frill are derived. In these formulas, E, and Hœï are expressed as a single integration of the complete elliptical integrals of the first and second kinds. Furthermore the closed form of Ez is obtained approximately. Their accuracy is checked numerically by comparing with Tsai‚Äôs, and significant improvement in efficiencies is obtained. ¬© 1986 IEEE.</t>
  </si>
  <si>
    <t>1059-1062</t>
  </si>
  <si>
    <t>60019983;60019983</t>
  </si>
  <si>
    <t>6603068221;35608208100</t>
  </si>
  <si>
    <t>Sakitani, Akihide;Egashira, Shigeru</t>
  </si>
  <si>
    <t>Sakitani A.</t>
  </si>
  <si>
    <t>Simplified Expressions for the Near Fields of a Magnetic Frill Current</t>
  </si>
  <si>
    <t>10.1109/TAP.1986.1143942</t>
  </si>
  <si>
    <t>2-s2.0-0022767009</t>
  </si>
  <si>
    <t>['ground plane', 'francis group', 'air gap']</t>
  </si>
  <si>
    <t>A detailed theory based on the two-layered cavity model is presented for the annular-ring microstrip antenna with an air gap between the substrate and the ground plane. Comparison between theory and experiment is given. ¬© 1986 Taylor and Francis Group, LLC.</t>
  </si>
  <si>
    <t>207-217</t>
  </si>
  <si>
    <t>60032143;102051754</t>
  </si>
  <si>
    <t>7501501369;7003504220</t>
  </si>
  <si>
    <t>Lee, K. F.;Dahele, J. S.</t>
  </si>
  <si>
    <t>United States;United Kingdom</t>
  </si>
  <si>
    <t>Akron;Shrivenham</t>
  </si>
  <si>
    <t>University of Akron;School of Electrical Engineering</t>
  </si>
  <si>
    <t>Lee K.F.</t>
  </si>
  <si>
    <t>The two-layered annular-ring microstrip antenna</t>
  </si>
  <si>
    <t>10.1080/00207218608920860</t>
  </si>
  <si>
    <t>2-s2.0-0022767041</t>
  </si>
  <si>
    <t>['surface wave', 'sommerfeld formulas', 'readily deduced', 'radiation pattern', 'microstrip structures', 'leffler expansion', 'layered medium', 'image functions', 'field integrals', 'field calculations', 'also deduced']</t>
  </si>
  <si>
    <t>It is shown that the inverse Laplace transform of the Fourier domain reflection coefficient of a layered medium can be derived by performing the Mittag-Leffler expansion. Thus exact image theory can be used in field calculations. The radiation pattern is readily deduced from the image functions and the surface wave is also deduced from the field integrals. As applied to microstrip structures, the asymptotic approximations agree with the Sommerfeld formulas.</t>
  </si>
  <si>
    <t>297-304</t>
  </si>
  <si>
    <t>7004143659;7102492958;6603076451</t>
  </si>
  <si>
    <t>Alanen, E.;Lindell, I. V.;Hujanen, A. T.</t>
  </si>
  <si>
    <t>EXACT IMAGE METHOD FOR FIELD CALCULATION IN HORIZONTALLY LAYERED MEDIUM ABOVE A CONDUCTING GROUND PLANE.</t>
  </si>
  <si>
    <t>10.1049/ip-h-2.1986.0052</t>
  </si>
  <si>
    <t>2-s2.0-0022767871</t>
  </si>
  <si>
    <t>['substrate thickness', 'radiation patterns', 'radiation pattern', 'probe position', 'patch size', 'numerical solution', 'generated using', 'dielectric permittivity']</t>
  </si>
  <si>
    <t>The numerical solution of circular microstrip antenna is carried out using the method of moment. The effect of the probe position, The dielectric permittivity of the substrate, and the substrate thickness on the radiation pattern and the mode excitation efficiency are studied. It is found that the probe position and the patch size can be used to control the mode excitation efficiency, and heigher order modes can be generated using only one feed location. Also, the finite ground plane can be used to improve the symmetry of the radiation patterns. The technique is general and can be used to investigate other scattering and antenna problems involving axisymmetric geometries. ¬© 1986 IEEE.</t>
  </si>
  <si>
    <t>969-976</t>
  </si>
  <si>
    <t>Kishk A.</t>
  </si>
  <si>
    <t>The Effect of Various Parameters of Circular Microstrip Antennas on Their Radiation Efficiency and the Mode Excitation</t>
  </si>
  <si>
    <t>10.1109/TAP.1986.1143939</t>
  </si>
  <si>
    <t>2-s2.0-0022767879</t>
  </si>
  <si>
    <t>['tirem ))', 'terrain geometry', 'target heights', 'specific models', 'selected based', 'proper algorithm', 'new site', 'multiple knife', 'model predictions', 'makes use', 'lapse ),', 'general terrain', 'five frequencies', 'expected performance', 'compute multipath', 'brief discussion']</t>
  </si>
  <si>
    <t>SEKE, a new site-specific propagation model for general terrain, makes use of the original Lincoln Laboratory models geometrical optics (GOPT), low altitude propagation spherical earth (LAPSE), and low altitude propagation knife edges (LAPKE) to compute multipath, spherical earth diffraction, and multiple knife-edge diffraction losses. The proper algorithm is selected based on terrain geometry, antenna and target heights, and frequency. Comparison of model predictions with measurements over several paths ranging from level to rough at five frequencies (X-band through VHF) is presented. A brief discussion on the performance of SEKE over general terrain with respect to the expected performance of the two other general terrain-specific models (Longley-Rice and terrain integrated rough earth model (TIREM)) is given. ¬© 1986 IEEE.</t>
  </si>
  <si>
    <t>1013-1023</t>
  </si>
  <si>
    <t>Ayasli, Serpil</t>
  </si>
  <si>
    <t>Ayasli S.</t>
  </si>
  <si>
    <t>SEKE: A Computer Model for Low Altitude Radar Propagation Over Irregular Terrain</t>
  </si>
  <si>
    <t>10.1109/TAP.1986.1143933</t>
  </si>
  <si>
    <t>2-s2.0-0022768029</t>
  </si>
  <si>
    <t>['waveguide discontinuities', 'usual approximations', 'two methods', 'three steps', 'theoretical predictions', 'spectral method', 'several horns', 'semiflare angles', 'radiation patterns', 'modal analysis', 'hybrid technique', 'hybrid modal', 'horn antenna', 'hmsm ).', 'good agreement', 'field characteristics', 'experimental results', 'entire problem', 'corrugations ).', 'aperture problem', 'accurately solved']</t>
  </si>
  <si>
    <t>A hybrid technique is proposed to solve the entire problem of corrugated and noncorrugated rectangular horns without the usual approximations. The horn antenna is simulated by a multistepped waveguide structure radiating into half-space. The procedure is composed of three steps. First, assuming the horn to be terminated by infinite metallic flange, the aperture problem is accurately solved by a hybrid modal-spectral method (HMSM). Second, the modal analysis (MA) method and scattering matrix concept of waveguide discontinuities are employed to solve the transverse multidiscontinuity problems. Finally, the two methods are combined (MA-HMSM) to solve the entire problem of the horn antenna. The proposed technique allows to obtain not only the radiation patterns, but also the reflection and near-field characteristics of the horn, without any restriction on the geometry (semiflare angles, profiled horn contours, corrugations). A good agreement between theoretical predictions and experimental results has been obtained for several horns. ¬© 1986 IEEE.</t>
  </si>
  <si>
    <t>961-968</t>
  </si>
  <si>
    <t>60009455;60009455</t>
  </si>
  <si>
    <t>57225784224;7006350192</t>
  </si>
  <si>
    <t>Encinar, Jose A.;Rebollar, Jes√ös M.</t>
  </si>
  <si>
    <t>Madrid</t>
  </si>
  <si>
    <t>Escuela T√©cnica Superior de Ingenieros de Telecomunicaci√≥n, Universidad Polit√©cnica de Madrid</t>
  </si>
  <si>
    <t>Encinar J.A.</t>
  </si>
  <si>
    <t>A Hybrid Technique for Analyzing Corrugated and Noncorrugated Rectangular Horns</t>
  </si>
  <si>
    <t>10.1109/TAP.1986.1143930</t>
  </si>
  <si>
    <t>2-s2.0-0022768030</t>
  </si>
  <si>
    <t>['typical scatterers', 'thus demonstrating', 'scattering calculation', 'scatterers built', 'parametric study', 'matching technique', 'grid model', 'general approach', 'dimensional circular', 'conducting cylinders', 'arbitrary two']</t>
  </si>
  <si>
    <t>Based on the cylinder-grid model, i. e. , the combination of wave function expansion solutions of an infinitely long circular cylinder and the boundary condition point-matching technique, a general approach to the scattering calculation of arbitrary two-dimensional circular-cylinder-arrays is presented. Three numerical examples of typical scatterers are given, thus demonstrating that the analysis approach presented is useful for parametric study and the design of antennas and scatterers built of conducting cylinders.</t>
  </si>
  <si>
    <t>322-324</t>
  </si>
  <si>
    <t>Fan, Desen</t>
  </si>
  <si>
    <t>Hefei</t>
  </si>
  <si>
    <t>University of Science and Technology of China</t>
  </si>
  <si>
    <t>Fan D.</t>
  </si>
  <si>
    <t>ANALYSIS OF TWO-DIMENSIONAL CIRCULAR-CYLINDER-ARRAY SCATTERERS.</t>
  </si>
  <si>
    <t>10.1049/ip-h-2.1986.0057</t>
  </si>
  <si>
    <t>2-s2.0-0022768118</t>
  </si>
  <si>
    <t>['parameter studies', 'measured data', 'experimental results', 'design data', 'coupling effects', 'analysis includes']</t>
  </si>
  <si>
    <t>A microstrip patch antenna that is coupled to a microstripline by an aperture in the intervening ground plane is analyzed. Coupled integral equations are formulated by using the Green's functions for grounded dielectric slabs so that the analysis includes all coupling effects and the radiation and surface wave effects of both substrates. A Galerkin moment method solution of the coupled integral equations agrees quite well with measured data. Design data are contained in parameter studies, many of which are verified by experimental results. ¬© 1986 IEEE.</t>
  </si>
  <si>
    <t>977-984</t>
  </si>
  <si>
    <t>60021378;60014313</t>
  </si>
  <si>
    <t>7402033498;7006791463</t>
  </si>
  <si>
    <t>Sullivan, Peter L.;Schaubert, Daniel H.</t>
  </si>
  <si>
    <t>Murray;Amherst MA</t>
  </si>
  <si>
    <t>Nokia Bell Labs;University of Massachusetts Amherst</t>
  </si>
  <si>
    <t>Sullivan P.</t>
  </si>
  <si>
    <t>Analysis of an Aperture Coupled Microstrip Antenna</t>
  </si>
  <si>
    <t>10.1109/TAP.1986.1143929</t>
  </si>
  <si>
    <t>2-s2.0-0022768130</t>
  </si>
  <si>
    <t>['zone components', 'various near', 'time may', 'quantities may', 'poynting vector', 'power radiated', 'power flowing', 'power contained', 'mathematical model', 'far zone', 'current radiator', 'computer program', 'better antennas', 'antenna dimensions']</t>
  </si>
  <si>
    <t>A mathematical model of a large-current radiator is developed that allows the calculation of the electric and magnetic field strength produced by a current with arbitrary time variation for any distance from the surface of the radiator to infinity. This permits the determination of the Poynting vector on the surface of the radiator. By integrating the Poynting vector over the surface, the power flowing through the surface of the radiator at any time may be calculated. This permits the determination of the power radiated to the far zone, the power contained in the various near-zone components, and the required driving voltage. The influence of the antenna dimensions on these quantities may be studied to help with the design of better antennas. A computer program is developed for this mathematical model.</t>
  </si>
  <si>
    <t>131-141</t>
  </si>
  <si>
    <t>60020444;60020444;60020444</t>
  </si>
  <si>
    <t>7005064847;7103398199;6603278447</t>
  </si>
  <si>
    <t>Harmuth, Henning F.;Mohamed, Nasser J.;Boules, Raouf N.</t>
  </si>
  <si>
    <t>Catholic University of America</t>
  </si>
  <si>
    <t>Harmuth H.F.</t>
  </si>
  <si>
    <t>POWER FLOWING THROUGH THE SURFACE OF A LARGE-CURRENT RADIATOR.</t>
  </si>
  <si>
    <t>10.1109/temc.1986.4307270</t>
  </si>
  <si>
    <t>2-s2.0-0022768132</t>
  </si>
  <si>
    <t>['waveguide simulator', 'unsymmetric e', 'principal method', 'presented using', 'port network', 'plane scanning', 'plane coupling', 'patch radiator', 'dissipation losses', 'direction toward', 'direct measurement', 'coupled element', 'circular patch', 'circuit properties', 'circuit pin', 'center short', 'additional effect', '60 ¬∞', '5 ghz', '5 db']</t>
  </si>
  <si>
    <t>The circuit properties of a circular patch with center short-circuit pin is investigated in a rectangular grid array. It is found that feed probe direct radiation produces large variations in element-to-element coupling coefficients in the E-plane. For the investigated pairwise arrangement of feed probe positions the additional effect is unsymmetric E-plane coupling with respect to the direction toward the coupled element; this leads to unsymmetric E-plane scanning-induced impedance variation. The principal method of investigation is the small-array method using an 8 √ó 8 element array, but two waveguide simulators are used to check the results. It is concluded that the small array calculation provides reliable results for scanning angles greater than 60¬∞ off broadside. Active element match is observed to vary from - 8.5 dB at broadside to about ‚Äì 20 dB on a 60¬∞ scanning cone. Finally, a direct measurement of the dissipation losses of the patch radiator is presented using a waveguide simulator as a two-port network. At 5.5 GHz a ‚Äì 0.3 dB dissipation loss is found. ¬© 1986 IEEE.</t>
  </si>
  <si>
    <t>1053-1058</t>
  </si>
  <si>
    <t>Solbach, Klaus</t>
  </si>
  <si>
    <t>Ulm</t>
  </si>
  <si>
    <t>Radar Division (A14 E211)</t>
  </si>
  <si>
    <t>Solbach K.</t>
  </si>
  <si>
    <t>Phased Array Simulation Using Circular Patch Radiators</t>
  </si>
  <si>
    <t>10.1109/TAP.1986.1143937</t>
  </si>
  <si>
    <t>2-s2.0-0022768528</t>
  </si>
  <si>
    <t>['spherical near', 'sphere surrounding', 'snfgtd method', 'snfgtd ),', 'reflector antennas', 'reflection boundary', 'polar pattern', 'physical optics', 'moment method', 'gtd ).', 'geometrical theory', 'found using', 'field transformation', 'far field']</t>
  </si>
  <si>
    <t>Three analysis methods for reflector antennas, the spherical near-field geometric theory of diffraction (SNFGTD), the moment method (MM) and physical optics (PO) are compared. In the SNFGTD method, the far field from the antenna is found by a spherical near-field transformation (SNF) of the tangential electric near field on a sphere surrounding the antenna once this has been found using the geometrical theory of diffraction (GTD). SNFGTD and MM agree whereas PO differs with respect to the cross-polar pattern. Some discrepancies between SNFGTD and MM are shown to be related to inaccuracies in the GTD diffraction coefficients close to the reflection boundary.</t>
  </si>
  <si>
    <t>325-326</t>
  </si>
  <si>
    <t>60011373;60011373</t>
  </si>
  <si>
    <t>7102334844;6701433161</t>
  </si>
  <si>
    <t>Bach, H.;Viskum, H. H.</t>
  </si>
  <si>
    <t>Lyngby</t>
  </si>
  <si>
    <t>Danmarks Tekniske Universitet</t>
  </si>
  <si>
    <t>Bach H.</t>
  </si>
  <si>
    <t>COMPARISON OF THREE CROSS-POLARISATION PREDICTION METHODS FOR REFLECTOR ANTENNAS.</t>
  </si>
  <si>
    <t>10.1049/ip-h-2.1986.0058</t>
  </si>
  <si>
    <t>2-s2.0-0022768580</t>
  </si>
  <si>
    <t>['usually required', 'ten mode', 'reflection characteristics', 'radiating aperture', 'external conductor', 'aperture plane']</t>
  </si>
  <si>
    <t>The reflection characteristics of the TEn mode in a coaxial waveguide antenna due to mismatch at the radiating aperture are described. Results are presented for conventional coaxial waveguide as well as waveguide whose inner conductor extends ¬∑beyond the aperture plane. Coaxial waveguide mismatch is often quite large, particularly for conditions of good pattern symmetry, and some matching is usually required. A broad-band matching technique using annular rings inside the waveguide is described for the case where there is no external conductor. Results presented show excellent agreement between theory and experiment. ¬© 1986 IEEE.</t>
  </si>
  <si>
    <t>1030-1033</t>
  </si>
  <si>
    <t>7202832083;7201399131;7102927532</t>
  </si>
  <si>
    <t>Bird, Trevor S.;James, Graeme L.;Skinner, Stephen J.</t>
  </si>
  <si>
    <t>Input Mismatch of TE11 Mode Coaxial Waveguide Feeds</t>
  </si>
  <si>
    <t>10.1109/TAP.1986.1143943</t>
  </si>
  <si>
    <t>2-s2.0-0022768999</t>
  </si>
  <si>
    <t>['small angles', 'small amplitude', 'sidelobes significantly', 'nonsinusoidal signals', 'n greater', 'line array', 'large number', 'large angles', 'large amplitudes', 'final value', 'energy patterns', 'constant value', 'beam forming', 'array gains']</t>
  </si>
  <si>
    <t>The principle of beam forming, based on a line array of sensors for nonsinusoidal signals with rectangular time variations, is advanced to include beam forming of coded nonsinusoidal signals. The energy patterns of coded waveforms using complementary codes have a narrow main beam for small angles of incidence, a large number of sidelobes forming minor beams for large angles of incidence, and a constant value of 1/N, where N is the number of sensors in the line array. Arrays with a large number of sensors (N greater than equivalent to 64) have array gains that reduce the large amplitudes of the sidelobes significantly; eliminate the sidelobes with small amplitude; and decrease the final value to 1/N. The resolution angle epsilon can be reduced by increasing the array length L or by increasing the bandwidth ( DELTA f equals 1/2T, where T is the nominal pulse duration of the coded waveform).</t>
  </si>
  <si>
    <t>142-147</t>
  </si>
  <si>
    <t>Mohamed, Nasser J.</t>
  </si>
  <si>
    <t>Mohamed N.J.</t>
  </si>
  <si>
    <t>BEAM FORMING WITH NONSINUSOIDAL CODED WAVEFORMS.</t>
  </si>
  <si>
    <t>10.1109/temc.1986.4307271</t>
  </si>
  <si>
    <t>2-s2.0-0022769003</t>
  </si>
  <si>
    <t>['zero thickness', 'reflecting profile', 'lens reflector', 'fixed radius', 'circular arcs', 'approximately constant']</t>
  </si>
  <si>
    <t>The ray trace equations for a dielectric lens reflector with a tilted linear front surface are derived, and the reflecting profile obtained. A thin lens results when the angle of tilt is such that the lens reflector has zero thickness at the apex. It is found that, for fixed radius and maximum subtended angle at the focus, the reflecting profile is approximately constant with angle of tilt and can, to the same approximation, be constructed from circular arcs.</t>
  </si>
  <si>
    <t>288-290</t>
  </si>
  <si>
    <t>Cornbleet, S.</t>
  </si>
  <si>
    <t>THIN DIELECTRIC LENS REFLECTOR.</t>
  </si>
  <si>
    <t>10.1049/ip-h-2.1986.0050</t>
  </si>
  <si>
    <t>2-s2.0-0022769327</t>
  </si>
  <si>
    <t>['¬© 1986', 'terrain roughness', 'rights reserved', 'path length', 'path inclination', 'path clearance', 'large number', 'initial work', 'fading distribution', 'electrical engineers', 'described towards', 'antenna beamwidth']</t>
  </si>
  <si>
    <t>Microwave links | Multipath fading | Radiowave propagation | Terrestrial links</t>
  </si>
  <si>
    <t>Initial work is described towards the development of a more accurate asymptotic prediction method for the high fade depth range of the fading distribution on line-of-sight terrestrial microwave links. The influence of parameters such as path length, frequency, terrain roughness, path inclination, antenna beamwidth and path clearance is analysed using multipath fading data from a large number of links in the UK. ¬© 1986, The Institution of Electrical Engineers. All rights reserved.</t>
  </si>
  <si>
    <t>902-903</t>
  </si>
  <si>
    <t>60018714;100329568;60104081;60014174</t>
  </si>
  <si>
    <t>7402077690;6701775363;26541243300;6603084044</t>
  </si>
  <si>
    <t>Olsen, R. L.;Tjelta, T.;Martin, L.;Doble, J. E.</t>
  </si>
  <si>
    <t>France;Canada;United Kingdom;Norway</t>
  </si>
  <si>
    <t>Issy-les-Moulineaux;Ottawa;Ipswich;Kjeller</t>
  </si>
  <si>
    <t>Orange Labs;Communications Research Centre;British Telecom Research Lab;Norwegian Telecom Research</t>
  </si>
  <si>
    <t>60104081;60018714;60014174;100329568</t>
  </si>
  <si>
    <t>Olsen R.L.</t>
  </si>
  <si>
    <t>Towards A More Accurate Method of Predicting the Distribution of Multipath Fading on Terrestrial Microwave Links</t>
  </si>
  <si>
    <t>10.1049/el:19860615</t>
  </si>
  <si>
    <t>2-s2.0-0022769590</t>
  </si>
  <si>
    <t>['resonance peak', 'radio frequency', 'parallel orientation', 'magnetic field', 'loop immersed', 'input impedance', 'indicated theoretically', 'frequency region', 'finite size', 'cold magnetoplasma', 'calculated ones', 'arbitrary orientation', 'also shown', 'also predicted']</t>
  </si>
  <si>
    <t>The input impedance of a large circular loop antenna with arbitrary orientation in a cold magnetoplasma is calculated by using a transmission line theory. New impedance resonances for antennas of finite size in a magnetoplasma in the frequency region below and near the electron cyclotron frequency are indicated theoretically. The resonance peak of the impedance at the lower hybrid resonance frequency is also predicted to exist for arbitrarily oriented antennas of finite size. The experiments on the impedance of a large circular loop antenna are carried out for the cases of normal and parallel orientation of the magnetic field with respect to the plane of the loop immersed in a radio frequency-generated laboratory plasma. The newly predicted impedance resonances for the antenna of finite size are observed. It is also shown that the measured impedances agree fairly well with the calculated ones. ¬© 1986 IEEE.</t>
  </si>
  <si>
    <t>1024-1029</t>
  </si>
  <si>
    <t>60103903;60008435;60008435</t>
  </si>
  <si>
    <t>7006605111;35598806700;56779495700</t>
  </si>
  <si>
    <t>Ohnuki, Shigeo;Sawaya, Kunio;Adachi, Saburo</t>
  </si>
  <si>
    <t>Hachioji;Sendai</t>
  </si>
  <si>
    <t>National Institute of Technology, Tokyo College;Tohoku University</t>
  </si>
  <si>
    <t>60103903;60008435</t>
  </si>
  <si>
    <t>Ohnuki S.</t>
  </si>
  <si>
    <t>Impedance of a Large Circular Loop Antenna in a Magnetoplasma</t>
  </si>
  <si>
    <t>10.1109/TAP.1986.1143927</t>
  </si>
  <si>
    <t>2-s2.0-0022769697</t>
  </si>
  <si>
    <t>['unity gain', 'technique nulls', 'special strategies', 'special case', 'simultaneously preserving', 'simple approximations', 'signal environment', 'priori knowledge', 'particularly simple', 'noise ratio', 'main lobe', 'likelihood beamformer', 'input signal', 'ideal array', 'hypersensitivity manifests', 'general structure', 'friendly signal', 'friendly look', 'easily remedied', 'direction signal', 'detailed analysis', 'computer simulations', 'certain threshold', 'capon maximum', 'array imperfections', 'antijamming measure']</t>
  </si>
  <si>
    <t>Antenna designers often employ linearly constrained adaptive beamforming as an antijamming measure. With minimal a priori knowledge of the signal environment, this technique nulls out jammers while simultaneously preserving the quality of the main lobe so that a friendly look-direction signal can be received with unity gain. Unfortunately, in the absence of special strategies, linearly constrained adaptive beamforming is hypersensitive to array imperfections when the input signal-to-noise ratio exceeds a certain threshold. This hypersensitivity manifests itself as a nulling of the friendly signal as if it were a jammer. Luckily, the signal nulling problem can be easily remedied by artificial receiver noise injection. A particularly simple and general structure for linearly constrained adaptive beamforming was proposed during the 1970‚Äôs, and is known as the generalized sidelobe canceller. A detailed analysis of the generalized sidelobe canceller in the presence of array imperfections is discussed, and two new artificial receiver noise injection algorithm are proposed. Computer simulations are included to demonstrate that use of these new algorithms alleviates the signal nulling problem without seriously compromising jammer fluffing. For the special case of the Capon maximum-likelihood beamformer, simple approximations are presented for: 1) the Wiener output signal-to-interference-plus-noise ratio (SINR0*), 2) the antenna element error variance that causes a 3 dB loss of SINR0* from its value for an ideal array, and 3) the optimal artificial receiver noise that maximizes SINR0*. ¬© 1986 IEEE.</t>
  </si>
  <si>
    <t>996-1012</t>
  </si>
  <si>
    <t>AT&amp;T Information System</t>
  </si>
  <si>
    <t>Jablon N.</t>
  </si>
  <si>
    <t>Adaptive Beamforming with the Generalized Side lobe Canceller in the Presence of Array Imperfections</t>
  </si>
  <si>
    <t>10.1109/TAP.1986.1143936</t>
  </si>
  <si>
    <t>2-s2.0-0022769698</t>
  </si>
  <si>
    <t>['transmission viewpoint', 'theoretical characteristics', 'space administration', 'rigorous analysis', 'national aeronautics', 'microwave metrology', 'including high', 'four reflectors', 'first time', 'experimental observations', 'excellent agreement', 'development efforts', 'cross polarization', 'antennas computed', 'account fully']</t>
  </si>
  <si>
    <t>A four-reflector physical optics analysis procedure is presented. Theoretical characteristics of the National Aeronautics and Space Administration/Jet Propulsion Laboratory (NASA/JPL) 64 m antennas computed from this procedure were found to be in excellent agreement with experimental observations. The S-band horn fields will subsequently be carried through all four reflectors (resulting in a transmission viewpoint of final antenna system beams) to account fully for all near-field, cross polarization, and higher order mode generation effects caused by various intentional asymmetries in geometry. This appears to be the first time such a complete and rigorous analysis has been performed on such a complex antenna system. The analysis techniques presented are useful in many ongoing ground station antenna research and development efforts, including high-efficiency shaped reflector and beam waveguide feed designs and microwave metrology (holography) applied to large reflector surface measurements. ¬© 1986 IEEE.</t>
  </si>
  <si>
    <t>992-996</t>
  </si>
  <si>
    <t>Cha, Alan G.</t>
  </si>
  <si>
    <t>Cha A.</t>
  </si>
  <si>
    <t>Physical Optics Analysis of a Four-Reflector Antenna</t>
  </si>
  <si>
    <t>10.1109/TAP.1986.1143931</t>
  </si>
  <si>
    <t>2-s2.0-0022769737</t>
  </si>
  <si>
    <t>['two kinds', 'theoretical analysis', 'specifications outlined', 'site attenuation', 'precise treatment', 'one assumes', 'moment method', 'incident angle', 'ground conditions', 'emf method', 'electrical characteristics', '1000 mhz']</t>
  </si>
  <si>
    <t>The 3-m site attenuation is calculated by the moment method for vertically polarized waves from 76 to 1000 MHz as well as for horizontally polarized waves from 30 to 1000 MHz, using the specifications outlined by the CISPR and the FCC. The moment method offers a more precise treatment of the incident angle to the ground than the EMF method when applied to theoretical analysis of site attenuation for closely spaced antennas. Calculations are carried out for two kinds of ground conditions. One assumes a metal ground plane (ideally perfect conductor) and the other, a natural earth ground (medium dry). The electrical characteristics of the ground that presented in the corresponding CCIR Recommendation are adopted for these calculations. Experimental values obtained on a natural earth ground plane using commercial tuned-dipole antennas show agreement with theoretical values within plus or minus 3 dB.</t>
  </si>
  <si>
    <t>117-124</t>
  </si>
  <si>
    <t>100328845;100328845;100328845</t>
  </si>
  <si>
    <t>7005910499;57216071389;57216123898</t>
  </si>
  <si>
    <t>Kawana, Tatsuichi;Horiguchi, Susumu;Yamanaka, Yukio</t>
  </si>
  <si>
    <t>Radio Research Laboratories</t>
  </si>
  <si>
    <t>Kawana T.</t>
  </si>
  <si>
    <t>EVALUATION OF 3-M SITE ATTENUATION BY THE MOMENT METHOD.</t>
  </si>
  <si>
    <t>10.1109/temc.1986.4307268</t>
  </si>
  <si>
    <t>2-s2.0-0022769834</t>
  </si>
  <si>
    <t>['¬© 1986', 'successive projections', 'simple algorithm', 'rights reserved', 'general technique', 'electrical engineers']</t>
  </si>
  <si>
    <t>Antenna arrays | Antenna radiation patterns | Antennas</t>
  </si>
  <si>
    <t>A general technique for the synthesis of antenna power patterns is presented which does not require the calculation of derivatives. Based on the method of successive projections, it leads to a fast and simple algorithm. An example is presented for a satellite antenna giving hemispheric coverage from a directly radiating horn array. ¬© 1986, The Institution of Electrical Engineers. All rights reserved.</t>
  </si>
  <si>
    <t>1042-1043</t>
  </si>
  <si>
    <t>Poulton, G. T.</t>
  </si>
  <si>
    <t>Poulton G.</t>
  </si>
  <si>
    <t>Antenna Power Pattern Synthesis using method of Successive Projections</t>
  </si>
  <si>
    <t>10.1049/el:19860714</t>
  </si>
  <si>
    <t>2-s2.0-0022771788</t>
  </si>
  <si>
    <t>['¬© 1986', 'use multi', 'rights reserved', 'paper describes', 'mechanism construction', 'mechanical engineers', 'japan society', 'ground targets', 'communication satellites', 'beam antennas']</t>
  </si>
  <si>
    <t>Antenna Pointing Mechanism | Communication Satellite | Multi-beam Antenna Direct Drive | Nonlubrication</t>
  </si>
  <si>
    <t>Communication satellites are tending to use multi-beam antennas and narrower shaped antenna beams. The antennas have to be oriented accurately toward their ground targets. Accordingly antenna pointing mechanisms (APM) are indispensable for multi-beam antennas. This paper describes the design and development of a new pointing mechanism. The mechanism construction and APM system performance are documented. The advantages of this APM are the simplicity and the high accuracy due to its extremely reliable nonlubricated direct drive. ¬© 1986, The Japan Society of Mechanical Engineers. All rights reserved.</t>
  </si>
  <si>
    <t>2416-2420</t>
  </si>
  <si>
    <t>Nihon Kikai Gakkai Ronbunshu, C Hen/Transactions of the Japan Society of Mechanical Engineers, Part C</t>
  </si>
  <si>
    <t>57217955977;7401872119;7006833285</t>
  </si>
  <si>
    <t>Tsukada, Eiichi;Ogawa, Shigeki;Sakano, Susumu</t>
  </si>
  <si>
    <t>Tsukada E.</t>
  </si>
  <si>
    <t>An antenna pointing mechanism for communication satellites</t>
  </si>
  <si>
    <t>10.1299/kikaic.52.2416</t>
  </si>
  <si>
    <t>2-s2.0-0022774343</t>
  </si>
  <si>
    <t>['test point', 'sensitivity testing', 'receiver test', 'receiver easier', 'radio receiver', 'cylindrical space', 'core antenna', 'conventional method', 'certain tolerance']</t>
  </si>
  <si>
    <t>A generator is described for the sensitivity testing of a radio receiver that has a uniform and rotating field around the test point. This generator makes positioning the receiver easier than can be achieved with the conventional method. The region in which the magnetic field strength is within a certain tolerance is represented as a cylindrical space. The response of a ferrite-core loop antenna located in the cylindrical space was measured, and confirms that a receiver test is able to be carried out independently of the position and the orientation of the core antenna in the receiver.</t>
  </si>
  <si>
    <t>358-360</t>
  </si>
  <si>
    <t>Sep</t>
  </si>
  <si>
    <t>60025141;60025141;60025141</t>
  </si>
  <si>
    <t>14320555700;7102497816;35576883400</t>
  </si>
  <si>
    <t>Nakane, Hiroshi;Omori, Shunichi;Yokoshima, Ichiro</t>
  </si>
  <si>
    <t>Tokyo University of Science</t>
  </si>
  <si>
    <t>Nakane H.</t>
  </si>
  <si>
    <t>STANDARD RF MAGNETIC FIELD FROM A ROTATING FIELD GENERATOR.</t>
  </si>
  <si>
    <t>10.1109/TIM.1986.6499225</t>
  </si>
  <si>
    <t>2-s2.0-0022774614</t>
  </si>
  <si>
    <t>['¬© 1986', 'technique uses', 'special precautions', 'rights reserved', 'reflector vertex', 'reflector provides', 'practical results', 'fast algorithm', 'electrical engineers']</t>
  </si>
  <si>
    <t>Microwave circuits and systems | Microwave measurement | Reflector antennas</t>
  </si>
  <si>
    <t>A short-range microwave holographic technique for the measurement of reflector antenna surface profile is described. The technique uses a linearly scanned transmit/receive CW probe located on-axis at approximately two focal lengths from the reflector vertex. Rotation of the reflector provides a plane-polar data set which can be reconstructed by a fast algorithm to provide a surface profile error map. No special precautions are required with regard to the reflectivity of the environment. Practical results are provided to illustrate the performance of the system. ¬© 1986, The Institution of Electrical Engineers. All rights reserved.</t>
  </si>
  <si>
    <t>977-978</t>
  </si>
  <si>
    <t>7005551892;7404251432</t>
  </si>
  <si>
    <t>Grattan, C. L.;Bennett, J. C.</t>
  </si>
  <si>
    <t>Grattan C.</t>
  </si>
  <si>
    <t>Microwave holographic technique for reflector antenna profile measurement</t>
  </si>
  <si>
    <t>10.1049/el:19860668</t>
  </si>
  <si>
    <t>2-s2.0-0022775783</t>
  </si>
  <si>
    <t>['¬© 1986', 'two distributions', 'transmission circle', 'throughput values', 'say 50', 'rights reserved', 'hop throughput', 'fairly large', 'electrical engineers', 'accommodate stations']</t>
  </si>
  <si>
    <t>Radio links | Telecommunications</t>
  </si>
  <si>
    <t>The slotted ALOHA protocol is modified to accommodate stations with multiple directional antennas in a multihop packet radio network environment. The one-hop throughput is derived for both the Poisson station distribution and the deterministic lattice station distribution. Numerical results show that the throughput values are very close for the two distributions. If the number of stations in the transmission circle is fairly large, say 50, the throughput gain using directional antennas could be as large as the number of directional antennas used. ¬© 1986, The Institution of Electrical Engineers. All rights reserved.</t>
  </si>
  <si>
    <t>1027-1029</t>
  </si>
  <si>
    <t>60002798;60002798</t>
  </si>
  <si>
    <t>7202728419;7006506507</t>
  </si>
  <si>
    <t>Hung, K.;Yum, T.</t>
  </si>
  <si>
    <t>Hong Kong</t>
  </si>
  <si>
    <t>Chinese University of Hong Kong</t>
  </si>
  <si>
    <t>Hung K.</t>
  </si>
  <si>
    <t>Slotted Aloha for Multihop Packet Radio Networks with Multiple-Directional-Antenna Stations</t>
  </si>
  <si>
    <t>10.1049/el:19860702</t>
  </si>
  <si>
    <t>2-s2.0-0022775792</t>
  </si>
  <si>
    <t>['¬© 1986', 'uppermost array', 'rights reserved', 'measurements establish', 'likely behaviour', 'invisibility obtainable', 'fscs ).', 'finite extent', 'electrical engineers', 'composite system', 'band array', 'also show']</t>
  </si>
  <si>
    <t>Antenna arrays | Antennas | Microstrip</t>
  </si>
  <si>
    <t>It is demonstrated that two microstrip arrays can be superimposed in a common planar aperture to create a dual-band array. The concept relies critically on the invisibility of the uppermost array, which is constructed from a frequency-selective conducting surface (FSCS). Analysis and measurements establish the degree of invisibility obtainable in an FSCS of finite extent and indicate the likely behaviour in a composite system. Measurements for a dual-band array illustrate the findings and good future prospects for the concept, but also show that feeder line radiation, if not reduced, can constrain sidelobe levels. ¬© 1986, The Institution of Electrical Engineers. All rights reserved.</t>
  </si>
  <si>
    <t>1040-1042</t>
  </si>
  <si>
    <t>60009658;60009658</t>
  </si>
  <si>
    <t>7403018268;6602536785</t>
  </si>
  <si>
    <t>James, J. R.;Andrasic, G.</t>
  </si>
  <si>
    <t>James J.</t>
  </si>
  <si>
    <t>Dichroic Dual-Band Microstrip Array</t>
  </si>
  <si>
    <t>10.1049/el:19860713</t>
  </si>
  <si>
    <t>2-s2.0-0022776093</t>
  </si>
  <si>
    <t>['¬© 1986', 'rights reserved', 'impedance match', 'experimental results', 'electrical engineers']</t>
  </si>
  <si>
    <t>Antenna arrays | Antennas | Feeds</t>
  </si>
  <si>
    <t>A coaxial probe assembly for use as a feed for two-dimensional bootlace lenses is described. Experimental results are presented with parasitic elements used to improve the impedance match. ¬© 1986, The Institution of Electrical Engineers. All rights reserved.</t>
  </si>
  <si>
    <t>1059-1060</t>
  </si>
  <si>
    <t>118848343;118848343</t>
  </si>
  <si>
    <t>7102220634;7402346944</t>
  </si>
  <si>
    <t>Coleman, H. P.;Wright, B. D.</t>
  </si>
  <si>
    <t>Washington</t>
  </si>
  <si>
    <t>Radar Division Naval Research Laboratory</t>
  </si>
  <si>
    <t>Coleman H.</t>
  </si>
  <si>
    <t>Feed Design for a two-Dimensional Bootlace Lens</t>
  </si>
  <si>
    <t>10.1049/el:19860725</t>
  </si>
  <si>
    <t>2-s2.0-0022777299</t>
  </si>
  <si>
    <t>['¬© 1986', 'wire parallel', 'rights reserved', 'mm code', 'measurements shows', 'input impedance', 'infinitely long', 'image segments', 'geometrical constant', 'field due', 'electrical engineers', 'efficient approach', 'easily implemented', 'current distribution', 'appropriately modifying']</t>
  </si>
  <si>
    <t>Antenna theory | Antennas | Wire antennas</t>
  </si>
  <si>
    <t>A simple and efficient approach to compute the input impedance and current distribution on a wire parallel to an infinitely long, perfectly conducting circular cylinder is presented. It consists of solving for the wire above an infinite ground plane using standard thin-wire moment method (MM) procedures, but appropriately modifying the field due to the image segments by a geometrical constant. Comparison with measurements shows the validity of the technique, which can be easily implemented in any MM code. ¬© 1986, The Institution of Electrical Engineers. All rights reserved.</t>
  </si>
  <si>
    <t>1005-1007</t>
  </si>
  <si>
    <t>60028442;60028442</t>
  </si>
  <si>
    <t>57216145348;6506781181</t>
  </si>
  <si>
    <t>Marin, M.;Jambrina, J. F.</t>
  </si>
  <si>
    <t>Universidad Polit√©cnica de Madrid</t>
  </si>
  <si>
    <t>Marin M.</t>
  </si>
  <si>
    <t>Extension of Image Theory for Analysis of a Wire Parallel to a Circular Cylinder</t>
  </si>
  <si>
    <t>10.1049/el:19860687</t>
  </si>
  <si>
    <t>2-s2.0-0022778343</t>
  </si>
  <si>
    <t>['¬© 1986', 'system uses', 'rights reserved', 'radiation pattern', 'parasitic elements', 'electrical engineers', 'driven patch', 'cause deterioration']</t>
  </si>
  <si>
    <t>Antennas | Microstrip | Microstrip antennas</t>
  </si>
  <si>
    <t>The development of a compact broadband microstrip antenna configuration is presented. The system uses a number of parasitic elements which are gas-coupled to a driven patch. The enhancement of bandwidth does not cause deterioration of the radiation pattern of the system. ¬© 1986, The Institution of Electrical Engineers. All rights reserved.</t>
  </si>
  <si>
    <t>1064-1065</t>
  </si>
  <si>
    <t>60031544;60031544</t>
  </si>
  <si>
    <t>7004362848;56259735900</t>
  </si>
  <si>
    <t>Aanandan, C. K.;Nair, K. G.</t>
  </si>
  <si>
    <t>Kochi</t>
  </si>
  <si>
    <t>Cochin University of Science and Technology</t>
  </si>
  <si>
    <t>Aanandan C.</t>
  </si>
  <si>
    <t>Compact Broadband Microstrip Antenna</t>
  </si>
  <si>
    <t>10.1049/el:19860729</t>
  </si>
  <si>
    <t>2-s2.0-0022779627</t>
  </si>
  <si>
    <t>['results show', 'moments technique', 'electronics engineers', 'comparable amplitude', 'calculated using', 'also presented']</t>
  </si>
  <si>
    <t>Calculations of mediumwave skywave field strengths within 100 km of an AM broadcast station using a 186 degree tower are presented. The analysis is novel in that the high vertical elevation angle radiation from the tower is calculated using a method of moments technique. The results show that skywave field strengths are several times stronger than predicted when using the FCC tower radiation formula, and that within 100 km the 10 percent time skywave field strength can in some cases be of comparable amplitude to the ground wave signal amplitude. An analysis of the resulting signal envelope amplitude and phase fading statistics is also presented. Copyright ¬© 1986 by The Institute of Electrical and Electronics Engineers, Inc.</t>
  </si>
  <si>
    <t>37-43</t>
  </si>
  <si>
    <t>7402165877;6507543228</t>
  </si>
  <si>
    <t>Anderson, Harry R.;Pinion, David J.</t>
  </si>
  <si>
    <t>Anderson H.R.</t>
  </si>
  <si>
    <t>Short range skywave field strengths from tall am broadcast towers</t>
  </si>
  <si>
    <t>10.1109/TBC.1986.266582</t>
  </si>
  <si>
    <t>2-s2.0-0022779881</t>
  </si>
  <si>
    <t>['‚ äúsuppression', 'without creating', 'tower tops', 'tower isolation', 'specified directions', 'spans created', 'simple formulae', 'resonant spans', 'resonant frequencies', 'resonant double', 'protection limits', 'power line', 'paper presents', 'overhead skywire', 'operating frequency', 'often required', 'low level', 'loop path', 'isolating towers', 'interconnecting skywire', 'good agreement', 'give rise', 'field strengths', 'electronics engineers', 'dramatic reduction', 'distant cities', 'connected together', 'computer modelling', 'choosing towers', 'avoid interference']</t>
  </si>
  <si>
    <t>An AM ‚Äústandard‚Äù broadcast array is often required to maintain a low level of radiation in specified directions, to avoid interference with other stations on the same frequency in distant cities. Reradiation from a nearby power line can give rise to field strengths in excess of protection limits. This paper presents a technique for detuning a steel-lattice tower power line on which the tower tops are connected together by an overhead ‚Äúskywire‚Äù. Reradiation from such a power line is primarily a problem when the closed-loop path of two adjacent towers, the interconnecting skywire, and their images in ground is resonant at the operating frequency. This paper is concerned with detuning a power line by open-circuiting resonant paths by disconnecting one tower from the overhead skywire. Simple formulae are presented for estimating the resonant frequencies of each span of the power line, and of double- and triple-spans created by isolating towers from the skywire. The method of detuning for the ‚Äúsuppression of resonances‚Äù is described, in which towers of the power line are selected for isolation such that all resonant spans are open-circuited, without creating any resonant double- or triple-spans. The method is applied to a power line near station CHFA, Edmonton. Computer modelling is used to predict the RF current flow on the power line towers before and after detuning the power line by tower isolation, and the results are shown to be in good agreement with the full-scale measured RF current flow. Thus it is shown that choosing towers for isolation from the skywire for the ‚Äúsuppression of resonances‚Äù achieves a dramatic reduction in reradiation. Copyright ¬© 1986 by The Institute of Electrical and Electronics Engineers, Inc.</t>
  </si>
  <si>
    <t>44-55</t>
  </si>
  <si>
    <t>60033154;60033154</t>
  </si>
  <si>
    <t>7006097946;6701413096</t>
  </si>
  <si>
    <t>Trueman, C. W.;Kubina, S. J.</t>
  </si>
  <si>
    <t>Montreal</t>
  </si>
  <si>
    <t>Concordia University</t>
  </si>
  <si>
    <t>Trueman C.W.</t>
  </si>
  <si>
    <t>Detuning power lines by isolating towers for the suppression of resonances</t>
  </si>
  <si>
    <t>10.1109/TBC.1986.266583</t>
  </si>
  <si>
    <t>2-s2.0-0022779882</t>
  </si>
  <si>
    <t>['theory presented', 'theoretical analysis', 'second step', 'radiation characteristics', 'flared slot', 'flare angle', 'first step', 'excellent agreement', 'detailed comparison', 'design curves', 'copyright 1986', 'aperture distribution', 'antenna length', 'air dielectric']</t>
  </si>
  <si>
    <t>A theoretical analysis of the radiation characteristics of the transverse electromagnetic mode linearly tapered slot antenna is presented. The theory presented is valid for antennas with air dielectric and forms the basis for analysis of the more popular dielectric‚Äêsupported antennas. The method of analysis involves two steps. In the first step, the aperture distribution in the flared slot is determined. In the second step, the equivalent magnetic current in the slot is treated as radiating in the presence of a conducting half‚Äêplane, and the far‚Äêfield components are obtained. Detailed comparison with experiment is made and excellent agreement is obtained. Design curves for the variation of the 3‚ÄêdB and 10‚ÄêdB beamwidths as a function of the antenna length, with the flare angle as a parameter, are presented. Copyright 1986 by the American Geophysical Union.</t>
  </si>
  <si>
    <t>797-804</t>
  </si>
  <si>
    <t>September-October 1986</t>
  </si>
  <si>
    <t>7004052021;7006791463;7006061921</t>
  </si>
  <si>
    <t>Janaswamy, Ramakrishna;Schaubert, Daniel H.;Pozar, David M.</t>
  </si>
  <si>
    <t>Janaswamy R.</t>
  </si>
  <si>
    <t>Analysis of the transverse electromagnetic mode linearly tapered slot antenna</t>
  </si>
  <si>
    <t>10.1029/RS021i005p00797</t>
  </si>
  <si>
    <t>2-s2.0-0022783740</t>
  </si>
  <si>
    <t>['phase variations', 'measurements shows', 'good agreement', 'electronics engineers', 'cases examined', 'carefully chosen', '3 khz']</t>
  </si>
  <si>
    <t>The study of arrays of loudspeaker elements suitable for high-resolution acoustic sounders is presented. Comparison of the predicted radiation patterns with measurements shows a good agreement in all cases examined. Emphasis is given in the case of a 3 √ó 3 switched-beam piezoelectric tweeter antenna working at 3 kHz. The elements of this antenna are carefully chosen, to avoid problems resulting from random amplitude variations between the elements, while phase variations are taken into account and corrected when necessary. Copyright ¬© 1986 by The Institute of Electrical and Electronics Engineers, Inc.</t>
  </si>
  <si>
    <t>745-750</t>
  </si>
  <si>
    <t>60028900;60028900</t>
  </si>
  <si>
    <t>6701471723;55399138800</t>
  </si>
  <si>
    <t>Stephanou, George J.;Mavrakis, Demetrius H.</t>
  </si>
  <si>
    <t>Greece</t>
  </si>
  <si>
    <t>Athens</t>
  </si>
  <si>
    <t>National and Kapodistrian University of Athens</t>
  </si>
  <si>
    <t>Stephanou G.</t>
  </si>
  <si>
    <t>Switched-Beam Planar Arrays Suitable for High-Resolution Acoustic Sounders</t>
  </si>
  <si>
    <t>10.1109/TGRS.1986.289623</t>
  </si>
  <si>
    <t>2-s2.0-0022785572</t>
  </si>
  <si>
    <t>['well calibrated', 'spaceborne scatterometer', 'small helicopters', 'sensing applications', 'research investigations', 'relative accuracy', 'radar swath', 'radar remote', 'processed data', 'method provides', 'method could', 'internal calibration', 'external calibration', 'every configuration', 'electronics engineers', 'easily mounted', 'different points', 'data processing', 'corner reflectors', 'calibration procedures', 'astatistical approach', 'altitude ),', 'adjust calibration', 'absolute calibration', '5 db']</t>
  </si>
  <si>
    <t>The ERASME radar system has been designed to be easily mounted on small helicopters or aircraft. As it is used for research investigations on radar remote-sensing applications, it has to be well calibrated in every configuration, both absolutely and relatively for comparisons at different points of the swath. The data processing is described, which allows for antenna pattern correction and for flight parameters correction (pitch, roll, altitude), as an introduction for the calibration procedures: Internal calibration, external calibration on corner reflectors for absolute calibration (within 1 dB), and astatistical approach, which uses experimental data itself and analyzes the correlation between processed data and recorded flight parameters. This method provides a way to check or adjust calibration for specific flight configurations, and allows a relative accuracy of better than 0.5 dB for data comparison within the radar swath. Such a method could be used to calibrate any airborne or spaceborne scatterometer when accurate antenna measurement is not feasible. Copyright ¬© 1986 by The Institute of Electrical and Electronics Engineers, Inc.</t>
  </si>
  <si>
    <t>709-716</t>
  </si>
  <si>
    <t>112645880;112645880;112645880;112645880</t>
  </si>
  <si>
    <t>7202943510;7003999325;56843730700;7201921560</t>
  </si>
  <si>
    <t>Bernard, R.;Vidal-Madjar, D.;Baudin, F.;Laurent, G.</t>
  </si>
  <si>
    <t>Issy-les-Moulineaux</t>
  </si>
  <si>
    <t>Recherches de Physique de l‚ÄôEnvironment</t>
  </si>
  <si>
    <t>Bernard R.</t>
  </si>
  <si>
    <t>Data Processing and Calibration for an Airborne Scatterometer</t>
  </si>
  <si>
    <t>10.1109/TGRS.1986.289618</t>
  </si>
  <si>
    <t>2-s2.0-0022785963</t>
  </si>
  <si>
    <t>['∆ í', 'œé characterize', 'œ ¥', 'technology required', 'specific lithological', 'specific experiment', 'skin depth', 'simple formulas', 'shallow sounding', 'seafloor use', 'sea floor', 'saltwater interfaces', 'salt water', 'region 2', 'region 1', 'quite broad', 'planetary lithosphere', 'planar interface', 'made possible', 'lower frequencies', 'higher frequencies', 'formulas apply', 'e1œå component', 'copyright 1986', '20 log10', '105 hz', '1 khz', '1 hz']</t>
  </si>
  <si>
    <t>A specific physical interpretation of the effect of relative permittivities Œµr and conductivities œÉ upon the amplitude and phase of propagating electromagnetic surface waves is given, where œµr and œÉ characterize the layered material regions of a planetary lithosphere. The interpretation is made possible by the availability of simple formulas for the fields of vertical and horizontal unit electric dipoles near interfaces between regions of matter; the earth's lithosphere at its interface with salt water is used as an example. The ranges of Œµr, œÉ, frequency ∆í, and radial distance œÅ over which the formulas apply are shown to be quite broad. The E1œÅ component (the radial electric field in region 1, characterized by complex wave number K1 and adjoined at a planar interface to region 2, characterized by k2, where |k1|2 ¬ª |k1|2) is discussed in detail. The attenuation of 20 log10 |E1œÅ| as a function of œÅ and œÅ/Œ¥2, Where Œ¥ is the skin depth, is illustrated for conductivity ratios œÉ2/œÉ1 = 10‚àí1 to 10‚àí3, over a range of ∆í from 1 Hz to 105 Hz. |E1œÅ| is shown to be significant for determining permittivities Œµ2 at the higher frequencies in this range. The use of |E1œÅ| to infer conductivities œÉ2 at lower frequencies in shallow sounding of the earth's sea floor is discussed in terms of specific lithological and sediment‚Äêrelated parameters. The technology required to transmit and receive 20 log10 |E1œÅ| at freshwater and saltwater interfaces with the earth's crust is addressed. A specific experiment is proposed for testing a specialized insulated antenna for seafloor use in shallow coastal waters at 1 kHz. Copyright 1986 by the American Geophysical Union.</t>
  </si>
  <si>
    <t>831-844</t>
  </si>
  <si>
    <t>55722061600;35586046100</t>
  </si>
  <si>
    <t>Brown, M. F.;King, R. W.P.</t>
  </si>
  <si>
    <t>Brown M.</t>
  </si>
  <si>
    <t>Shallow sounding of crustal regions using electromagnetic surface waves</t>
  </si>
  <si>
    <t>10.1029/RS021i005p00831</t>
  </si>
  <si>
    <t>2-s2.0-0022787024</t>
  </si>
  <si>
    <t>['straight wire', 'simple way', 'reflection theory', 'radiated field', 'numerical solution', 'method used', 'different angles', 'computed values', 'analytical expression']</t>
  </si>
  <si>
    <t>A simple way of calculating the analytical expression of the radiated field produced by a transient of current travelling along a straight wire is presented. The method used is based on the reflection theory. The computed values of the radiated field at different angles from broadside are plotted. A comparison is made between the results obtained using the reflection theory presented here and those obtained from a numerical solution of a space-time integral equation. ¬© 1986 Taylor and Francis Group LLC.</t>
  </si>
  <si>
    <t>343-353</t>
  </si>
  <si>
    <t>60027844;60027844;60027844</t>
  </si>
  <si>
    <t>7003589064;57207871862;6701414738</t>
  </si>
  <si>
    <t>Martin, Rafel Gomez;Morente, Juan A.;Bretones, Amelia R.</t>
  </si>
  <si>
    <t>Universidad de Granada</t>
  </si>
  <si>
    <t>Martin R.</t>
  </si>
  <si>
    <t>An approximate analysis of transient radiation from linear antennas</t>
  </si>
  <si>
    <t>10.1080/00207218608920876</t>
  </si>
  <si>
    <t>2-s2.0-0022787756</t>
  </si>
  <si>
    <t>['work well', 'vla phase', 'time order', 'time dependent', 'stochastic models', 'software package', 'phase fluctuations', 'phase fluctuation', 'operator interactions', 'models obtained', 'kalman filtering', 'frequencies increase', 'data dependent', 'copyright 1986', 'atmospheric effects', 'arima models', 'arima model', 'arima ).']</t>
  </si>
  <si>
    <t>The quality of radio astronomical images made with an antenna array depends upon atmospheric behavior. As baselines and frequencies increase, phase variations become increasingly erratic. The phase fluctuations are time dependent and we found them to be correlated in time order in each baseline. We can represent these correlations by stochastic models. Models obtained by the Box‚ÄêJenkins method are referred to as autoregressive integrated moving average processes (ARIMA). ARIMA models of VLA phase provide good short‚Äêterm predictions that may be useful for improving present calibration techniques. ARIMA models of VLA phase are data dependent and can be used in a variety of situations. A technique that works in all cases can be programmed into a software package such that modeling can be accomplished with no operator interactions. Another important application of ARIMA models involves the use of Kalman filtering to reduce the atmospheric effects when self‚Äêcalibration does not work well. The performance of the Kalman filter critically depends upon the models of the processes. An ARIMA model of the phase fluctuation can be represented in a state space form as noise in the Kalman filter equations. Copyright 1986 by the American Geophysical Union.</t>
  </si>
  <si>
    <t>863-881</t>
  </si>
  <si>
    <t>7004112492;57198813519</t>
  </si>
  <si>
    <t>Basart, John P.;Zheng, Yi</t>
  </si>
  <si>
    <t>Basart J.P.</t>
  </si>
  <si>
    <t>Modeling very large array phase data by the Box‚ÄêJenkins method</t>
  </si>
  <si>
    <t>10.1029/RS021i005p00863</t>
  </si>
  <si>
    <t>2-s2.0-0022787770</t>
  </si>
  <si>
    <t>['zero reflectivities', 'wave reflection', 'wave expansion', 'optical mode', 'low reflectivities', 'antireflection coated', 'angular plane']</t>
  </si>
  <si>
    <t>A method is given of calculating the reflection from bevelled (i.e., tilted) semiconductor-laser end facets, which can also be antireflection coated. The analysis is based on the angular plane-wave expansion of the optical mode, on plane-wave reflection at the facet, and on Brown‚Äôs antenna reciprocity theorem. Application is in the design of near-travelling wave semiconductor laser amplifiers for which very low reflectivities are sought. It is demonstrated that zero reflectivities are attainable in principle. ¬© 1986 Taylor and Francis Group LLC.</t>
  </si>
  <si>
    <t>299-307</t>
  </si>
  <si>
    <t>Clarke, R. H.</t>
  </si>
  <si>
    <t>Imperial College London</t>
  </si>
  <si>
    <t>Clarke R.</t>
  </si>
  <si>
    <t>Theory of reflection from bevelled, antireflection-coated semiconductor laser facets</t>
  </si>
  <si>
    <t>10.1080/00207218608920872</t>
  </si>
  <si>
    <t>2-s2.0-0022787844</t>
  </si>
  <si>
    <t>['wiley company', 'wideband elimination', 'type 2', 'sudden reduction', 'relative bandwidth', 'output terminal', 'microprocessor determination', 'method 2', 'method 1', 'low level', 'inc .,', 'ideal angle', 'element weight', 'element inputs', 'element arrangements', 'desired signal', 'compton differs', 'circular arc', 'adaptive arrays', '50 %.']</t>
  </si>
  <si>
    <t>The power inversion adaptive array proposed by Compton differs from other adaptive arrays in that it does not require any information on the desired signal. However, there is a sudden reduction in the ratio of signal to interference and noise (SINR) at the output terminal when the relative bandwidth of the interference signal exceeds 5%. In this paper the elements are arranged in a circular arc and a formula is proposed for microprocessor determination of the element weight from the covariance between the element inputs. It is shown that the decrease in SINR is kept below 3 dB even when the relative bandwidth of the interference is as large as 50%. In Method 1 of the circular arc arrangement an element is placed at the center of the circle and in Type 2 no element is placed at the center. Wideband elimination of the interference can be achieved with the arrival angle orthogonal to the line connecting two arbitrary elements. The element arrangements are studied with a low level of redundancy for this ideal angle of arrival. It is shown that a system without redundancy can be realized with a 4‚Äêelement array of Method 2. Copyright ¬© 1986 Wiley Periodicals, Inc., A Wiley Company</t>
  </si>
  <si>
    <t>Inagaki, Oki</t>
  </si>
  <si>
    <t>Nagoya</t>
  </si>
  <si>
    <t>Nagoya Institute of Technology</t>
  </si>
  <si>
    <t>Inagaki O.</t>
  </si>
  <si>
    <t>Broadband power inversion adaptive array</t>
  </si>
  <si>
    <t>10.1002/ecja.4410690908</t>
  </si>
  <si>
    <t>2-s2.0-0022787847</t>
  </si>
  <si>
    <t>['wet reflector', 'weather conditions', 'water layer', 'various thicknesses', 'special case', 'orthogonally polarized', 'operational application', 'often required', 'microwave radiometers', 'layer thicknesses', 'incidence angle', 'exposed surface', 'experiment show', 'electronics engineers', 'conventional theory', 'behavior throughout', '45 ¬∞.']</t>
  </si>
  <si>
    <t>Microwave radiometers are often required to operate under all weather conditions, including those under which an exposed surface of the antenna system becomes wetted by rain. Here we discuss the special case of a wetted flat reflector, with energy at 20.60 and 31.65 GHz linearly and orthogonally polarized at an incidence angle of 45¬∞. The brightness temperatures produced by the wet reflector are computed from conventional theory, and are measured for various thicknesses of water layer. Both theory and experiment show that the brightness temperatures produced by the wet reflector have the same behavior throughout a range of water-layer thicknesses. The impact of these results on design of radiometers for research and operational application is discussed. Copyright ¬© 1986 by The Institute of Electrical and Electronics Engineers, Inc.</t>
  </si>
  <si>
    <t>784-791</t>
  </si>
  <si>
    <t>60000221;60027716;60027716</t>
  </si>
  <si>
    <t>7402310872;36345591700;7004838908</t>
  </si>
  <si>
    <t>Jacobson, Mark D.;Hogg, David C.;Snider, Jack B.</t>
  </si>
  <si>
    <t>Washington, D.C.;Boulder</t>
  </si>
  <si>
    <t>National Oceanic and Atmospheric Administration;University of Colorado Boulder</t>
  </si>
  <si>
    <t>60027716;60000221</t>
  </si>
  <si>
    <t>Jacobson M.</t>
  </si>
  <si>
    <t>Wet Reflectors in Millimeter-Wave Radiometry-Experiment and Theory</t>
  </si>
  <si>
    <t>10.1109/TGRS.1986.289627</t>
  </si>
  <si>
    <t>2-s2.0-0022787869</t>
  </si>
  <si>
    <t>['wave frequency', 'uniform field', 'spatial resolutions', 'radar frequency', 'propagation direction', 'ocean surface', 'nadir angle', 'formalism presented', 'electronics engineers', 'dimensional framework', 'developed following', 'analytic model', '1979 );']</t>
  </si>
  <si>
    <t>An analytic model of the ocean surface SAR images with a three-dimensional framework is developed following the formalism presented by Swift and Wilson (1979); a trochoidal swell propagates through a uniform field of Bragg-type distributed scatterers. Two-di-mensional SAR images are calculated for the interpretation and prediction of actual SAR images of distinct the ocean surface as a function of ocean wave amplitude, wave frequency, propagation direction, and radar frequency, off-nadir angle of the antenna, and spatial resolutions. Copyright ¬© 1986 by The Institute of Electrical and Electronics Engineers, Inc.</t>
  </si>
  <si>
    <t>60031225;60031225;60031225</t>
  </si>
  <si>
    <t>7006006191;7007109339;35478262000</t>
  </si>
  <si>
    <t>Wakasugi, Koichiro;Kishi, Naru Fumi;Matsuo, Masaru</t>
  </si>
  <si>
    <t>Kyoto Institute of Technology</t>
  </si>
  <si>
    <t>Wakasugi K.</t>
  </si>
  <si>
    <t>A Three-Dimensional Formulation for Synthetic Aperture Radar Images of Ocean Waves in Orbital Motions</t>
  </si>
  <si>
    <t>10.1109/TGRS.1986.289621</t>
  </si>
  <si>
    <t>2-s2.0-0022787870</t>
  </si>
  <si>
    <t>['triangular subregions', 'triangular subregion', 'published recently', 'previous methods', 'oscillatory integrands', 'new equation', 'electronics engineers', 'dimensional integrals', '1 ].', '1 ],']</t>
  </si>
  <si>
    <t>By using area coordinates one obtains algebraic expressions for the computation of two-dimensional integrals with oscillatory integrands over triangular subregions that are simpler than those published recently [1]. All the advantages of previous methods [1], [2] are retained. Moreover, the new equation is evaluated only once for each triangular subregion. Copyright ¬© 1986 by The Institute of Electrical and Electronics Engineers, Inc.</t>
  </si>
  <si>
    <t>1455-1456</t>
  </si>
  <si>
    <t>60021657;60012729</t>
  </si>
  <si>
    <t>7202093070;55404194600</t>
  </si>
  <si>
    <t>Dos Santos, M. L.X.;Rabelo, Nilson R.</t>
  </si>
  <si>
    <t>Brazil;Brazil</t>
  </si>
  <si>
    <t>Sao Jose dos Campos;Sao Jose dos Campos</t>
  </si>
  <si>
    <t>Instituto Tecnologico de Aeronautica;Instituto Nacional de Pesquisas Espaciais</t>
  </si>
  <si>
    <t>Dos Santos M.L.X.</t>
  </si>
  <si>
    <t>Proceedings Letters</t>
  </si>
  <si>
    <t>10.1109/PROC.1986.13646</t>
  </si>
  <si>
    <t>2-s2.0-0022790206</t>
  </si>
  <si>
    <t>['utilized differences', 'two present', 'transmitted using', 'semicompatible hdtv', 'scan lines', 'previous paper', 'possibility arises', 'local distribution', 'inexpensive electronics', 'hdtv waveform', 'hdtv signal', 'hdtv receivers', 'hdtv picture', 'field memory', 'electronics engineers', 'easily convertible', 'easily converted', 'differential sc', '245 kilopixels']</t>
  </si>
  <si>
    <t>In a previous paper we proposed transmitting high definition television (HDTV) by means of semicompatible HDTV (SC-HDTV) signals which utilized differences between scan lines. The line-differential SC-HDTV waveform had the virtue of being easily convertible to an NTSC compatible color picture. The line-differential SC-HDTV signal required three present-day CATV channels for local distribution. With the advent of inexpensive electronics and memory, the possibility arises of incorporating field memories into HDTV receivers. Thus, in this paper we propose a field-differential SC-HDTV signal, which, like its predecessor, is easily converted to NTSC. However, the field-differential SC-HDTV waveform may be transmitted using only two present-day CATV channels. In order to produce an HDTV picture from the field-differential SC-HDTV signal, the receiver requires comb filters, 2:1 time compressors and a field memory of about 245 kilopixels. These are implementable using today's technology. Copyright ¬© 1986 by The Institute of Electrical and Electronics Engineers. Inc.</t>
  </si>
  <si>
    <t>1031-1037</t>
  </si>
  <si>
    <t>Haskell, Barry G.</t>
  </si>
  <si>
    <t>Haskell B.G.</t>
  </si>
  <si>
    <t>Semicompatible High Definition Television Using Field Differential Signals</t>
  </si>
  <si>
    <t>10.1109/TCOM.1986.1096449</t>
  </si>
  <si>
    <t>2-s2.0-0022790350</t>
  </si>
  <si>
    <t>['subreflector extensions', 'subreflector diffraction', 'reflector efficiency', 'physical optics', 'overall efficiencies', 'optical rim', 'improving effects', 'geometrical theory', 'field patterns', 'extended subreflector', 'efficiency curves', 'analysis technique']</t>
  </si>
  <si>
    <t>Both offset and symmetric Cassegrain reflector antennas are used in satellite and ground communication systems. It is known that the subreflector diffraction can degrade the performance of these reflectors. A geometrical theory of diffraction/physical optics (GTD/PO) analysis technique is used to investigate the improving effects of the extended subreflector, beyond its optical rim, on the reflector efficiency and far-field patterns. Representative numerical results are shown for an offset Cassegrain reflector antenna with different feed illumination tapers and subreflector extensions. It is observed that for subreflector extensions as small as 1 Œª noticeable improvements in the overall efficiencies can be expected. Useful design data are generated for the efficiency curves and far-field patterns. ¬© 1986 IEEE</t>
  </si>
  <si>
    <t>1266-1269</t>
  </si>
  <si>
    <t>Rahmat-Samii, Yahya</t>
  </si>
  <si>
    <t>Rahmat-Samii Y.</t>
  </si>
  <si>
    <t>Subreflector Extension for Improved Efficiencies in Cassegrain Antennas-GTD/PO Analysis</t>
  </si>
  <si>
    <t>10.1109/TAP.1986.1143741</t>
  </si>
  <si>
    <t>2-s2.0-0022790362</t>
  </si>
  <si>
    <t>['without loss', 'usually measured', 'switched network', 'statistically independent', 'simple n', 'service quality', 'originating node', 'electronics engineers', 'dimensional birth', 'different cases', 'destination node', 'delay encountered', 'death steady', 'computational complexity', 'communication system', 'common resources']</t>
  </si>
  <si>
    <t>The service quality of a circuit-switched network is usually measured in terms of probability of rejecting a call and the delay encountered by the customers in accessing the common resources. In this paper, a simple n-dimensional birth-death steady-state traffic model is used to evaluate the blocking probability experienced by n different classes of customers in a two-way interactive distributed community antenna television (CATV) communication system. In the computation of the end-to-end blocking probability, we have assumed that the links between the call's originating node and the destination node are statistically independent. It is assumed, without loss of generality, that the number of channels (servers) is the same for all the links. In addition to the closed-form solution obtained for different cases, a simple recursive formula that simplifies the computational complexity is presented. Copyright ¬© 1986 by The Institute of Electrical and Electronics Engineers. Inc.</t>
  </si>
  <si>
    <t>60028458;60028458;60030162</t>
  </si>
  <si>
    <t>36846566100;35584225400;7404647836</t>
  </si>
  <si>
    <t>Jafari, Ayat A.;Saadawi, Tarek N.;Schwartz, Mischa</t>
  </si>
  <si>
    <t>New York;New York</t>
  </si>
  <si>
    <t>Columbia University;City College of New York</t>
  </si>
  <si>
    <t>60030162;60028458</t>
  </si>
  <si>
    <t>Jafari A.</t>
  </si>
  <si>
    <t>Blocking Probability in Two-Way Distributed Circuit-Switched CATV</t>
  </si>
  <si>
    <t>10.1109/TCOM.1986.1096440</t>
  </si>
  <si>
    <t>2-s2.0-0022790633</t>
  </si>
  <si>
    <t>['structure implements', 'steer direction', 'provide insight', 'linear constraint', 'lcmv beamformers', 'gsc structure', 'geometric interpretation', 'fixed gain', 'electronics engineers', 'band beamforming', 'band beam']</t>
  </si>
  <si>
    <t>This correspondence identifies general conditions under which the generalized sidelobe canceller (GSC) structure implements a linearly constrained minimum variance (LCMV) broad-band beam-former. In previously published work, conditions have been presented for the case in which the linear constraint is restricted to fixed gain in the steer direction. Here, that work is extended to include general linear constraints. A geometric interpretation is presented to provide insight into the relationship between the GSC structure and LCMV beamformers, and several recent developments in broad-band beamforming are reviewed and related to the GSC structure. Copyright ¬© 1986 by the Institute of Electrical and Electronics Engineers, Inc.</t>
  </si>
  <si>
    <t>1322-1323</t>
  </si>
  <si>
    <t>IEEE Transactions on Acoustics, Speech, and Signal Processing</t>
  </si>
  <si>
    <t>Buckley, Kevin M.</t>
  </si>
  <si>
    <t>Buckley K.</t>
  </si>
  <si>
    <t>Broad-Band Beamforming and the Generalized Sidelobe Canceller</t>
  </si>
  <si>
    <t>10.1109/TASSP.1986.1164927</t>
  </si>
  <si>
    <t>2-s2.0-0022791114</t>
  </si>
  <si>
    <t>['promising performances', 'predicted theoretically', 'model antenna', 'measured performance', 'high efficiency', 'axial ratio', 'antenna gain', 'antenna belongs', '57 percent', '35 dbi', '2 ghz', '1 db']</t>
  </si>
  <si>
    <t>Characteristics of a novel planar antenna which can radiate a circularly polarized pencil beam in x-band are presented for the application of receiving direct broadcast from a satellite. This antenna belongs to a class of slotted waveguide antennas and promising performances, especially its high efficiency, have already been predicted theoretically. The measured performance of a model antenna with a diameter of 0.6 m, is presented. Antenna gain of about 35 dBi and axial ratio of about 1 dB are realized at 12.2 GHz; the associated antenna efficiency of 57 percent is very high in comparison with that of the conventional microstrip antennas, in this range of gain. ¬© 1986 IEEE</t>
  </si>
  <si>
    <t>1269-1272</t>
  </si>
  <si>
    <t>35495699200;7402174027;7201747933</t>
  </si>
  <si>
    <t>Ando, Makoto;Sakurai, Kimio;Goto, Naohisa</t>
  </si>
  <si>
    <t>Characteristics of a Radial Line Slot Antenna for 12 GHz Band Satellite TV Reception</t>
  </si>
  <si>
    <t>10.1109/TAP.1986.1143744</t>
  </si>
  <si>
    <t>2-s2.0-0022791557</t>
  </si>
  <si>
    <t>['various types', 'segmentation technique', 'resonant frequency', 'radiation patterns', 'method presented', 'method appears', 'matched loads', 'input impedance', 'feed reactance', 'experimental results', 'efficient compared', 'cavity model', 'arbitrary shapes']</t>
  </si>
  <si>
    <t>Arbitrarily shaped microstrip patch antennas have been analyzed for resonant frequency, input impedance, and radiation patterns. The segmentation technique and the cavity model have been used for this purpose. The usefulness and the accuracy of the method are shown through comparison with experimental results for a rectangular ring antenna. The agreement is seen to be very good. The method appears to be more efficient compared to those reported so far for arbitrary shapes. Moreover, feed reactance is built into the analysis. The method presented here can also be used to analyze microstrip antennas with various types of loadings, e.g., shorting pins, matched loads, etc. ¬© 1986 IEEE</t>
  </si>
  <si>
    <t>1208-1213</t>
  </si>
  <si>
    <t>60104043;</t>
  </si>
  <si>
    <t>6603502111;56224976000</t>
  </si>
  <si>
    <t>Palanisamy, V.;Garg, Ramesh</t>
  </si>
  <si>
    <t>Tirunelveli</t>
  </si>
  <si>
    <t>Government College of Engineering, Tirunelveli</t>
  </si>
  <si>
    <t>Palanisamy V.</t>
  </si>
  <si>
    <t>Analysis of Arbitrarily Shaped Microstrip Patch Antennas Using Segmentation Technique and Cavity Model</t>
  </si>
  <si>
    <t>10.1109/TAP.1986.1143737</t>
  </si>
  <si>
    <t>2-s2.0-0022791687</t>
  </si>
  <si>
    <t>['¬© 1986', 'theoretical bandwidth', 'rights reserved', 'resonance frequency', 'radiation admittance', 'particular case', 'linear transmission', 'electrical engineers', 'compared successfully']</t>
  </si>
  <si>
    <t>Using a linear transmission-line model analysis we calculate the radiation admittance in the particular case of the circular patch antenna. Theoretical bandwidth, radiation admittance and resonance frequency are compared successfully with experimental results given by other authors. ¬© 1986, The Institution of Electrical Engineers. All rights reserved.</t>
  </si>
  <si>
    <t>1174-1176</t>
  </si>
  <si>
    <t>118844401;118844401</t>
  </si>
  <si>
    <t>7006052449;6506331252</t>
  </si>
  <si>
    <t>Dubost, G.;Beauquet, G.</t>
  </si>
  <si>
    <t>Laboratory of Antennas and Radiation University of Rennes</t>
  </si>
  <si>
    <t>Linear Transmission-Line Model analysis of a circular Patch Antenna</t>
  </si>
  <si>
    <t>10.1049/el:19860804</t>
  </si>
  <si>
    <t>2-s2.0-0022792039</t>
  </si>
  <si>
    <t>['¬© 1986', 'wave velocity', 'ultrasound transducers', 'ultrasonic transducers', 'sound fields', 'snapshot ),', 'scale images', 'rights reserved', 'resulting shift', 'pulse excitation', 'pressure waves', 'numerical evaluation', 'nondestructive testing', 'maximum values', 'local point', 'isobars regarding', 'important features', 'continuous wave', 'computed numerically', 'biological tissue', 'algorithm described', 'acoustical society', '3d plots']</t>
  </si>
  <si>
    <t>For medical ultrasonic imaging and for nondestructive testing, the attenuation of pressure waves and the resulting shift in wave velocity are important features in commonly used transmission media such as biological tissue. An algorithm for the numerical evaluation of pressure field distributions generated by ultrasonic transducers is presented. The attenuation and dispersion of the sound transmission medium are taken into consideration. The sound fields are computed numerically for continuous wave as well as pulse excitation. The transducer has plane or gently curved geometry and is embedded in a plane rigid baffle. The numerically determined pressure fields are presented as 3D plots, as gray-scale images for a fixed time stamp (like a snapshot), or as isobars regarding the maximum values over time for each local point in the area under investigation. The algorithm described here can be utilized as a tool for design of ultrasound transducers, especially array antennas. ¬© 1986, Acoustical Society of America. All rights reserved.</t>
  </si>
  <si>
    <t>1140-1147</t>
  </si>
  <si>
    <t>60028673;60028673</t>
  </si>
  <si>
    <t>7102652565;7102428074</t>
  </si>
  <si>
    <t>Lerch, R.;Friedrich, W.</t>
  </si>
  <si>
    <t>Munich</t>
  </si>
  <si>
    <t>Siemens AG</t>
  </si>
  <si>
    <t>Lerch R.</t>
  </si>
  <si>
    <t>Ultrasound fields in attenuating media</t>
  </si>
  <si>
    <t>10.1121/1.393804</t>
  </si>
  <si>
    <t>2-s2.0-0022792185</t>
  </si>
  <si>
    <t>['modified compressed', 'model accounts', 'band resonances', 'analytical model']</t>
  </si>
  <si>
    <t>An analytical model of the anisotropic trapezoidal antenna is developed by showing that this antenna can be treated as a modified compressed 'dispersionless' log-periodic dipole array. This model accounts for all resonant behavior caused by element mutual coupling. Theoretical and experimental results indicate that, although this array displays characteristic strong, narrow-band resonances, a useful operating band can be obtained by adjusting the feedline characteristic impedance and termination.</t>
  </si>
  <si>
    <t>188-192</t>
  </si>
  <si>
    <t>Canadian electrical engineering journal</t>
  </si>
  <si>
    <t>Oct</t>
  </si>
  <si>
    <t>60016983;60016983;60016983</t>
  </si>
  <si>
    <t>7004680083;7103118573;7003913442</t>
  </si>
  <si>
    <t>Tranquilla, J. M.;Cobb, L. H.;Balmain, K. G.</t>
  </si>
  <si>
    <t>IMPROVED MODEL FOR THE ANISOTROPIC TRAPEZOIDAL ANTENNA.</t>
  </si>
  <si>
    <t>10.1109/CEEJ.1986.6591944</t>
  </si>
  <si>
    <t>2-s2.0-0022792649</t>
  </si>
  <si>
    <t>['¬© 1986', 'rights reserved', 'polar grid', 'physical optics', 'ordinate system', 'integration technique', 'electrical engineers', 'convergence properties']</t>
  </si>
  <si>
    <t>Antennas | Physical optics</t>
  </si>
  <si>
    <t>The convergence properties of Ludwig's integration technique are investigated, when applied to physical optics (PO) analysis. It is demonstrated that the rate of convergence is sensitive to the choice of integration grid co-ordinate system. Examples of PO analysis applied to paraboloidal and ellipsoidal reflectors show the reduction in computation time achievable when using a cartesian integration grid rather than a polar grid. ¬© 1986, The Institution of Electrical Engineers. All rights reserved.</t>
  </si>
  <si>
    <t>1161-1162</t>
  </si>
  <si>
    <t>60019702;60019702</t>
  </si>
  <si>
    <t>7102394929;7006639115</t>
  </si>
  <si>
    <t>Parkinson, J. R.;Mehler, M. J.</t>
  </si>
  <si>
    <t>Parkinson J.</t>
  </si>
  <si>
    <t>Convergence of Physical optics Integrals by Ludwig'S Technique</t>
  </si>
  <si>
    <t>10.1049/el:19860795</t>
  </si>
  <si>
    <t>2-s2.0-0022793842</t>
  </si>
  <si>
    <t>['¬© 1986', 'vertical separation', 'rights reserved', 'experimental investigation', 'electrical engineers', 'easily obtained', 'combined horizontal', 'base station', 'antenna separation', '900 mhz', '3 km', '13 œª', '11 œª']</t>
  </si>
  <si>
    <t>Antennas | Radio-wave propagation (Terrain effects) | Radiocommunication</t>
  </si>
  <si>
    <t>An experimental investigation is reported of the crosscorrelation of 900 MHz signals received by two spatially separated antennas at a base station. The investigation embraced vertical, horizontal and combined horizontal and vertical separation of the antennas, for transmission from test routes 1. 3 km from the base station. It was found that a crosscorrelation ‚òÑ0. 7 (i. e. when diversity improvement becomes significant) can best be achieved using vertical separation of the antennas of between 11 Œª and 13 Œª, for the 1. 3 km cell radius. At 900 MHz such an antenna separation is easily obtained and, in addition, the roof space required is small. Moreover, the crosscorrelation using vertically spaced antennas is independent of the incoming arrival angle (unlike horizontally spaced antennas), and hence low correlation can be achieved while maintaining omnidirectional coverage. ¬© 1986, The Institution of Electrical Engineers. All rights reserved.</t>
  </si>
  <si>
    <t>506-512</t>
  </si>
  <si>
    <t>60025555;60025555;60020661;60005686</t>
  </si>
  <si>
    <t>7103400688;7005186888;7202701174;7402708406</t>
  </si>
  <si>
    <t>Adachi, F.;Feeney, M. T.;Williamson, A. G.;Parsons, J. D.</t>
  </si>
  <si>
    <t>Japan;United Kingdom;New Zealand</t>
  </si>
  <si>
    <t>Tokyo;Liverpool;Auckland</t>
  </si>
  <si>
    <t>Nippon Telegraph and Telephone Corporation;University of Liverpool;The University of Auckland</t>
  </si>
  <si>
    <t>60025555;60020661;60005686</t>
  </si>
  <si>
    <t>Adachi F.</t>
  </si>
  <si>
    <t>Crosscorrelation between The Envelopes of 900 MHz Signals received at a Mobile Radio base Station Site</t>
  </si>
  <si>
    <t>10.1049/ip-f-1.1986.0083</t>
  </si>
  <si>
    <t>2-s2.0-0022793922</t>
  </si>
  <si>
    <t>['¬© 1986', 'waves excited', 'solved using', 'shooting points', 'realistic description', 'radial direction', 'plasmas using', 'particular application', 'frequency heating', 'different wavelengths', 'cylindrical plasma', 'automatic selection']</t>
  </si>
  <si>
    <t>A set of four, coupled, first-order ordinary linear differential equations is derived which gives, at low to ion cyclotron frequency, a realistic description of waves excited by an antenna which surrounds a cylindrical plasma that is non-uniform in the radial direction. The equations describe wave modes with very different wavelengths, and they have been solved using a multiple shooting technique, with automatic selection of the shooting points. The efficacy of this technique is discussed with particular application to the radio-frequency heating of plasmas using the spatial Alfv√©n resonance. ¬© 1986.</t>
  </si>
  <si>
    <t>153-167</t>
  </si>
  <si>
    <t>60023748;60023748</t>
  </si>
  <si>
    <t>7004683859;6603704472</t>
  </si>
  <si>
    <t>Clancy, B. E.;Donnelly, I. J.</t>
  </si>
  <si>
    <t>Lucas Heights</t>
  </si>
  <si>
    <t>Australian Nuclear Science and Technology Organisation</t>
  </si>
  <si>
    <t>Clancy B.</t>
  </si>
  <si>
    <t>The calculation of wave fields in a cylindrical plasma using a multiple shooting technique</t>
  </si>
  <si>
    <t>10.1016/0010-4655(86)90033-0</t>
  </si>
  <si>
    <t>2-s2.0-0022794635</t>
  </si>
  <si>
    <t>['thermal noise', 'smi algorithm', 'modified algorithm', 'interfering signals', 'covariance matrix', 'adaptive arrays']</t>
  </si>
  <si>
    <t>The performance of adaptive antenna arrays in the presence of weak interfering signals (below thermal noise) is studied. It is shown that conventional adaptive antenna arrays sample matrix inversion (SMI) algorithm is used are unable to suppress such interfering signals. To overcome this problem, the SMI algorithm is modified. In the modified algorithm, the covariance matrix is redefined such that the effect of thermal noise on the weights of adaptive arrays is reduced. Thus, the weights are dictated by relatively weak signals. It is shown that the modified algorithm provides the desired interference protection. ¬© 1986 IEEE</t>
  </si>
  <si>
    <t>1237-1242</t>
  </si>
  <si>
    <t>Gupta, Inder J.</t>
  </si>
  <si>
    <t>ElectroScience Laboratory</t>
  </si>
  <si>
    <t>Gupta I.</t>
  </si>
  <si>
    <t>SMI Adaptive Antenna Arrays for Weak Interfering Signals</t>
  </si>
  <si>
    <t>10.1109/TAP.1986.1143745</t>
  </si>
  <si>
    <t>2-s2.0-0022794767</t>
  </si>
  <si>
    <t>['surface wave', 'space wave', 'obtained using', 'longitudinal components', 'general approach', 'frequency range', 'fourier domain', 'dielectric substrate', 'associated power', '02 ),']</t>
  </si>
  <si>
    <t>A general approach is presented for the determination of power radiated via the space wave and surface wave from the aperture of an arbitrarily shaped microstrip antenna. The magnetic current model is used for this, and the analysis is carried out in the Fourier domain to determine the effect of the substrate. It has been shown that, in the Fourier domain, the longitudinal components of electric and magnetic displacement vectors follow the transmission line equation and can be solved by inspection. An expression for total radiated power has been derived. The singularities of the integral for power radiation indicate the presence of surface wave modes, and the associated power has been obtained using a singularity extraction technique. The effect of the substrate on space wave power has also been determined. This theory has been applied to a rectangular patch antenna. The results are in conformity with those reported in the literature. It has been found that for the frequency range (h/Œª, &gt; 0.02), the effect of dielectric substrate can be neglected. ¬© 1986 IEEE</t>
  </si>
  <si>
    <t>1181-1188</t>
  </si>
  <si>
    <t>60004750;60005837</t>
  </si>
  <si>
    <t>7402673635;56224976000</t>
  </si>
  <si>
    <t>Bhattacharyya, Arun K.;Garg, Ramesh</t>
  </si>
  <si>
    <t>United States;India</t>
  </si>
  <si>
    <t>Houston;Kharagpur</t>
  </si>
  <si>
    <t>University of Houston;Indian Institute of Technology Kharagpur</t>
  </si>
  <si>
    <t>60005837;60004750</t>
  </si>
  <si>
    <t>Bhattacharyya A.</t>
  </si>
  <si>
    <t>Effect of Substrate on the Efficiency of an Arbitrarily Shaped Microstrip Patch Antenna</t>
  </si>
  <si>
    <t>10.1109/TAP.1986.1143748</t>
  </si>
  <si>
    <t>2-s2.0-0022795056</t>
  </si>
  <si>
    <t>['transverse magnetic', 'transverse electric', 'numerical results', 'mm technique', 'hybrid utd', 'electromagnetic diffraction', 'analyze efficiently']</t>
  </si>
  <si>
    <t>A hybrid UTD-MM technique which combines the uniform geometrical theory of diffraction (UTD) and the method of moments (MM) is employed to analyze efficiently the problem of electromagnetic diffraction of transverse electric (TE) and transverse magnetic (TM) waves by a perfectly conducting semicircular cylinder. An analysis of this problem is useful for understanding the coupling between the mechanisms of edge and convex surface diffraction. The accuracy of the numerical results for the farzone fields based on this solution is established by comparison with an independent formally exact MM solution. ¬© 1986 IEEE</t>
  </si>
  <si>
    <t>1250-1257</t>
  </si>
  <si>
    <t>60024185;60003500;60003500</t>
  </si>
  <si>
    <t>7006915078;35579308700;36927548100</t>
  </si>
  <si>
    <t>Srikanth, Sivasankaran;Pathak, Prabhakar H.;Chuang, C. W.</t>
  </si>
  <si>
    <t>Charlottesville;Columbus</t>
  </si>
  <si>
    <t>National Radio Astronomy Observatory;The Ohio State University</t>
  </si>
  <si>
    <t>60024185;60003500</t>
  </si>
  <si>
    <t>Srikanth S.</t>
  </si>
  <si>
    <t>Hybrid UTD-MM Analysis of the Scattering by a Perfectly Conducting Semicircular Cylinder</t>
  </si>
  <si>
    <t>10.1109/TAP.1986.1143740</t>
  </si>
  <si>
    <t>2-s2.0-0022795310</t>
  </si>
  <si>
    <t>['¬© 1986', 'structural model', 'structural engineering', 'slip accumulation', 'pinned connections', 'paper presents', 'paper describes', 'much less', 'member lengths', 'indeterminate two', 'illustrative results', 'hypothesized slots', 'high precision', 'guaranteed success', 'ground radio', 'finite number', 'fabrication tolerances', 'direct approach', 'dimensional trusses', 'changing loads', 'assessing worst', 'approach results', 'analysis procedure']</t>
  </si>
  <si>
    <t>A challenge in structural engineering of space and ground radio and light wave reflectors is to retain surface geometry to a high precision in the context of pinned connections and changing loads. This paper describes a direct approach to assessing worst-case geometric degradation of these structures for hypothesized slots in the members. The paper presents the structural model, an analysis procedure, and illustrative results. The model addresses articulated structures with slots small compared with member lengths. The analysis process implies stepwise linear behavior. The examples encompass determinate and indeterminate two-dimensional trusses. The approach results in an analysis process capable of predicting the extremes of slip accumulation. Like limit analysis, it provides behavior prediction in a finite number of steps with guaranteed success. Data from the sample analyses suggest that fabrication tolerances should be much less than allowable member elongations if long-time high precision is desired. ¬© 1986.</t>
  </si>
  <si>
    <t>241-247</t>
  </si>
  <si>
    <t>0168874X</t>
  </si>
  <si>
    <t>Finite Elements in Analysis and Design</t>
  </si>
  <si>
    <t>60008724;60008724;60008724;60008724;60008724;60008724;60008724;60008724</t>
  </si>
  <si>
    <t>7004062480;7005637871;7103323166;6602071384;57196829414;35977938700;7003381891;56665482100</t>
  </si>
  <si>
    <t>Melosh, R. J.;Araya, Rodrigo;Farhat, Charbel;Garcelon, John;Mora, Jesus;Seifert, Peter;Stander, Nielen;Wallace, John</t>
  </si>
  <si>
    <t>Durham</t>
  </si>
  <si>
    <t>Duke University</t>
  </si>
  <si>
    <t>Melosh R.J.</t>
  </si>
  <si>
    <t>Scelernomic analysis of structures considering connection slip</t>
  </si>
  <si>
    <t>0168874X86900284</t>
  </si>
  <si>
    <t>10.1016/0168-874X(86)90028-4</t>
  </si>
  <si>
    <t>2-s2.0-0022795405</t>
  </si>
  <si>
    <t>['transmission line', 'theoretical basis', 'small monopole', 'simply extended', 'results compared', 'practical applicability', 'particular length', 'open circuit', 'new antenna', 'nearly invisible', 'mutual impedance', 'mismatched antennas', 'like elements', 'greater restriction', 'first resonance', 'e .,', 'cms antennas', 'calculated directly', 'almost invisible', 'active impedance']</t>
  </si>
  <si>
    <t>The mutual impedance between canonical minimum scattering (CMS) antennas can be calculated directly from their far-field radiation patterns. While having the potential to greatly simplify array analysis and design, the theory has limited practical applicability because, by definition, CMS antennas are matched to their terminations. It is shown here that the theoretical basis of the mutual coupling calculation does not require the antennas to be matched and that the theory is simply extended to mismatched antennas. The only requirement is that the antennas are invisible, i.e., do not scatter, when open-circuited. This does not impose a greater restriction on the practical applicability of the method, since characteristic mode theory indicates that dipoles and loops, and perhaps other antennas, can be made very nearly invisible by a suitable reactive termination if the frequency is near or below first resonance. A new antenna, consisting of the original antenna plus a particular length of transmission line, will then be almost invisible on open circuit. The theory is applied to calculating the active impedance in an array of small monopole-like elements in a parallel plate waveguide and the results compared with experiment. ¬© 1986 IEEE</t>
  </si>
  <si>
    <t>1223-1228</t>
  </si>
  <si>
    <t>Rogers, P. Glynn</t>
  </si>
  <si>
    <t>Rogers P.</t>
  </si>
  <si>
    <t>Application of the Minimum Scattering Antenna Theory to Mismatched Antennas</t>
  </si>
  <si>
    <t>10.1109/TAP.1986.1143747</t>
  </si>
  <si>
    <t>2-s2.0-0022795925</t>
  </si>
  <si>
    <t>['thus simplifying', 'radiation patterns', 'given ripple', 'gain pattern', 'feed network', 'considerably less', 'circumferential patches', 'circular cylinder', 'axial patches']</t>
  </si>
  <si>
    <t>Radiation patterns of rectangular microstrip patches arranged circumferentially on a circular cylinder have been computed. Both the axial patches and circumferential patches have been used. It has been found that the number of circumferential patches required for a given ripple in gain pattern is considerably less, thus simplifying the feed network. Comparison with experimental measurements shows good agreement. ¬© 1986 IEEE</t>
  </si>
  <si>
    <t>1258-1261</t>
  </si>
  <si>
    <t>115568128;60005837;60004750;60004750</t>
  </si>
  <si>
    <t>55395975500;56224976000;6603283674;7102603252</t>
  </si>
  <si>
    <t>Jayakumar, Immanual;Garg, Ramesh;Sarap, B. K.;Lal, Bhagwan</t>
  </si>
  <si>
    <t>United States;India;India</t>
  </si>
  <si>
    <t>Houston;Kharagpur;Bangalore</t>
  </si>
  <si>
    <t>University of Houston;Indian Institute of Technology Kharagpur;Electronics Research and Development Establishment</t>
  </si>
  <si>
    <t>60005837;60004750;115568128</t>
  </si>
  <si>
    <t>Jayakumar I.</t>
  </si>
  <si>
    <t>A Conformal Cylindrical Microstrip Array for Producing Omnidirectional Radiation Pattern</t>
  </si>
  <si>
    <t>10.1109/TAP.1986.1143743</t>
  </si>
  <si>
    <t>2-s2.0-0022796221</t>
  </si>
  <si>
    <t>['¬© 1986', 'substrate thickness', 'rights reserved', 'increases rapidly', 'electrical engineers', 'decays much']</t>
  </si>
  <si>
    <t>The surface wave coupling between circular microstrip antennas is formulated and shown that it decays much more slowly than the space wave coupling. It increases rapidly with the substrate thickness. ¬© 1986, The Institution of Electrical Engineers. All rights reserved.</t>
  </si>
  <si>
    <t>1198-1200</t>
  </si>
  <si>
    <t>7402673635;8092251400</t>
  </si>
  <si>
    <t>Bhattacharyya, A. K.;Shafai, L.</t>
  </si>
  <si>
    <t>Surface Wave Coupling between Circular Patch Antennas</t>
  </si>
  <si>
    <t>10.1049/el:19860821</t>
  </si>
  <si>
    <t>2-s2.0-0022796938</t>
  </si>
  <si>
    <t>['used simultaneously', 'ring arrays', 'reflector operates', 'prime focus', 'hyperbolic subreflectors', 'gridded square', 'francis group', 'equivalent single', 'curved surface', 'crosspolar performance', 'complete antenna', 'cassegrain feeds', 'band reflectors']</t>
  </si>
  <si>
    <t>The performance of a linearly polarized dual-band parabolic reflector antenna is described. A frequency selective Cassegrain subreflector is used to separate the two frequency bands allowing both the prime focus and Cassegrain feeds to be used simultaneously. The hyperbolic subreflectors were manufactured by directly printing frequency selective array elements onto a curved surface. Two frequency selective designs were tested, gridded square and ring arrays. The reflector operates at 14¬∑5 and 23¬∑5 GHz. The gain, sidelobe and crosspolar performance of the complete antenna is assessed and compared with the performance of equivalent single-band reflectors. ¬© 1986 Taylor &amp; Francis Group, LLC.</t>
  </si>
  <si>
    <t>607-616</t>
  </si>
  <si>
    <t>57010564900;56020461500</t>
  </si>
  <si>
    <t>Lee, C. K.;Langley, R. J.</t>
  </si>
  <si>
    <t>Lee C.</t>
  </si>
  <si>
    <t>Performance of a dual-band reflector antenna incorporating a frequency selective subreflector</t>
  </si>
  <si>
    <t>10.1080/00207218608920904</t>
  </si>
  <si>
    <t>2-s2.0-0022805597</t>
  </si>
  <si>
    <t>['œµ r', 'wave impedance', 'various constraints', 'theoretical model', 'situ measurements', 'scattering properties', 'relative permittivity', 'reflection coefficient', 'path loss', 'measured data', 'many experiments', 'inverse methods', 'frequency range', 'francis group', 'forest vegetation', 'forest slab', 'experimental data', 'antenna pattern', '75 mhz', '400 mhz']</t>
  </si>
  <si>
    <t>Many experiments have been carried out to study the absorption and scattering properties of forest vegetation on radiowaves but very little has been reported on the measurements of relative permittivity (Œµr) and conductivity (œÉ) of forest slab. Due to various constraints, the in-situ measurements of Œµ, and œÉ were limited to 75 MHz. Inverse methods have reportedly been employed to evaluate Œµ r and œÉ for forest slab from the experimental data on the measurements of antenna pattern, reflection coefficient, wave impedance, and path loss, etc. These studies were restricted to 400 MHz. In this paper the values of Œµ r and œÉ for the forest slab have been estimated by fitting the theoretical model to the measured data on lateral wave attenuation constant derived from the height-gain measurements conducted in forest, in the frequency range of 50‚Äì800 MHz. ¬© 1986 Taylor &amp; Francis Group, LLC.</t>
  </si>
  <si>
    <t>597-605</t>
  </si>
  <si>
    <t>106792025;106792025;60020825</t>
  </si>
  <si>
    <t>57205779409;7005090013;7402899879</t>
  </si>
  <si>
    <t>Tewari, R. K.;Swarup, S.;Roy, M. N.</t>
  </si>
  <si>
    <t>India;India</t>
  </si>
  <si>
    <t>Kolkata;Dehradun</t>
  </si>
  <si>
    <t>Jadavpur University;Defence Electronics Application Laboratory</t>
  </si>
  <si>
    <t>60020825;106792025</t>
  </si>
  <si>
    <t>Tewari R.</t>
  </si>
  <si>
    <t>Evaluation of relative permittivity and conductivity of forest slab from experimentally measured data on lateral wave attenuation constant‚Ä†</t>
  </si>
  <si>
    <t>10.1080/00207218608920903</t>
  </si>
  <si>
    <t>2-s2.0-0022805619</t>
  </si>
  <si>
    <t>['uda antennas', 'test volume', 'susceptibility testing', 'plane wave', 'near field', 'measured throughout', 'field throughout', 'element weightings', 'element array', 'electronics engineers', 'electronic equipment', 'electric field', 'dipole probe', '500 mhz']</t>
  </si>
  <si>
    <t>17b/d/f/j | 2b/d/f/j | Antenna array | array synthesis | dipole antenna | electromagnetic-susceptibility testing | mutual coupling | near field | plane wave | Yagi-Uda antenna</t>
  </si>
  <si>
    <t>In electromagnetic-susceptibility testing of electronic equipment, the ideal incident field is a plane wave. To approximate this condition, a seven-element array of Yagi-Uda antennas has been constructed and tested at a frequency of 500 MHz. The element weightings are determined by a near-field synthesis technique, which optimizes the uniformity of the field throughout a rectangular test volume in the near field of the array. The amplitude and phase of the electric field have been measured throughout the test volume with a short-dipole probe, and the agreement with the theory is excellent. Copyright ¬© 1986 by The Institute of Electrical and Electronics Engineers, Inc.</t>
  </si>
  <si>
    <t>170-178</t>
  </si>
  <si>
    <t>1558187X</t>
  </si>
  <si>
    <t>56050028200;7004008412</t>
  </si>
  <si>
    <t>Hill, David A.;Koepke, Galen H.</t>
  </si>
  <si>
    <t>A Near-Field Array of Yagi-Uda Antennas for Electromagnetic-Susceptibility Testing</t>
  </si>
  <si>
    <t>10.1109/TEMC.1986.4307287</t>
  </si>
  <si>
    <t>2-s2.0-0022805641</t>
  </si>
  <si>
    <t>['usable meteors', 'research tool', 'renewed interest', 'rapid decrease', 'previous models', 'preliminary results', 'past efforts', 'paper surveys', 'new model', 'models predicting', 'link parameters', 'faraday rotation', 'cummunication applications', 'copyright 1986', 'computing resources', 'computing costs', 'complex relationship', 'arrival rate', 'antenna patterns', 'allow investigation', 'accurate techniques']</t>
  </si>
  <si>
    <t>Renewed interest in meteor scatter propagation for cummunication applications has created a need for better and more accurate techniques to investigate the complex relationship between the arrival rate of usable meteors and antenna patterns, link parameters, Faraday rotation loss and polarization. In past efforts, the complexity of the models predicting the arrival of meteors was limited by the cost of computing resources on large main‚Äêframe computers. The rapid decrease in computing costs has allowed more advanced and computationally intensive modeling techniques to be applied to meteor burst modeling. This paper surveys the development of previous models and describes a new model which has been developed as a research tool to allow investigation of the relationship between the arrival rate of meteors and antenna patterns, Faraday rotation, polarization and link parameters. Preliminary results from the model are compared to data from several meteor links. Copyright 1986 by the American Geophysical Union.</t>
  </si>
  <si>
    <t>1009-1020</t>
  </si>
  <si>
    <t>November-December 1986</t>
  </si>
  <si>
    <t>Weitzen, Jay A.</t>
  </si>
  <si>
    <t>Weitzen J.</t>
  </si>
  <si>
    <t>Predicting the arrival of meteors useful for meteor burst communication</t>
  </si>
  <si>
    <t>10.1029/RS021i006p01009</t>
  </si>
  <si>
    <t>2-s2.0-0022805918</t>
  </si>
  <si>
    <t>['strip antenna', 'resonant frequency', 'radiation patterns', 'measured results', 'lower q', 'larger size', 'input impedance', 'correctly predict', 'close agreement', 'circular polarization', 'cavity model']</t>
  </si>
  <si>
    <t>A segmentation technique coupled with a cavity model has been used to analyze square ring and crossed-strip microstrip patch antennas for circular polarization. This technique is found to correctly predict the characteristics of the antennas. This is evident from the close agreement between the calculated and measured results for resonant frequency, input impedance, radiation patterns, and bandwidth. The square ring antenna has been found to have larger impedance bandwidth and axial ratio bandwidth because of lower Q. The crossed-strip antenna has a larger size, and thus fabrication tolerances can be relaxed.</t>
  </si>
  <si>
    <t>1340-1346</t>
  </si>
  <si>
    <t>Nov</t>
  </si>
  <si>
    <t>ANALYSIS OF CIRCULARLY POLARIZED SQUARE RING AND CROSSED-STRIP MICROSTRIP ANTENNAS.</t>
  </si>
  <si>
    <t>10.1109/tap.1986.1143766</t>
  </si>
  <si>
    <t>2-s2.0-0022806709</t>
  </si>
  <si>
    <t>['wiley company', 'vswr less', 'permits simple', 'parasitic element', 'inc .,', 'feed circuit', 'design method', 'coplanar arrangement', 'band broadening', '8 dbi']</t>
  </si>
  <si>
    <t>Band broadening and optimization of a microstrip array antenna are investigated and a design method is presented for an S‚Äêband satellite marine communication antenna. Validity of this design is confirmed by experiment. Bandwidth as large as 13% is achieved with a parasitic element in which the VSWR remains less than 1.5. The coplanar arrangement, in which the radiator and feed circuit are in the same plane, permits simple, low‚Äêless structure. Based on these investigations a microstrip array antenna is fabricated for S‚Äêband satellite marine communications which has a relative bandwidth greater than 8.5%, gain greater than 18.8 dBi, efficiency above 62%, sidelobe level below ‚Äê22 dB and VSWR less than 1.5. Copyright ¬© 1986 Wiley Periodicals, Inc., A Wiley Company</t>
  </si>
  <si>
    <t>76-83</t>
  </si>
  <si>
    <t>60025555;60025555</t>
  </si>
  <si>
    <t>7402411659;55245356600</t>
  </si>
  <si>
    <t>Hori, Toshikazu;Nakajima, Nobuo</t>
  </si>
  <si>
    <t>Nippon Telegraph and Telephone Corporation</t>
  </si>
  <si>
    <t>Hori T.</t>
  </si>
  <si>
    <t>Broadband circularly polarized microstrip array antenna with coplanar feed</t>
  </si>
  <si>
    <t>10.1002/ecja.4410691108</t>
  </si>
  <si>
    <t>2-s2.0-0022807264</t>
  </si>
  <si>
    <t>['slope patterns', 'signal power', 'planar arrays', 'linear arrays', 'frequency bandwidth', 'electronics engineers', 'dimensional peak', 'desirable features', 'beam forming', 'array size']</t>
  </si>
  <si>
    <t>113d/f | 19c/d | 7c/d | antenna pattern | beam forming | Nonsinusoidal wave | planar array</t>
  </si>
  <si>
    <t>Array beam forming with nonsinusoidal waves allows a trade-off between signal power, frequency bandwidth, and array size for a small resolution angle. In addition, one can derive various antenna patterns with desirable features for achieving good angular resolution. Such patterns are peak-amplitude, peak-power, ramp-duration, flat-duration, energy, and slope patterns that have been derived for linear arrays. In this paper, the principle of beam forming with noise-free nonsinusoidal waves received by rectangular planar arrays is discussed. Three-dimensional peak-amplitude, energy, and slope patterns are derived for planar arrays with 4 x 4, 8 x 8, 16 x 16, and 32 x 32 sensor elements. Copyright ¬© 1986 by The Institute of Electrical and Electronics Engineers, Inc.</t>
  </si>
  <si>
    <t>240-248</t>
  </si>
  <si>
    <t>Hussain, Malek G.M.</t>
  </si>
  <si>
    <t>Hussain M.G.M.</t>
  </si>
  <si>
    <t>Three-Dimensional Antenna Patterns for Nonsinusoidal Waves</t>
  </si>
  <si>
    <t>10.1109/TEMC.1986.4307295</t>
  </si>
  <si>
    <t>2-s2.0-0022807894</t>
  </si>
  <si>
    <t>['wave antennas', 'theoretical data', 'reported experimental', 'previously reported', 'model provide', 'long dipoles', 'input impedance', 'input admittance', 'hopf solution', 'good agreement', 'current distribution', 'better insight', 'active loads', 'accurate expression']</t>
  </si>
  <si>
    <t>R. A. Hurd's Wiener-Hopf solution for the input impedance of long dipoles is extended to yield analytic expressions for the input admittance, current distribution, and far-field radiation pattern of a linear cylindrical dipole antenna symmetrically loaded with lumped impedances along its length. Results from this model provide a more accurate expression for the current distribution on an infinitely long dipole antenna than previously reported by L. C. Shen et al. and are in good agreement with reported experimental and theoretical data. The new expressions give a better insight into the concept of standing- and travelling-wave antennas as well as the difference between loading with passive and active loads.</t>
  </si>
  <si>
    <t>1537-1545</t>
  </si>
  <si>
    <t>RIGOROUS SOLUTION OF A DIPOLE ANTENNA WITH LUMPED IMPEDANCE LOADING.</t>
  </si>
  <si>
    <t>10.1139/p86-274</t>
  </si>
  <si>
    <t>2-s2.0-0022807910</t>
  </si>
  <si>
    <t>['vertical direction', 'spectral width', 'mu radar', 'lower stratosphere', 'estimated correctly', 'echo power', 'doppler spectra', 'copyright 1986', 'clearly correlated', 'aspect sensitivity', 'antenna beam', 'altitude range', 'also received']</t>
  </si>
  <si>
    <t>By using the fast beam steerability of the MU radar, we have studied the characteristics of the aspect sensitivity of the VHF backscattered echo power in the troposphere and lower stratosphere. The tropopause clearly divides the altitude range into regions with and without large aspect sensitivity. In the stratosphere, large aspect sensitivity occurs in the entire altitude region and is clearly correlated with the echo power received in the vertical direction. From investigation of the Doppler spectra, it is found that the aspect sensitivity of the echo power is correlated with the zenith angle dependence of the spectral width. Fairly large aspect sensitive echoes are also received from intense scattering layers in the troposphere, although their time‚Äêheight variation is large. Because of the large aspect sensitivity of the stratospheric echo power, the effective zenith angle of the antenna beam is smaller than the bore sight angle, so that the horizontal wind velocity can not be estimated correctly from the radial wind velocity measurements done at small zenith angles. Copyright 1986 by the American Geophysical Union.</t>
  </si>
  <si>
    <t>971-980</t>
  </si>
  <si>
    <t>35433785500;7403584142;35453697500;55398698300;35425453600</t>
  </si>
  <si>
    <t>Tsuda, Toshitaka;Sato, Toru;Hirose, Kazuo;Fukao, Shoichiro;Kato, Susumu</t>
  </si>
  <si>
    <t>Tsuda T.</t>
  </si>
  <si>
    <t>MU radar observations of the aspect sensitivity of backscattered VHF echo power in the troposphere and lower stratosphere</t>
  </si>
  <si>
    <t>10.1029/RS021i006p00971</t>
  </si>
  <si>
    <t>2-s2.0-0022808304</t>
  </si>
  <si>
    <t>['thickness structures', 'steps along', 'significantly better', 'scattering properties', 'results presented', 'rectangular plates', 'rectangular apertures', 'properly represent', 'plane wave', 'periodic array', 'normal component', 'matrix elements', 'glancing incidence', 'efficiently generates', 'edge current', 'described along', 'current elements', 'coordinate axes', 'closely agree', 'circulating current', 'also explored', 'accuracy requires']</t>
  </si>
  <si>
    <t>The scattering properties of a periodic array of conductors having any shape, composed of steps along the coordinate axes, and illuminated by a plane wave, are obtained through a rooftop current approximation. The solution, which involves a finite-dimension matrix equation, is described along with an algorithm that efficiently generates the matrix elements. Results presented for arrays of rectangular apertures and thin, rectangular plates are shown to closely agree with those obtained through standard modal approaches. Convergence with respect to the number of current elements is also explored. Because the normal component of the edge current is nonzero and continuous when thickness is present, convergence is significantly better than for zero-thickness structures. At glancing incidence, however, accuracy requires a finer subsection grid to properly represent the circulating current on the sidewalls for plates, and the U-shaped current flowing near the corner of the sidewalls for apertures.</t>
  </si>
  <si>
    <t>1356-1365</t>
  </si>
  <si>
    <t>Rubin, Barry J.</t>
  </si>
  <si>
    <t>Yorktown Heights</t>
  </si>
  <si>
    <t>IBM Thomas J. Watson Research Center</t>
  </si>
  <si>
    <t>Rubin B.J.</t>
  </si>
  <si>
    <t>SCATTERING FROM A PERIODIC ARRAY OF APERTURES OR PLATES WHERE THE CONDUCTORS HAVE ARBITRARY SHAPE, THICKNESS, AND RESISTIVITY.</t>
  </si>
  <si>
    <t>10.1109/tap.1986.1143765</t>
  </si>
  <si>
    <t>2-s2.0-0022808952</t>
  </si>
  <si>
    <t>['usually derived', 'signal processing', 'performance summary', 'homogeneous sources', 'experimental results', 'dce ).', 'clearly demonstrated', 'aperture radar', 'algorithms include']</t>
  </si>
  <si>
    <t>In synthetic-aperture radar (SAR) signal processing, an accurate Doppler centroid is required for most applications involving target motion estimation and antenna pointing direction estimation. A highly accurate Doppler centroid value is usually derived by analyzing the received SAR signal itelf. This kind of signal processing is referred to as Doppler centroid estimation (DCE). The author briefly describes two DCE algorithms, provides a performance summary for these algorithms, and presents experimental results. The algorithms include a previously reported one and a newly developed one that is optimized for quasi-homogeneous sources. The performance enhancement achieved by the optimal DCE algorithm is clearly demonstrated by the experimental results.</t>
  </si>
  <si>
    <t>1022-1025</t>
  </si>
  <si>
    <t>Jin, Michael Y.</t>
  </si>
  <si>
    <t>Jin M.</t>
  </si>
  <si>
    <t>OPTIMAL DOPPLER CENTROID ESTIMATION FOR SAR DATA FROM A QUASI-HOMOGENEOUS SOURCE.</t>
  </si>
  <si>
    <t>10.1109/TGRS.1986.289568</t>
  </si>
  <si>
    <t>2-s2.0-0022808978</t>
  </si>
  <si>
    <t>['residential environments', 'one site', 'one residence', 'office building', 'levels received', 'favorable conditions', 'direct path', '80 db', '420 ns', '40 db', '100 ns']</t>
  </si>
  <si>
    <t>Time delay spread and signal level measurements of 850-MHz radio signals were made over inside-to-outside radio paths at two residential locations and an office building. Root-mean square time delay spreads of up to 420 ns were encountered in residential environments. When a direct path was present, this improved to less than 325 ns overall, and to 100 ns at one residence. Received power levels were around -40 dB with respect to levels received at 0. 3 meter antenna separation, under favorable conditions. In other cases, these relative levels varied from -40 to -80 dB. Median signal levels agreed well with continuous wave measurements made earlier at one site. No significant polarization dependence or floor level dependence were seen in these data.</t>
  </si>
  <si>
    <t>1300-1305</t>
  </si>
  <si>
    <t>Devasirvatham, Daniel M.J.</t>
  </si>
  <si>
    <t>Piscataway</t>
  </si>
  <si>
    <t>Telcordia Technologies, Inc.</t>
  </si>
  <si>
    <t>Devasirvatham D.M.J.</t>
  </si>
  <si>
    <t>TIME DELAY SPREAD AND SIGNAL LEVEL MEASUREMENTS OF 850 MHZ RADIO WAVES IN BUILDING ENVIRONMENTS.</t>
  </si>
  <si>
    <t>10.1109/tap.1986.1143754</t>
  </si>
  <si>
    <t>2-s2.0-0022809243</t>
  </si>
  <si>
    <t>['reduced relative', 'quadrature imbalances', 'phase shifter', 'mixer nonlinearities', 'harmonic number', 'functionally replaced', 'element receivers', 'element position', 'digital beamforming', 'desired signal', 'conversion analysis', 'array proportional']</t>
  </si>
  <si>
    <t>In digital beamforming, the phase shifter is functionally replaced with a receiver and digital phase rotation. A Taylor series expansion of mixer nonlinearities is used to generate receiver intermodulation spectrums respective of the element position and the iso-Doppler wavefront directions of signal arrival across the array. The dominant intermodulation distortion at each element experiences linear phase errors across the array proportional to the harmonic number and the desired steering direction phase gradient. The array distortion signals are reduced relative to the desired signal by the array factor sidelobe isolation when desired collimation directions exceed a few beamwidths of scan off the array normal vector. The result of the nonlinear down-conversion analysis is extended to inphase and quadrature imbalances, and batch manufacturing tolerances for element receivers.</t>
  </si>
  <si>
    <t>1346-1355</t>
  </si>
  <si>
    <t>Mathews, Bruce D.</t>
  </si>
  <si>
    <t>Westinghouse Electric Company</t>
  </si>
  <si>
    <t>Mathews B.D.</t>
  </si>
  <si>
    <t>NONLINEARITIES IN DIGITAL MANIFOLD PHASED ARRAYS.</t>
  </si>
  <si>
    <t>10.1109/tap.1986.1143763</t>
  </si>
  <si>
    <t>2-s2.0-0022809540</t>
  </si>
  <si>
    <t>['upper bounds', 'upper bound', 'magnetic field', 'field magnitudes', 'electronics engineers', 'bounding errors']</t>
  </si>
  <si>
    <t>17d | Array synthesis | electromagnetic fields | error bound | hybrid vector | Ille | near field | surface fields</t>
  </si>
  <si>
    <t>An expression for the upper bound of any component of the electric or magnetic field at any point in a region is derived in terms of a product of two surface field integrals. The result is most useful for bounding errors in near-field array synthesis, but might have other applications where upper bounds on field magnitudes are desired. Copyright ¬© 1986 by The Institute of Electrical and Electronics Engineers, Inc.</t>
  </si>
  <si>
    <t>273-276</t>
  </si>
  <si>
    <t>Hill D.</t>
  </si>
  <si>
    <t>An Error Bound for Near-Field Array Synthesis</t>
  </si>
  <si>
    <t>10.1109/TEMC.1986.4307300</t>
  </si>
  <si>
    <t>2-s2.0-0022809764</t>
  </si>
  <si>
    <t>['¬© 1986', 'theoretical result', 'ta due', 'simultaneous measurements', 'rights reserved', 'reasonably consistent', 'quantitative relation', 'path attenuation', 'electrical engineers', 'accurate estimate']</t>
  </si>
  <si>
    <t>Antennas | Attenuation | Radiowave propagation | Rain | Satellite links</t>
  </si>
  <si>
    <t>Simultaneous measurements of antenna noise temperature Ta and satellite beacon attenuation were made to examine the quantitative relation between them, and to determine the 'apparent' effective medium temperature which provides an accurate estimate of slant-path attenuation. The correlation between the attenuation and the increase in Ta due to rain is very good, and the effective medium temperature derived from the 'apparent' one is reasonably consistent with a theoretical result. ¬© 1986, The Institution of Electrical Engineers. All rights reserved.</t>
  </si>
  <si>
    <t>1274-1275</t>
  </si>
  <si>
    <t>7006711251;7005147454;7004088291</t>
  </si>
  <si>
    <t>Kozu, T.;Fukuchi, H.;Otsu, Y.</t>
  </si>
  <si>
    <t>Kozu T.</t>
  </si>
  <si>
    <t>Comparison of Antenna Noise Temperature with Rain Attenuation of A Satellite Beacon Signal at 12GHz</t>
  </si>
  <si>
    <t>10.1049/el:19860874</t>
  </si>
  <si>
    <t>2-s2.0-0022809979</t>
  </si>
  <si>
    <t>['steering commands', 'source location', 'sensor elements', 'planar array', 'nonsinusoidal waves', 'generated separately', 'elevation directions', 'electronics engineers', 'dimensional self', 'developed previously', 'beam forming']</t>
  </si>
  <si>
    <t>17c/d | 18c/d/j | 19c/d | beam forming | Nonsinusoidal wave | planar array | self-steering array</t>
  </si>
  <si>
    <t>The principle of a one-dimensional self-steering array system for beam forming with nonsinusoidal waves has been developed previously. In this paper, an adaptive antenna system consisting of a two-dimensional planar array of sensor elements and a real-time adaptive receiver processor is described. The sensor elements of the planar array are arranged into rows and columns so that the steering commands for the azimuth and elevation directions can be generated separately. The array system electronically steers a beam in the direction of the source from which the waves are arriving without prior knowledge of the source location. Copyright ¬© 1986 by The Institute of Electrical and Electronics Engineers, Inc.</t>
  </si>
  <si>
    <t>231-239</t>
  </si>
  <si>
    <t>A Self-Steering Two-Dimensional Planar Array for Nonsinusoidal Waves</t>
  </si>
  <si>
    <t>10.1109/TEMC.1986.4307294</t>
  </si>
  <si>
    <t>2-s2.0-0022809980</t>
  </si>
  <si>
    <t>['¬£- plane', 'separated less', 'mutual couplings', 'mutual coupling', 'microstrip patches', 'less prominent', 'good agreement', 'gate voltages', 'francis group', 'experimental results', 'direction finder', 'continuously changed', 'calculated patterns', 'become constant', '5 wavelength', '4 wavelength']</t>
  </si>
  <si>
    <t>Active microstrip phased array | Antenna</t>
  </si>
  <si>
    <t>A two-element microstrip antenna array controlled with active phase shifters has been fabricated and tested. The phase and amplitude of the active phase shifter output can be continuously changed by controlling the gate voltages of the dual gate FET. This array can be mounted on aircraft or missiles and be used in the direction finder or adaptive array systems.The mutual couplings between microstrip patches are also experimentally studied. It is found that the self-impedance and resonant frequencies depend highly on the separation if the patches are separated less than 0.4 wavelength and become constant as the separation is greater than 0.5 wavelength. The effect of mutual coupling in the ¬£-plane is less prominent than that in the ¬ø/-plane.In array patterns synthesis, the mutual coupling can be neglected if the separation is greater than 0.5 wavelength. However, if the separation becomes smaller, the mutual coupling must be considered such that the calculated patterns are in good agreement with the experimental results. ¬© 1986 Taylor &amp; Francis Group, LLC.</t>
  </si>
  <si>
    <t>633-640</t>
  </si>
  <si>
    <t>Journal of the Chinese Institute of Engineers, Transactions of the Chinese Institute of Engineers,Series A/Chung-kuo Kung Ch'eng Hsuch K'an</t>
  </si>
  <si>
    <t>60005429;60005429</t>
  </si>
  <si>
    <t>35722152600;57209090766</t>
  </si>
  <si>
    <t>Li, Hsueh Jyh;Shieh, Ming Tzong</t>
  </si>
  <si>
    <t>Taiwan</t>
  </si>
  <si>
    <t>Taipei</t>
  </si>
  <si>
    <t>National Taiwan University</t>
  </si>
  <si>
    <t>Li H.</t>
  </si>
  <si>
    <t>Microstrip antenna array controlled with active phase shifter</t>
  </si>
  <si>
    <t>10.1080/02533839.1986.9676933</t>
  </si>
  <si>
    <t>2-s2.0-0022810164</t>
  </si>
  <si>
    <t>['slope patterns', 'reflection method', 'radiation characteristics', 'pulsed signal', 'numerical analysis', 'highly directive', 'francis group']</t>
  </si>
  <si>
    <t>In this paper the radiation characteristics of an array of matched, linear antennas fed by a pulsed signal are analysed. This study has been carried out both by numerical analysis and by the reflection method. The conditions under which the peak-amplitude and the maximum-slope patterns are highly directive are shown. ¬© 1986 Taylor &amp; Francis Group, LLC.</t>
  </si>
  <si>
    <t>639-646</t>
  </si>
  <si>
    <t>Martin, Rafael Gomez;Morente, Juan A.;Bretones, Amelia Rubio</t>
  </si>
  <si>
    <t>Array of matched, linear antennas fed by pulsed signals</t>
  </si>
  <si>
    <t>10.1080/00207218608920907</t>
  </si>
  <si>
    <t>2-s2.0-0022810303</t>
  </si>
  <si>
    <t>['¬© 1986', 'white noise', 'two equal', 'spectral analysis', 'snr ),', 'signal consists', 'rights reserved', 'results obtained', 'noise ratio', 'low signal', 'level sinusoids', 'fougere method', 'electrical engineers', 'burg method', 'antenna applications']</t>
  </si>
  <si>
    <t>Antennas | Signal processing | Spectral analysis</t>
  </si>
  <si>
    <t>In the letter the performance of the Fougere method for autoregressive (AR) spectral analysis is studied. This method is compared with the Burg method and the least-squared (LS) method (Marple algorithm). It is shown that when the signal consists of two equal-level sinusoids in white noise and the data are complex-valued, as they will be in antenna applications, the Fougere method improves the results obtained by the Burg method in all cases. Also, for low signal/noise ratio (SNR), the Fougere method gives better results than LSM. ¬© 1986, The Institution of Electrical Engineers. All rights reserved.</t>
  </si>
  <si>
    <t>1294-1296</t>
  </si>
  <si>
    <t>60014655;60014655</t>
  </si>
  <si>
    <t>56999670000;7003589064</t>
  </si>
  <si>
    <t>Perez, M. C.Carrion;Martin, R. Gomez</t>
  </si>
  <si>
    <t>Perez M.</t>
  </si>
  <si>
    <t>Fougere Method Applied to Antenna Data</t>
  </si>
  <si>
    <t>10.1049/el:19860888</t>
  </si>
  <si>
    <t>2-s2.0-0022810590</t>
  </si>
  <si>
    <t>['wave excitation', 'plasma production', 'nagoya type', 'ion temperature', 'iii antennas', 'gas box', 'flat within', 'different profile', '3x 1013cm', '150 ev', '1 mode']</t>
  </si>
  <si>
    <t>A method of plasma production by ion cyclotron wave heating has been developed in RFC-XX. Nagoya Type-III antennas were used for wave excitation, and gas was supplied through a gas box. The effect of the rotating field excitation on plasma production and heating was investigate. In the m = -1 rotational mode (rotation in the direction of ion cyclotron motion), the plasma density profile is flat within the gas box bore with a line integrated density n‚Ñì = 3X 1013cm-2, and the ion temperature is Ti = 150 eV. For the m = +1 mode, a high density plasma was obtained with a different profile having a peak at the centre. In this mode, the line integrated density is n‚Ñì = 3 X 10l4cm-2, with the peak density n(0) = 7 X 1013 cm-3. ¬© 1986 IOP Publishing Ltd.</t>
  </si>
  <si>
    <t>1491-1500</t>
  </si>
  <si>
    <t>60013901;60000264;60000264;60013901;60000264;60000264;60000264;60000264;60000264;60000264;60000264;60000264</t>
  </si>
  <si>
    <t>7202322614;57214925134;35399273600;7404140627;55456414300;7102657400;7401879147;57189504422;57214927173;7005502038;7201831834;22969111700</t>
  </si>
  <si>
    <t>Okamura, S.;Adati, K.;Aoki, T.;Baker, D. R.;Fujita, H.;Garner, H. R.;Hattori, K.;Hidekuma, S.;Kawamoto, T.;Kumazawa, R.;Okubo, Y.;Sato, T.</t>
  </si>
  <si>
    <t>United States;Japan</t>
  </si>
  <si>
    <t>San Diego;Nagoya</t>
  </si>
  <si>
    <t>General Atomics;Nagoya University</t>
  </si>
  <si>
    <t>60013901;60000264</t>
  </si>
  <si>
    <t>Okamura S.</t>
  </si>
  <si>
    <t>Plasma production with rotating ion cyclotron waves excited by nagoya type-iii antennas in rfc-xx</t>
  </si>
  <si>
    <t>10.1088/0029-5515/26/11/004</t>
  </si>
  <si>
    <t>2-s2.0-0022810777</t>
  </si>
  <si>
    <t>['simple change', 'readily establish', 'physical reasoning', 'otherwise preserving', 'original theory', 'one terminal', 'numerical analysis', 'multielement antennas', 'modified version', 'intermediate step', 'independent approach', 'equations cannot', 'diakoptic theory', 'continuity condition', 'complex configuration', 'basic approach', 'allows one', '1982 ),']</t>
  </si>
  <si>
    <t>The diakoptic theory of antennas, suggested by G. Goubau et al. (1982), is an independent approach to the numerical analysis of multielement antennas of complex configuration. Based on physical reasoning, the theory is designed to be amenable to efficient computer evaluation. However, as an intermediate step, the theory involves hypothetical current sources with one terminal only, which violate the current-continuity condition, so that Maxwell's equations cannot be applied without precautions. A modified version of the diakoptic theory is presented that avoids this complication by a simple change in the basic approach while otherwise preserving most features of Goubau's original theory. The modified version starts with a well-established, rigorous impedance matrix formulation of the problem and allows one to readily establish the relationships with the method of moments.</t>
  </si>
  <si>
    <t>1273-1287</t>
  </si>
  <si>
    <t>60011199;60011199;60011199</t>
  </si>
  <si>
    <t>7003541666;7004975412;7201550943</t>
  </si>
  <si>
    <t>Schwering, Felix;Puri, Narindra N.;Butler, Chalmers M.</t>
  </si>
  <si>
    <t>Fort Monmouth</t>
  </si>
  <si>
    <t>U.S. Army Communications and Electronics Command</t>
  </si>
  <si>
    <t>Schwering F.</t>
  </si>
  <si>
    <t>MODIFIED DIAKOPTIC THEORY OF ANTENNAS.</t>
  </si>
  <si>
    <t>10.1109/tap.1986.1143753</t>
  </si>
  <si>
    <t>2-s2.0-0022810930</t>
  </si>
  <si>
    <t>['wave field', 'voltage across', 'vector effective', 'reverse direction', 'reciprocity principle', 'receive patterns', 'passive antenna', 'includes phase', 'height characterizes', 'free space', 'field radiation', 'current injected']</t>
  </si>
  <si>
    <t>It is shown how the response of a linear, passive antenna in free space to an incident plane wave is related to its far-field radiation in the reverse direction. The vector effective-height characterizes the voltage across the open-circuit antenna terminals induced by an incident received plane-wave field. The corresponding transmitter vector effective-height characterizes the far-field radiation of the antenna when driven by a current injected into the same terminals. This relationship, which is shown to follow from the reciprocity principle, includes phase and also makes mathematically explicit the polarization relation involved in the identity of the transmit and receive patterns of an antenna.</t>
  </si>
  <si>
    <t>1366-1368</t>
  </si>
  <si>
    <t>Price, Gary H.</t>
  </si>
  <si>
    <t>Menlo Park</t>
  </si>
  <si>
    <t>SRI International</t>
  </si>
  <si>
    <t>Price G.H.</t>
  </si>
  <si>
    <t>ON THE RELATIONSHIP BETWEEN THE TRANSMITTING AND RECEIVING PROPERTIES OF AN ANTENNA.</t>
  </si>
  <si>
    <t>10.1109/tap.1986.1143762</t>
  </si>
  <si>
    <t>2-s2.0-0022810931</t>
  </si>
  <si>
    <t>['transfer function', 'physical scenario', 'new model', 'mobile communications', 'mobile channel', 'inherent limitations', 'electronics engineers', 'base station', 'band systems', 'analogous model']</t>
  </si>
  <si>
    <t>The signals in mobile communications are reviewed both in terms of the physical scenario and as the basis of the transfer function of the mobile channel. The transfer function is arranged to demonstrate the inherent limitations (the irreducible bit error rate effect) resulting from using single port antennas, in both narrow- and wide-band systems. A new model for the average source scenario at the urban-based (vehicular) mobile is determined and an analogous model for the base station is formulated. The models are useful for deriving diversity antennas. Copyright ¬© 1986 by The lnstitute of Electrical and Electronics Engineers, Inc.</t>
  </si>
  <si>
    <t>133-145</t>
  </si>
  <si>
    <t>Vaughan, Rodney G.</t>
  </si>
  <si>
    <t>New Zealand Department of Scientific and Industrial Research</t>
  </si>
  <si>
    <t>Vaughan R.</t>
  </si>
  <si>
    <t>Signals in Mobile Communications: A Review</t>
  </si>
  <si>
    <t>10.1109/T-VT.1986.24083</t>
  </si>
  <si>
    <t>2-s2.0-0022811272</t>
  </si>
  <si>
    <t>['stringent requirements', 'corrupting effect', 'characteristic frequencies', 'aperture radars', '6 refs']</t>
  </si>
  <si>
    <t>A process is presented for the removal of the image-corrupting effect of undetected antenna motions in synthetic-aperture radars. This is a signal processing scheme tuned to the characteristic frequencies of the residual antenna motion, and performs particularly well for vibrations. The method has no stringent requirements on the existence of dominant point reflectors in the scene. 6 refs.</t>
  </si>
  <si>
    <t>1025-1027</t>
  </si>
  <si>
    <t>Chan, Y. K.</t>
  </si>
  <si>
    <t>Boeing Corporation</t>
  </si>
  <si>
    <t>Chan Y.K.</t>
  </si>
  <si>
    <t>TUNED AUTO-COMPENSATOR FOR RESIDUAL ANTENNA MOTION IN SYNTHETIC APERTURE RADAR SYSTEMS.</t>
  </si>
  <si>
    <t>10.1109/TGRS.1986.289569</t>
  </si>
  <si>
    <t>2-s2.0-0022811309</t>
  </si>
  <si>
    <t>['taking advantage', 'rf tetrodes', 'rf power', 'recent developments', 'jet vessel', 'jet program', 'jet began', 'experience gained', 'currently revising', 'coupling efficiencies', 'consequential savings', 'antennae units', 'antennae systems', 'antennae design', 'antennae configuration', 'already operational', '6 mw', '15 mw']</t>
  </si>
  <si>
    <t>Design and procurement of the ICRF heating plant for JET began in 1982 on the basis that ten 3 mw generator-antennas units would ultimately provide the 15 mw of effective ICRF heating required in the JET program. Three of these generator-antennae systems are already operational on JET; 6 mw of rf power has been coupled to the plasma with coupling efficiencies of between 50% and 90% depending on the antennae configuration. Taking advantage of experience gained and recent developments in rf tetrodes, JET is currently revising the antennae design, upgrading the generator rf outputs and now intends to install eight 4 mw generator-antennae units with consequential savings in cost and space in the JET vessel.</t>
  </si>
  <si>
    <t>1398-1403</t>
  </si>
  <si>
    <t>3 pt 2B</t>
  </si>
  <si>
    <t>Fusion Technology</t>
  </si>
  <si>
    <t>60025104;60025104;60025104</t>
  </si>
  <si>
    <t>7103355564;56220187800;7005524697</t>
  </si>
  <si>
    <t>Wade, T. J.;Kaye, A. S.;Jacquinot, J.</t>
  </si>
  <si>
    <t>EFDA-JET</t>
  </si>
  <si>
    <t>Wade T.J.</t>
  </si>
  <si>
    <t>TECHNOLOGY OF THE UPGRADED JET ICRF HEATING SYSTEM.</t>
  </si>
  <si>
    <t>10.13182/fst86-a24924</t>
  </si>
  <si>
    <t>2-s2.0-0022811386</t>
  </si>
  <si>
    <t>['three finite', 'thermal analyses', 'structural deformations', 'structural analyses', 'small deflections', 'rights reserved', 'orbiting antenna', 'large deflections', 'element thermal', 'discussed briefly', 'described first']</t>
  </si>
  <si>
    <t>Finite-element thermal-structural analyses of a cable-stiffened orbiting antenna are presented. The determination of prestresses in the antenna is described first. Heating and thermal analyses for orbiting space structures are then discussed briefly. Structural deformations and stresses are presented for three finite-element structural analysis approaches: 1) small deflections, 2) stress-stiffening, and 3) large deflections. The accuracy of the three analysis approaches is evaluated for the orbiting antenna at different prestress levels. ¬© American Institute of Aeronautics and Astronautics, Inc., 1986, All rights reserved.</t>
  </si>
  <si>
    <t>620-624</t>
  </si>
  <si>
    <t>60007652;60007652;60007652-60027090</t>
  </si>
  <si>
    <t>7101681450;6701883849;7201771333</t>
  </si>
  <si>
    <t>Thornton, Earl A.;Dechaumphai, Pramote;Pandey, Ajay K.</t>
  </si>
  <si>
    <t>Blacksburg;Norfolk</t>
  </si>
  <si>
    <t>Virginia Polytechnic Institute and State University;Old Dominion University</t>
  </si>
  <si>
    <t>60027090;60007652</t>
  </si>
  <si>
    <t>Thornton E.</t>
  </si>
  <si>
    <t>Finite-element thermal-structural analyses of a cable-stiffened orbiting antenna</t>
  </si>
  <si>
    <t>10.2514/3.25856</t>
  </si>
  <si>
    <t>2-s2.0-0022811626</t>
  </si>
  <si>
    <t>['standard methods', 'results demonstrate', 'reflector antennas', 'phase transformer', 'method provides', 'field generated', 'derived results', 'copyright 1986', 'alternative tool']</t>
  </si>
  <si>
    <t>High‚Äêfrequency solutions for a field generated by a reflector and by a phase transformer are derived using Maslov's method. Derived results are compared with those obtained by other more standard methods when they are available. Agreement is complete for a field generated by a reflector. The results demonstrate that Maslov's method provides an alternative tool for evaluating diffraction images of reflector antennas. Copyright 1986 by the American Geophysical Union.</t>
  </si>
  <si>
    <t>911-919</t>
  </si>
  <si>
    <t>55390837800;55230277500;7004416621</t>
  </si>
  <si>
    <t>Hongo, Kohei;Ji, Yu;Nakajima, Eiji</t>
  </si>
  <si>
    <t>High‚Äêfrequency expression for the field in the caustic region of a reflector using Maslov's method</t>
  </si>
  <si>
    <t>10.1029/RS021i006p00911</t>
  </si>
  <si>
    <t>2-s2.0-0022811719</t>
  </si>
  <si>
    <t>['tangential directions', 'spheres passing', 'results obtained', 'polynomial expansion', 'numbers greater', 'near midway', 'near infinity', 'narrowest beamwidths', 'maximum gain', 'feed positions', 'computer modeling', 'centers near', 'aperture plane']</t>
  </si>
  <si>
    <t>The field in an aperture plane is obtained for a symmetrical-offset paraboloidal reflector as a polynomial expansion in coordinates in that plane. From this expansion, the loci of feed positions for maximum gain and for narrowest beamwidths in the radial and tangential directions are found to be on spheres passing through the focus. The spheres have their centers near to the vertex, near midway between the focus and the vertex, and near infinity in the direction of the vertex, respectively. Expressions for the variation of the gain with offset are obtained by computer modeling for F-numbers greater than one. These are found to be consistent with results obtained by others.</t>
  </si>
  <si>
    <t>1368-1372</t>
  </si>
  <si>
    <t>6505969407;6701884626</t>
  </si>
  <si>
    <t>Whale, H. A.;Putz, E.</t>
  </si>
  <si>
    <t>Whale H.A.</t>
  </si>
  <si>
    <t>BEAM STEERING USING FEED DISPLACEMENT WITH A PARABOLOIDAL REFLECTOR.</t>
  </si>
  <si>
    <t>10.1109/tap.1986.1143758</t>
  </si>
  <si>
    <t>2-s2.0-0022811883</t>
  </si>
  <si>
    <t>['two categories', 'simultaneously measured', 'reasonable agreements', 'narrow bandwidth', 'main motors', 'electronics engineers', 'downward slope', 'crd pairs', 'change remarkably', 'calculated crd', 'adp curves']</t>
  </si>
  <si>
    <t>B3e/f | electrical trains | H26K | Impulsive noise | measured data | statistical model</t>
  </si>
  <si>
    <t>Measurements of impulsive noise radiating from bullet trains running either an upward or downward slope on the New Tokaido Line have been performed with the amplitude probability distribution-crossing rate distribution (APD-CRD) measuring apparatus using vertical dipole antennas. APD and CRD pairs have been simultaneously measured in a narrow bandwidth for some VHF. It is noted that APD's and CRD's change remarkably, depending on whether the bullet train runs an upward or downward slope. Generally, this effect is reduced to the following. These two distributions change remarkably, depending on whether the bullet train runs with or without current feeding the main motors of the vehicles. Models of the two categories of noise are presented; they lead to reasonable agreements between the measured and calculated CRD and/or ADP curves. Copyright ¬© 1986 by The Institute of Electrical and Electronics Engineers, Inc.</t>
  </si>
  <si>
    <t>193-203</t>
  </si>
  <si>
    <t>Nakai, Taketoshi</t>
  </si>
  <si>
    <t>Nagoya University</t>
  </si>
  <si>
    <t>Nakai T.</t>
  </si>
  <si>
    <t>Measurement and Analysis of Impulsive Noise from Bullet Trains</t>
  </si>
  <si>
    <t>10.1109/TEMC.1986.4307290</t>
  </si>
  <si>
    <t>2-s2.0-0022812168</t>
  </si>
  <si>
    <t>['values reached', 'proposed two', 'one protected', 'loop stability', 'interfering signals', 'interfering pulse', 'duty cycle', 'adaptive array']</t>
  </si>
  <si>
    <t>A two-state feedback loop is presented which increases the effectiveness of an adaptive array in the presence of pulsed interference signals. In the case of the two-state feedback loop, one state permits the maximum adpative response, consistent with the loop stability, and is activated in the presence of an interfering pulse. During the other state, which is activated when the interfering pulse is off, the weights are frozen at the values reached at the end of the last interfering pulse and are maintained until the next disturbance occurs. It is shown that an adaptive array with the proposed two-state loops steers permanent minima in the direction of the interfering signals, irrespective of their duty cycle. The performance of a communication system protected by such an adaptive array improves significantly over one protected by a conventional adaptive array. ¬© 1986 IEEE.</t>
  </si>
  <si>
    <t>716-724</t>
  </si>
  <si>
    <t>Two-State Feedback Loop Adaptive Arrays for Pulsed Interference Signals</t>
  </si>
  <si>
    <t>10.1109/TAES.1986.310806</t>
  </si>
  <si>
    <t>2-s2.0-0022814032</t>
  </si>
  <si>
    <t>['transient characteristics', 'three kinds', 'noise ratio', 'msn ).', 'maximum signal', 'lms ),', 'initial value', 'initial setting', 'e .,', 'different principles', 'dcmp ),', 'convergence rate', 'best choice', 'adaptive arrays']</t>
  </si>
  <si>
    <t>The effect of initial weight values on the transient characteristics is investigated on three kinds of adaptive arrays under different principles, i.e., the directionally constrained minimization of power (DCMP), the least mean square (LMS), and the maximum signal-to-noise ratio (MSN). Analysis and computer simulation demonstrate how the convergence rate is affected by the initial setting. The best choice of the initial value is given. ¬© 1986 IEEE.</t>
  </si>
  <si>
    <t>688-694</t>
  </si>
  <si>
    <t>7003894513;7102188996</t>
  </si>
  <si>
    <t>Kikuma, Nobuyoshi;Takao, Kazuaki</t>
  </si>
  <si>
    <t>Kikuma N.</t>
  </si>
  <si>
    <t>Effect of Initial Values of Adaptive Arrays</t>
  </si>
  <si>
    <t>10.1109/TAES.1986.310802</t>
  </si>
  <si>
    <t>2-s2.0-0022819151</t>
  </si>
  <si>
    <t>['weighted sum', 'subject area', 'signals received', 'secondary author', 'literature bibliography', 'brief overview', 'authors involved']</t>
  </si>
  <si>
    <t>An adaptive antenna array is defined as an antenna array whose output is the weighted sum of the signals received at the antennas, with signal-dependent automatic adjustment of the weights to optimize some criterion. This open-literature bibliography of papers on the subject is intended to provide a brief overview of the field, and the authors involved, up to the end of 1985. Papers are listed both by subject area and by sole/primary/secondary author. ¬© 1986 IEEE.</t>
  </si>
  <si>
    <t>781-798</t>
  </si>
  <si>
    <t>Marr, James D.</t>
  </si>
  <si>
    <t>Lake Forest</t>
  </si>
  <si>
    <t>SPARTA, Inc.</t>
  </si>
  <si>
    <t>Marr J.D.</t>
  </si>
  <si>
    <t>A Selected Bibliography on Adaptive Antenna Arrays</t>
  </si>
  <si>
    <t>10.1109/TAES.1986.310813</t>
  </si>
  <si>
    <t>2-s2.0-0022819174</t>
  </si>
  <si>
    <t>['week period', 'vertical modes', 'upper 80', 'trapped near', 'total energy', 'three locations', 'surface tide', 'substantial structure', 'spatial variability', 'sparse observations', 'shelf break', 'rockall bank', 'propagation seaward', 'particular depths', 'moorings .-', 'moored array', 'model due', 'internal tide', 'horizontal wavelengths', 'high degree', 'good agreement', 'energetic oscillations', 'energetic beams', '25 km', '20 km', '100 km']</t>
  </si>
  <si>
    <t>Temperature was observed in the upper 80 m by moored thermistor chains at three locations in Rockall Channel west of Scotland. Isotherms were interpolated, and a 1-week period of exceptionally energetic tidal oscillations was analyzed. The moored array (horizontal separations ranging from 6 to 20 km) was used as an antenna to determine the dominant horizontal wavelength and direction of propagation of the internal tide within the array. Rockall Bank, 100 km to the southeast, was identified as the source of the internal tide. The semidiurnal internal tide generated by the interaction of the surface tide with Rockall Bank was simulated by use of a model due to Prinsenberg and Rattray. The model predicts generation of the internal tide at the shelf break and propagation seaward as energetic beams which lie along internal wave characteristics. Some energy is trapped near the surface in association with the pycnocline. There is substantial structure in the velocity and vertical displacement fields. Most of the total energy of the internal tide is in the first vertical mode. However, at particular depths, vertical modes as high as 4 (horizontal wavelengths of 25 km) dominate. The high degree of spatial variability in the modeled internal tide illustrates the potential for error when basing a description of the tide on sparse observations. There is good agreement between the modeled vertical displacements and the 1-week period of energetic oscillations of isotherm depth observed at the moorings.-from Authors</t>
  </si>
  <si>
    <t>2581-2592</t>
  </si>
  <si>
    <t>7004166234;57213930621;7006478660;16471348200</t>
  </si>
  <si>
    <t>Dewitt, L. M.;Levine, M. D.;Paulson, C. A.;Burt, W. V.</t>
  </si>
  <si>
    <t>Dewitt L.</t>
  </si>
  <si>
    <t>Semidiurnal internal tide in JASIN: observations and simulation.</t>
  </si>
  <si>
    <t>10.1029/JC091iC02p02581</t>
  </si>
  <si>
    <t>2-s2.0-0022839161</t>
  </si>
  <si>
    <t>National Oceanic and Atmospheric Administration</t>
  </si>
  <si>
    <t>['proposed procedure', 'phase measurements', 'paper proposes', 'gps using', 'francis group', 'determination capability', 'also discussed']</t>
  </si>
  <si>
    <t>This paper proposes the use of change-in-phase measurements of a multiple-satellite-tracking NAVSTAR Global Positioning System (GPS) receiver and an antenna periodically moving in a platform's plane to determine the platform's orientation. Available test data are used to demonstrate the orientation-determination capability of GPS using the proposed procedure. The expected accuracy using satellite multiplexing receivers currently completing development is also discussed. ¬© 1986 Taylor &amp; Francis Group, LLC.</t>
  </si>
  <si>
    <t>43-52</t>
  </si>
  <si>
    <t>1521060X</t>
  </si>
  <si>
    <t>Marine Geodesy</t>
  </si>
  <si>
    <t>Evans, Alan G.</t>
  </si>
  <si>
    <t>Dahlgren</t>
  </si>
  <si>
    <t>Naval Surface Warfare Center Dahlgren Division</t>
  </si>
  <si>
    <t>Evans A.</t>
  </si>
  <si>
    <t>Roll, pitch, and yaw determination using a global positioning system receiver and an antenna periodically moving in a plane</t>
  </si>
  <si>
    <t>10.1080/01490418609388010</t>
  </si>
  <si>
    <t>2-s2.0-0022853379</t>
  </si>
  <si>
    <t>['velocity distribution', 'turbulence pattern', 'spectral intensity', 'southern norway', 'several applications', 'sea surface', 'sea conditions', 'regular intervals', 'radar system', 'measured simultaneously', 'doppler spectrum', 'different air', 'based platform', 'azimuth angle']</t>
  </si>
  <si>
    <t>An adaptive coherent multifrequency radar system has been developed for several applications. By means of this the velocity distribution (Doppler spectrum) and spectral intensity of 15 different irregularity scales (waves and turbulence) can be measured simultaneously. Changing the azimuth angle of the antennas at regular intervals, the direction of the wave/turbulence pattern on the sea surface can also be studied. Using this radar system, series of measurements for different air/sea conditions have been carried out from a coast-based platform in southern Norway. -from Authors</t>
  </si>
  <si>
    <t>2461-2475</t>
  </si>
  <si>
    <t>100468795;100468795</t>
  </si>
  <si>
    <t>7003332931;6602919914</t>
  </si>
  <si>
    <t>Gjessing, D. T.;Hjelmstad, J.</t>
  </si>
  <si>
    <t>Royal Norwegian Council for Scientific and Industrial Research</t>
  </si>
  <si>
    <t>Gjessing D.</t>
  </si>
  <si>
    <t>Ocean waves and turbulence as observed with an adaptive coherent multifrequency radar.</t>
  </si>
  <si>
    <t>10.1029/JC091iC02p02461</t>
  </si>
  <si>
    <t>2-s2.0-0022853663</t>
  </si>
  <si>
    <t>['two dipoles', 'superstrate geometry', 'planar strips', 'mutual impedance', 'fed dipole']</t>
  </si>
  <si>
    <t>A moment method procedure is used to analyze the behavior of several different configurations consisting of planar strips in a substrate-superstrate geometry. These include the microstrip transmission line, center-fed dipole, the mutual impedance between two dipoles, and the transmission-line coupled dipole. In each case some of the basic superstrate effects are discussed. ¬© 1986 IEEE</t>
  </si>
  <si>
    <t>1430-1438</t>
  </si>
  <si>
    <t>60005837;60027550</t>
  </si>
  <si>
    <t>Jackson, David R.;Alexopoulos, Nicolaos G.</t>
  </si>
  <si>
    <t>Los Angeles;Houston</t>
  </si>
  <si>
    <t>University of California, Los Angeles;University of Houston</t>
  </si>
  <si>
    <t>60027550;60005837</t>
  </si>
  <si>
    <t>Analysis of Planar Strip Geometries in a Substrate-Superstrate Configuration</t>
  </si>
  <si>
    <t>10.1109/TAP.1986.1143784</t>
  </si>
  <si>
    <t>2-s2.0-0022862652</t>
  </si>
  <si>
    <t>['wave ratio', 'radiation patterns', 'based upon']</t>
  </si>
  <si>
    <t>Efficient numerical analysis of double tuned circular disk resonators/radiators is described. This method is based upon the Hankel transform domain analysis. Several numerical examples of input voltage standing-wave ratio (VSWR) characteristics and radiation patterns are compared with available experimental data. ¬© 1986 IEEE</t>
  </si>
  <si>
    <t>1390-1394</t>
  </si>
  <si>
    <t>60028263;60021208;60021208</t>
  </si>
  <si>
    <t>7402551666;7402835988;6505866411</t>
  </si>
  <si>
    <t>Araki, Kiyomichi;Ueda, Hideatsu;Masayuki, Takahashi</t>
  </si>
  <si>
    <t>Saitama;Tokyo</t>
  </si>
  <si>
    <t>Saitama University;KDDI Corporation</t>
  </si>
  <si>
    <t>60028263;60021208</t>
  </si>
  <si>
    <t>Araki K.</t>
  </si>
  <si>
    <t>Numerical Analysis of Circular Disk Microstrip Antennas with Parasitic Elements</t>
  </si>
  <si>
    <t>10.1109/TAP.1986.1143782</t>
  </si>
  <si>
    <t>2-s2.0-0022863123</t>
  </si>
  <si>
    <t>['wide range', 'transmitting elements', 'transmits beams', 'studied acoustically', 'phased array', 'microwave system', 'mathematically similar', 'laboratory environment', 'generated close', 'flexibility permits', 'electronically focuses', 'antenna patterns']</t>
  </si>
  <si>
    <t>A simulator is described which generates and transmits beams of audible sound energy which are mathematically similar to those generated in a microwave system. The simulator's transmitting elements form a phased array that electronically focuses and steers coherent sonic beams allowing microwave antenna pattern generation to be studied acoustically in a laboratory environment. Each of the transmitting elements is independently software controllable in amplitude and phase. This flexibility permits a wide range of antenna patterns to be simulated. independent phase control of each individual transmitting element also allows the simulator to be focused at any point in space. Focusing the simulator to a point in its near field allows far-field antenna patterns to be generated close to the array for ease of measurement. ¬© 1986 IEEE</t>
  </si>
  <si>
    <t>1418-1424</t>
  </si>
  <si>
    <t>100775764;100775764</t>
  </si>
  <si>
    <t>7202757511;7403235084</t>
  </si>
  <si>
    <t>Ott, James H.;Rice, James S.</t>
  </si>
  <si>
    <t>Novar Electronics Corp</t>
  </si>
  <si>
    <t>Ott J.H.</t>
  </si>
  <si>
    <t>Sonic Microwave-Antenna Simulator</t>
  </si>
  <si>
    <t>10.1109/TAP.1986.1143778</t>
  </si>
  <si>
    <t>2-s2.0-0022863587</t>
  </si>
  <si>
    <t>1799-1800</t>
  </si>
  <si>
    <t>Zielinski, A.</t>
  </si>
  <si>
    <t>Victoria</t>
  </si>
  <si>
    <t>University of Victoria</t>
  </si>
  <si>
    <t>Zielinski A.</t>
  </si>
  <si>
    <t>Matrix Formulation for Dolph-Chebyshev Beamforming</t>
  </si>
  <si>
    <t>10.1109/PROC.1986.13692</t>
  </si>
  <si>
    <t>2-s2.0-0022863598</t>
  </si>
  <si>
    <t>['wave devices', 'resonator circuit', 'resistivity silicon', 'resistivity characteristics', 'ray lithography', 'process compatibility', 'output power', 'microstrip resonators', 'measured using', 'linear geometry', 'hall measurements', 'electronics engineers', '95 ghz', '90 ghz', '8 mw', '6 db']</t>
  </si>
  <si>
    <t>The application of molecular beam epitaxy (MBE) and X-ray lithography for the fabrication of monolithic integrated millimeter-wave devices on high-resistivity silicon has been investigated. Process compatibility and the retention of high-resistivity characteristics were measured using the spreading resistance method and Hall measurements after various process steps. Microstrip resonators of ring and linear geometry were fabricated on 10 000 Œ©.cm silicon substrates. For linear microstrip resonators, the attenuation was found to be less than 0.6 dB/cm at 90 GHz. A 95-GHz IMPATT oscillator circuit and a planar microstrip antenna array have been fabricated on highly insulating silicon substrates. For the oscillator, a combined monolithic‚Äîhybrid integration technique was used to attach the discrete IMPATT diode to the resonator circuit. The oscillator does not require tuning elements. Preliminary experimental results are 8 mW of output power with 0.2 percent efficiency at 95 GHz. Copyright ¬© 1986 by The Institute of Electrical and Electronics Engineers, Inc.</t>
  </si>
  <si>
    <t>2047-2052</t>
  </si>
  <si>
    <t>IEEE Transactions on Electron Devices</t>
  </si>
  <si>
    <t>60019722;60075697;60019722;60075697</t>
  </si>
  <si>
    <t>7003971679;24802091400;7103208487;7003507147</t>
  </si>
  <si>
    <t>Buechler, Josef;Kasper, Erich;Russer, Peter;Strohm, Karl M.</t>
  </si>
  <si>
    <t>10.1109/T-ED.1986.22866</t>
  </si>
  <si>
    <t>2-s2.0-0022863613</t>
  </si>
  <si>
    <t>['structure presented', 'structure described', 'paper presents', 'order case', 'fixed section', 'electronics engineers', 'conventional beamformer', 'constraint matrix', 'band processor', 'arbitrary array']</t>
  </si>
  <si>
    <t>This paper presents an orthogonal decomposition approach for realizing the derivative constrained broad-band processor as an unconstrained partitioned form. The structure presented is similar to the generalized sidelobe canceller (GSC) structure described in the literature. Furthermore, the paper also examines the components of the unconstrained partitioned structure for the first-order case in detail by using a singular value decomposition (SVD) of the constraint matrix. It is shown for an arbitrary array that for the first-order case, the fixed section is a conventional beamformer. Copyright ¬© 1986 by The Institute of Electrical and Electronics Engineers. Inc.</t>
  </si>
  <si>
    <t>1376-1379</t>
  </si>
  <si>
    <t>60005510;60010571</t>
  </si>
  <si>
    <t>Er, Meng Hwa;Cantoni, Antonio</t>
  </si>
  <si>
    <t>Australia;Singapore</t>
  </si>
  <si>
    <t>Callaghan;Singapore City</t>
  </si>
  <si>
    <t>The University of Newcastle, Australia;Nanyang Technological University</t>
  </si>
  <si>
    <t>60010571;60005510</t>
  </si>
  <si>
    <t>An Unconstrained Partitioned Realization for Derivative Constrained Broad-Band Antenna Array Processors</t>
  </si>
  <si>
    <t>10.1109/TASSP.1986.1164974</t>
  </si>
  <si>
    <t>2-s2.0-0022865675</t>
  </si>
  <si>
    <t>['transmitting antennas', 'station antennas', 'significantly increase', 'satellite orbit', 'minimize interference', 'main axis', 'interference environment', 'first 9', '2 degree']</t>
  </si>
  <si>
    <t>Geostationary satellite networks operate in an interference environment. Engineering for an interference-limited environment requires that earth-station antennas be designed to minimize interference. To significantly increase the efficiency of utilization of the satellite orbit, significantly, the US Federal Communications Commission (FCC) has revised the antenna performance standards for transmitting antennas, more particularly in the first 9. 2 degree from the main axis in the plane of the geostationary satellite orbit. These new FCC requirements are discussed in some detail.</t>
  </si>
  <si>
    <t>85-88</t>
  </si>
  <si>
    <t>Dec</t>
  </si>
  <si>
    <t>Uyttendaele, A. G.</t>
  </si>
  <si>
    <t>ABC Inc.</t>
  </si>
  <si>
    <t>Uyttendaele A.</t>
  </si>
  <si>
    <t>EVOLUTION OF ANTENNA SIDELOBE REGULATION.</t>
  </si>
  <si>
    <t>10.1109/TBC.1986.266602</t>
  </si>
  <si>
    <t>2-s2.0-0022867505</t>
  </si>
  <si>
    <t>['wave frequencies', 'theoretical limit', 'running 38', 'reference signal', 'locking range', 'laser diode', 'impatt oscillator', 'hz offset', 'great challenge', 'frequency synchronized', 'fo links', 'electronics engineers', 'distribution network', 'based communications', 'array elements', 'active transmit', '90 ghz', '16 db']</t>
  </si>
  <si>
    <t>Large aperture phased-array antennas operating at millimeter-wave frequencies are designed for space-based communications and imaging. Array elements are composed of active transmit-receive (T/R) modules that are phase and frequency synchronized to a reference signal at the central processing unit by a fiber-optic (FO) distribution network. The implementation of FO links, synchronizing the millimeter-wave local oscillators (LO‚Äôs), imposes a great challenge. This paper presents results of indirect optical injection locking of a free-running 38-GHz (Ka -band) IMPATT oscillator over the locking range of 2‚Äì132 MHz, depending on the injected power level (amplifier gain). In the experiment, the nonlinearity of both the laser diode and the IMPATT oscillator is exploited to achieve 12th subharmonic injection locking. The overall system FM noise degradation of the reference signal is 16 dB at 500-Hz offset. The FM noise degradation is dominated by the theoretical limit of 20 log N, where N is the frequency multiplication factor used in subharmonic injection locking. Methods by which optical injection locking may be extended into 60 and 90 GHz are demonstrated. Copyright ¬© 1986 by The Institute of Electrical and Electronics Engineers, Inc.</t>
  </si>
  <si>
    <t>1371-1376</t>
  </si>
  <si>
    <t>60014662;60014662;60007716;60007716;60021080</t>
  </si>
  <si>
    <t>7006552817;24463325600;7402941842;57214356573;7003734120</t>
  </si>
  <si>
    <t>Daryoush, Afshin S.;Herczfeld, Peter R.;Rosen, Arye;Sharma, Arvind K.;Contarino, V. M.</t>
  </si>
  <si>
    <t>United States;United States;France</t>
  </si>
  <si>
    <t>China Lake;Philadelphia;Boulogne-Billancourt</t>
  </si>
  <si>
    <t>Naval Air Warfare Center Weapons Division;Drexel University;Thomson, SA</t>
  </si>
  <si>
    <t>60021080;60014662;60007716</t>
  </si>
  <si>
    <t>Daryoush A.S.</t>
  </si>
  <si>
    <t>Indirect Subharmonic Optical Injection Locking of a Millimeter-Wave IMPATT Oscillator</t>
  </si>
  <si>
    <t>10.1109/TMTT.1986.1133551</t>
  </si>
  <si>
    <t>2-s2.0-0022867526</t>
  </si>
  <si>
    <t>['radar signals', 'novel application', 'electronics engineers']</t>
  </si>
  <si>
    <t>The purpose of this correspondence is to introduce a novel application of adaptive noise cancellation related to a class of radar signals. Copyright ¬© 1986 by The Institute of Electrical and Electronics Engineers. Inc.</t>
  </si>
  <si>
    <t>1654-1655</t>
  </si>
  <si>
    <t>60033021;60033021</t>
  </si>
  <si>
    <t>56726032000;57200712880</t>
  </si>
  <si>
    <t>Ahmed, N.;Webster, A.</t>
  </si>
  <si>
    <t>The University of New Mexico</t>
  </si>
  <si>
    <t>Ahmed N.</t>
  </si>
  <si>
    <t>On an Adaptive Noise Cancellation Application for Radar</t>
  </si>
  <si>
    <t>10.1109/TASSP.1986.1165003</t>
  </si>
  <si>
    <t>2-s2.0-0022867929</t>
  </si>
  <si>
    <t>['wiley blackwell', 'w4eb8 cells', 'tumor cells', 'syngeneic mice', 'sialylated tri', 'rights reserved', 'results indicate', 'released enzymatically', 'poorly metastatic', 'partial revertant', 'metastatic potential', 'metastatic phenotype', 'mdw4 cells', 'mdw4 cell', 'mass spectrometry', 'major fractions', 'major component', 'intermediate levels', 'injected subcutaneously', 'injected intravenously', 'hplc ).', 'glycosidase digestion', 'five times', 'bandeiraea simplicifolia', '2 ).']</t>
  </si>
  <si>
    <t>MDW4, a wheat germ agglutinin‚Äêresistant mutant of the metastatic murine tumor MDAY D2 has previously been shown to be poorly metastatic when injected intravenously and non‚Äêmetastatic when injected subcutaneously into syngeneic mice. W4EB8, a Bandeiraea simplicifolia (BSII) lectin‚Äêselected subline of MDW4 has previously been shown to be intermediate between that of MDAY‚ÄêD2 and MDW4 cell for sensitivity to lectin and metastatic phenotype when injected intravenously into mice. The Asn‚Äêlinked oligosaccharides from MDAY‚ÄêD2, and W4EB8 cells were released enzymatically with peptide N‚Äêglycosidase, reduced with tritiated sodium borohydride and fractionated by Concanavalin‚ÄêA ‚Äì Sepharose affinity chromatography and high‚Äêperformance liquid chromatography (HPLC). Structures of the major fractions were determined by a combination of glycosidase digestion and sizing, gas‚Äêliquid chromatography/mass spectrometry and by proton nuclear magnetic resonance. Wild‚Äêtype and mutant cells processed highmannose‚Äêtype structures to biantennary (GlcNAc)2(Man)3(GlcNAc)2). In MDAY‚ÄêD2 cells this structure was processed further to sialylated tetra‚Äêantennary complex with polylactosamine‚Äêcontaining antennae terminating in either sialic acid or Œ±1‚Äì3‚Äêlinked galactose. MDW4 cells had four or five times more (GlcNAc)2(Man)3(GlcNAc)2 than MDAY‚ÄêD2 cells and a major component of tr√≠‚Äêantennary (GlcNAc)3(Man)3(GlcNAc)2 (i.e.2,2,6‚Äêsubstituted tri‚Äêmannosyl core) that was not found in wild‚Äêtype cells. The partial revertant, W4EB8 had intermediate levels of mutant (GlcNAc)3(Man)3(GlcNAc)2 and sialylated complex‚Äêtype carbohydrates. The results indicate that a shift in expression from incomplete complex type to sialylated tri/tetra‚Äêantennary complex‚Äêtype carbohydrates in tumor cell may enhance the metastatic potential of tumor cells in the experimental metastasis assay. In addition, somatic cell hybridization analysis indicated that the defect in MDW4 cells was identical to that of the Chinese hamster ovary mutant Lec8: a deficiency in UDP‚Äêgalactose transport into the golgi. Copyright ¬© 1986, Wiley Blackwell. All rights reserved</t>
  </si>
  <si>
    <t>359-373</t>
  </si>
  <si>
    <t>European Journal of Biochemistry</t>
  </si>
  <si>
    <t>60006894;60006894;60023242;60015150;60016849</t>
  </si>
  <si>
    <t>7202979823;6602142116;35392436200;7103412653;7102839514</t>
  </si>
  <si>
    <t>DENNIS, James W.;LAFERT√â, Suzanne;FUKUDA, Minoru;DELL, Anne;CARVER, Jeremy P.</t>
  </si>
  <si>
    <t>United States;Canada;United Kingdom;Canada</t>
  </si>
  <si>
    <t>San Diego CA;Toronto;London;Toronto</t>
  </si>
  <si>
    <t>Sanford Burnham Prebys Medical Discovery Institute;University of Toronto;Imperial College London;Mount Sinai Hospital of University of Toronto</t>
  </si>
  <si>
    <t>60023242;60016849;60015150;60006894</t>
  </si>
  <si>
    <t>DENNIS J.</t>
  </si>
  <si>
    <t>Asn‚Äêlinked oligosaccharides in lectin‚Äêresistant tumor‚Äêcell mutants with varying metastatic potential</t>
  </si>
  <si>
    <t>10.1111/j.1432-1033.1986.tb10455.x</t>
  </si>
  <si>
    <t>2-s2.0-0022869416</t>
  </si>
  <si>
    <t>['scattering operators', 'radar polarimetry', 'polarization aspects', 'optimization problem', 'necessitate diagonalization', 'bistatic cases']</t>
  </si>
  <si>
    <t>Polarization aspects of the radar target scattering problem are reexamined. The optimization problem of radar polarimetry is formulated and Kennaugh's method of finding optimal polarizations is modified and extended to nonreciprocal and bistatic cases. Our approach does not necessitate diagonalization of the target scattering operator and therefore, a change-of-basis is not required. The change-of-polarization-basis is motivated by the comparison of experimental data taken with different antenna sets. Unitary matrix algebra is used to derive proper transformation formulas for scattering operators and bilinear voltage forms. ¬© 1986 IEEE</t>
  </si>
  <si>
    <t>1395-1404</t>
  </si>
  <si>
    <t>20436169300;7006670998</t>
  </si>
  <si>
    <t>Kostinski, Alexander B.;Boerner, Wolfgang Martin</t>
  </si>
  <si>
    <t>Kostinski A.B.</t>
  </si>
  <si>
    <t>On Foundations of Radar Polarimetry</t>
  </si>
  <si>
    <t>10.1109/TAP.1986.1143771</t>
  </si>
  <si>
    <t>2-s2.0-0022874059</t>
  </si>
  <si>
    <t>['scan angle', 'radiation impedance', 'numerical results', 'mutual impedances', 'lens array', 'gain falloff', 'array elements']</t>
  </si>
  <si>
    <t>An easy-to-use simplified network representation for the internal multiple reflection model of feedthrough phased array lens antenna elements is presented. This model makes use of the readily known active radiation impedances of an infinite array rather than the self and mutual impedances between array elements. In particular, this model is applied to a printed dipole lens array case, for which the computation of the radiation impedance is described. Numerical results for this lens array are given to show the aperture distribution variations due to the lens internal multiple reflection, and the gain falloff as a function of scan angle. ¬© 1986 IEEE</t>
  </si>
  <si>
    <t>1410-1417</t>
  </si>
  <si>
    <t>60005304;60005304;60005304</t>
  </si>
  <si>
    <t>7102122144;7501503817;7202834886</t>
  </si>
  <si>
    <t>Chu, Ruey Shi;Lee, Kuan Min;Wong, Nam San</t>
  </si>
  <si>
    <t>Chu R.</t>
  </si>
  <si>
    <t>A Network Model of a Feedthrough Phased Array Lens of Printed Dipole Elements</t>
  </si>
  <si>
    <t>10.1109/TAP.1986.1143777</t>
  </si>
  <si>
    <t>2-s2.0-0022880454</t>
  </si>
  <si>
    <t>['using proflavin', 'similar manner', 'shifting cells', 'several enzymes', 'rhodobacter capsulatus', 'results suggest', 'reduced faster', 'plasmid prps404', 'photosynthetic genes', 'photosynthetic cells', 'photosynthetic apparatus', 'photooxidative damage', 'particularly shown', 'oxygen represses', 'opposite fashion', 'less stable', 'l ),', 'inhibit transcription', 'immediate decrease', 'ii proteins', 'ii polypeptides', 'ii mrnas', 'harvesting lh', 'harvesting antenna', 'h proteins', 'genes coding', 'different way', 'crta gene', 'anaerobic growth', 'aerobic conditions']</t>
  </si>
  <si>
    <t>The stability and regulation by oxygen of mRNAs for the photosynthetic apparatus in Rhodobacter capsulatus have been studied by using proflavin to inhibit transcription and by shifting cells from anaerobic to aerobic conditions. The results from the inhibition experiments show that the mRNA for the light-harvesting LH-II polypeptides (Œ≤, Œ±) is more stable than that for the light-harvesting LH-I polypeptides (Œ≤, Œ±) during anaerobic growth, whereas the mRNAs for the reaction center polypeptides L (RC-L), M (RC-M), and H (RC-H) are less stable than both the LH-I and LH-II mRNAs. When photosynthetic cells are shifted from anaerobic to aerobic conditions, an immediate decrease in the levels of mRNA for the LH-I, LH-II, RC-L, RC-M, and RC-H proteins was observed. The level of mRNA for the LH-II proteins, however, is more sensitive to oxygen and is reduced faster than the level of mRNA for the LH-I proteins. These results suggest that oxygen represses the expression of genes coding for the light-harvesting antenna and reaction center complexes and may selectively accelerate the degradation of mRNA for the LH-II proteins. The mRNAs for several enzymes in the bacteriochlorophyll biosynthetic pathway are regulated by oxygen in a similar manner. The mRNAs for carotenoid biosynthetic enzymes, however, are regulated by oxygen in a different way. We have found that the amounts of mRNAs for carotenoid biosynthetic enzymes, relative to the amounts of mRNAs for LH and RC, increased during the shift from anaerobic to aerobic conditions. We have particularly shown that although the expression of most photosynthetic genes in R. capsulatus is repressed by oxygen, the crtA gene, located in the BamHI H fragment of the R' plasmid pRPS404 and responsible for the oxidation of spheroidene to spheroidenone, responds to oxygen in an opposite fashion. This enzymatic oxidation may protect the photosynthetic apparatus from photooxidative damage.</t>
  </si>
  <si>
    <t>1180-1188</t>
  </si>
  <si>
    <t>Journal of Bacteriology</t>
  </si>
  <si>
    <t>60025038;60025038;60025038;;;</t>
  </si>
  <si>
    <t>56172343500;7403472700;57213994180;7202411532;7006310960;7102850269</t>
  </si>
  <si>
    <t>Zhu, Y. S.;Cook, D. N.;Leach, F.;Armstrong, G. A.;Alberti, M.;Hearst, J. E.</t>
  </si>
  <si>
    <t>Berkeley</t>
  </si>
  <si>
    <t>University of California, Berkeley</t>
  </si>
  <si>
    <t>Zhu Y.</t>
  </si>
  <si>
    <t>Oxygen-regulated mRNAs for light-harvesting and reaction center complexes and for bacteriochlorophyll and carotenoid biosynthesis in Rhodobacter capsulatus during the shift from anaerobic to aerobic growth</t>
  </si>
  <si>
    <t>10.1128/jb.168.3.1180-1188.1986</t>
  </si>
  <si>
    <t>2-s2.0-0022880804</t>
  </si>
  <si>
    <t>['well correlated', 'rf pulse', 'rf power', 'resonance conditions', 'primary source', 'physical sputtering', 'metal impurities', 'impurity behaviour', 'icrf pulse', 'icrf heating', 'graphite limiter', 'dominant source', 'clear dependence', 'alcator c', '400 kw']</t>
  </si>
  <si>
    <t>Observations of impurity behaviour are presented from ICRF heating experiments at 180 MHz performed for a variety of conditions on the Alcator C tokamak, using graphite limiters and stainless steel antenna Faraday shields. Spectroscopic observations revealed significant increases in metal impurity concentrations during the RF pulse, with iron levels increasing by as much as a factor of twelve at the highest RF powers (about 350-400 kW). Analysis of the inferred iron source rates shows an approximately linear dependence on RF power up to 400 kW, with no clear dependence on resonance conditions or bulk plasma parameters. However, a sharp temperature increase in the limiter shadow region was observed during the ICRF pulse, which was well correlated with the iron influx rate. From this and other evidence it is concluded that physical sputtering of the Faraday shield due to an elevated sheath potential is the primary source of metal impurities during ICRF heating on Alcator C. The same process, occurring at the graphite limiter, is believed to be the dominant source of carbon and oxygen. The calculated sputtering yields obtained from an edge erosion code demonstrate the plausibility of this model. ¬© 1986 IOP Publishing Ltd.</t>
  </si>
  <si>
    <t>1665-1678</t>
  </si>
  <si>
    <t>112731609-60008950;60027550;60027550;60022195;60022195;60022195;60022195;60022195;60022195;60022195</t>
  </si>
  <si>
    <t>7006802741;7004926030;57225393980;7101727595;57198066542;7005524260;57220674309;9271791400;7006050699;35356136900</t>
  </si>
  <si>
    <t>Manning, H. L.;Labombard, B.;Lipschultz, B.;Fiore, C. L.;Foord, M. E.;Marmar, E. S.;Moody, J. D.;Parker, R. R.;Porkolab, M.;Rice, J. E.</t>
  </si>
  <si>
    <t>United States;United States;Australia;United States</t>
  </si>
  <si>
    <t>Los Angeles;Cambridge;Canberra;Somerville</t>
  </si>
  <si>
    <t>University of California, Los Angeles;Massachusetts Institute of Technology;The Australian National University;Science Research Laboratory</t>
  </si>
  <si>
    <t>60027550;60022195;60008950;112731609</t>
  </si>
  <si>
    <t>Manning H.L.</t>
  </si>
  <si>
    <t>Impurity generation during icrf heating experiments on alcator c</t>
  </si>
  <si>
    <t>10.1088/0029-5515/26/12/008</t>
  </si>
  <si>
    <t>2-s2.0-0022882351</t>
  </si>
  <si>
    <t>['truncation depth', 'sphere size', 'regards equality', 'radius less', 'printed patch', 'polarisation characteristics', 'order effect', 'optimal illumination', 'novel combination', 'millimetre wavelengths', 'measurements substantiate', 'material losses', 'given bandwidth', 'computed gain', 'cases considered', 'beam scanning', 'analysed using', 'also evident', '5 free']</t>
  </si>
  <si>
    <t>A novel combination of a microstrip patch antenna and a truncated dielectric sphere having a relative permittivity 2. 2 to 2. 5 is analysed using a magnetic line source model for the printed patch and assuming that dielectric resonator action is a second-order effect for the cases considered. Measurements substantiate the computed gain and co-polar pattern characteristics as a function of sphere size, truncation depth and material losses. Optimal illumination of the sphere, and hence maximum gain, is approached only for spheres of radius less than 1. 5 free-space wavelengths together with small truncation depths, as is also evident from simple ray tracing. The new element offers greater freedom of design as regards equality of E- and H-bandwidths, control of co- and cross-polarisation characteristics for a given bandwidth and creation of sparse element arrays with reduced feeder line radiation and losses. Results are given for the application of the element as a reflector antenna feed and in arrays at microwave and millimetre wavelengths. Some ideas for future development concerning radomes and beam scanning are noted.</t>
  </si>
  <si>
    <t>474-482</t>
  </si>
  <si>
    <t>60009658;60009658;60009658</t>
  </si>
  <si>
    <t>7403018268;7403015676;6602536785</t>
  </si>
  <si>
    <t>James, J. R.;Hall, C. M.;Andrasic, G.</t>
  </si>
  <si>
    <t>MICROSTRIP ELEMENTS AND ARRAYS WITH SPHERICAL DIELECTRIC OVERLAYS.</t>
  </si>
  <si>
    <t>10.1049/ip-h-2.1986.0081</t>
  </si>
  <si>
    <t>2-s2.0-0022883664</t>
  </si>
  <si>
    <t>['wideangle triangular', 'symmetric log', 'outline dipoles', 'negligible levels', 'mainly due', 'lpd antennas', 'feed structure', 'dipole elements', 'central wires', 'anomalous behavior', 'angle triangular']</t>
  </si>
  <si>
    <t>Computer analysis reveals that the anomalous behavior of symmetric log-periodic dipole antennas (LPDA) is mainly due to the radiation of the dipole elements in the anomalous radiating region which is excited by the transmission line resonance of the feed structure. By replacing the cylindrical dipole elements in the LPD antennas with wideangle triangular-outline dipoles with central wires, the computed anomalous back lobe peaks are reduced to negligible levels. LPD antennas were constructed using wide-angle triangular-outline dipoles with central wires, and they were found to exhibit satisfactory performance. ¬© 1986 IEEE</t>
  </si>
  <si>
    <t>1404-1410</t>
  </si>
  <si>
    <t>60014966;60016849</t>
  </si>
  <si>
    <t>8988673900;7003913442</t>
  </si>
  <si>
    <t>Gong, Zhong Lin;Balmain, Keith G.</t>
  </si>
  <si>
    <t>Canada;China</t>
  </si>
  <si>
    <t>Toronto;Beijing</t>
  </si>
  <si>
    <t>University of Toronto;Peking University</t>
  </si>
  <si>
    <t>60016849;60014966</t>
  </si>
  <si>
    <t>Gong Z.</t>
  </si>
  <si>
    <t>Reduction of the Anomalous Resonances of Symmetric Log-Periodic Dipole Antennas</t>
  </si>
  <si>
    <t>10.1109/TAP.1986.1143776</t>
  </si>
  <si>
    <t>2-s2.0-0022887605</t>
  </si>
  <si>
    <t>['zone field', 'specified far', 'signal bandwidth', 'previous results', 'optimum solution', 'limiting cases', 'finite sum', 'field position', 'energy density', 'additional constraint']</t>
  </si>
  <si>
    <t>The optimum solution for maximized radiated energy in a specified time interval from an N-element dipole array at a specified far-field position is presented. The solution is obtained in terms of time-domain dipole terminal voltages which are constrained in bandwidth and total input energy, with the currents on the dipoles satisfying Pock-lington‚Äòs integral equation. The orthogonality of characteristic terminal modes is used in the derivation of the optimum solution, and the far-zone field is expanded as a finite sum of characteristic modal fields with unknown mode coefficients. The optimum mode coefficients are found in terms of prolate spheroidal wave functions. An additional constraint can be used to find the optimum solution with a reduced sidelobe level. The effects of signal bandwidth and time interval specification on the peak field intensity and energy density in the direction of optimization are shown and limiting cases are found to agree with previous results. ¬© 1986 IEEE</t>
  </si>
  <si>
    <t>1383-1390</t>
  </si>
  <si>
    <t>56423929500;7006061921</t>
  </si>
  <si>
    <t>Kang, Yoon Won;Pozar, David M.</t>
  </si>
  <si>
    <t>Kang Y.</t>
  </si>
  <si>
    <t>Optimization of Pulse Radiation from Dipole Arrays for Maximum Energy in a Specified Time Interval</t>
  </si>
  <si>
    <t>10.1109/TAP.1986.1143772</t>
  </si>
  <si>
    <t>2-s2.0-0022888255</t>
  </si>
  <si>
    <t>['¬© 1986', 'vlbi system', 'vlbi experiments', 'successfully conducted', 'rights reserved', 'meter antenna', 'july 1984', 'international experiments', 'geodetic society', 'baseline length', 'acquisition terminal', '3 system', '11 centimeters']</t>
  </si>
  <si>
    <t>The K-3 VLBI System was developed by the Radio Research Laboratory by the end of 1983. Japan-US system level experiments and international experiments (Crustal Dynamics Project of NASA) were successfully conducted in 1984. On the other hand, by the Geographical Survey Institute, a VLBI System with a 5-meter antenna is completed, which has been introduced some parts of the K-3 System, i.e. an acquisition terminal, high density data recorders and automatic operation software. In July 1984, the domestic VLBI system level experiments were conducted for approximately 27 hours in order to determine the baseline length between Kashima and Tsukuba. The difference of the baseline length between the results of the VLBI experiments and those of the trilateration and leveling is only 11 centimeters; this difference is considered almost comparable with the error of the trilateration and leveling (estimated 10 centimeters). Therefore, it is confirmed that the experiments were sncceeded and that the two VLBI systems, both at Kashima and Tsukuba, are available for the VLBI experiments for the precise geodetic purpose which will be conducted. ¬© 1986, The Geodetic Society of Japan. All rights reserved.</t>
  </si>
  <si>
    <t>64-71</t>
  </si>
  <si>
    <t>Journal of the Geodetic Society of Japan</t>
  </si>
  <si>
    <t>109621495;109621495</t>
  </si>
  <si>
    <t>57215782490;7004703019</t>
  </si>
  <si>
    <t>Sugimoto, Yuji;Kuroiwa, Hiroshi</t>
  </si>
  <si>
    <t>Kashima</t>
  </si>
  <si>
    <t>Kashima Space Research Center</t>
  </si>
  <si>
    <t>Sugimoto Y.</t>
  </si>
  <si>
    <t>Results of Domestic VLBI System Level Experiments (No. 1) Kashima-Tsukuba</t>
  </si>
  <si>
    <t>10.11366/sokuchi1954.32.64</t>
  </si>
  <si>
    <t>2-s2.0-0022889454</t>
  </si>
  <si>
    <t>['¬© 1986', 'year study', 'user terminal', 'time monitor', 'three sections', 'test program', 'test aircraft', 'terminal monitor', 'reported research', 'provides interfaces', 'preliminary summary', 'potential applications', 'pc serves', 'pc ).', 'north atlantic', 'mitre corporation', 'iowa across', 'four organizations', 'flight tests', 'earth station', 'detailed description', 'communicate data', 'channel propagation', 'cedar rapids', 'board avionics', 'ber experiments', 'ball aerospace', 'background issues', 'automatic basis', 'antenna configuration', '200 bits']</t>
  </si>
  <si>
    <t>The MITRE Corporation has conducted a three-year study of aeronautical satellite communications that culminated in a set of flight tests over the North Atlantic during August of 1985. The flight tests required the cooperation of four organizations in addition to MITRE: The Communications Satellite Corporation (COMSAT), Rockwell International, Ball Aerospace and Avantek. A test aircraft, equipped with a specially designed satellite data link terminal and antenna configuration, was flown from Cedar Rapids, Iowa across the North Atlantic to Iceland, and north of Iceland to 75¬∞ latitude. The purpose of the flight tests was to measure the performance of a full duplex aeronautical satellite data link (ASDL) using the International Maritime Satellite Organization's (INMARSAT's) spacecraft and earth station at Southbury, Connecticut, and to demonstrate potential applications. The data link operates at 200 bits-per-second (bps), uses forward error correction (FEC) coding, and employs a terminal monitor that provides interfaces to on-board avionics, data recording equipment, and an industry-standard personal computer (PC). The PC serves as a user terminal as well as a real-time monitor of bit-error-rate (BER) performance. In addition to channel propagation and BER experiments, demonstrations of potential applications of an oceanic ASDL system were conducted. A standard commercial airline data link management unit (MU) was used to communicate data over the ASDL using standard protocols. The interface to the MU allowed access to data from two distinct navigation systems: an inertial navigation system (INS) and a Global Positioning System (GPS) receiver. Aircraft position data was transmitted from the aircraft to the earth station on an automatic basis to simulate automatic dependent surveillance (ADS) of oceanic air space. This paper is divided into three sections: 1) A discussion of background issues, such as the motivation for the reported research and development, and important operational ASDL system design topics; 2) a detailed description of the developed ASDL design; and 3) a description of the test program and a preliminary summary of the results. ¬© 1986.</t>
  </si>
  <si>
    <t>323-338</t>
  </si>
  <si>
    <t>60012564;60012564;100314923;60022476;60014737;100426414</t>
  </si>
  <si>
    <t>57198960651;6602829191;24443568900;55467907900;7402615576;36724938200</t>
  </si>
  <si>
    <t>Anderson, Samuel S.;Hogle, Lawrence H.;Breitwisch, Ronald;Edwards, C. P.;Hamilton, Robert J.;Lipke, David W.</t>
  </si>
  <si>
    <t>United States;United States;United States;United States;United States</t>
  </si>
  <si>
    <t>Boulder;Santa Clara;McLean;Clarksburg;Cedar Rapids</t>
  </si>
  <si>
    <t>Ball Aerospace;Avantek, Inc.;MITRE Corporation;Communications Satellite Corp;Rockwell Int Corp</t>
  </si>
  <si>
    <t>60022476;60014737;60012564;100426414;100314923</t>
  </si>
  <si>
    <t>Anderson S.</t>
  </si>
  <si>
    <t>Aeronautical satellite data link concept, design, and flight test results</t>
  </si>
  <si>
    <t>0094-5765(86)90134-7</t>
  </si>
  <si>
    <t>10.1016/0094-5765(86)90134-7</t>
  </si>
  <si>
    <t>2-s2.0-0022891894</t>
  </si>
  <si>
    <t>['video signals', 'two impairments', 'test data', 'short duration', 'satellite transponder', 'satellite news', 'power balancing', 'phenomena known', 'one carrier', 'large number', 'gathering environment', 'field tests', 'chrominance information', 'chrominance crosstalk', 'broadcast feed', 'analytical results']</t>
  </si>
  <si>
    <t>Transmission of the video signals through a single-satellite transponder in a satellite news-gathering environment is complicated by the short duration of the broadcast feed, large number of uplink sites sequentially accessing the satellite, equipment cost constraints, and small transmit antenna size. Two impairments to dual video operations are transponder power sharing and the phenomena known as chrominance crosstalk, where the chrominance information of one carrier is superimposed on the other. Field tests have been conducted through C- and Ku-band satellite transponders to characterize both power balancing and crosstalk under various operating conditions. Test data are analyzed and compared to the analytical results. To alleviate the chrominance crosstalk problem, a simple, quasi-'genlocking' scheme is proposed in which each uplink that could experience crosstalk is equipped with a high-stability and high-accuracy color sync generator referencing a time base corrector in the main signal path. This technique effectively reduces any perceptible chrominance crosstalk in the picture.</t>
  </si>
  <si>
    <t>89-95</t>
  </si>
  <si>
    <t>60028552;60028552</t>
  </si>
  <si>
    <t>6506928246;7405937850</t>
  </si>
  <si>
    <t>Kinsella, William P.;Cheng, Jing shiang</t>
  </si>
  <si>
    <t>McLean/Washington, D.C.</t>
  </si>
  <si>
    <t>Spacenet Inc.</t>
  </si>
  <si>
    <t>Kinsella W.</t>
  </si>
  <si>
    <t>DUAL VIDEO SIGNALS PER TRANSPONDER FOR SATELLITE NEWS GATHERING.</t>
  </si>
  <si>
    <t>10.1109/TBC.1986.266603</t>
  </si>
  <si>
    <t>2-s2.0-0022892178</t>
  </si>
  <si>
    <t>['survey covers', 'relevant areas', 'patch antennas', 'nonlinear cad', 'microstrip lines', 'general idea', 'electronics engineers', 'computer programs', 'circuit analysis', 'brief description']</t>
  </si>
  <si>
    <t>The purpose of this survey is to provide a general idea on present research activities in microstrip in Europe, emphasizing computeraided design. Attention is drawn to the particularities of microstrip, which make its design particularly difficult. The survey covers the description of microstrip lines, discontinuities, patch antennas, and computer programs for circuit analysis, synthesis, and layout, followed by a brief description of relevant areas in MMIC and nonlinear CAD. Copyright ¬© 1986 by The Institute of Electrical and Electronics Engineers, Inc.</t>
  </si>
  <si>
    <t>1271-1275</t>
  </si>
  <si>
    <t>Gardiol, Fred E.</t>
  </si>
  <si>
    <t>Lausanne</t>
  </si>
  <si>
    <t>Swiss Federal Institute of Technology Lausanne</t>
  </si>
  <si>
    <t>Gardiol F.E.</t>
  </si>
  <si>
    <t>Microstrip Computer-Aided Design in Europe</t>
  </si>
  <si>
    <t>10.1109/TMTT.1986.1133538</t>
  </si>
  <si>
    <t>2-s2.0-0022896048</t>
  </si>
  <si>
    <t>['wave structures', 'tuning cavities', 'quite difficult', 'previous designs', 'mylar substrate', 'microwave tubes', 'microwave cavity', 'lead reception', 'field probe', 'field amplifier', 'band cross']</t>
  </si>
  <si>
    <t>In the past, the characterization of slow-wave structures and tuning cavities in microwave tubes has been quite difficult because of the inability to directly measure field strengths within the microwave cavity. The field probe described consists of a 0. 6 mm dipole antenna, a zero-bias Schottky barrier diode, and a novel, highly resistive output transmission line on a Mylar substrate. Using the highly resistive output transmission line to minimize field perturbation and lead reception, such a field probe will provide the possibility of directly measuring electromagnetic fields in microwave tubes. The Mylar substrate provides flexibility and makes the field probe much less fragile than the previous designs. Response of the probe when rotated about an incident electric field, and electric-field strengths measured in an S-band cross-field amplifier, which is representative of modern microwave tubes, are described.</t>
  </si>
  <si>
    <t>451-455</t>
  </si>
  <si>
    <t>60021918;60021918;60021918;60021918;60021918</t>
  </si>
  <si>
    <t>7403178904;7003735231;6602215935;7003331685;57197526369</t>
  </si>
  <si>
    <t>Ng, K. T.;Batchman, T. E.;Howerton, P. H.;Veasey, D. L.;Smith, R. S.</t>
  </si>
  <si>
    <t>Charlottesville</t>
  </si>
  <si>
    <t>University of Virginia</t>
  </si>
  <si>
    <t>Ng K.T.</t>
  </si>
  <si>
    <t>FLEXIBLE MINIATURE ELECTRIC FIELD PROBE FOR MICROWAVE TUBE MEASUREMENTS.</t>
  </si>
  <si>
    <t>10.1109/TIM.1986.6499115</t>
  </si>
  <si>
    <t>2-s2.0-0022902049</t>
  </si>
  <si>
    <t>['time constants', 'steering beamformer', 'roughly equalized', 'perturbation algorithms', 'paper presents', 'feedback factors', 'davies null', 'appropriately normalized']</t>
  </si>
  <si>
    <t>The paper presents and analyses a simple and fast adaptive array based on the Davies null-steering beamformer. The use of perturbation algorithms on this beamformer is investigated. The convergence time constants and misadjustment are derived. It is shown that, if the feedback factors for these algorithms are appropriately normalized, the time constants can be roughly equalized, resulting in fast convergence behavior.</t>
  </si>
  <si>
    <t>467-473</t>
  </si>
  <si>
    <t>Ko, C. C.</t>
  </si>
  <si>
    <t>National University of Singapore</t>
  </si>
  <si>
    <t>Ko C.</t>
  </si>
  <si>
    <t>ADAPTIVE ARRAY PROCESSING USING THE DAVIES BEAMFORMER.</t>
  </si>
  <si>
    <t>10.1049/ip-h-2.1986.0080</t>
  </si>
  <si>
    <t>2-s2.0-0022903595</t>
  </si>
  <si>
    <t>['several jammers', 'selection procedure', 'robust beam', 'recent paper', 'new algorithm', 'many elements', 'improved beam', 'desired signal']</t>
  </si>
  <si>
    <t>An improved beam-selection procedure is described for a robust beam-switched adaptive antenna introduced in a recent paper. The new algorithm is faster, and virtually guarantees acquisition of the desired signal in fewer trial adaptations than the number of antenna beams multiplied by the number of jammers; it is thus more practical for cancellation of several jammers by arrays with many elements.</t>
  </si>
  <si>
    <t>507-508</t>
  </si>
  <si>
    <t>Hudson J.E.</t>
  </si>
  <si>
    <t>FAST ALLOCATION OF DEGREES OF FREEDOM IN AN ADAPTIVE ATENNA.</t>
  </si>
  <si>
    <t>10.1049/ip-h-2.1986.0086</t>
  </si>
  <si>
    <t>2-s2.0-0022903598</t>
  </si>
  <si>
    <t>318-319</t>
  </si>
  <si>
    <t>Folia Histochemica et Cytobiologica</t>
  </si>
  <si>
    <t>60017750;60017750</t>
  </si>
  <si>
    <t>18337228800;23493535800</t>
  </si>
  <si>
    <t>Rosciszewska, M.;Petryszak, A.</t>
  </si>
  <si>
    <t>Poland</t>
  </si>
  <si>
    <t>Krakow</t>
  </si>
  <si>
    <t>Uniwersytet Rolniczy im. Hugona Kollataja w Krakowie</t>
  </si>
  <si>
    <t>Rosciszewska M.</t>
  </si>
  <si>
    <t>The sense organs of the antennae of Periplaneta americana L. (Blattoidea), Carausius morosus B. (Cheleutoptera), Gryllus domesticus L. (Orthoptera)</t>
  </si>
  <si>
    <t>2-s2.0-0022904687</t>
  </si>
  <si>
    <t>['¬© 1986', 'usuda station', 'trajectory generation', 'successfully operated', 'sakigake tracking', 'sakigake ",', 'paper describes', 'orbit determination', 'january 8', 'isas launched', 'diameter antenna', 'astronautical science']</t>
  </si>
  <si>
    <t>Institute of Space and Astronautical Science (ISAS), Japan, constructed a new deep space ground station with 64-meter-diameter antenna at Usuda-cho, Nagano, in 1984. The station has successfully operated in the tracking of "Sakigake", the first Japanese interplanetary spacecraft that ISAS launched on January 8, 1985. This paper describes the facilities and the features of the Usuda Station, the results of Sakigake tracking, as well as the features of the softwares for trajectory generation and orbit determination that we have developed for deep space missions. ¬© 1986.</t>
  </si>
  <si>
    <t>97-103</t>
  </si>
  <si>
    <t>60000809;60000809;60000809;60000809;60000809</t>
  </si>
  <si>
    <t>7403421936;23030809700;23081029300;7007038960;35586085700</t>
  </si>
  <si>
    <t>Nomura, Tamiya;Hayashi, Tomonao;Nishimura, Toshimitsu;Hirosawa, Haruto;Ichikawa, Mitsuru</t>
  </si>
  <si>
    <t>Nomura T.</t>
  </si>
  <si>
    <t>Usuda deep space station with 64-meter-diameter antenna</t>
  </si>
  <si>
    <t>0094-5765(86)90113-X</t>
  </si>
  <si>
    <t>10.1016/0094-5765(86)90113-X</t>
  </si>
  <si>
    <t>2-s2.0-0022907178</t>
  </si>
  <si>
    <t>['wiley company', 'vertical plane', 'radar head', 'proposed method', 'measured height', 'inc .,', 'height estimation', 'given first', 'geometric position', 'flight experiments', 'estimation accuracy', 'estimating biases', 'estimated using', 'described based', 'depression angle', 'computer simulation', 'called nams', 'analytical method', 'aircraft relative']</t>
  </si>
  <si>
    <t>An analytical method is described based on data to be obtained by flight experiments for estimating biases of the range and depression angle measurement systems of a simple height finding radar (called NAMS) which uses a rotating fan beam antenna in a vertical plane. This method is based on the principle that the effects of biases on the height estimation error vary according to the geometric position of an aircraft relative to the radar head. Height estimation errors are estimated using the difference between the measured height of the aircraft by the radar and that by a barometric altimeter aboard the aircraft. Since the height estimation errors of NAMS can be approximated by a linear regression equation whose coefficients include biases of range and depression angle, the coefficients can be estimated by using the least squares method. In this paper, the derivation of the linear regression equation is given first. Then the algorithm for height estimation is described. Finally, the validity of assumptions and height estimation accuracy by the proposed method are examined by computer simulation. As a result, the feasibility of this method for estimating the biases of range and depression angle and the estimation accuracy is shown. Copyright ¬© 1986 Wiley Periodicals, Inc., A Wiley Company</t>
  </si>
  <si>
    <t>55-64</t>
  </si>
  <si>
    <t>Nagaoka, Sakae</t>
  </si>
  <si>
    <t>Chofu</t>
  </si>
  <si>
    <t>Electronic Navigation Research Institute</t>
  </si>
  <si>
    <t>Nagaoka S.</t>
  </si>
  <si>
    <t>A method for estimating biases in the measurement system of a height finding radar</t>
  </si>
  <si>
    <t>10.1002/ecja.4410691207</t>
  </si>
  <si>
    <t>2-s2.0-0022909695</t>
  </si>
  <si>
    <t>60016147;60016147</t>
  </si>
  <si>
    <t>7003869691;7004173156</t>
  </si>
  <si>
    <t>Zlotorzycka, J.;Kassner, J.</t>
  </si>
  <si>
    <t>Wroclaw</t>
  </si>
  <si>
    <t>University of Wroclaw</t>
  </si>
  <si>
    <t>Zlotorzycka J.</t>
  </si>
  <si>
    <t>Antennal sensilla in Mallophaga in scanning electron microscope</t>
  </si>
  <si>
    <t>2-s2.0-0022911278</t>
  </si>
  <si>
    <t>['wave tube', 'w traveling', 'video exciter', 'transmission quality', 'test modes', 'test equipment', 'terminal consists', 'sng terminal', 'rf subsystem', 'nonredundant operation', 'new direct', 'mobile configuration', 'coupled modulator', 'antenna subsystem', 'amplifiers integral', 'alternate polarizations', 'allow configuration']</t>
  </si>
  <si>
    <t>ABC's mobile satellite news-gathering (SNG) terminal consists of an antenna subsystem, RF subsystem, video exciter, and voice/data communications package. The RF subsystem and video exciter are described. The SNG terminal is designed to provide the highest quality video transmission available in a mobile configuration. The exciter subsystem includes a new direct-coupled modulator to optimize spectrum utilization and transmission quality. The RF subsystem features 300-W traveling-wave tube (TWT) amplifiers integral to the antenna feed support assembly, which maximizes the power output capability of the SNG terminal. The RF subsystem also includes RF combining facilities required to transmit both video and voice/data carriers simultaneously, and RF switching facilities to select between alternate polarizations and test modes. The RF subsystem incorporates built-in test equipment. The RF subsystem is designed to allow configuration as a fully redundant terminal but may be configured for nonredundant operation.</t>
  </si>
  <si>
    <t>103-115</t>
  </si>
  <si>
    <t>Miller, Kenneth A.</t>
  </si>
  <si>
    <t>Hauppauge</t>
  </si>
  <si>
    <t>Satellite Transmission Systems, Inc</t>
  </si>
  <si>
    <t>Miller K.</t>
  </si>
  <si>
    <t>UNIQUE EXCITER AND RF SUBSYSTEM FOR ABC'S MOBILE SATELLITE NEWS GATHERING TERMINAL - THE ABSCAMP SYSTEM.</t>
  </si>
  <si>
    <t>10.1109/TBC.1986.266605</t>
  </si>
  <si>
    <t>2-s2.0-0022911787</t>
  </si>
  <si>
    <t>['transportable communication', 'shell construction', 'offset design', 'mechanical design', 'hinged construction', 'band satellite', 'antenna system', 'antenna features']</t>
  </si>
  <si>
    <t>A description is given of an antenna system that has been optimized for transportable communication of news via Ku-band satellite. The offset design and 4-port feed system (dual polarized linear for both reception and transmission) were selected and optimized to meet the stringent pattern requirements imposed by the US Federal Communications Commission (FFC) for 2 degree satellite separations. The antenna features a double-shell construction for the reflector, provision for mounting microwave equipment immediately adjacent to the 4-port feed system, and a hinged construction for folding the reflector down during transport. The electrical and mechanical design are described and measured patterns presented.</t>
  </si>
  <si>
    <t>96-102</t>
  </si>
  <si>
    <t>57214587206;6507263610;36880093000</t>
  </si>
  <si>
    <t>Charlton, T. E.;Linehan, K. E.;Mowry, D. B.</t>
  </si>
  <si>
    <t>Charlton T.</t>
  </si>
  <si>
    <t>2. 3-METRE OFFSET ANTENNA SYSTEM FOR NEWS GATHERING BY SATELLITE.</t>
  </si>
  <si>
    <t>10.1109/TBC.1986.266604</t>
  </si>
  <si>
    <t>2-s2.0-0022912284</t>
  </si>
  <si>
    <t>['transmission formula', 'provides confidence', 'particular measurement', 'mismatch losses', 'measured data', 'mean value', 'insertion loss', 'government work', 'good estimate', 'generally considered', 'gain product', 'essentially perfect', 'defined ),', 'close agreement', 'antennas described', 'antenna gains', 'actually made', '42 db', '05 db']</t>
  </si>
  <si>
    <t>It is demonstrated that the insertion loss between pairs of thin, linear antennas may be calculated using fairly simple equations that are generally considered to be good engineering approximations. Al-though the insertion loss calculation does not involve antenna gain directly (some measurements are actually made in the near-field where gain is not defined), the result is precisely the quantity obtained using the antenna gains in Friis's transmission formula, assuming the mismatch losses are zero. Therefore, the antenna gain product is implicit in the more general insertion loss equations. The particular measurement of insertion loss used here yields a quantity called site attenuation by electromagnetic compatibility engineers. A close agreement between measured and calculated data provides confidence in the site attenuation calculations when the site is essentially perfect, and provides confidence in the gain product of the antenna pair calculated using basically the same equations as those used for insertion loss. It is assumed that one-half of the mean value of the difference between the calculated and measured data is a good estimate of individual antenna performance. For the antennas described here, this measure of performance is typically ‚â§ 0.05 dB and on the outside,‚â§ 0.42 dB. U.S. Government work not protected by U.S. ¬© 1986 IEEE</t>
  </si>
  <si>
    <t>1425-1429</t>
  </si>
  <si>
    <t>Fitzgerrell, Richard G.</t>
  </si>
  <si>
    <t>Fitzgerrell R.G.</t>
  </si>
  <si>
    <t>Standard Linear Antennas, 30 to 1000 MHz</t>
  </si>
  <si>
    <t>10.1109/TAP.1986.1143768</t>
  </si>
  <si>
    <t>2-s2.0-0022913736</t>
  </si>
  <si>
    <t>['zone patterns', 'type discontinuities', 'related problems', 'reciprocity theorem', 'radiating slot', 'quite versatile', 'ground plane', 'find application', 'exact green', 'antenna impedance']</t>
  </si>
  <si>
    <t>A method is presented for the analysis of slot-type discontinuities in microstripline. The approach is based on the reciprocity theorem and uses the exact Green's functions for the grounded dielectric slab in a moment method solution for the unknown antenna currents. The method is applied to two specific geometries: A radiating slot in the ground plane of a microstripline, and an aperture coupled microstrip patch antenna. Results for antenna impedance are compared with measurements, and far-zone patterns are calculated. The method is shown to be quite versatile, and should find application to related problems. ¬© 1986 IEEE</t>
  </si>
  <si>
    <t>1439-1446</t>
  </si>
  <si>
    <t>A Reciprocity Method of Analysis for Printed Slot and Slot-Coupled Microstrip Antennas</t>
  </si>
  <si>
    <t>10.1109/TAP.1986.1143785</t>
  </si>
  <si>
    <t>2-s2.0-0022913737</t>
  </si>
  <si>
    <t>['two orders', 'toroidal field', 'successfully carried', 'rf frequency', 'plasma current', 'mhd instability', 'magnitude higher', 'iiu tokamak', 'fast wave', 'drive efficiency', 'clearly observed', '5 ).', '40 mhz', '2 kg', '13chthe experiment']</t>
  </si>
  <si>
    <t>In the JIPP T-IIU tokamak an experiment to demonstrate the feasibility of fast wave current drive using five loop antennas has been successfully carried out with a relatively high density plasma (wpe/wce~ 5). The RF frequency is 40 MHz and the toroidal field is 2 kG, which corresponds to = 13chThe experiment is conducted in the density range √± ~ 2 X 1018m-3where only the fast wave can propagate, eliminating the possibility of slow wave current drive. This density is two orders of magnitude higher than the density limit predicted for slow wave current drive. The dependence of the drive efficiency on the relative phase difference ‚àÜœÜ is clearly observed with a maximum of about Œ†œÜ= Œ†/4. The plasma current was limited by MHD instability which begins to occur around qa= 10. ¬© 1986 IOP Publishing Ltd.</t>
  </si>
  <si>
    <t>1619-1624</t>
  </si>
  <si>
    <t>60000264;60000264;60000264;60000264</t>
  </si>
  <si>
    <t>7007043532;56353825200;7404051215;7102200764</t>
  </si>
  <si>
    <t>Ando, R.;Kako, E.;Ogawa, Y.;Watari, T.</t>
  </si>
  <si>
    <t>Ando R.</t>
  </si>
  <si>
    <t>Icrf current drive experiment on jipp t-iiu</t>
  </si>
  <si>
    <t>10.1088/0029-5515/26/12/004</t>
  </si>
  <si>
    <t>2-s2.0-0022914880</t>
  </si>
  <si>
    <t>['¬© 1986', 'vlbi experiments', 'two antennas', 'rrl antenna', 'rrl ),', 'rights reserved', 'network adjustment', 'meter antenna', 'made trilateration', 'july 1984', 'geodetic society', 'could confirm', 'baseline vector', 'baseline length', 'already made', '11 centimeters']</t>
  </si>
  <si>
    <t>Geographical Survey Institute (GSI) completed the transportable VLBI system with 5-meter antenna in 1984, and we confirmed that the system is able to be used for the precise geodetic survey. In July 1984, the domestic VLBI system level experiments were conducted by GSI and Radio Research Laboratory (RRL), in order to confirm the performance of the system. Before the experiments, GSI had made trilateration in order to get the baseline length between the GSI VLBI antenna at Tsukuba and RRL Antenna at Kashima. We used the data of the precise geodetic network survey which were already made in 1974 and 1979, and made new trilateration and leveling. We got the baseline vector between two antennas by network adjustment. The difference of the baseline length between the results of the trilateration and the VLBI experiments is only 11 centimeters. By this results, we could confirm that the VLBI system would be able to be used for the presice geodetic surveys. ¬© 1986, The Geodetic Society of Japan. All rights reserved.</t>
  </si>
  <si>
    <t>72-78</t>
  </si>
  <si>
    <t>100726037;100726037</t>
  </si>
  <si>
    <t>55689845700;55527767100</t>
  </si>
  <si>
    <t>Saito, Takashi;Matsuzaka, Shigeru</t>
  </si>
  <si>
    <t>Geographical Survey Institute</t>
  </si>
  <si>
    <t>Saito T.</t>
  </si>
  <si>
    <t>Results of Domestic VLBI System Level Experiments (No. 2) Tsukuba-Kashima</t>
  </si>
  <si>
    <t>10.11366/sokuchi1954.32.72</t>
  </si>
  <si>
    <t>2-s2.0-0022916755</t>
  </si>
  <si>
    <t>['electric field', 'efficient method']</t>
  </si>
  <si>
    <t>An asymptotic extraction process is developed which leads to an efficient method for the evaluation of the electric field from a ¬© 1986 IEEE</t>
  </si>
  <si>
    <t>1467-1470</t>
  </si>
  <si>
    <t>Jackson, David R.;Alex√≥poulos, Nic√≥laos G.</t>
  </si>
  <si>
    <t>An Asymptotic Extraction Technique for Evaluating Sommerfeld-Type Integrals</t>
  </si>
  <si>
    <t>10.1109/TAP.1986.1143774</t>
  </si>
  <si>
    <t>2-s2.0-0022917155</t>
  </si>
  <si>
    <t>['wiley company', 'simple operation', 'resonant frequencies', 'radiation patterns', 'inc .,', 'feed line', 'fed via', 'coupled electromagnetically', 'circular polarizations', 'axial ratio', 'antenna characteristics', 'actual generations']</t>
  </si>
  <si>
    <t>The proximity feed microstrip antenna (PMA) fed via a gap enables switching of the polarization with a simple operation of opening or shorting the end of the feed. However, since the PMA is coupled electromagnetically with the feed line printed on the same surface as the antenna, the effect of the feed line on the antenna characteristics is expected. In this paper, the full‚Äêwave analysis developed by Itoh et al. is used for the analysis of the antenna system including the feed line. In this method, Galerkin's method is used in the Fourier transform domain. The effects of the feed line on the resonant frequencies and the radiation patterns of the PMA are investigated. The application of the PMA to a circularly polarized antenna has been tried and actual generations of circular polarizations have been confirmed. The effect of the feed line on the circular polarization characteristics (axial ratio) has been studied. Copyright ¬© 1986 Wiley Periodicals, Inc., A Wiley Company</t>
  </si>
  <si>
    <t>110-117</t>
  </si>
  <si>
    <t>60014652;60014652</t>
  </si>
  <si>
    <t>6603514472;7404897527</t>
  </si>
  <si>
    <t>Haishi, Katsuyuki;Itoh, Kiyohiko</t>
  </si>
  <si>
    <t>Haishi K.</t>
  </si>
  <si>
    <t>Proximity feed microstrip antenna</t>
  </si>
  <si>
    <t>10.1002/ecja.4410691213</t>
  </si>
  <si>
    <t>2-s2.0-0022917934</t>
  </si>
  <si>
    <t>['¬© 1986', 'paper models', 'large deformations', 'integrated numerically', 'end mass', 'elastic rod', 'centrifugal forces', 'catastrophic changes']</t>
  </si>
  <si>
    <t>This paper models a rotating space satellite with a long flexible antenna. Large deformations of the elastic rod are caused by the centrifugal forces. Bifurcation analysis shows the effect of end mass on the critical rotation speeds above which sinuous equilibrium configurations occur. The nonlinear governing equations are then integrated numerically. We find a class of solutions with a looped configuration whose existence requires a certain minimum total energy and minimum angular momentum. Catastrophic changes are possible. ¬© 1986 by ASME.</t>
  </si>
  <si>
    <t>864-868</t>
  </si>
  <si>
    <t>Journal of Applied Mechanics, Transactions ASME</t>
  </si>
  <si>
    <t>Wang, C. Y.</t>
  </si>
  <si>
    <t>Wang C.Y.</t>
  </si>
  <si>
    <t>Free rotation of an elastic rod with an end mass</t>
  </si>
  <si>
    <t>10.1115/1.3171872</t>
  </si>
  <si>
    <t>2-s2.0-0022920131</t>
  </si>
  <si>
    <t>['two applications', 'transformation matrices', 'techniques based', 'squares problems', 'squares filtering', 'spurious data', 'simultaneous addition', 'rounding errors', 'required computations', 'numerical robustness', 'normal equations', 'modest increase', 'householder matrices', 'electronics engineers', 'efficient deletion', 'effect deletion', 'deletion sets', 'data set', 'adaptive array']</t>
  </si>
  <si>
    <t>A class of transformation matrices, analogous to the Householder matrices, is developed, with a nonorthogonal property designed to permit the efficient deletion of data from least-squares problems. These matrices, which we term hyperbolic Householder, are shown to effect deletion, or simultaneous addition and deletion, of data with much less sensitivity to rounding errors than for techniques based on normal equations. When the addition/deletion sets are large, this numerical robustness is obtained at the expense of only a modest increase in computations, and when only a relatively small fraction of the data set is modified, there is a decrease in required computations. Two applications to signal processing problems are considered. First, these transformations are used to obtain a square root algorithm for windowed recursive least-squares filtering. Second, the transformations are employed to implement the rejection of spurious data from the weight vector estimator in an adaptive array. Copyright ¬© 1986 by The Institute of Electrical and Electronics Engineers. Inc.</t>
  </si>
  <si>
    <t>1589-1602</t>
  </si>
  <si>
    <t>60024592;60024592</t>
  </si>
  <si>
    <t>7005102272;7003504553</t>
  </si>
  <si>
    <t>Rader, Charles M.;Steinhardt, Allan O.</t>
  </si>
  <si>
    <t>Lexington</t>
  </si>
  <si>
    <t>Lincoln Laboratory</t>
  </si>
  <si>
    <t>Rader C.</t>
  </si>
  <si>
    <t>Hyperbolic Householder Transformations</t>
  </si>
  <si>
    <t>10.1109/TASSP.1986.1164998</t>
  </si>
  <si>
    <t>2-s2.0-0022921339</t>
  </si>
  <si>
    <t>Ministry of Defence</t>
  </si>
  <si>
    <t>MOD</t>
  </si>
  <si>
    <t>['troposphere lead', 'system performance', 'spatial resolution', 'simulations indicate', 'sar systems', 'resolution images', 'pulsed radar', 'propagation effects', 'produces high', 'phase due', 'natural illumination', 'longer wavelengths', 'geometric distortions', 'francis ltd', 'disturbed ionosphere', 'day sensor', 'comparative transparency', 'coherently processing', 'c band', 'active sensor']</t>
  </si>
  <si>
    <t>Synthetic aperture radar (SAR) produces high-resolution images of the Earth‚Äôs surface (and subsurface, under some conditions) by coherently processing the returns from a pulsed radar. It is an active sensor, hence is not dependent on natural illumination for its operation, and the comparative transparency of the atmosphere at centimetre wavelengths allows penetration of clouds and haze. SAR therefore offers considerable potential as an all-weather, all-time-of-day sensor, as long as propagation effects do not destroy signal coherence. A particularly useful way of viewing SAR performance is in terms of the synthetic antenna gain pattern, and performance measures derived from this pattern (e.g. spatial resolution, sidelobe energy). Perturbations of the phase due to irregularities in the refractive index structure of the ionosphere and troposphere lead to changes in the system performance. We have used a phase screen model to generate phase perturbations of the form expected due to propagation through a disturbed ionosphere. Simulations have been undertaken and used to assess the performance of a variety of SAR systems under particular geophysical conditions. These simulations indicate that at the longer wavelengths (C band and above), severe disturbances may greatly reduce image contrast, to the extent of destroying the image. Geometric distortions will also be introduced. ¬© 1986 Taylor and Francis Ltd.</t>
  </si>
  <si>
    <t>525-539</t>
  </si>
  <si>
    <t>International Journal of Remote Sensing</t>
  </si>
  <si>
    <t>60018829;60018829</t>
  </si>
  <si>
    <t>7006499360;7103091409</t>
  </si>
  <si>
    <t>Quegan, S.;Lamont, J.</t>
  </si>
  <si>
    <t>Farnborough</t>
  </si>
  <si>
    <t>BAE Systems plc</t>
  </si>
  <si>
    <t>Quegan S.</t>
  </si>
  <si>
    <t>Ionospheric and tropospheric effects on synthetic aperture radar performance!</t>
  </si>
  <si>
    <t>10.1080/01431168608954707</t>
  </si>
  <si>
    <t>2-s2.0-0022926453</t>
  </si>
  <si>
    <t>['recent developments', 'photogrammetric approach', 'notably large', 'greatly enhanced', 'format cameras', 'automatic comparators', 'antenna mensuration', 'analytical photogrammetry', 'accuracy aspects']</t>
  </si>
  <si>
    <t>The application of analytical photogrammetry to the measurement of microwave antenna reflectors is discussed. Recent developments in close-range photogrammetric systems, notably large-format cameras and automatic comparators, have greatly enhanced both the accuracy and economy of antenna mensuration. Accuracy aspects are discussed and advantages of the photogrammetric approach are highlighted. Five recently conducted antenna measurement projects are reviewed.- Author</t>
  </si>
  <si>
    <t>1627-1635</t>
  </si>
  <si>
    <t>Photogrammetric Engineering &amp; Remote Sensing</t>
  </si>
  <si>
    <t>Fraser, C. S.</t>
  </si>
  <si>
    <t>Geodetic Systems, Inc.</t>
  </si>
  <si>
    <t>Fraser C.</t>
  </si>
  <si>
    <t>Microwave antenna measurement.</t>
  </si>
  <si>
    <t>2-s2.0-0022927137</t>
  </si>
  <si>
    <t>['wiley blackwell', 'vlf signals', 'vlf field', 'vlf conductors', 'two sources', 'transmitter using', 'signal generator', 'rights reserved', 'right angles', 'remarkable similarity', 'probably sufficient', 'navy transmitter', 'navy stations', 'minor shifts', 'low frequency', 'local loop', 'geological survey', 'geological studies', 'fracture patterns', 'field tests', 'field directions', 'conductor axes', 'canada limited', 'atomic energy', 'also done', '45 ¬∞']</t>
  </si>
  <si>
    <t>A portable low‚Äêpower Very Low Frequency (VLF) transmitter using a large square loop antenna has been designed, assembled and tested by the Geological Survey of Canada (GSC) for geological studies of fracture patterns in igneous rock masses. Standard laboratory equipment, consisting of a signal generator, a 1100‚ÄêW power amplifier and several high‚Äêpower tuning capacitors, was used for the purpose. Field tests at the Chalk River facilities of Atomic Energy of Canada Limited have demonstrated a remarkable similarity between survey results obtained using the VLF signals from the local loop transmitter and from distant US Navy VLF transmitters. The local loop was used to simulate the fields from navy stations NAA in Cutler, Maine and NSS in Annapolis, Maryland. Conductor axes, mapped by using these navy stations, and by using the loop antenna yielded almost identical results. A survey was also done in the same area with the local loop placed in such a manner that the direction of the VLF field was at 45¬∞ to the field directions from NAA and NSS. In this case, the same conductor axes were located with only minor shifts in position, indicating that conductors whose axes lie within 45¬∞ of the direction of the primary horizontal magnetic field are mapped. Thus, it is probably sufficient to have two sources with orthogonal VLF fields to map all VLF conductors in an area. Since in most areas at least one navy VLF station can be used, the local loop transmitter can be used to generate a signal at right angles to the direction from the navy transmitter to allow a more complete VLF survey coverage. Copyright ¬© 1986, Wiley Blackwell. All rights reserved</t>
  </si>
  <si>
    <t>873-896</t>
  </si>
  <si>
    <t>Geophysical Prospecting</t>
  </si>
  <si>
    <t>60004298;60017962</t>
  </si>
  <si>
    <t>55580155900;55731183500</t>
  </si>
  <si>
    <t>HAYLES, J. G.;SINHA, A. K.</t>
  </si>
  <si>
    <t>Ottawa;Chalk River</t>
  </si>
  <si>
    <t>Geological Survey of Canada;Atomic Energy of Canada Limited - Chalk River Lab</t>
  </si>
  <si>
    <t>60017962;60004298</t>
  </si>
  <si>
    <t>HAYLES J.</t>
  </si>
  <si>
    <t>A PORTABLE LOCAL LOOP VLF TRANSMITTER FOR GEOLOGICAL FRACTURE MAPPING</t>
  </si>
  <si>
    <t>10.1111/j.1365-2478.1986.tb00499.x</t>
  </si>
  <si>
    <t>2-s2.0-0022928977</t>
  </si>
  <si>
    <t>99-110</t>
  </si>
  <si>
    <t>1532527X</t>
  </si>
  <si>
    <t>Electromagnetics</t>
  </si>
  <si>
    <t>Schieber, D.</t>
  </si>
  <si>
    <t>Technion - Israel Institute of Technology</t>
  </si>
  <si>
    <t>Schieber D.</t>
  </si>
  <si>
    <t>Radiation of a receding electric dipole</t>
  </si>
  <si>
    <t>10.1080/02726348608915204</t>
  </si>
  <si>
    <t>2-s2.0-0022929542</t>
  </si>
  <si>
    <t>['two smooth', 'treated analytically', 'perturbation terms', 'high efficiency', 'francis group', 'computation time', 'article presents', 'also applied']</t>
  </si>
  <si>
    <t>This article presents a method which models printed circuit antennas with very high efficiency. The model is based on a decomposition of the pertinent Green‚Äôs function, using weighted image theory, into two smooth-valued perturbation terms and a singularity containing term which can be treated analytically. This, in addition to the adoptation of a numerical interpolation technique, leads to minimization of computation time when the method of moments is enforced. An analytic-numeric real axis integration approach is also applied to evaluate the near field quantity of the perturbation terms. ¬© 1986 Taylor &amp; Francis Group, LLC.</t>
  </si>
  <si>
    <t>161-170</t>
  </si>
  <si>
    <t>60027550-115569186;60027550</t>
  </si>
  <si>
    <t>7401898783;7004468161</t>
  </si>
  <si>
    <t>Chi, C. L.;Alexopoulos, N. G.</t>
  </si>
  <si>
    <t>Los Angeles;Santa Monica</t>
  </si>
  <si>
    <t>University of California, Los Angeles;Phraxos Research and Development Inc</t>
  </si>
  <si>
    <t>60027550;115569186</t>
  </si>
  <si>
    <t>Chi C.</t>
  </si>
  <si>
    <t>An image extraction approach to modeling printed circuit antennas</t>
  </si>
  <si>
    <t>10.1080/02726348608915209</t>
  </si>
  <si>
    <t>2-s2.0-0022929543</t>
  </si>
  <si>
    <t>['tv camera', 'printed antennas', 'lower surfaces', 'high frequencies', 'guidance system', 'given beamwidth', 'aperture size', 'aperture reuse', 'aperture area', '5 degrees', '30 ghz']</t>
  </si>
  <si>
    <t>Remotely Piloted Vehicles (RPVs) are designed to be small and inexpensive. There is, therefore, a problem in providing a guidance system as well as a TV camera on the lower surfaces of the RPV. Printed antennas are ideal for this application. The aperture area can be minimized by the application of the principles of aperture reuse to generate the four navigation beams (at 45, 135, 225 and 315 degrees azimuth, depressed 65 degrees from the aperture plane), and operation at high frequencies, e. g. , less than 30 GHz to reduce the aperture size for a given beamwidth. This paper provides practical solutions to the technical problems raised in the application of the above principles to the design of an RPV navigation antenna for operation at Ka-band with a 3 db beam-width of less than 5 degrees.</t>
  </si>
  <si>
    <t>101-104</t>
  </si>
  <si>
    <t>Annual Review - Philips Research Laboratories</t>
  </si>
  <si>
    <t>Gibson, P. J.</t>
  </si>
  <si>
    <t>Gibson P.</t>
  </si>
  <si>
    <t>LARGE COMMON APERTURE 4 BEAM PRINTED ANTENNA AT Ka-BAND.</t>
  </si>
  <si>
    <t>2-s2.0-0022934931</t>
  </si>
  <si>
    <t>['rotating r', 'navigation radar', 'low weight', 'high reliability', 'eminently practicable']</t>
  </si>
  <si>
    <t>Frequency Modulated Continuous Wave (FMCW) Radar has long been of interest. A 3 W solid state experimental X-band marine surface search and navigation radar has been built and evaluated. The construction of such a radar has been shown to be eminently practicable. The radar has a completely solid state transmitter with low weight and high reliability which has been mounted directly behind the antennas, avoiding the need for rotating r. f. feeds and long waveguide runs.</t>
  </si>
  <si>
    <t>100-101</t>
  </si>
  <si>
    <t>6603516262;55882003800</t>
  </si>
  <si>
    <t>Stove, A. G.;Beasley, P. D.L.</t>
  </si>
  <si>
    <t>Stove A.</t>
  </si>
  <si>
    <t>X-BAND FMCW NAVIGATION RADAR.</t>
  </si>
  <si>
    <t>2-s2.0-0022949330</t>
  </si>
  <si>
    <t>['¬© 1986', 'type germanium', 'nitrocellulose self', 'film antenna', 'developing resist', 'contacted p']</t>
  </si>
  <si>
    <t>A thin-film warm carrier device consisting of a thin-film antenna, the top of which contacted p-type germanium through a 0.1Œºm-diam. pinhole, has been fabricated by microfabrication technique using focused ion-beam and nitrocellulose self-developing resist. The fabricated device worked as an antenna-coupled infrared laser detector. ¬© 1986.</t>
  </si>
  <si>
    <t>335-340</t>
  </si>
  <si>
    <t>Microelectronic Engineering</t>
  </si>
  <si>
    <t>60004176;60004176;60004176-60024322;60004176-60024322</t>
  </si>
  <si>
    <t>7004555963;35476116400;35449597700;36042342800</t>
  </si>
  <si>
    <t>Yasuoka, Y.;Harakawa, K.;Gamo, K.;Namba, S.</t>
  </si>
  <si>
    <t>Suita;Yokosuka</t>
  </si>
  <si>
    <t>Osaka University;National Defense Academy of Japan</t>
  </si>
  <si>
    <t>60024322;60004176</t>
  </si>
  <si>
    <t>Yasuoka Y.</t>
  </si>
  <si>
    <t>Fabrication of thin-film warm carrier infrared laser detectors using nitrocellulose self-developing resist</t>
  </si>
  <si>
    <t>10.1016/0167-9317(86)90062-6</t>
  </si>
  <si>
    <t>2-s2.0-0022953466</t>
  </si>
  <si>
    <t>['¬© 1986', 'unlimited range', 'tutorial review', 'transverse field', 'round waveguide', 'reflector antennas', 'presented graphically', 'open mouth', 'lined waveguide', 'hybrid modes', 'highly lossy', 'fourier transform', 'field components', 'eh1n modes', 'eh11 modes', 'dispersion characteristics', 'characteristic equation', 'brief discussion', 'balanced modes', 'asymptotic solutions']</t>
  </si>
  <si>
    <t>Hybrid mode horns are of considerable practical importance, especially as feeds for lens and reflector antennas. In this tutorial review the boundary conditions necessary to support hybrid modes in round waveguide are derived. Expressions for the field components in HE1n and EH1n modes are given and from these the transverse field over the open mouth of the guide is found. The Fourier transform of this field is then used to calculate far field radiation patterns. Solutions to the characteristic equation for hybrid modes are indicated and the dispersion characteristics for balanced modes are presented graphically. Finally, a brief discussion of dielectric-lined waveguide is given and asymptotic solutions are developed to show that nearly balanced HE11 and EH11 modes can exist over a limited frequency range when the dielectric is lossless, but over an unlimited range when the dielectric is highly lossy. ¬© 1986 by Hemisphere Publishing Corporation.</t>
  </si>
  <si>
    <t>315-332</t>
  </si>
  <si>
    <t>Love, A. W.</t>
  </si>
  <si>
    <t>Satellite Systems Division</t>
  </si>
  <si>
    <t>Love A.</t>
  </si>
  <si>
    <t>Hybrid mode horn antennas</t>
  </si>
  <si>
    <t>10.1080/02726348608915219</t>
  </si>
  <si>
    <t>2-s2.0-0022955153</t>
  </si>
  <si>
    <t>['¬© 1986', 'uniform theory', 'suitable amplitude', 'significant errors', 'rectangular microstrip', 'practical applications', 'phase response', 'phase characteristics', 'pattern response', 'particular interest', 'particular emphasis', 'observation angle', 'low profile', 'indicated position', 'ideal choice', 'groundplane size', 'experimental data', 'aviation applications', 'antenna structure']</t>
  </si>
  <si>
    <t>In the use of satellite positioning systems such as the Global Positioning System (GPS) significant errors can be introduced into the indicated position through the properties of the antenna structure. Of particular interest are the phase characteristics of the antenna as a function of observation angle. The microstrip antenna features a rugged, low profile and light weight construction making it an ideal choice for practical applications, but positioning accuracy may be limited by the phase perturbations introduced by the microstrip mounting surface. The rectangular microstrip and narrow slot antennas are investigated with several groundplane types using slot theory and the Uniform Theory of Diffraction (UTD) for their applicability in GPS. Amplitude, phase and phase centre characteristics are studied with particular emphasis on the pattern response at low elevation angles which are of particular interest in hydrographic and aviation applications. Analytic and experimental data are presented to show the effects of groundplane size and shape in producing a suitable amplitude and phase response. ¬© 1986 by Hemisphere Publishing Corporation.</t>
  </si>
  <si>
    <t>369-386</t>
  </si>
  <si>
    <t>7004680083;6602478265</t>
  </si>
  <si>
    <t>Tranquilla, J. M.;Colpitts, B. G.</t>
  </si>
  <si>
    <t>Groundplane shaping techniques for use with satellite positioning systems</t>
  </si>
  <si>
    <t>10.1080/02726348608915222</t>
  </si>
  <si>
    <t>2-s2.0-0022956677</t>
  </si>
  <si>
    <t>['¬© 1986', 'reaction theorem', 'radiation characteristics', 'peak gain', 'mutual coupling', 'msat application', 'investigated including', 'endfire direction', 'elevation angle', 'element array', 'determined using', 'array patterns', 'array gain', 'array elements', 'active impedances', '73 dbi', '57 degrees']</t>
  </si>
  <si>
    <t>The radiation characteristics of small microstrip arrays is investigated including the mutual coupling effects among the array elements. The mutual coupling of the elements is determined using the reaction theorem, which provides both array patterns and the active Impedances of the elements. The method is then used to study a 19-element array for MSAT application. For the array elements circular patch microstrip antennas are used and optimized to give satisfactory circularly polarized radiation. For the 19-element array, it is shown that the array gain decreases by scanning the array beam towards the endfire direction and a peak gain of 13.73 dBi. is obtained at an elevation angle of 57 degrees. Further scanning of the beam, towards lower elevation angles, reduces the array gain further. ¬© 1986 by Hemisphere Publishing Corporation.</t>
  </si>
  <si>
    <t>333-349</t>
  </si>
  <si>
    <t>8092251400;7402673635</t>
  </si>
  <si>
    <t>Shafai, L.;Bhattacharyya, A. K.</t>
  </si>
  <si>
    <t>Shafai L.</t>
  </si>
  <si>
    <t>Input impedance and radiation characteristics of small microstrip phased arrays including mutual coupling msat application</t>
  </si>
  <si>
    <t>10.1080/02726348608915220</t>
  </si>
  <si>
    <t>2-s2.0-0022957680</t>
  </si>
  <si>
    <t>['radiation patterns', 'measured characteristics', 'input impedance', 'francis group', 'annular sector']</t>
  </si>
  <si>
    <t>Annular sector and circular sector microstrip antennas have been analyzed for input impedance and radiation patterns. The analytical technique used is the generalized transmission line method which has the advantage of estimating the phase of aperture fields correctly. Agreement between the theoretical and the measured characteristics of annular sector antenna are found to be good. Semicircular annular ring antenna appears to be promising. ¬© 1986 Taylor &amp; Francis Group, LLC.</t>
  </si>
  <si>
    <t>229-242</t>
  </si>
  <si>
    <t>60009697;60005837</t>
  </si>
  <si>
    <t>Canada;United States</t>
  </si>
  <si>
    <t>Winnipeg;Houston</t>
  </si>
  <si>
    <t>University of Manitoba;University of Houston</t>
  </si>
  <si>
    <t>Bhattacharyya A.K.</t>
  </si>
  <si>
    <t>Analysis of annular sector and circular sector microstrip patch antennas</t>
  </si>
  <si>
    <t>10.1080/02726348608915214</t>
  </si>
  <si>
    <t>2-s2.0-0022957823</t>
  </si>
  <si>
    <t>['¬© 1986', 'tumor site', 'tumor response', 'somewhat better', 'significant dependence', 'side effects', 'results appeared', 'radiation therapy', 'radiation dose', 'one physician', 'hyperthermia given', 'cr ),', 'complete response', 'combined treatment', '65 %,', '42 %.', '4000 rad', '300 mhz', '256 cases', '2000 rad']</t>
  </si>
  <si>
    <t>Cancer treatment | Hyperthermia | Radiotherapy</t>
  </si>
  <si>
    <t>Results in 256 cases of malignant disease treated by multifraction combination hyperthermia-radiation therapy under the supervision of one physician are presented. The overall response rate was 94% including a 62% complete response. Complications specifically ascribed to hyperthermia were minor, and most side effects of combined treatment were radiation dose related. Tumor response was somewhat better for chest wall recurrence (72% CR) and for adenocarcinoma in general (64% CR), but no significant dependence on tumor site or type was found. Most patients were treated with low dose external radiation with hyperthermia given by air cooled microwave applicators or intracavitary antennae operating at 915 or 300 MHz, and some by interstitial microwave antennae plus 192 Ir. Results appeared to be independent of the microwave source employed. Response did depend on radiation dose: complete response rate with 4000 rad was 65%, and with 2000 rad was 42%. ¬© 1986.</t>
  </si>
  <si>
    <t>1667-1671</t>
  </si>
  <si>
    <t>International Journal of Radiation Oncology, Biology, Physics</t>
  </si>
  <si>
    <t>100577629;100577629;100577629;100577629;100577629</t>
  </si>
  <si>
    <t>7006721008;36867112500;56742018100;57197499709;7101670093</t>
  </si>
  <si>
    <t>Bicher, Haim I.;Wolfstein, Ralph S.;Lewinsky, B. S.;Frey, H. S.;Fingerhut, A. G.</t>
  </si>
  <si>
    <t>Valley Cancer Institute</t>
  </si>
  <si>
    <t>Bicher H.I.</t>
  </si>
  <si>
    <t>Microwave hyperthermia as an adjunct to radiation therapy: Summary experience of 256 multifraction treatment cases</t>
  </si>
  <si>
    <t>0360-3016(86)90294-4</t>
  </si>
  <si>
    <t>10.1016/0360-3016(86)90294-4</t>
  </si>
  <si>
    <t>2-s2.0-0022969469</t>
  </si>
  <si>
    <t>National Institute of General Medical Sciences</t>
  </si>
  <si>
    <t>R01GM030786</t>
  </si>
  <si>
    <t>NIGMS</t>
  </si>
  <si>
    <t>['œ ≤', 'wider range', 'two transcripts', 'small transcript', 'single operon', 'rna levels', 'respond differentially', 'regulated independently', 'reaction center', 'rc proteins', 'protective function', 'polypeptides l', 'opposite fashion', 'one transcript', 'o2 concentration', 'mrna specifying', 'manner similar', 'light intensity', 'large transcript', 'interpreted based', 'increased expression', 'ii polypeptides', 'genes coding', 'differential expression', 'crt genes', 'coordinately regulated', 'carotenoid biosynthesis', 'blot hybridization', '6 kb', '5 kilobase', '5 kb', '4 kb']</t>
  </si>
  <si>
    <t>RNA levels were measured by blot hybridization to study the coordinate and differential expression of Rhodobacter capsulatus gene for light-harvesting I antenna proteins LH-I and LH-II; reaction center (RC) polypeptides L, M, and H; and bacteriochlorophyll and carotenoid biosynthesis in response to light and O2. The genes for LH-II Œ± and Œ≤ subunits only have one transcript, 0.5 kilobase (kb) long, whereas the genes for LH-I have two transcripts (0.5 and 2.6 kb). The small transcript (0.5 kb) is the mRNA only for LH-I Œ≤ and Œ± polypeptides, whereas the large transcript (2.6 kb) codes for RC-L, RC-M, and the Œ≤ and Œ± polypeptides of LH-I, as well as the product of an unknown open reading frame designated ORF C2397. These five genes thus comprise a single operon (designated the puf operon). The mRNA specifying the LH-II polypeptides is more abundant, more sensitive to changes in O2 concentration, and shows a variation over a wider range than that of the mRNA for LH-I, indicating that the genes for LH-II and LH-I/RC are regulated independently. The gene for RC-H (puhA) has at least two transcripts (1.2 and 1.4 kb) that initiate within ORF F1696 and respond differentially to light intensity. The expression of the genes coding for RC-L, RC-M, and RC-H is coordinately regulated by light intensity and O2 concentration. An increase in light intensity causes a decrease in the expression of the genes for LH-I, LH-II, and RC proteins. The genes coding for the enzymes in the bacteriochlorophyll biosynthetic pathways are regulated by light intensity and O2 in a manner similar to that of the genes for LH and RC proteins. The crt genes coding for the enzymes in carotenoid biosynthetic pathways, however, are regulated in an opposite fashion: high light intensity results in increased expression of crt genes. These results are interpreted based on the protective function of carotenoids under high light intensity in the presence of O2.</t>
  </si>
  <si>
    <t>7613-7617</t>
  </si>
  <si>
    <t>60025038;60025038</t>
  </si>
  <si>
    <t>56172343500;7102850269</t>
  </si>
  <si>
    <t>Zhu, Y. S.;Hearst, J. E.</t>
  </si>
  <si>
    <t>Regulation of expression of genes for light-harvesting antenna proteins LH-I and LH-II; reaction center polypeptides RC-L, RC-M, and RC-H; and enzymes of bacteriochlorophyll and carotenoid biosynthesis in Rhodobacter capsulatus by light and oxygen</t>
  </si>
  <si>
    <t>10.1073/pnas.83.20.7613</t>
  </si>
  <si>
    <t>2-s2.0-0022973216</t>
  </si>
  <si>
    <t>3195-3200</t>
  </si>
  <si>
    <t>Journal of General Microbiology</t>
  </si>
  <si>
    <t>60031040;60031040;60031040;60031040</t>
  </si>
  <si>
    <t>7003662848;57216000553;56212852200;7005371473</t>
  </si>
  <si>
    <t>Kalla, S. R.;Lonneborg, A.;Oquist, G.;Gustafsson, P.</t>
  </si>
  <si>
    <t>Umea</t>
  </si>
  <si>
    <t>Ume√• Universitet</t>
  </si>
  <si>
    <t>Kalla S.R.</t>
  </si>
  <si>
    <t>Light-modulated antennae acclimation in the cyanobacterium Anacystis nidulans: Effects of transcriptional and translational inhibitors</t>
  </si>
  <si>
    <t>10.1099/00221287-132-11-3195</t>
  </si>
  <si>
    <t>2-s2.0-0022975728</t>
  </si>
  <si>
    <t>['¬© 1986', 'unequal beamwidths', 'two reflectors', 'strong effect', 'polarization level', 'peak cross', 'offset configuration', 'offset angle', 'main effect', 'design procedure', 'design example', 'antenna gain']</t>
  </si>
  <si>
    <t>The offset dual parabolic cylindrical reflectors are analyzed. They generally produce elliptical beam patterns with unequal beamwidths in the two principal planes. The dependence of the principal plane beamwidths, the peak cross-polarization level, the antenna gain and the first sidelobe level on the antenna geometrical parameters, and in particular the offset angle, is studied. The main effect of the offset angle is increasing the cross-polarization level. However, for any offset configuration, the angle between the two reflectors has a strong effect on the cross-polarization. Optimizing this angle, the peak cross-polarization may become negligibly small, and as low as -60dB. A design procedure for such an offset configuration is provided and a design example Is given. ¬© 1986 by Hemisphere Publishing Corporation.</t>
  </si>
  <si>
    <t>351-368</t>
  </si>
  <si>
    <t>Performance and design procedure of offset dual parabolic cylindrical reflectors</t>
  </si>
  <si>
    <t>10.1080/02726348608915221</t>
  </si>
  <si>
    <t>2-s2.0-0022984803</t>
  </si>
  <si>
    <t>A75240</t>
  </si>
  <si>
    <t>171-182</t>
  </si>
  <si>
    <t>Cheng, David H.S.</t>
  </si>
  <si>
    <t>Cheng D.</t>
  </si>
  <si>
    <t>On the formulation of the dyadic green‚Äôs function in a layered medium</t>
  </si>
  <si>
    <t>10.1080/02726348608915210</t>
  </si>
  <si>
    <t>2-s2.0-0022987996</t>
  </si>
  <si>
    <t>['solutions known', 'similar formulae', 'reciprocal distance', 'new method', 'integral representation', 'good accuracy', 'francis group', 'flat laminae', 'circular segment', 'circular rector', 'author earlier', 'arbitrary shape']</t>
  </si>
  <si>
    <t>A new method is proposed for the evaluation of the capacity of flat laminae of arbitrary shape. The method is based on an integral representation for the reciprocal distance between two points obtained by the author earlier. Specific approximate formulae are derived for evaluating the capacity of a polygon, a triangle, a rectangle, a rhombus, a circular rector and a circular segment. All the formulae are checked against the solutions known in the literature, and a good accuracy is confirmed. No similar formulae have ever been reported. ¬© 1986 Taylor &amp; Francis Group, LLC.</t>
  </si>
  <si>
    <t>117-128</t>
  </si>
  <si>
    <t>Fabrikant, V. I.</t>
  </si>
  <si>
    <t>Fabrikant V.</t>
  </si>
  <si>
    <t>On the capacity of flat laminae</t>
  </si>
  <si>
    <t>10.1080/02726348608915206</t>
  </si>
  <si>
    <t>2-s2.0-0022987997</t>
  </si>
  <si>
    <t>['¬© 1986', 'transmission line', 'tissue resistivity', 'test results', 'rights reserved', 'phase angle', 'internal antenna', 'indirectly monitor', 'external antenna', 'electrodes result', 'electrode location', 'connected via', 'complete implantation', 'antenna impedance', 'american association']</t>
  </si>
  <si>
    <t>87.60.1 | ANTENNAS | ELECTRODES | HYPERTHERMIA | IMPLANTS | PHANTOMS | RF SYSTEMS | TEMPERATURE MONITORING | THERAPY | TISSUE-EQUIVALENT MATERIALS</t>
  </si>
  <si>
    <t>Development is underway on a hyperthermia applicator intended for complete implantation and long term use. Radio frequency energy is transmitted from an external antenna to a closely coupled subdermal antenna. This internal antenna is connected via a transmission line to deeply implanted electrodes. Changes in temperature at the electrodes result in a change in tissue resistivity which modifies the complex impedance seen at the external antenna terminals. This variation in antenna impedance (magnitude and/or phase angle) can, in principle, be utilized to indirectly monitor and regulate tissue temperature at the electrode location. Test results from conductive gel tissue phantom experiments are presented. ¬© 1986, American Association of Physicists in Medicine. All rights reserved.</t>
  </si>
  <si>
    <t>876-881</t>
  </si>
  <si>
    <t>Medical Physics</t>
  </si>
  <si>
    <t>60006164;60006164</t>
  </si>
  <si>
    <t>7003436737;7101648654</t>
  </si>
  <si>
    <t>Doss, James D.;Mccabe, Charles W.</t>
  </si>
  <si>
    <t>Los Alamos</t>
  </si>
  <si>
    <t>Los Alamos National Laboratory</t>
  </si>
  <si>
    <t>Doss J.</t>
  </si>
  <si>
    <t>Completely implantable hyperthermia applicator with externalized temperature monitoring: Tests in conductive gel</t>
  </si>
  <si>
    <t>10.1118/1.595812</t>
  </si>
  <si>
    <t>2-s2.0-0022995963</t>
  </si>
  <si>
    <t>['wiley company', 'thermally generated', 'system snr', 'small volume', 'sample competing', 'rf antenna', 'quite different', 'prove useful', 'pixel size', 'particular combination', 'nmr imaging', 'intrinsic snr', 'initial choice', 'inc .,', 'imaging subjects', 'fundamental limit', 'electrical noise']</t>
  </si>
  <si>
    <t>The fundamental limit for NMR imaging is set by an intrinsic signal‚Äêto‚Äênoise ratio (SNR) for a particular combination of rf antenna and imaging subjects. The intrinsic SNR is the signal from a small volume of material in the sample competing with electrical noise from thermally generated, random noise currents in the sample. The intrinsic SNR has been measured for a number of antenna‚Äêbody section combinations at several different values of the static magnetic field and is proportional to B0. We have applied the intrinsic and system SNR to predict image SNR and have found satisfactory agreement with measurements on images. The relationship between SNR and pixel size is quite different in NMR than it is with imaging modalities using ionizing radiation, and indicates that the initial choice of pixel size is crucial in NMR. The analog of ‚Äúcontrast‚Äêdetail‚Äêdose‚Äù plots for ionizing radiation imaging modalities is the ‚Äúcontrast‚Äêdetail‚Äêtime‚Äù plot in NMR, which should prove useful in choosing a suitable pixel array to visualize a particular anatomical detail for a given NMR receiving antenna. ¬© 1986 Academic Press, Inc. Copyright ¬© 1986 Wiley‚ÄêLiss, Inc., A Wiley Company</t>
  </si>
  <si>
    <t>604-618</t>
  </si>
  <si>
    <t>60021211;60102574;60021211;60021211</t>
  </si>
  <si>
    <t>7005882614;35502526500;7201464662;6701578935</t>
  </si>
  <si>
    <t>Edelstein, W. A.;Glover, G. H.;Hardy, C. J.;Redington, R. W.</t>
  </si>
  <si>
    <t>Milwaukee;Niskayuna</t>
  </si>
  <si>
    <t>GE Medical Systems;GE Global Research</t>
  </si>
  <si>
    <t>60102574;60021211</t>
  </si>
  <si>
    <t>Edelstein W.</t>
  </si>
  <si>
    <t>The intrinsic signal‚Äêto‚Äênoise ratio in NMR imaging</t>
  </si>
  <si>
    <t>10.1002/mrm.1910030413</t>
  </si>
  <si>
    <t>2-s2.0-0022998188</t>
  </si>
  <si>
    <t>National Aeronautics and Space Administration</t>
  </si>
  <si>
    <t>NASA</t>
  </si>
  <si>
    <t>['¬© 1986', 'viking antenna', 'two antennas', 'standard azimuth', 'reconstructed patterns', 'phase samples', 'paper presents', 'numerical simulation', 'meter viking', 'large antennas', 'field patterns', 'cut patterns', 'cut approach', 'antenna far', 'also applied']</t>
  </si>
  <si>
    <t>A recently developed antenna pattern reconstruction technique using the nonuniform sampling algorithm is able to construct the antenna far-field patterns from a set of non-uniformly distributed amplitude and phase samples. This paper presents the application of this technique to an actual antenna measurement performed at JPL. The 1.47-meter Viking and a 1-meter reflectors operating at X-band were both measured. A conical-cut approach is used to generate nonuniformly distributed samples. The far-field patterns of these two antennas are reconstructed from the measured data using a developed computer program based on the nonuniform sampling algorithm. An overlapping ‚ÄúWindow Concept‚Äù is also applied in the far-field reconstruction process to avoid measurement error spreading. The results of the reconstructed patterns are compared with the standard azimuth-cut patterns. The effects of selection of various phase reference points in applying the nonuniform sampling technique are demonstrated through a numerical simulation of the Viking antenna. This technique is anticipated to be used for the measurement of large antennas. ¬© 1986 by Hemisphere Publishing Corporation.</t>
  </si>
  <si>
    <t>277-300</t>
  </si>
  <si>
    <t>60009037;60009037</t>
  </si>
  <si>
    <t>56209633900;7102110120</t>
  </si>
  <si>
    <t>Cheung, R.;Rahmat-Samii, Y.</t>
  </si>
  <si>
    <t>Cheung R.</t>
  </si>
  <si>
    <t>Experimental verification of nonuniform sampung technique for antenna far-field construction</t>
  </si>
  <si>
    <t>10.1080/02726348608915217</t>
  </si>
  <si>
    <t>2-s2.0-0023005216</t>
  </si>
  <si>
    <t>['wiley company', 'uterine cervix', 'subjective complaints', 'shows promise', 'several years', 'satisfactory response', 'inc .,', 'immediate improvement', 'esophageal lesions', 'endotract electrode', 'endotract antenna', 'continued research', 'colorectal cancer', 'cancer lesion', 'administering hyperthermochemoradiotherapy', '129 patients']</t>
  </si>
  <si>
    <t>esophageal carcinoma | hyperthermochemoradiotherapy | irradiation</t>
  </si>
  <si>
    <t>Cancer of the esophagus still poses considerable treatment problems, with a poor 5‚Äêyear survival rate after surgery, an even worse outlook after radiation and surgery, and a not very satisfactory response to chemotherapy. After several years of continued research, in 1983 we developed a Radio Frequency System with endotract electrode and thermosensors for administering hyperthermochemoradiotherapy to patients with carcinoma of the esophagus. Results in 129 patients are discussed. Immediate improvement of subjective complaints and decrease or elimination of the cancer lesion are so distinct that this treatment, by means of an endotract antenna, shows promise as a modality for esophageal lesions and may find application in diseases such as colorectal cancer or carcinoma of the uterine cervix. Copyright ¬© 1986 Wiley‚ÄêLiss, Inc., A Wiley Company</t>
  </si>
  <si>
    <t>38-44</t>
  </si>
  <si>
    <t>Seminars in Surgical Oncology</t>
  </si>
  <si>
    <t>60004091-100352489;60004091-100352489</t>
  </si>
  <si>
    <t>57190613309;24500187600</t>
  </si>
  <si>
    <t>Sucimachi, Keizo;Inokuchi, Kiyoshi</t>
  </si>
  <si>
    <t>Fukuoka;Saga</t>
  </si>
  <si>
    <t>Kyushu University, Faculty of Medical Sciences;Saga Prefectural Hospital</t>
  </si>
  <si>
    <t>60004091;100352489</t>
  </si>
  <si>
    <t>Sucimachi K.</t>
  </si>
  <si>
    <t>Hyperthermochemoradiotherapy and esophageal carcinoma</t>
  </si>
  <si>
    <t>10.1002/ssu.2980020105</t>
  </si>
  <si>
    <t>2-s2.0-0023006227</t>
  </si>
  <si>
    <t>CA</t>
  </si>
  <si>
    <t>['¬© 1986', 'two modalities', 'therapeutic temperatures', 'theoretical calculations', 'temperature distributions', 'solved using', 'microwave antennas', 'meaningful comparison', 'larger number', 'heat tumors', 'generally produced', 'four 1', 'ferromagnetic seeds', 'electrical properties', 'different systems', 'calculated based', 'basic assumptions', 'adequately heat', '100 ml', '100 g']</t>
  </si>
  <si>
    <t>Ferromagnetic seeds | Finite elements | Hyperthermia | Microwave antennas | rf electrode needles | Temperature distributions</t>
  </si>
  <si>
    <t>Three interstitial hyperthermia systems were compared on the basis of their abilities to heat tumors: ferromagnetic seeds, microwave antennas, and rf electrode needles. The theoretical calculations were performed using two-dimensional tumor models containing static tissue and electrical properties and various blood flow patterns. Basic assumptions were kept the same to permit a meaningful comparison of the different systems. Power deposition patterns were calculated based on the appropriate theoretical expressions. The bioheat transfer equation was solved using a finite element method. Temperature distributions were calculated for four 1 or 2 mm diameter implants on the corners of 1, 2, and 3 cm squares. The tumor was assumed to be circular with a diameter 1 cm longer than the diagonal of each square. Three blood flow models were considered: homogeneous, nonhomogeneous, and concentric annulus perfusion models. The blood flow ranged from 0 to 100 ml/100 g/min with the ratio of tumor/normal tissue blood flow ranging from 0 to 40. A Hyperthermia Equipment Performance (HEP) rating was used as a criterion for comparing the temperature distributions from the various cases examined. As expected, the higher HEP ratings were generally produced by decreasing the spacing between the implants and/or lower blood perfusion rates. Under the conditions of this study, the microwave antennas were able to adequately heat a larger number of cases to therapeutic temperatures than either of the other two modalities. ¬© 1986.</t>
  </si>
  <si>
    <t>2137-2149</t>
  </si>
  <si>
    <t>60030443;60030443</t>
  </si>
  <si>
    <t>6602167161;7005534211</t>
  </si>
  <si>
    <t>Mechling, Joyce A.;Strohbehn, John W.</t>
  </si>
  <si>
    <t>Mechling J.</t>
  </si>
  <si>
    <t>A theoretical comparison of the temperature distributions produced by three interstitial hyperthermia systems</t>
  </si>
  <si>
    <t>10.1016/0360-3016(86)90013-1</t>
  </si>
  <si>
    <t>2-s2.0-0023009441</t>
  </si>
  <si>
    <t>['¬© 1986', 'symmetric reflector', 'shaped sub', 'related sidelobes', 'radiation patterns', 'radiation characteristics', 'parametric study', 'errors introduced', 'cyclic behaviour', 'computed using', 'azimuthal direction']</t>
  </si>
  <si>
    <t>The radiation characteristics of radial rib reflector antennas are studied. This type of antenna can be used as a large deployable satellite antenna. The radiation patterns of a axi-symmetric reflector are computed using both an exact physical optics analysis and a simplified approximate analysis in order to understand the behaviour of the rib-related sidelobes which have a cyclic behaviour in the azimuthal direction. A parametric study is conducted. A shaped sub-reflector is designed using diffraction profile synthesis to compensate for some of the errors introduced by the main radial rib reflector. ¬© 1986 by Hemisphere Publishing Corporation.</t>
  </si>
  <si>
    <t>301-314</t>
  </si>
  <si>
    <t>7006827241;6507325948</t>
  </si>
  <si>
    <t>Olver, A. D.;Lizius, D.</t>
  </si>
  <si>
    <t>Olver A.D.</t>
  </si>
  <si>
    <t>Analysis and design of radial rib reflector antennas</t>
  </si>
  <si>
    <t>10.1080/02726348608915218</t>
  </si>
  <si>
    <t>2-s2.0-0023012894</t>
  </si>
  <si>
    <t>ECS8215408</t>
  </si>
  <si>
    <t>['procedure involves', 'printed circuits', 'precise computation', 'planar substrates', 'particular configuration', 'new algorithm', 'near field', 'limiting case', 'large cylinders', 'input impedance', 'francis group', 'excellent agreement', 'cylindrical substrates', 'center fed', 'article presents']</t>
  </si>
  <si>
    <t>This article presents the solution to the heretofore unresolved problem of precise computation for the near field of printed circuits and printed circuit antennas on cylindrical substrates. The procedure involves a recurrence/continued fraction algorithm development for the evaluation of the Green‚Äôs function pertinent to this particular configuration of printed circuit elements. With this new algorithm, arbitrary size cylindrical substrates can be modelled with an extremely high degree of accuracy. Computation of the input impedance of center fed and axially symmetric microstrip dipoles is used as an example. Excellent agreement is found for large cylinders with the limiting case of center fed microstrip dipoles on planar substrates. ¬© 1986 Taylor &amp; Francis Group, LLC.</t>
  </si>
  <si>
    <t>243-254</t>
  </si>
  <si>
    <t>60027550;60027550;60002947;60027561</t>
  </si>
  <si>
    <t>7005104430;7004468161;7102355233;7004462124</t>
  </si>
  <si>
    <t>Nakatani, A.;Alexopoulos, N. G.;Uzunoglu, N. K.;Uslenghi, P. L.E.</t>
  </si>
  <si>
    <t>United States;United States;Greece</t>
  </si>
  <si>
    <t>Chicago;Los Angeles;Athens</t>
  </si>
  <si>
    <t>University of Illinois at Chicago;University of California, Los Angeles;National Technical University of Athens</t>
  </si>
  <si>
    <t>60027561;60027550;60002947</t>
  </si>
  <si>
    <t>Nakatani A.</t>
  </si>
  <si>
    <t>Accurate green‚Äôs function computation for printed circuit antennas on cylindrical substrates</t>
  </si>
  <si>
    <t>10.1080/02726348608915215</t>
  </si>
  <si>
    <t>2-s2.0-0023014611</t>
  </si>
  <si>
    <t>National Institutes of Health</t>
  </si>
  <si>
    <t>PBT-233</t>
  </si>
  <si>
    <t>NIH</t>
  </si>
  <si>
    <t>['¬© 1986', 'thermal lesions', 'thermal lesion', 'survival studies', 'steepest gradients', 'radially away', 'physical changes', 'phantom model', 'performed using', 'one hemisphere', 'monitored daily', 'maximum size', 'longitudinally along', 'interstitial heating', 'insertion depth', 'histopathologic examination', 'heating length', 'frequencies used', 'first week', 'essentially resolved', 'edematous changes', 'cerebral lesions', 'brain tissue', 'antenna junction', 'acute studies', '5 cm', '30 min', '2450 mhz', '2 cm', '16 weeks']</t>
  </si>
  <si>
    <t>Brain tumor | Canine model | Hyperthermia | Interstitial treatment | Microwave antenna | Radiation therapy</t>
  </si>
  <si>
    <t>A dual frequency microwave system was constructed for interstitial heating of brain tissue. Single-junction dipole antennas were tested in a phantom model and in normal dog brain to determine how variations in physical factors affected temperature distributions. Non-survival studies were performed at both 915 and 2450 MHz to determine heating patterns that could be achieved within normal brain using this system. Chronic survival studies were performed using a single dipole antenna inserted laterally into one hemisphere of brain and driven at 2450 MHz. Temperatures of 43 or 44¬∞C for 30 min at a reference point 0.5 cm from the antenna junction were used to induce a thermal lesion of approximately 1 cm diameter in the right cerebral hemisphere of dogs. Neurologic and physical changes in dogs were monitored daily for up to 16 weeks after induction of cerebral lesions. The extent and development of thermal lesions was monitored with weekly computed tomographic (CT) examinations and, after death, at histopathologic examination. Results of the phantom studies showed that the longitudinal heating pattern was bell-shaped at both frequencies used and that there was some variation in heating length that depended on insertion depth. Acute studies in dog brain showed that 915 MHz antennas implanted less than 6.5 cm deep produced erratic heating patterns that usually included excessive heating of the surface of the brain. Conversely, 2 cm-long antennas driven at 2450 MHz gave reproducible temperature distributions both longitudinally along and radially away from the antenna. The steepest gradients-about 1¬∞C/mm-occurred in the radial direction away from the antenna junction. A single 30 min heat treatment produced a large focal lesion that consisted of central coagulation necrosis surrounded by a sharply demarcated hypervascular zone. Edematous changes were minimal and were observed only during the first week after treatment. As assessed by serial CT scans, thermal lesions reached a maximum size by the first week after treatment and were essentially resolved by 16 weeks after treatment. ¬© 1986.</t>
  </si>
  <si>
    <t>1887-1897</t>
  </si>
  <si>
    <t>60031970;60031970;60031970;60031970;60031970;60031970</t>
  </si>
  <si>
    <t>35408019300;7601609251;7005772755;7006300930;7401797321;7005586630</t>
  </si>
  <si>
    <t>Sneed, Penny K.;Matsumoto, Kengo;Stauffer, Paul R.;Fike, John R.;Smith, Vernon;Gutin, Philip H.</t>
  </si>
  <si>
    <t>UCSF School of Medicine</t>
  </si>
  <si>
    <t>Sneed P.</t>
  </si>
  <si>
    <t>Interstitial microwave hyperthermia in a canine brain model</t>
  </si>
  <si>
    <t>0360-3016(86)90336-6</t>
  </si>
  <si>
    <t>10.1016/0360-3016(86)90336-6</t>
  </si>
  <si>
    <t>2-s2.0-0023018004</t>
  </si>
  <si>
    <t>['¬© 1987', 'space vehicles', 'solar system', 'sirtf ).', 'similar way', 'recent developments', 'primitive bodies', 'prebiotic molecules', 'outer planets', 'organic molecules', 'orbiting spacecrafts', 'next decade', 'near future', 'millimeter astronomy', 'interstellar medium', 'infrared earth', 'infrared astronomy', 'important progress', 'important contribution', 'immediate surroundings', 'continuous development', 'complex molecules', 'comet halley', 'carbonaceous material', 'achieved thanks']</t>
  </si>
  <si>
    <t>Recent developments of millimeter astronomy have led to the discovery of more and more complex molecules in the interstellar medium. In a similar way, attempts have been made to detect complex molecules in the atmospheres of the most primitive bodies of the Solar System, i.e. outer planets and comets, as well as in Titan's atmosphere. An important progress has been achieved thanks to the continuous development of infrared astronomy, from the ground and from space vehicles. In particular, an important contribution has come from the IRIS-Voyager infrared spectrometer with the detection of prebiotic molecules on Titan, and some complex organic molecules on Jupiter and Saturn. Another important result has been the observation of carbonaceous material in the immediate surroundings of Comet Halley's nucleus. In the near future, the search for organic molecules in the outer Solar System should benefit from the developments of large millimeter antennae, and in the next decade, from the operation of infrared Earth-orbiting spacecrafts (ISO, SIRTF). ¬© 1987.</t>
  </si>
  <si>
    <t>237-246</t>
  </si>
  <si>
    <t>Advances in Space Research</t>
  </si>
  <si>
    <t>Encrenaz, Th</t>
  </si>
  <si>
    <t>L'Observatoire de Paris</t>
  </si>
  <si>
    <t>Encrenaz T.</t>
  </si>
  <si>
    <t>Search for organic molecules in the outer solar system</t>
  </si>
  <si>
    <t>10.1016/0273-1177(86)90091-8</t>
  </si>
  <si>
    <t>2-s2.0-0023039733</t>
  </si>
  <si>
    <t>['¬© 1986', 'successive spectra', 'smithsonian 26', 'resolution matches', 'northern sky', 'multithreshold archiving', 'multichannel spectroscopy', 'microwave search', 'local standard', 'like stars', 'interstellar medium', 'interference rejection', 'high degree', 'galactic barycenter', 'features characteristics', 'extraterrestrial intelligence', 'attractive strategy', 'arecibo 305', '8 ghz', '400 khz', '250 sun']</t>
  </si>
  <si>
    <t>Multichannel spectroscopy with millihertz resolution constitutes an attractive strategy for a microwave search for extraterrestrial intelligence (SETI), assuming the transmission of a narrowband radiofrequency beacon. Such resolution matches the properties of the interstellar medium, and the necessary receiver Doppler corrections provide a high degree of interference rejection. We have constructed a frequency-agile swept receiver with an 8,388,608-channel spectrum analyzer, on-line signal recognition, and multithreshold archiving. A search of 250 Sun-like stars at 1.4 and 2.8 GHz has been carried out with the Arecibo 305-m antenna, and a meridian transit search of the northern sky is in progress at the Harvard-Smithsonian 26-m antenna. Successive spectra of 400 kHz at 0.05 Hz resolution are searched for features characteristics of an intentional narrowband beacon transmission. These spectra are centered on guessable ("magic") frequencies (such as the 21-cm hydrogen hyperfine line), referenced successively to the local standard of rest, the galactic barycenter, and the cosmic blackbody rest frame. ¬© 1986.</t>
  </si>
  <si>
    <t>Icarus</t>
  </si>
  <si>
    <t>60009982;60009982;60022195;60012708;60012708;102026980;60004179</t>
  </si>
  <si>
    <t>36800391900;24433143400;56238236700;6603613680;7007128629;55502762500;6603270886</t>
  </si>
  <si>
    <t>Horowitz, Paul;Matthews, Brian S.;Forster, John;Linscott, Ivan;Teague, Calvin C.;Chen, Kok;Backus, Peter</t>
  </si>
  <si>
    <t>Cambridge;Palo Alto;Cambridge;Moffett Field;Palo Alto</t>
  </si>
  <si>
    <t>Massachusetts Institute of Technology;Stanford University;Harvard University;NASA Ames Research Center;Imagen Incorporated</t>
  </si>
  <si>
    <t>60022195;60012708;60009982;60004179;102026980</t>
  </si>
  <si>
    <t>Horowitz P.</t>
  </si>
  <si>
    <t>Ultranarrowband searches for extraterrestrial intelligence with dedicated signal-processing hardware</t>
  </si>
  <si>
    <t>10.1016/0019-1035(86)90129-6</t>
  </si>
  <si>
    <t>2-s2.0-0023039771</t>
  </si>
  <si>
    <t>['¬© 1986', 'rights reserved', 'procedure based', 'moment method', 'metallic scatterer', 'electrical engineers', 'designed using', 'coverage greater', 'conical flange', 'circular waveguide', 'band antenna']</t>
  </si>
  <si>
    <t>Antennas | Satellite links</t>
  </si>
  <si>
    <t>Rotationally symmetric antennas composed of a circular waveguide with conical flange and a metallic scatterer are investigated for TTC of satellites at Ku-band. A dual-band antenna with coverage greater than a hemisphere is designed using a procedure based on moment method (MM) and bodies of revolution (BOR) formulation. ¬© 1986, The Institution of Electrical Engineers. All rights reserved.</t>
  </si>
  <si>
    <t>1331-1332</t>
  </si>
  <si>
    <t>60028442;60026439;60026439</t>
  </si>
  <si>
    <t>57220192155;7801471774;7401603727</t>
  </si>
  <si>
    <t>C√ÅTEDRA, M. F.;Cruellas, J. C.;Diaz, J. F.</t>
  </si>
  <si>
    <t>Spain;Spain</t>
  </si>
  <si>
    <t>Madrid;Madrid</t>
  </si>
  <si>
    <t>Universidad Polit√©cnica de Madrid;Instituto Nacional de Tecnica Aeroespacial</t>
  </si>
  <si>
    <t>60028442;60026439</t>
  </si>
  <si>
    <t>C√ÅTEDRA M.F.</t>
  </si>
  <si>
    <t>Dual-Band Antenna for Telemetry, Tracking and Control (Ttc) of Satellites at Ku-Band</t>
  </si>
  <si>
    <t>10.1049/el:19860915</t>
  </si>
  <si>
    <t>2-s2.0-0023041707</t>
  </si>
  <si>
    <t>['¬© 1986', 'theory shows', 'square director', 'rights reserved', 'radioelectric model', 'radiation resistance', 'parasitic element', 'microstrip line', 'microstrip antenna', 'good agreement', 'experimental results', 'electrical engineers']</t>
  </si>
  <si>
    <t>Antennas | Microstrip</t>
  </si>
  <si>
    <t>The bandwidth of a microstrip antenna can be increased by overlaying a parasitic element. A radioelectric model is presented to explain this property. A quadratic patch fed by a microstrip line is coupled with a square director. Theory shows that the whole antenna bandwidth is increased and the radiation resistance is decreased. Theoretical and experimental results are in good agreement. ¬© 1986, The Institution of Electrical Engineers. All rights reserved.</t>
  </si>
  <si>
    <t>1345-1347</t>
  </si>
  <si>
    <t>60030553;60030553;118847431;118847431</t>
  </si>
  <si>
    <t>7006052449;6506331252;7801488023;7004979658</t>
  </si>
  <si>
    <t>Dubost, G.;Beauquet, G.;Rocquencourt, J.;Bonnet, G.</t>
  </si>
  <si>
    <t>Rennes;</t>
  </si>
  <si>
    <t>Universite de Rennes 1;Thompson CSF (AVS) Cormeilles-en-Parisis</t>
  </si>
  <si>
    <t>60030553;118847431</t>
  </si>
  <si>
    <t>Patch Antenna Bandwidth Increase By Means of a Director</t>
  </si>
  <si>
    <t>10.1049/el:19860925</t>
  </si>
  <si>
    <t>2-s2.0-0023041719</t>
  </si>
  <si>
    <t>['¬© 1986', 'type horns', 'rights reserved', 'radiation fields', 'quickly determine', 'electrical engineers', 'crosspolarisation discrimination']</t>
  </si>
  <si>
    <t>Antennas | EM waves</t>
  </si>
  <si>
    <t>A recently developed asymptotic technique is used to quickly determine the radiation fields and crosspolarisation discrimination (XPD) of the subject-type horns. ¬© 1986, The Institution of Electrical Engineers. All rights reserved.</t>
  </si>
  <si>
    <t>1253-1254</t>
  </si>
  <si>
    <t>Knop C.</t>
  </si>
  <si>
    <t>Performance of Corrugated and Dielectric-Loaded Metallic-Conical Horns</t>
  </si>
  <si>
    <t>10.1049/el:19860858</t>
  </si>
  <si>
    <t>2-s2.0-0023043528</t>
  </si>
  <si>
    <t>['¬© 1986', 'rights reserved', 'one end', 'located close', 'feed point', 'electrical engineers', 'correct mode']</t>
  </si>
  <si>
    <t>Antennas | Resonance</t>
  </si>
  <si>
    <t>It is found that, to achieve stable oscillation and a well defined broadside radiation pattern from a self-oscillating microstrip antenna, the feed point should be located close to one end of the microstrip. Additional impedance matching is necessary to ensure that the correct mode of oscillation is excited. ¬© 1986, The Institution of Electrical Engineers. All rights reserved.</t>
  </si>
  <si>
    <t>1269-1270</t>
  </si>
  <si>
    <t>60020595;60020595</t>
  </si>
  <si>
    <t>6701816265;6507726865</t>
  </si>
  <si>
    <t>Frayne, P. G.;Riddaway, C. J.</t>
  </si>
  <si>
    <t>Egham</t>
  </si>
  <si>
    <t>Royal Holloway, University of London</t>
  </si>
  <si>
    <t>Frayne P.</t>
  </si>
  <si>
    <t>Resonance in Self-Oscillating Antennas</t>
  </si>
  <si>
    <t>10.1049/el:19860869</t>
  </si>
  <si>
    <t>2-s2.0-0023043555</t>
  </si>
  <si>
    <t>['¬© 1986', 'selective component', 'rights reserved', 'metallic surface', 'electrical engineers', 'crosspolar patterns']</t>
  </si>
  <si>
    <t>Difference contours compare the crosspolar patterns of a metallic surface and an array of concentric rings used as the frequency-selective component in a flat plate diplexer and a hyperbolic offset subreflector. ¬© 1986, The Institution of Electrical Engineers. All rights reserved.</t>
  </si>
  <si>
    <t>505-506</t>
  </si>
  <si>
    <t>Crosspolarisation From Plane And Hyperbolic Offset Frequency-Selective Reflectors</t>
  </si>
  <si>
    <t>10.1049/el:19860344</t>
  </si>
  <si>
    <t>2-s2.0-0023044654</t>
  </si>
  <si>
    <t>['¬© 1986', 'waveguide feed', 'typically 1', 'rights reserved', 'power gain', 'method demands', 'measurement may', 'letter shows', 'electrical engineers']</t>
  </si>
  <si>
    <t>Antenna theory | Antennas</t>
  </si>
  <si>
    <t>The measurement of the power gain of an antenna by Purcell's method demands that the antenna be matched to its waveguide feed with a VSWR of typically 1.01. The letter shows how, using an extension of this method, the measurement may be carried out without this restriction. ¬© 1986, The Institution of Electrical Engineers. All rights reserved.</t>
  </si>
  <si>
    <t>522-524</t>
  </si>
  <si>
    <t>wu, z.</t>
  </si>
  <si>
    <t>wu z.</t>
  </si>
  <si>
    <t>Effect Of Mismatch On Antenna Gain Measurement By Purcell'S Method</t>
  </si>
  <si>
    <t>10.1049/el:19860356</t>
  </si>
  <si>
    <t>2-s2.0-0023044675</t>
  </si>
  <si>
    <t>['¬© 1986', 'rights reserved', 'excited parasitically', 'electrical engineers', 'edge slot']</t>
  </si>
  <si>
    <t>A new sidewall waveguide slot radiator is described which produces negligible crosspolar radiation fields. This is achieved by employing a noninclined slot inserted into the sidewall of a bifurcated waveguide feed system. The edge slot is excited parasitically by an axially directed septum slot. ¬© 1986, The Institution of Electrical Engineers. All rights reserved.</t>
  </si>
  <si>
    <t>547-548</t>
  </si>
  <si>
    <t>Sangster, A. J.</t>
  </si>
  <si>
    <t>Edinburgh</t>
  </si>
  <si>
    <t>Heriot-Watt University</t>
  </si>
  <si>
    <t>Sangster A.</t>
  </si>
  <si>
    <t>Sidewall Slotted Waveguide Array Antenna With Low Crosspolar Radiation</t>
  </si>
  <si>
    <t>10.1049/el:19860373</t>
  </si>
  <si>
    <t>2-s2.0-0023044680</t>
  </si>
  <si>
    <t>['¬© 1986', 'rights reserved', 'electrical engineers', 'cover japan', 'board antennas', '13 beams']</t>
  </si>
  <si>
    <t>Antennas | Cluster feed horn | On-board K-band multibeam antenna | Sidelobes</t>
  </si>
  <si>
    <t>On-board antennas of 2.5/3.5m in diameter which cover Japan with 13 beams in 30/20 GHz bands are developed. to achieve intense frequency reuse, a 9-hom cluster feed is adopted. A tower mounted type deployable antenna configuration is selected so as to overcome the fairing envelope limitation. ¬© 1986, The Institution of Electrical Engineers. All rights reserved.</t>
  </si>
  <si>
    <t>1121-1122</t>
  </si>
  <si>
    <t>60025555;60025555;60025555;60025555</t>
  </si>
  <si>
    <t>6701523484;7102235358;8355553700;6603207362</t>
  </si>
  <si>
    <t>Ohtomo, I.;Kumazawa, H.;Yamada, Y.;Minomo, M.</t>
  </si>
  <si>
    <t>Ohtomo I.</t>
  </si>
  <si>
    <t>On-Board K-Band Multibeam Antenna Configuration with Low Sidelobes and Low Crosspolarisation</t>
  </si>
  <si>
    <t>10.1049/el:19860768</t>
  </si>
  <si>
    <t>2-s2.0-0023045543</t>
  </si>
  <si>
    <t>['¬© 1986', 'rights reserved', 'peak crosspolarisation', 'mode dielectric', 'electrical engineers']</t>
  </si>
  <si>
    <t>Antenna feeders | Antennas</t>
  </si>
  <si>
    <t>A numerical modal matching technique has been developed to analyse compact dual-mode dielectric-loaded conical horns. The technique has been used to design a high-performance horn containing a small dielectric ring. The bandwidth of peak crosspolarisation of the horn is three times greater than that achievable with a stepped metal horn. ¬© 1986, The Institution of Electrical Engineers. All rights reserved.</t>
  </si>
  <si>
    <t>1131-1132</t>
  </si>
  <si>
    <t>60022109;60022109;60022109</t>
  </si>
  <si>
    <t>57197164875;7006827241;7006192058</t>
  </si>
  <si>
    <t>Raghavan, K.;Olver, A. D.;Clarricoats, P. J.B.</t>
  </si>
  <si>
    <t>Raghavan K.</t>
  </si>
  <si>
    <t>Compact Dual-Mode Dielectric-Loaded Horn</t>
  </si>
  <si>
    <t>10.1049/el:19860775</t>
  </si>
  <si>
    <t>2-s2.0-0023045604</t>
  </si>
  <si>
    <t>['winston cone', 'trumpet bell', 'reduce response', 'low sidelobes', 'heat trap', 'axis radiation', 'also called', '100 cm']</t>
  </si>
  <si>
    <t>A heat trap, also called a Winston cone or compound parabolic concentrator, has been designed and built to serve as the beam defining optic for the far-infrared absolute spectrophotometer on the Cosmic Background Explorer satellite. This quasi-optical multimode antenna is coupled to a flared entrance section shaped like a trumpet bell to reduce response to off-axis radiation. The antenna has very low sidelobes over a two-decade frequency range from 1 to 100 cm-1. Fabrication is described, and stray light data are presented and compared to theory. A novel optical figure test for concentrators is presented. ¬© 1986 Optical Society of America.</t>
  </si>
  <si>
    <t>2826-2830</t>
  </si>
  <si>
    <t>1559128X</t>
  </si>
  <si>
    <t>Applied Optics</t>
  </si>
  <si>
    <t>60006337;60006337;100384980-60009037</t>
  </si>
  <si>
    <t>7103373841;15123337400;7003552830</t>
  </si>
  <si>
    <t>Mather, John C.;Toral, Marco;Hemmati, Hamid</t>
  </si>
  <si>
    <t>Pasadena;Greenbelt;Columbia</t>
  </si>
  <si>
    <t>Jet Propulsion Laboratory;NASA Goddard Space Flight Center;BENDIX FIELD ENGINEERING CORPORATION</t>
  </si>
  <si>
    <t>60009037;60006337;100384980</t>
  </si>
  <si>
    <t>Mather J.</t>
  </si>
  <si>
    <t>Heat trap with flare as multimode antenna</t>
  </si>
  <si>
    <t>10.1364/AO.25.002826</t>
  </si>
  <si>
    <t>2-s2.0-0039026882</t>
  </si>
  <si>
    <t>['¬© 1986', 'wick radar', 'theoretical predictions', 'theoretical modelling', 'stream instability', 'slant range', 'schlegel based', 'scattering layer', 'range across', 'height across', 'ground reflections', 'drift velocity', 'doppler velocity', 'backscatter minimum', 'backscatter intensity']</t>
  </si>
  <si>
    <t>The variation of backscatter intensity with slant range for the Wick radar of the SABRE system consistently exhibits a minimum at approximately 800 km. Theoretical modelling of the antenna characteristics indicates that this is due to a null in the vertical polar diagram due to interference from ground reflections (Lloyd's mirror effect). By means of this "null" feature, the vertical velocity distribution within the scattering layer can be examined. A sharp discontinuity often exists in the variation of the Doppler velocity with range across the backscatter minimum. These observations can be accounted for in terms of an increase in the drift velocity of about 200 m s-1 with height across the 10 km range of the scattering layer. These results are consistent with the theoretical predictions of St.-Maurice and Schlegel based on the assumption of a two-stream instability. ¬© 1986.</t>
  </si>
  <si>
    <t>625-632</t>
  </si>
  <si>
    <t>Journal of Atmospheric and Terrestrial Physics</t>
  </si>
  <si>
    <t>60033125;60033125</t>
  </si>
  <si>
    <t>24430574600;57198743779</t>
  </si>
  <si>
    <t>Mattin, N.;Jones, T. B.</t>
  </si>
  <si>
    <t>Leicester</t>
  </si>
  <si>
    <t>University of Leicester</t>
  </si>
  <si>
    <t>Mattin N.</t>
  </si>
  <si>
    <t>SABRE observations of E-region vertical velocity structures</t>
  </si>
  <si>
    <t>10.1016/0021-9169(86)90011-5</t>
  </si>
  <si>
    <t>2-s2.0-0041457735</t>
  </si>
  <si>
    <t>['short axis', 'room temperature', 'qy transition', 'presumably functions', 'pigment arrangement', 'magic angle', 'long axis', 'junk publishers', 'isolated chlorosomes', 'fluorescence polarization', 'excitation energy', 'energy transfer', 'cytoplasmic membrane', 'bchl c', 'almost parallel', '70 ¬∞', '613 nm', '55 ¬∞).', '40 ¬∞', '4 k']</t>
  </si>
  <si>
    <t>(Chloroflexus aurnatiacus) | bacteriochlorophyll | chlorosome | energy transfer | fluorescence polarization | green photosynthetic bacteria | linear dichroism</t>
  </si>
  <si>
    <t>The transfer of excitation energy and the pigment arrangement in isolated chlorosomes of the thermophilic green bacterium Chloroflexus aurantiacus were studied by means of absorption, fluorescence and linear dichroism spectroscopy, both at room temperature and at 4 K. The low temperature absorption spectrum shows bands of the main antenna pigments BChl c and carotenoid, in addition to which bands of BChl a are present at 798 and 613 nm. Fluorescence measurements showed that excitation energy from BChl c and carotenoid is transferred to BChl a, which presumably functions as an intermediate in energy transfer from the chlorosome to the cytoplasmic membrane. Measurements of fluorescence polarization and the use of two different orientation techniques for linear dichroism experiments enabled us to determine the orientation of several transition dipole moments with respect to each other and to the three principal axes of the chlorosome. The Qy transition of BChl a is oriented almost perfectly perpendicular to the long axis of the chlorosome. The Qy transition of BChl c and the Œ≥-carotene transition dipole are almost parallel to each other. They make an angle of about 40¬∞ with the long axis and of about 70¬∞ with the short axis of the chlorosome; the angle between these transitions and the BChl a Qy transition is close to the magic angle (55¬∞). ¬© 1986 Martinus Nijhoff/Dr. W. Junk Publishers.</t>
  </si>
  <si>
    <t>33-45</t>
  </si>
  <si>
    <t>60003878;60003878;60003878</t>
  </si>
  <si>
    <t>7801620289;6506168927;7004456032</t>
  </si>
  <si>
    <t>van Dorssen, R. J.;Vasmel, H.;Amesz, J.</t>
  </si>
  <si>
    <t>van Dorssen R.</t>
  </si>
  <si>
    <t>Pigment organization and energy transfer in the green photosynthetic bacterium Chloroflexus aurantiacus - II. The chlorosome</t>
  </si>
  <si>
    <t>10.1007/BF00029729</t>
  </si>
  <si>
    <t>2-s2.0-0042590999</t>
  </si>
  <si>
    <t>Fusion for Energy</t>
  </si>
  <si>
    <t>F4E</t>
  </si>
  <si>
    <t>['¬© 1986', 'wave fields', 'two coupled', 'straight tokamak', 'smaller transforms', 'rotational transform', 'remaining set', 'real tokamaks', 'large gradients', 'large enough', 'icrf heating', 'global solutions', 'finite differencing', 'energy absorption', 'either geometry', 'calculated using', 'b ¬∑{', 'assumed zero', 'antenna impedance', 'always present', 'along b', '1 ).']</t>
  </si>
  <si>
    <t>Global solutions for the ion cyclotron resonant frequency (ICRF) wave fields in a straight tokamak with rotational transform and a poloidally symmetric mirror are calculated in the cold plasma limit. The component of the wave electric field parallel to B is assumed zero. Symmetry in each problem allows Fourier decomposition in one ignorable coordinate, and the remaining set of two coupled, two-dimensional partial differential equations is solved by finite differencing. Energy absorption and antenna impedance are calculated using a simple collisional absorption model. When large gradients in {norm of matrix}B{norm of matrix} along B are present in either geometry, ICRF heating at the fundamental ion cyclotron resonance is observed. For the mirror, such gradients are always present. But for the tokamak, the rotational transform must be large enough that B¬∑{down triangle, open}B {greater-than or approximate} 0(1). For smaller transforms more typical of real tokamaks, only heating at the two-ion hybrid resonance is observed. This suggests that direct resonant absorption at the fundamental ion cyclotron resonance may be possible in stellarators where B¬∑{down triangle, open}B ‚âà 0(1) naturally. ¬© 1986.</t>
  </si>
  <si>
    <t>33-64</t>
  </si>
  <si>
    <t>60024266;60024266;60024266;60024266</t>
  </si>
  <si>
    <t>7005521707;7006526034;6701752564;7003426790</t>
  </si>
  <si>
    <t>Jaeger, E. F.;Batchelor, D. B.;Weitzner, H.;Whealton, J. H.</t>
  </si>
  <si>
    <t>Oak Ridge</t>
  </si>
  <si>
    <t>Oak Ridge National Laboratory</t>
  </si>
  <si>
    <t>Jaeger E.</t>
  </si>
  <si>
    <t>ICRF wave propagation and absorption in tokamak and mirror magnetic fields - A full-wave calculation</t>
  </si>
  <si>
    <t>10.1016/0010-4655(86)90147-5</t>
  </si>
  <si>
    <t>2-s2.0-0242282451</t>
  </si>
  <si>
    <t>['well described', 'total chl', 'simple model', 'reaction center', 'quantum requirement', 'o2 evolved', 'nearly 1', 'model predicts', 'harvesting complexes', 'harvesting chlorophyll', 'fold increase', 'coordinated changes', 'cell varied', 'cell along', 'approximately 11', 'almost 80', '6 fmol', '20 a2', '116 a2', '02 fmol']</t>
  </si>
  <si>
    <t>Cells of the green alga Chlorellavulgaris were grown under conditions where total Chl/cell varied by a factor of almost 80; from 0.02 fmol/cell to nearly 1.6 fmol/cell. The change in Chl/cell was accomplished by an approximately 11-fold increase in RCII/cell along with a 7-fold increase in Chl/RCII. The effective absorption cross section per RCII at 596 nm varied by a factor of 6, increasing with Chl/cell from a minimum of 20 A2 to a maximum of 116 A2. In contrast, over the same range of Chl/cell, the quantum requirement for O2 production remained relatively constant at 10.4¬±1.8 quanta absorbed/O2 evolved. The results are well described by a simple model in which changes in Chl/cell are produced by coordinated changes in reaction center and light-harvesting complexes. The model predicts that between 20 and 40% of the light-harvesting chlorophyll-protein complexes commonly assigned to PSII, do not function as antenna for PSII. ¬© 1986 Martinus Nijhoff Publishers.</t>
  </si>
  <si>
    <t>189-196</t>
  </si>
  <si>
    <t>Ley, Arthur C.</t>
  </si>
  <si>
    <t>Ley A.</t>
  </si>
  <si>
    <t>Relationships among cell chlorophyll content, photosystem II light-harvesting and the quantum yield for oxygen production in Chlorella</t>
  </si>
  <si>
    <t>10.1007/BF00118282</t>
  </si>
  <si>
    <t>2-s2.0-0342432430</t>
  </si>
  <si>
    <t>['triton x', 'spatial organization', 'p700 ratios', 'p700 photooxidation', 'much higher', 'molecular organization', 'mild treatment', 'junk publishers', 'hydrophobic cores', 'detergents represents', 'cp1 preparations', 'cp1 complexes', 'cooperative transition', 'containing p700', 'complicated shape', 'circular dichroism', 'chlorophyll seems', 'chlorophyll destruction', 'chlorophyll content', 'cd spectra', 'antenna chlorophyll', '90 %).', '7 molecules', '20 %),']</t>
  </si>
  <si>
    <t>chroism | cPII | light-harvesting complex (pea) | linear dichroism | optical absorption | protein secondary structure</t>
  </si>
  <si>
    <t>The circular dichroism (CD) method was applied to study the molecular organization of P700, antenna chlorophyll and protein of photosystem 1 complexes (CP1), isolated from chloroplasts under mild treatment with Triton X-100. Analysis of CD spectra and protein: chlorophyll: P700 ratios for CP1 complexes that were different in their chlorophyll content indicate that CP1 preparations can be considered as a mixture of CP1-RC, containing P700 (10-20%), and CP1-LH without P700 (80-90%). Both types of complexes contain approximately 25 chlorophyll molecules, and the destruction of their spatial organization with detergents represents a cooperative transition. The rate of chlorophyll destruction in CP1-LH is much higher than that in CP1-RC. In both complexes a 65 kDa polypeptide predominates, whose secondary structure (typical for Œ±/Œ≤ proteins) is stable to Triton X-100 and does not depends on the chlorophyll content. Chlorophyll seems to be grouped in clusters (5-7 molecules) in the hydrophobic cores of 2-3 parallel Œ±/Œ≤ domains of the 65 kDa protein. Only one of the clusters in CP1-RC includes P700; on P700 photooxidation the change of its interaction with the nearest pigment environment results in a complicated shape of the light-induced CD spectra. ¬© 1986 Martinus Nijhoff/Dr. W. Junk Publishers.</t>
  </si>
  <si>
    <t>60096201;60096201;60096201</t>
  </si>
  <si>
    <t>7102799107;7004405778;7006084024</t>
  </si>
  <si>
    <t>Shubin, V. V.;Karapetyan, N. V.;Krasnovsky, A. A.</t>
  </si>
  <si>
    <t>Moscow</t>
  </si>
  <si>
    <t>Bach Institute of Biochemistry</t>
  </si>
  <si>
    <t>Shubin V.</t>
  </si>
  <si>
    <t>Molecular arrangement of pigment-protein complex of photosystem 1</t>
  </si>
  <si>
    <t>10.1007/BF00029726</t>
  </si>
  <si>
    <t>2-s2.0-0344412377</t>
  </si>
  <si>
    <t>['¬© 1986', 'theoretical estimates', 'specific scheme', 'small number', 'small chlorophyll', 'rights reserved', 'rate obtained', 'picosecond pulses', 'kinetic model', 'initially excited', 'given system', 'fluorescence lifetime', 'first one', 'excitation pulse', 'excitation intensity', 'either creates', 'chla molecules', 'biophysical society']</t>
  </si>
  <si>
    <t>The problem of singlet excitation kinetics and dynamics, especially at high excitation intensities, among a small number of chromophores of a given system has been addressed. A specific scheme for the kinetics is suggested and applied to CPII, a small chlorophyll (Chl)a/b antenna complex the fluorescence lifetime of which has been reported to be independent of excitation intensity over a wide intensity range of picosecond pulses. We have modeled the kinetics from the point of view that Chla molecules in CPII are F√∂rster coupled so that a second excitation received by the group of Chla's either creates a state with two localized excitons or raises the first one to a doubly excited state. The data on CPII can be understood on the basis of a kinetic model that does not exclude exciton annihilation during the excitation pulse. The implied annihilation rate is consistent with our theoretical estimates of that rate obtained by applying excitation transfer theory to pairs of molecules both initially excited. ¬© 1986, The Biophysical Society. All rights reserved.</t>
  </si>
  <si>
    <t>469-477</t>
  </si>
  <si>
    <t>Biophysical Journal</t>
  </si>
  <si>
    <t>6602366587;6602436920;7202010339</t>
  </si>
  <si>
    <t>G√ºlen, Demet;Wittmershaus, Bruce P.;Knox, Robert S.</t>
  </si>
  <si>
    <t>G√ºlen D.</t>
  </si>
  <si>
    <t>Theory of Picosecond-Laser-Induced Fluorescence from Highly Excited Complexes with Small Numbers of Chromophores</t>
  </si>
  <si>
    <t>S0006349586836566</t>
  </si>
  <si>
    <t>10.1016/S0006-3495(86)83656-6</t>
  </si>
  <si>
    <t>2-s2.0-0344554746</t>
  </si>
  <si>
    <t>['√™ te', 'wing fanning', 'walking away', 'males respond', 'male drums', 'male attraction', 'lepidoptera ).', 'land near', 'l .).', 'higher chance', 'first encounters', 'female instead', 'des stimuli', 'behavioural steps', 'avec la', 'attraction du', 'ailes suivi', "'√© treinte"]</t>
  </si>
  <si>
    <t>behaviour | courtship | Lepidoptera | pheromone communication | quantitative analysis | wind tunnel | Yponomeuta padellus | Yponomeutidae</t>
  </si>
  <si>
    <t>The sequence of behavioural steps from male attraction until copulation is described and analyzed for Yponomeuta padellus L. (Yponomeutidae, Lepidoptera). Males respond to a pheromone emitting female with wing fanning followed by upwind zigzagging flight. Males will land near the females and then walk while wing fanning. The antennae drum onto the substratum and the abdominal‚Äêhair pencils are displayed. When in contact with a female the male drums with his antennae onto wings, head and antennae. Mostly a clasping attempt follows. A male has a higher chance to be accepted when he first encounters the rear of a female instead of the head. Females refuse males by walking away or wing fanning or a combination of both. Le comportement de pariade d'Yponomeuta padellus Les s√©quences du comportement depuis l'attraction du m√¢le jusqu'√† la copulation ont √©t√© d√©crites et analys√©es chez Y. padellus (L.). Les m√¢les r√©agissent √† une femelle √©mettant une ph√©romone par un battement d'ailes suivi d'un vol en zigzag contre le vent. Les m√¢les atterriront pr√®s des femelles et marcheront avec leurs ailes en battement. Les antennes tambourinent le substrat et les pinceaux abdominaux sont d√©ploy√©s. Lorsqu'il est au contact de la femelle, le m√¢le tambourine avec ses antennes les ailes, la t√™te et les antennes. G√©n√©ralement suit une tentative d'√©treinte. Les chances de succ√®s sont les plus √©lev√©es quand les premiers contacts du m√¢le sont avec la partie post√©rieure de la femelle plut√¥t qu'avec la t√™te. Les femelles refusent les m√¢les en s'√©cartant ou en battant des ailes ou les deux √† la fois. Il semble qu'en plus des stimuli cliniques, des stimuli m√©caniques fournis par les √©cailles sont n√©cessaires pour que les m√¢les localisent la femelle et s'orientent pour une tentative d'√©treinte. 1986 The Netherlands Entomological Society</t>
  </si>
  <si>
    <t>45-55</t>
  </si>
  <si>
    <t>Hendrikse, A.</t>
  </si>
  <si>
    <t>Leiden University</t>
  </si>
  <si>
    <t>Hendrikse A.</t>
  </si>
  <si>
    <t>The courtship behaviour of Yponomeuta padellus</t>
  </si>
  <si>
    <t>10.1111/j.1570-7458.1986.tb02186.x</t>
  </si>
  <si>
    <t>2-s2.0-0345258909</t>
  </si>
  <si>
    <t>['¬© 1986', 'well field', 'time scintillations', 'southwestward drifts', 'sharp increases', 'postmidnight hours', 'pitch scintillations', 'occasionally observed', 'mean northward', 'major axes', 'latitude night', 'july 1982', 'ionospheric irregularities', 'increasing s4', 'drift velocities', 'correlation analysis', '136 mhz']</t>
  </si>
  <si>
    <t>Using three closely spaced antennas, mid-latitude night-time scintillations at 136 MHz were observed under geomagnetically quiet conditions during June-July 1982. By means of correlation analysis, characteristics of ionospheric irregularities such as drift velocities, shapes and sizes were investigated for seven scintillation events. In the premidnight hours mostly southward or southwestward drifts were observed, while in the postmidnight hours the percentage of northward drifts increased. Mean northward and southward drift velocities were 25 m s-1 and 23 m s-1, respectively. Large northward drifts (&gt; 80m s-1) were occasionally observed in the postmidnight hours. Peculiar drift reversals from northward to southward occurred abruptly in the midst of strong and high-pitch scintillations. They were accompanied by sharp increases in TEC. The directions of the major axes of the diffraction pattern ellipses are coincident with those of the geomagnetic field lines, which suggests that the irregularities are well field-aligned. The mean axial ratio and mean minor radius are 6.2 and 182 m, respectively. The axial ratio increases and the minor radius decreases with increasing S4. ¬© 1986.</t>
  </si>
  <si>
    <t>221-230</t>
  </si>
  <si>
    <t>105792899;100328845</t>
  </si>
  <si>
    <t>55427283700;7404741481</t>
  </si>
  <si>
    <t>Kumagai, Hiroshi;Ogawa, Tadahiko</t>
  </si>
  <si>
    <t>Nakaminato, Ibaraki;Koganei</t>
  </si>
  <si>
    <t>Communications Research Laboratory;Radio Research Laboratories</t>
  </si>
  <si>
    <t>Kumagai H.</t>
  </si>
  <si>
    <t>Behavior of mid-latitude F-region irregularities deduced from spaced-receiver VHF scintillation measurements</t>
  </si>
  <si>
    <t>0021-9169(86)90097-8</t>
  </si>
  <si>
    <t>10.1016/0021-9169(86)90097-8</t>
  </si>
  <si>
    <t>2-s2.0-0346926339</t>
  </si>
  <si>
    <t>['¬© 1986', 'used without', 'transfer characteristics', 'transducer parameters', 'superconducting ac', 'squid ).', 'radiation detectors', 'radiation antenna', 'q gravitational', 'proposed transducer', 'proof mass', 'presently limited', 'new transducer', 'nearly unaffected', 'nearly quantum', 'motion level', 'modest values', 'mass gravitational', 'inductance bridge', 'impedance matrix', 'electromechanical system', 'cryogenic gravitational', 'bridge circuit', 'almost exactly', '50 mk']</t>
  </si>
  <si>
    <t>The sensitivity of cryogenic gravitational-radiation detectors is presently limited by the performance of the transducers. A superconducting ac-pumped inductance bridge is proposed as a new transducer for resonant-mass gravitational-radiation detectors. The impedance matrix of the transducer is computed to determine the input, output, and transfer characteristics of the electromechanical system. It is shown that the dissipative forces exerted on the proof mass by the bridge circuit through the two sidebands cancel each other almost exactly so that the Brownian-motion level is nearly unaffected by the electric sensing circuit. This implies that an effective energy coupling coefficient near unity could be used without being limited by the electrical Nyquist noise. With the parametric up conversion of the signal, the inductance bridge can be coupled to a nearly quantum-limited dc superconducting quantum interference device (SQUID). The sensitivity of the gravitational-radiation detector employing the new superconducting transducer is computed as a function of transducer parameters. It is shown that the proposed transducer, with modest values for its parameters, is capable of matching a high-Q gravitational- radiation antenna, cooled to 50 mK, to a nearly quantum-limited dc SQUID. ¬© 1986 The American Physical Society.</t>
  </si>
  <si>
    <t>309-318</t>
  </si>
  <si>
    <t>Physical Review D</t>
  </si>
  <si>
    <t>Paik, Ho Jung</t>
  </si>
  <si>
    <t>Paik H.J.</t>
  </si>
  <si>
    <t>Superconducting inductance-bridge transducer for resonant-mass gravitational-radiation detector</t>
  </si>
  <si>
    <t>10.1103/PhysRevD.33.309</t>
  </si>
  <si>
    <t>2-s2.0-17044425338</t>
  </si>
  <si>
    <t>['¬© 1986', 'thylakoid membranes', 'small amount', 'six chlorophyll', 'present alga', 'plant physiologists', 'optical properties', 'japanese society', 'green alga', 'four polypeptides', 'excitation spectrum', 'cpla showed', 'cpla ),', 'contained carotene', 'chl b', 'bryopsis maxima', 'b ratios', 'antenna complexes', 'absorption maxima', '695 nm', '677 nm', '540 nm', '26 kda']</t>
  </si>
  <si>
    <t>Bryopsis maxima | Chlorophyll-protein complex | Green alga | High performance liquid chromatography | Photosystem I</t>
  </si>
  <si>
    <t>Six chlorophyll (Chl)-protein complexes associated with photosystem I (CPla), and the PS I reaction center complex (CPl) were isolated from the thylakoid membranes of the green alga, Bryopsis maxima, by SDS-polyacrylamide gel electrophoresis. CPla had four polypeptides (22, 24, 25, 26 kDa) in addition to the 67 kDa polypeptide of CPl. These complexes may thus possibly be a combination of CPl and antenna complexes for PS I. Six CPla showed almost the same optical properties, with absorption maxima at 650 and 677 nm and contained carotene and a small amount of xanthophylls. The Chl a/b ratios of these CPla were about 2, while that of CPl was 14. CPla showed a fluorescence emission maximum at 695 nm; its excitation spectrum had peaks at 438, 470 and 540 nm, corresponding to the absorption maxima of Chl a, Chl b, xanthophylls, respectively. An antenna complex free of CPl has been detected in some plants but was not found in the present alga. ¬© 1986 The Japanese Society of Plant Physiologists.</t>
  </si>
  <si>
    <t>1241-1247</t>
  </si>
  <si>
    <t>Plant and Cell Physiology</t>
  </si>
  <si>
    <t>60018642;60018642;60018642</t>
  </si>
  <si>
    <t>36506518000;7403667716;56296522800</t>
  </si>
  <si>
    <t>Itagaki, Tadashi;Nakayama, Katsumi;Okada, Mitsumasa</t>
  </si>
  <si>
    <t>Toho University</t>
  </si>
  <si>
    <t>Itagaki T.</t>
  </si>
  <si>
    <t>Chlorophyll-protein complexes associated with photosystem I isolated from the green alga, bryopsis maxima</t>
  </si>
  <si>
    <t>10.1093/oxfordjournals.pcp.a077221</t>
  </si>
  <si>
    <t>2-s2.0-22244467651</t>
  </si>
  <si>
    <t>['silicon technologies', 'reduce volume', 'power consumption', 'mmic technology', 'including gigabit', 'gaas mmics', 'electronics engineers', 'current developments']</t>
  </si>
  <si>
    <t>Future communications satellites are likely to use gallium arsenide (GaAs) monolithic microwave integrated-circuit (MMIC) technology in most, if not all, communications payload subsystems. Multiple-scanning-beam antenna systems are expected to use GaAs MMIC's to increase functional capability, to reduce volume, weight, and cost, and to greatly improve system reliability. RF and IF matrix switch technology based on GaAs MMICs is also being developed for these reasons. MMIC technology, including gigabit-rate GaAs digital integrated circuits, offers substantial advantages in power consumption and weight over silicon technologies for high-throughput, onboard baseband processor systems. In this paper, current developments in GaAs MMIC technology are described, and the status and prospects of the technology are assessed. Copyright ¬© 1986 by The Institute of Electrical and Electronics Engineers, Inc.</t>
  </si>
  <si>
    <t>994-1001</t>
  </si>
  <si>
    <t>60026717;60026717</t>
  </si>
  <si>
    <t>7006626132;7102929356</t>
  </si>
  <si>
    <t>Bhasin, K. B.;Connolly, D. J.</t>
  </si>
  <si>
    <t>NASA Glenn Research Center</t>
  </si>
  <si>
    <t>Bhasin K.B.</t>
  </si>
  <si>
    <t>Advances in Gallium Arsenide Monolithic Microwave Integrated-Circuit Technology for Space Communications Systems</t>
  </si>
  <si>
    <t>10.1109/TMTT.1986.1133489</t>
  </si>
  <si>
    <t>2-s2.0-2342580615</t>
  </si>
  <si>
    <t>['¬© 1986', 'successfully performed', 'rf power', 'plasma current', 'iiu tokamak', 'faraday shield', 'efficiency comparable', 'density plasma', 'density limit', 'current drive', '80 kw', '50 ka']</t>
  </si>
  <si>
    <t>Current drive by fast magnetosonic waves is successfully performed in the JIPP T-IIU tokamak by means of a four-element dipole antenna array with a Faraday shield. A plasma current of about 50 kA is sustained by an rf power of about 80 kW in a low-density plasma (3 √ó 1012 cm-3) with an efficiency comparable to that of slow-wave current drive. A density limit for fast magnetosonic current drive is observed, contrary to theoretical expectations based on linear wave propagation. ¬© 1986 The American Physical Society.</t>
  </si>
  <si>
    <t>2040-2043</t>
  </si>
  <si>
    <t>Physical Review Letters</t>
  </si>
  <si>
    <t>60000264;60000264;60000264;60000264;60000264;60000264;60000264;60000264;60000264;60000264;60000264;60000264;60000264;60000264;60000264;60000264;60000264;60000264;60000264</t>
  </si>
  <si>
    <t>57082283400;7402614699;7404051215;57213468968;7006319125;7007043532;57190193883;56353825200;7004968569;7003514502;7003978354;7201723650;22972424400;7202781865;7006774512;55706124400;7004717562;57082173700;7005809565</t>
  </si>
  <si>
    <t>Ohkubo, K.;Hamada, Y.;Ogawa, Y.;Mohri, A.;Akiyama, R.;Ando, R.;Hirokura, S.;Kako, E.;Kawahata, K.;Kawasumi, Y.;Masai, K.;Matsuoka, K.;Mugishima, M.;Noda, N.;Sasao, M.;Sato, K. N.;Tanahashi, S.;Taniguchi, Y.;Toi, K.</t>
  </si>
  <si>
    <t>Ohkubo K.</t>
  </si>
  <si>
    <t>Current drive by fast magnetosonic waves near the lower hybrid frequency in the JIPP T-IIU tokamak</t>
  </si>
  <si>
    <t>10.1103/PhysRevLett.56.2040</t>
  </si>
  <si>
    <t>2-s2.0-25544444443</t>
  </si>
  <si>
    <t>['¬© 1986', 'transfer steps', 'subsequent photodamage', 'subsequent electron', 'solution initiates', 'separated state', 'rights reserved', 'report herein', 'quantum yield', 'organism ).', 'natural processes', 'energetic charge', 'carotenoid moiety', 'carotenoid acceptors', 'based carotenopyropheophorbide', '120 ns']</t>
  </si>
  <si>
    <t>In natural photosynthetic membranes, chlorophyll molecules serve as the site of the initial photodriven charge separation. In addition, they play a role in subsequent electron-transfer steps, accept singlet excitation energy from carotenoid antenna molecules, and transfer triplet energy to carotenoid acceptors (thereby preventing sensitized singlet oxygen production and subsequent photodamage to the organism). We report herein the synthesis and study of chlorophyll-based carotenopyropheophorbide-quinone triad molecules which mimic all of these natural processes. Irradiation of 1 in solution initiates a two-step electron transfer leading to the formation of an energetic charge-separated state with a quantum yield of ca. 4% and a lifetime of 120 ns. Caro-tenopyropheophorbide 3 demonstrates singlet-singlet energy transfer from the carotenoid moiety to the pyropheophorbide with 50% efficiency. The carotenoid moiety of 3 also provides pho-toprotection from singlet oxygen formation by quenching the pyropheophorbide triplet state within 50 ns of its formation. ¬© 1986, American Chemical Society. All rights reserved.</t>
  </si>
  <si>
    <t>5350-5352</t>
  </si>
  <si>
    <t>Journal of the American Chemical Society</t>
  </si>
  <si>
    <t>60003892;60003892;60003892;60003892;60003892;60003892</t>
  </si>
  <si>
    <t>56530415100;57195769178;6507761477;6507741838;26643239600;7403336040</t>
  </si>
  <si>
    <t>Liddell, Paul A.;Barrett, Donna;Makings, Lewis R.;Pessiki, Peter J.;Gust, Devens;Moore, Thomas A.</t>
  </si>
  <si>
    <t>Tempe</t>
  </si>
  <si>
    <t>Arizona State University</t>
  </si>
  <si>
    <t>Liddell P.A.</t>
  </si>
  <si>
    <t>Charge Separation and Energy Transfer in Carotenopyropheophorbide-Quinone Triads</t>
  </si>
  <si>
    <t>10.1021/ja00277a053</t>
  </si>
  <si>
    <t>2-s2.0-33845374781</t>
  </si>
  <si>
    <t>['¬© 1986', 'wave phased', 'wave energy', 'peak effeciency', 'irvine torus', 'initially current', 'free plasma', 'fast waves', 'electron current', 'current direction', 'array antenna']</t>
  </si>
  <si>
    <t>Steady-state electron currents were driven by fast waves with cice in an initially current-free plasma in the Irvine Torus. Current direction was controlled by the fast-wave phased-array antenna. Low power experiments (&lt;25 W) generated up to 1.3 A of electron current with a peak effeciency of =InR/P(6√ó10-2 A/W)(1013 cm-3)m. Up to 14% of the wave energy was converted to poloidal magnetic field energy. ¬© 1986 The American Physical Society.</t>
  </si>
  <si>
    <t>835-837</t>
  </si>
  <si>
    <t>60007278;60007278</t>
  </si>
  <si>
    <t>8626327200;57198120326</t>
  </si>
  <si>
    <t>McWilliams, R.;Platt, R. C.</t>
  </si>
  <si>
    <t>Irvine</t>
  </si>
  <si>
    <t>University of California, Irvine</t>
  </si>
  <si>
    <t>McWilliams R.</t>
  </si>
  <si>
    <t>Fast-wave current drive in the Irvine torus</t>
  </si>
  <si>
    <t>10.1103/PhysRevLett.56.835</t>
  </si>
  <si>
    <t>2-s2.0-34247270350</t>
  </si>
  <si>
    <t>['two photosystems', 'state 1', 'section œé', 'relative cross', 'photon utilization', 'monitor changes', 'life cycle', 'junk publishers', 'dr w', 'antenna molecules']</t>
  </si>
  <si>
    <t>low-temperature fluorescence spectroscopy | State 1/State 2 transitions | synchronous Chlorella</t>
  </si>
  <si>
    <t>Low-temperature fluorescence spectroscopy of Chlorella was used to monitor changes in photon utilization by the two photosystems during the life cycle. Changes in the relative optical cross-section œÉ of the photosystems are brought about by changes in partition of the antenna molecules between the photosystems. The relative cross-section œÉ is not affected by the State 1/State 2 transitions. ¬© 1986 Martinus Nijhoff/Dr W. Junk Publishers.</t>
  </si>
  <si>
    <t>183-185</t>
  </si>
  <si>
    <t>Butko, Peter</t>
  </si>
  <si>
    <t>Hungary</t>
  </si>
  <si>
    <t>Szeged</t>
  </si>
  <si>
    <t>Szegedi Tudom√°nyegyetem (SZTE)</t>
  </si>
  <si>
    <t>Butko P.</t>
  </si>
  <si>
    <t>Relative optical cross-section of the two photosystems during the life cycle of Chlorella</t>
  </si>
  <si>
    <t>10.1007/BF00035248</t>
  </si>
  <si>
    <t>2-s2.0-34250123098</t>
  </si>
  <si>
    <t>['two complexes', 'total chlorophyll', 'several chlorophyll', 'reaction center', 'overall organization', 'native photosystem', 'fractionation methods', 'containing complexes', 'contain chlorophyll', 'antenna complex', '58 kda']</t>
  </si>
  <si>
    <t>Procedures that allow the fractionation of a native Photosystem I complex (PSI-200) into several chlorophyll-containing complexes are now available. Two complexes, each containing ‚àº50% of the total chlorophyll of the photosystem, can be isolated. One complex contains both chlorophyll a and b and serves as antenna complex for the reaction center while the reaction center complex contains 100 Chl a molecules per P700 and has 7 different polypeptides. Only two of the latter (62 and 58 kDa) contain chlorophyll a and these can be isolated as the photochemically active CPI complex. Based on these fractionation methods, a model that describes the overall organization of the chlorophyll in Photosystem is presented. ¬© 1986 Martinus Nijhoff Publishers.</t>
  </si>
  <si>
    <t>Malkin, R.</t>
  </si>
  <si>
    <t>Malkin R.</t>
  </si>
  <si>
    <t>A consideration of the organization of chloroplast photosystem I</t>
  </si>
  <si>
    <t>10.1007/BF00118283</t>
  </si>
  <si>
    <t>2-s2.0-34250123172</t>
  </si>
  <si>
    <t>['√¢ les', 'slightly less', 'six chemicals', 'importe qu', 'highly correlated', 'electroantennagram technique', 'earlier experiments', 'eag data', 'behavioral data', 'anastrepha ludens']</t>
  </si>
  <si>
    <t>(Z)‚Äê3‚Äênonenol | (Z,Z)‚Äê3,6‚Äênonadienol | Anastrepha ludens | anastrephin | diptera | Electroantennagram | epianastrephin | Mexican fruit fly | pheromone | tephritidae</t>
  </si>
  <si>
    <t>Male‚Äêproduced chemicals were tested on antennae of the Mexican fruit fly (Anastrepha ludens) (Diptera: Tephritidae) using the electroantennagram technique. Male and female antennae responded equivalently to six chemicals and combinations of the six chemicals. (S,S)‚Äê(‚Äì)‚Äêepianastrephin elicited responses two‚Äêthree times greater than any of the other chemicals, (S,S)‚Äê(‚Äì)‚Äêanastrephin gave greater responses than (R,R)‚Äê(+)‚Äêanastrephin, and Z,Z‚Äê3,6‚Äênonadienol gave greater responses than Z‚Äê3‚Äênonenol. The combination of Z,Z‚Äê3,6‚Äênonadienol and Z‚Äê3‚Äênonenol elicited a response which was slightly less than the response to Z,Z‚Äê3,6‚Äênonadienol alone. The EAG data were highly correlated with behavioral data from earlier experiments. Electroantennogrammes d'Anastrepha ludens obtenus en pr√©sence de substances √©mises par les m√¢les L'√©tude des substances √©mises par les m√¢les d'A. ludens (Diptera, Tephritidae) comprenant 2 paires √©nantiom√©riques de lactones √©pim√©riques et 2 alcools, a √©t√© r√©alis√©e √† partir d'√©lectroantenno‚Äêgrammes. Les antennes des m√¢les et des femelles ont r√©pondu de la m√™me fa√ßon aux 6 substances examin√©es s√©par√©ment, ou combin√©es 2 √† 2, ou toutes ensembles. La (S,S)‚Äê(‚Äì) √©pianastr√©phine, seule ou en combinaison, a induit une r√©ponse significative‚Äêment de 2 √† 3 fois plus importante que n'importe qu'elle autre substance. La (S,S)‚Äê(‚Äì) anastr√©phine a induit des EAG deux fois plus importantes que ceux obtenus avec la (R,R)‚Äê(+) anastr√©phine. L'importance des r√©ponses aux 4 lactones est li√©e √† leurs relations structurales. Le (Z,Z)‚Äê3,6 nonadi√©nol a provoqu√© des r√©ponses 2 fois plus importantes que celles du (Z)‚Äê3 non√©nol, et la combinaison des 2 alcools a induit une r√©ponse l√©g√®rement inf√©rieure √† celle obtenue avec le (Z,Z)‚Äê3,6‚Äênonadi√©nol seul. Les r√©sultats en EAG sont tr√®s conformes aux observations comportementales d'exp√©riences pr√©c√©dentes. 1986 The Netherlands Entomological Society</t>
  </si>
  <si>
    <t>123-127</t>
  </si>
  <si>
    <t>60001989;60001989;60001989</t>
  </si>
  <si>
    <t>7003513055;16467195100;16463112000</t>
  </si>
  <si>
    <t>Robacker, D. C.;Chapa, B. E.;Hart, W. G.</t>
  </si>
  <si>
    <t>USDA Agricultural Research Service</t>
  </si>
  <si>
    <t>Robacker D.</t>
  </si>
  <si>
    <t>Electroantennagrams of Mexican fruit flies to chemicals produced by males</t>
  </si>
  <si>
    <t>10.1111/j.1570-7458.1986.tb00492.x</t>
  </si>
  <si>
    <t>2-s2.0-34250123474</t>
  </si>
  <si>
    <t>['theses excitations', 'reaction centers', 'random walk', 'possible origins', 'photoelectric phenomena', 'green plants', 'bipartite model']</t>
  </si>
  <si>
    <t>charge recombination and fluorescence | chloroplasts | fluorescence decay components | reaction centers</t>
  </si>
  <si>
    <t>The possible origins of the different fluorescence decay components in green plants are discussed in terms of a random walk and Butler's bipartite model. The interaction of the excitations with the photosystem II reaction centers and, specifically, the regeneration of theses excitations by charge recombination within the reaction centers, are considered. Based on comparisons between fluorescence decay profiles, time-dependent exciton annihilation and photoelectric phenomena, it appears that the fast 200 ps decay component corresponds to primary energy transport from the antenna to the reaction centers and is dominant in filling the photosystem II reaction centers. ¬© 1986 Martinus Nijhoff Publishers.</t>
  </si>
  <si>
    <t>233-242</t>
  </si>
  <si>
    <t>60021784;60019615;60027165</t>
  </si>
  <si>
    <t>7103169029;24310010600;7202010339</t>
  </si>
  <si>
    <t>Geacintov, Nicholas E.;Breton, Jacques;Knox, Robert S.</t>
  </si>
  <si>
    <t>Rochester;New York;Gif-sur-Yvette</t>
  </si>
  <si>
    <t>University of Rochester;New York University;CEA Saclay</t>
  </si>
  <si>
    <t>60027165;60021784;60019615</t>
  </si>
  <si>
    <t>Geacintov N.</t>
  </si>
  <si>
    <t>Energy migration and exciton trapping in green plant photosynthesis</t>
  </si>
  <si>
    <t>10.1007/BF00118288</t>
  </si>
  <si>
    <t>2-s2.0-34250124967</t>
  </si>
  <si>
    <t>['‚ àº3', 'wild type', 'usual 17', 'type phycobilisomes', 'two phycobiliproteins', 'still functional', 'spontaneous mutants', 'significant changes', 'presumably due', 'polypeptide composition', 'plus polypeptides', 'mutants 85y', 'mutants 19y', 'mutant 85y', 'molar ratio', 'junk publishers', 'improved growth', 'growth rate', 'greatest reduction', 'first characterization', 'even though', 'dr w', 'dissociated phycobilisomes', 'content varied', 'consisted mostly', 'chl ).', 'chemically induced', 'apc core', 'also deficient', 'absorption spectra', '85y cells', '680 nm', '31 kd']</t>
  </si>
  <si>
    <t>allophycocyanin | Anacystis | phycobilisomes | phycocyanin | pigment mutants polypeptides</t>
  </si>
  <si>
    <t>Phycobilisomes, light harvesting antenna pigment systems, were studied from Anacystis nidulans wild type and from several spontaneous pigment mutants selected for improved growth in far-red light (&gt;650 nm). This is the first characterization and description of polypeptide composition of phycobilisomes from spontaneous mutants (not chemically induced) of A. nidulans. The mutants had significant changes in the phycobiliprotein content relative to chlorophyll (Chl). Two phycobiliproteins, C-phycocyanin (Œªmax 625 nm) and allophycocyanin (Œªmax 650 nm) were present in a molar ratio of ‚àº3:1 in the wild type. In the mutants the amount of allophycocyanin (APC) per cell remained constant but the phycocyanin (PC) content varied. Phycobilisomes of the mutants 85Y, 19Y and 59G contained PC and APC in a molar ratio of 0.4:1, 0.7:1, and 1:1, respectively. Even though the phycobilisomes of mutant 85Y showed the greatest reduction in PC and consisted mostly of the APC core, the phycobilisomes were still functional and the growth rate of the 85Y cells was similar to the wild type. Fluorescence emission maxima of wild type and all the mutants were at 680 nm (23¬∞C). Excitation maxima corresponded closely with expectations from absorption spectra. On SDS-PAGE gradient gels wild-type phycobilisomes had the usual 17-19 kD polypeptides of PC and APC, plus polypeptides at ca. 78, 56, 39, 36 and 31 kD. Mutants 19Y and 85Y, with the greatest PC deficiency were also deficient in the 36 and 39 kD polypeptides, presumably due to a decrease in peripheral rod structures. Energetically functional hybrid phycobilisomes were obtained when complexes of phycoerythrin-phycocyanin from Nostoc were mixed with dissociated phycobilisomes of wild-type and mutant 85Y. The 31 kD polypeptide is common to both species and immunologically cross reactive. ¬© 1986 Martinus Nijhoff/Dr W. Junk Publishers.</t>
  </si>
  <si>
    <t>149-159</t>
  </si>
  <si>
    <t>60015033;60013372;60013372;60015033</t>
  </si>
  <si>
    <t>57216190063;56301725900;8872261500;7005758772</t>
  </si>
  <si>
    <t>Khanna, Rita;Graham, Jo Ruth;Myers, Jack;Gantt, Elisabeth</t>
  </si>
  <si>
    <t>Washington, D.C.;Austin</t>
  </si>
  <si>
    <t>Smithsonian Institution;The University of Texas at Austin</t>
  </si>
  <si>
    <t>60015033;60013372</t>
  </si>
  <si>
    <t>Khanna R.</t>
  </si>
  <si>
    <t>Variation in the polypeptide composition of phycobilisomes from Anacystis nidulans and three pigment mutants</t>
  </si>
  <si>
    <t>10.1007/BF00035245</t>
  </si>
  <si>
    <t>2-s2.0-34250129789</t>
  </si>
  <si>
    <t>['¬© 1986', 'wide field', 'provide high', 'existing 64', 'compact array', '6 km', '580 km', '50 ghz', '327 mhz', '319 km']</t>
  </si>
  <si>
    <t>A large synthesis radio telescope is under construction in Australia at a cost of $A 30.7million. In comprises a 6 km-long 'compact array' of 22 m antenna at Culgoora and a 'long baseline array' of 319 km, achieved by adding another 22 m antenna near Coonabarabran and the existing 64 m antennae at Parkes. On occasion it will be possible to use this arry with one of the deep space network antennas at Tidbinbilla to achieve a baseline of 580 km. The arrays have been designed to provide high-resolution radio images over a wide field with high-dynamic range plus good polarization and spectral line performance. The operating frequency range is from about 327 MHz to over 50 GHz. ¬© 1986 D. Reidel Publishing Company.</t>
  </si>
  <si>
    <t>57-61</t>
  </si>
  <si>
    <t>Robinson, B. J.</t>
  </si>
  <si>
    <t>Robinson B.</t>
  </si>
  <si>
    <t>The Australian radio-telescope</t>
  </si>
  <si>
    <t>10.1007/BF00651107</t>
  </si>
  <si>
    <t>2-s2.0-34250130044</t>
  </si>
  <si>
    <t>['¬© 1986', 'stabilization experiment', 'scale length', 'rf stabilization', 'rf field', 'ponderomotive force', 'axisymmetric single']</t>
  </si>
  <si>
    <t>An rf-stabilization experiment was performed in the axisymmetric single-mirror device HIEI by controlling the radial-gradient scale length of the rf field with the aid of an azimuthally phased antenna array. The flute stability depends sensitively on the scale length of the perpendicular rf electric field, which shows that rf stabilization is caused by the ponderomotive force for ions. ¬© 1986 The American Physical Society.</t>
  </si>
  <si>
    <t>2811-2814</t>
  </si>
  <si>
    <t>56102798000;6701429033</t>
  </si>
  <si>
    <t>Yasaka, Y.;Itatani, R.</t>
  </si>
  <si>
    <t>Yasaka Y.</t>
  </si>
  <si>
    <t>Flute stabilization due to ponderomotive force created by an rf field with a variable gradient</t>
  </si>
  <si>
    <t>10.1103/PhysRevLett.56.2811</t>
  </si>
  <si>
    <t>2-s2.0-3643148206</t>
  </si>
  <si>
    <t>['wave guides', 'three variables', 'realistically considered', 'radiative cases', 'propagation axis', 'prohibitively long', 'harmonic conditions', 'growth time', 'grows linearly', 'geometrical limit', 'foreseeable future', 'field equations', 'exact solution', 'energetic systems', 'collimated beam']</t>
  </si>
  <si>
    <t>Linearized field equations and solutions are derived for a perturbed sheet beam of light. The work is based on an exact solution of a collimated beam in the geometrical limit. The linearized field changes of the initially curved background metric can be put, with the help of the harmonic conditions, into a normal coordinate form. These six normal coordinates satisfy six linearized, inhomogeneous, field equations in three variables. Stationary solutions include divergent beams. Gravitational waves propagating opposite to the beam's flux are found to be confined to a region about the propagation axis of the beam, much as is experienced in wave guides. Radiative cases can be produced by large angle scattering of light and are discussed in terms of their effect on an ideal optical antenna. The effect is one that grows linearly with time. The growth time is prohibitively long for the most energetic systems that can be realistically considered in the foreseeable future. ¬© 1986 American Institute of Physics.</t>
  </si>
  <si>
    <t>2362-2372</t>
  </si>
  <si>
    <t>Journal of Mathematical Physics</t>
  </si>
  <si>
    <t>Nackoney, Raymond W.</t>
  </si>
  <si>
    <t>Loyola University of Chicago</t>
  </si>
  <si>
    <t>Nackoney R.</t>
  </si>
  <si>
    <t>Gravitational solutions, including radiation, for a perturbed light beam</t>
  </si>
  <si>
    <t>10.1063/1.527393</t>
  </si>
  <si>
    <t>2-s2.0-36549099781</t>
  </si>
  <si>
    <t>['¬© 1986', 'yet combined', 'typically 0', 'traditional apparatus', 'thermosondes borne', 'temperature measurements', 'strong wind', 'results indicate', 'radiothermosondes borne', 'radio wavelengths', 'operator ).', 'meteorological purposes', 'maximum range', 'fundamental condition', 'etc .,', 'disposable balloons', 'different areas', 'bragg resonance', 'automatic rass', 'also analysed', 'advantages typical', 'acoustic antenna']</t>
  </si>
  <si>
    <t>A radio acoustic sounding system (RASS), operating at an acoustic frequency f{hook} ‚àº 360 Hz, proved to be capable of measuring the vertical temperature profile in the planetary boundary layer (PBL) with an accuracy and vertical resolution comparable to those of traditional apparatus (radiothermosondes borne by tethered or disposable balloons, thermosondes borne by aircraft and so on, yet combined with the advantages typical of remote sensing techniques. Since summer 1983 the system has been running in a completely automatic way by means of a microprocessor and can provide the average thermal profile at preset time intervals (typically 0.5 h). (Previously, the acoustic sounding frequency affording the fundamental condition of Bragg resonance between acoustic and radio wavelengths had to be identified by an operator). The maximum range of measurement has been ‚àº 1000 m in 50% of cases. Temperature measurements are reliable from an altitude of a few tens of meters. Results for different thermodynamic stability conditions, together with good performances achieved in adverse atmospheric conditions such as strong wind, snow, rain, etc., are presented here. Such results indicate the usefulness of the automatic RASS as a tool for meteorological purposes and for the application of air pollution control strategies. Maximum sounding range attained for different areas of the acoustic antenna is also analysed in order to evaluate the performance of an automatic mobile RASS. ¬© 1986.</t>
  </si>
  <si>
    <t>309-316</t>
  </si>
  <si>
    <t>Atmospheric Research</t>
  </si>
  <si>
    <t>60021199;60027994;60027994;60021199</t>
  </si>
  <si>
    <t>7003272494;24372794200;6603265992;6602159460</t>
  </si>
  <si>
    <t>Bonino, G.;Elisei, G.;Marzorati, A.;Trivero, P.</t>
  </si>
  <si>
    <t>Enel;Consiglio Nazionale delle Ricerche</t>
  </si>
  <si>
    <t>60027994;60021199</t>
  </si>
  <si>
    <t>Bonino G.</t>
  </si>
  <si>
    <t>Results on planetary boundary layer sounding by automatic rass</t>
  </si>
  <si>
    <t>0169-8095(86)90031-1</t>
  </si>
  <si>
    <t>10.1016/0169-8095(86)90031-1</t>
  </si>
  <si>
    <t>2-s2.0-38249038703</t>
  </si>
  <si>
    <t>['¬© 1986', 'upper atmosphere', 'time resolutions', 'stratospheric turbulence', 'spatial variability', 'making use', 'high altitude', 'echoing regions', '5 mhz']</t>
  </si>
  <si>
    <t>Refractive index fluctuations or turbulence in the mesosphere, stratosphere and troposphere are observed with the aid of the fast beam steerability of the MU (middle and upper atmosphere) radar which operates at 46.5 MHz with 1 MW peak radiation power and 8330 m2 antenna aperture. Morphology of the mesospheric and stratospheric turbulence is studied by making use of the high altitude and time resolutions. Sixteen beam observations based on the fast beam steerability reveal advection properties and spatial variability of echoing regions in the troposphere. These results demonstrate new possibilities for this system in the investigation of three dimensional structures of turbulence. ¬© 1986.</t>
  </si>
  <si>
    <t>1269-1278</t>
  </si>
  <si>
    <t>November 1986/December 1986</t>
  </si>
  <si>
    <t>60011001;60011001;60011001;60011001;60011001</t>
  </si>
  <si>
    <t>55398698300;7403584142;35433785500;9274833100;35425453600</t>
  </si>
  <si>
    <t>Fukao, Shoichiro;Sato, Toru;Tsuda, Toshitaka;Yamamoto, Mamoru;Kato, Susumu</t>
  </si>
  <si>
    <t>High resolution turbulence observations in the middle and lower atmosphere by the MU radar with fast beam steerability: preliminary results</t>
  </si>
  <si>
    <t>10.1016/0021-9169(86)90047-4</t>
  </si>
  <si>
    <t>2-s2.0-38249039971</t>
  </si>
  <si>
    <t>['¬© 1986', 'three frequencies', 'simultaneous monostatic', 'process signals', 'different frequency', 'considerable increase', 'bistatic modes', 'antennas radiates']</t>
  </si>
  <si>
    <t>A three-axis Doppler system has been set-up in a configuration that allows for simultaneous monostatic and bistatic modes of operation. Each of the antennas radiates a different frequency, and each is allowed to receive and process signals at three frequencies. A considerable increase in the information retrieved appears to be possible: preliminary experimental results are presented. ¬© 1986.</t>
  </si>
  <si>
    <t>213-223</t>
  </si>
  <si>
    <t>60021199-60032350-60027994;60021199-60032350-60027994;60021199-60032350-60027994</t>
  </si>
  <si>
    <t>7003490516;7004499360;6603265992</t>
  </si>
  <si>
    <t>Mastrantonio, G.;Fiocco, G.;Marzorati, A.</t>
  </si>
  <si>
    <t>Italy;Italy;Italy</t>
  </si>
  <si>
    <t>Rome;Rome;Rome</t>
  </si>
  <si>
    <t>Sapienza Universit√† di Roma;Enel;Consiglio Nazionale delle Ricerche</t>
  </si>
  <si>
    <t>60032350;60027994;60021199</t>
  </si>
  <si>
    <t>Mastrantonio G.</t>
  </si>
  <si>
    <t>Simultaneous operation of a sodar system in monostatic and bistatic modes: Preliminary results</t>
  </si>
  <si>
    <t>10.1016/0169-8095(86)90025-6</t>
  </si>
  <si>
    <t>2-s2.0-38249040027</t>
  </si>
  <si>
    <t>['wiley blackwell', 'rights reserved', 'posterior group', 'new genus', 'mouth cover', 'median antenna', 'et spa', 'characterized principally', 'anterior group', 'alternate spines']</t>
  </si>
  <si>
    <t>Acanthopale perkinsi gen. et spa, from coral reefs near the Isle of Pines, Cuba, and from off the coast of Florida is described. The genus is characterized principally by the shape and distribution of paleae, insertion of the median antenna, and presence of a caruncle and a mouth cover. Notosetae (paleae) are similar in shape to the stalks of a rosebush, with two perpendicular series of alternate spines. Paleae of the anterior group are approximately one third the length of those of the posterior group, which are very long and slender. The new genus is discussed and compared with the other genera of Chrysopetalidae. Copyright ¬© 1986, Wiley Blackwell. All rights reserved</t>
  </si>
  <si>
    <t>305-312</t>
  </si>
  <si>
    <t>Zoologica Scripta</t>
  </si>
  <si>
    <t>MARTIN, GUILLERMO SAN</t>
  </si>
  <si>
    <t>Universidad Aut√≥noma de Madrid</t>
  </si>
  <si>
    <t>MARTIN G.S.</t>
  </si>
  <si>
    <t>Acanthopale perkinsi gen. et sp.n. (Polychaeta, Chrysopetalidae) from Cuba and Florida</t>
  </si>
  <si>
    <t>10.1111/j.1463-6409.1986.tb00231.x</t>
  </si>
  <si>
    <t>2-s2.0-38249041452</t>
  </si>
  <si>
    <t>['¬© 1986', 'trichoplusia ni', 'stimulus intensities', 'spontaneous activity', 'sensitive sensilla', 'sensilla class', 'reliably excited', 'relative rates', 'receptor neurones', 'receptor neurone', 'pheromone components', 'overall length', 'oh ).', 'low doses', 'larger impulse', 'increased 10', 'dodecyl acetate', 'differential sensitivity', 'cuticular pores', 'b ".', 'ac even', '2 classes']</t>
  </si>
  <si>
    <t>cabbage looper moth | Lepidoptera | neurobiology | neurophysiology | Noctuidae | Pheromone | pheromone detection | scanning electron microscopy | Trichoplusia ni (H√ºbner)</t>
  </si>
  <si>
    <t>Single sensillum recordings and scanning electron micrographs from the antenna of male cabbage looper moths, Trichoplusia ni (H√ºbner), (Lepidoptera: Noctuidae), reveal the existence of 2 classes of pheromone-sensitive sensilla. The sensilla from each class contain 2 receptor neurones easily differentiated from each other according to action potential amplitude. The receptor neurone producing the larger impulse is designated as "A" and that producing the smaller as "B". The 2 sensilla classes are distinguished by the differential sensitivity and specificity of their receptor neurone's response to pheromone components and by their relative rates of spontaneous activity. The A receptor neurone in high spontaneous activity sensilla (HS) is reliably excited by low doses of (Z)-7,dodecyl acetate (Z7-12:AC); whereas, the companion B receptor neurone is excited by low doses of (Z)-7,dodecenol (Z7-12:OH). The A receptor neurone in the other sensilla class (LS) is unresponsive to Z7-12:AC even when stimulus intensities are increased 10,000-fold. However, its companion B receptor neurone is reliably excited by similarly high doses of this compound. The receptor neurones of these 2 sensilla classes also differ in their spectra of responses to other compounds. Scanning electron microscopic examination of electrophysiologically classified sensilla reveal morphological differences between the 2 sensilla classes including: overall length, degree of taper and density of cuticular pores. ¬© 1986.</t>
  </si>
  <si>
    <t>503-515</t>
  </si>
  <si>
    <t>Journal of Insect Physiology</t>
  </si>
  <si>
    <t>60000986;60000986</t>
  </si>
  <si>
    <t>7402445350;7103138825</t>
  </si>
  <si>
    <t>Grant, Alan J.;O'Connell, Robert J.</t>
  </si>
  <si>
    <t>Worcester</t>
  </si>
  <si>
    <t>University of Massachusetts Medical School</t>
  </si>
  <si>
    <t>Grant A.</t>
  </si>
  <si>
    <t>Neurophysiological and morphological investigations of pheromone-sensitive sensilla on the antenna of male Trichoplusia ni</t>
  </si>
  <si>
    <t>0022-1910(86)90065-X</t>
  </si>
  <si>
    <t>10.1016/0022-1910(86)90065-X</t>
  </si>
  <si>
    <t>2-s2.0-38249041905</t>
  </si>
  <si>
    <t>Deutsche Forschungsgemeinschaft</t>
  </si>
  <si>
    <t>SFB 4 : G1</t>
  </si>
  <si>
    <t>['¬© 1986', 'tubular body', 'species one', 'sensory cells', 'periplaneta americana', 'observed near', 'nodular thickening', 'mechanoreceptive capacities', 'maxillary palps', 'l .)', 'dilation within', 'dendrite sheath', 'day embryos', 'contact chemoreceptors', 'blattodea ).']</t>
  </si>
  <si>
    <t>Insect sensilla | mechanoreception | sensory cell differentiation</t>
  </si>
  <si>
    <t>Bundles of dendritic outer segments project to the 2nd embryonic cuticle from anlagen of contact chemoreceptors in the antennae of 9-day embryos (80-85% stage) of Locusta migratoria L. (Orthopteroidea) and in the maxillary palps of 24-day embryos (80% stage) of Periplaneta americana (L.) (Blattodea). The dendrite sheaths fuse with irregular nodular thickenings in the 2nd embryonic cuticle in Locusta; in Periplaneta the sheaths are joined to it by filaments. In both species one of the dendritic outer segments shows a dilation within which a tubular body is contained. This tubular body is located in Locusta at the nodular thickening where the dendrite sheath is connected to the 2nd embryonic cuticle. In Periplaneta, the tubular body was observed near the junction between the dendrite sheath and the cuticle in most cases, but at some distance to the cuticle in others. The occurrence of a tubular body is discussed with reference to mechanoreceptive capacities of the sensory cells and to the phylogeny of the 2nd embryonic cuticle. ¬© 1986.</t>
  </si>
  <si>
    <t>253-262</t>
  </si>
  <si>
    <t>60030807;60030807</t>
  </si>
  <si>
    <t>6603701874;16451036000</t>
  </si>
  <si>
    <t>Altner, Helmut;Ameismeier, Franz</t>
  </si>
  <si>
    <t>Regensburg</t>
  </si>
  <si>
    <t>Universit√§t Regensburg</t>
  </si>
  <si>
    <t>Altner H.</t>
  </si>
  <si>
    <t>Tubular bodies in dendritic outer segments projecting to second embryonic cuticle from anlagen of contact chemoreceptors in Locusta migratoria L. (Orthoptera : Acrididae) and Periplaneta americana (L.) (Dictyoptera : Blattidae)</t>
  </si>
  <si>
    <t>0020-7322(86)90043-7</t>
  </si>
  <si>
    <t>10.1016/0020-7322(86)90043-7</t>
  </si>
  <si>
    <t>2-s2.0-38249043042</t>
  </si>
  <si>
    <t>['¬© 1986', 'trypoxylon attenuatum', 'sensilla placodea', 'psenulus concolor', 'pore plates', 'pore plate', 'perforated plate', 'like membrane', 'encircling ledge', 'cuticulin layer', 'cuticular features', 'cuticular apparatus', 'antennal surface', 'antennal cuticle', 'also observed']</t>
  </si>
  <si>
    <t>degeneration of envelope cells | Insects | olfactory sensilla</t>
  </si>
  <si>
    <t>While the pore plates of some species of the Sphecoidea (Hymenoptera) rise above the antennal surface, those of other species are flush with it. Not all species possess pore plates. On the antennae of those species, which lack pore plates, small sensilla basiconica are found. The pore plates of Psenulus concolor were studied in detail. The cuticular apparatus rises above the antennal surface. Cuticular features are the encircling ledge and delicate cuticular ledges reinforcing the perforated plate, as well as a joint-like membrane that anchors the plate into the antennal cuticle. Each pore plate is associated with 9-23 sense cells and 4 envelope cells, the second of which is doubled. In very early developmental stages, however, supernumerary envelope cells are observed; they degenerate before the cuticulin layer is secreted. Envelope cell 1 secretes a temporary dendrite sheath, while the envelope cells 2-4 are responsible for the secretion of the cuticular apparatus. The morphology and the development of the small sensilla basiconica are described in Trypoxylon attenuatum. The curved sensillum pointing to the tip of the antenna is anchored by a joint-like membrane. About 15 sense cells innervate the sensillum. The number and the arrangement of the envelope cells resemble that of the sensilla placodea. During very early developmental stages, supernumerary envelope cells are also observed. They degenerate before the cuticle of the cone is secreted by the surviving envelope cells 2-4. ¬© 1986.</t>
  </si>
  <si>
    <t>183-200</t>
  </si>
  <si>
    <t>Ultrastructure and development of single-walled sensilla placodea and basiconica on the antennae of the Sphecoidea (Hymenoptera : aculeata)</t>
  </si>
  <si>
    <t>0020-7322(86)90057-7</t>
  </si>
  <si>
    <t>10.1016/0020-7322(86)90057-7</t>
  </si>
  <si>
    <t>2-s2.0-38249043565</t>
  </si>
  <si>
    <t>['¬© 1986', 'subsequent molts', 'spacing within', 'sensory fields', 'proximal along', 'posterior faces', 'one annulus', 'olfactory sensilla', 'locusta migratoria', 'fully differentiated', 'final molt', 'existing annuli', 'distal annuli', 'coeloconic sensilla', 'biggest increase']</t>
  </si>
  <si>
    <t>chaetogen | Contact chemoreceptors | control of differentiation | olfactory sensilla</t>
  </si>
  <si>
    <t>The antenna of Locusta migratoria (Orthoptera : Acrididae) increases in length by the production of new annuli proximally and by elongation of existing annuli. The most distal annuli are fully differentiated at the time of hatching and no new olfactory sensilla are added to them at subsequent molts. More proximally, the differentiation of trichoid contact chemoreceptors precedes the development of olfactory sensilla. Sensillum differentiation proceeds from distal to proximal along the antenna and more distal annuli attain full development at each molt. The biggest increase in numbers of olfactory sensilla occurs at the final molt. On any one annulus, most olfactory sensilla are restricted to sensory fields on the anterior and posterior faces. Their spacing within these fields is consistent with the existence of separate but interacting chaetogens regulating the differentiation of basiconic and coeloconic sensilla. ¬© 1986.</t>
  </si>
  <si>
    <t>83-96</t>
  </si>
  <si>
    <t>60025038;60000891</t>
  </si>
  <si>
    <t>7403128130;7202445760</t>
  </si>
  <si>
    <t>Chapman, R. F.;Greenwood, M.</t>
  </si>
  <si>
    <t>Berkeley;Loughborough</t>
  </si>
  <si>
    <t>University of California, Berkeley;Loughborough University</t>
  </si>
  <si>
    <t>Chapman R.F.</t>
  </si>
  <si>
    <t>Changes in distribution and abundance of antennal sensilla during growth of Locusta migratoria L. (Orthoptera : Acrididae)</t>
  </si>
  <si>
    <t>0020-7322(86)90009-7</t>
  </si>
  <si>
    <t>10.1016/0020-7322(86)90009-7</t>
  </si>
  <si>
    <t>2-s2.0-38249043952</t>
  </si>
  <si>
    <t>['¬© 1986', 'spectral nulls', 'specified frequencies', 'specific examples', 'signal processing', 'profound effect', 'practical optimization', 'persymmetric properties', 'orthogonal complement', 'optimum window', 'optimization problem', 'numerical maximization', 'nonconstrained maximization', 'many situations', 'many problems', 'frequency interval', 'first expressed', 'constraining subspace', 'constrained maximization', 'computational complexity', 'communication theory', 'basic understanding', 'antenna theory', 'analytical sense', 'also interest']</t>
  </si>
  <si>
    <t>constrained optimization | digital signal processing | spectral analysis | Window</t>
  </si>
  <si>
    <t>The optimum energy criterion continuous and discrete prolate spheroidal wave function windows had a profound effect on the basic understanding and practical optimization of many problems in communication theory, signal processing, and antenna theory. However, in many situations, there is interest in not only packing maximum window energy in some frequency interval, but also interest in imposing precise spectral window values and spectral nulls over some specified frequencies. We have formulated and solved such an optimization problem in an analytical sense as well as in an efficient computational sense. The problem is first expressed as a constrained maximization of a normalized quadratic form w‚Ä≤Aw/w‚Ä≤w, where A is a positive-definite matrix specified by the window energy concentration interval, w is the window weighting vector, and the constraining subspace is specified by the spectral window values and locations. This problem is then transformed to a nonconstrained maximization of a normalized quadratic form w‚Ä≤ PAPw/w‚Ä≤w, where P is a projection operator onto the orthogonal complement of the original constraining subspace. Persymmetric properties of A and PAP are used to reduce the computational complexity of the solution of the optimum window. Numerical maximization can be readily performed using the iterative power method. Specific examples are presented. ¬© 1986.</t>
  </si>
  <si>
    <t>157-168</t>
  </si>
  <si>
    <t>Signal Processing</t>
  </si>
  <si>
    <t>Yao, K.</t>
  </si>
  <si>
    <t>Yao K.</t>
  </si>
  <si>
    <t>Maximum energy window with constrained spectral values</t>
  </si>
  <si>
    <t>0165-1684(86)90034-4</t>
  </si>
  <si>
    <t>10.1016/0165-1684(86)90034-4</t>
  </si>
  <si>
    <t>2-s2.0-46149133817</t>
  </si>
  <si>
    <t>['wiley blackwell', 'sensilla trichodea', 'sensilla chaetica', 'rights reserved', 'mainly confined', 'general morphology', 'following types', 'bohm bristles', 'antennal sensilla']</t>
  </si>
  <si>
    <t>The general morphology of the antennae and the antennal sensilla of both sexes of Boarmia (Ascotis) selenaria Schifferm√úller are described. The following types of sensilla were found: Bohm bristles and sensilla chaetica, trichodea, coeloconica, auricillica and styloconica. Antennal sexual dimorphism is marked, but mainly confined to the presence of long sensilla trichodea in males and the absence in females. The sensilla trichodea are the most abundant sensillum type. Copyright ¬© 1986, Wiley Blackwell. All rights reserved</t>
  </si>
  <si>
    <t>175-179</t>
  </si>
  <si>
    <t>60006723;60002483</t>
  </si>
  <si>
    <t>6603716106;24384443400</t>
  </si>
  <si>
    <t>WYSOKI, M.;SCHEEPENS, M. H.M.</t>
  </si>
  <si>
    <t>Israel;Netherlands</t>
  </si>
  <si>
    <t>Bet Dagan;Amsterdam</t>
  </si>
  <si>
    <t>Agricultural Research Organization of Israel;Universiteit van Amsterdam</t>
  </si>
  <si>
    <t>WYSOKI M.</t>
  </si>
  <si>
    <t>The antennae and antennal sensilla of the giant looper, Boarmia (Ascotis) selenaria Schifferm√úller (Lepidoptera, Geometridae)</t>
  </si>
  <si>
    <t>10.1111/j.1463-6409.1986.tb00220.x</t>
  </si>
  <si>
    <t>2-s2.0-46149137083</t>
  </si>
  <si>
    <t>['¬© 1987', 'unsmooth problem', 'typical calculations', 'numerical solution', 'mathematical programming', 'given properties', 'functional space', 'algorithms developed']</t>
  </si>
  <si>
    <t>The problem of designing an antenna whose radiation pattern has given properties is formulated and solved as an unsmooth problem of mathematical programming in functional space. The numerical solution is obtained by algorithms developed for optimal control problems. Examples of typical calculations are given. ¬© 1987.</t>
  </si>
  <si>
    <t>44-51</t>
  </si>
  <si>
    <t>USSR Computational Mathematics and Mathematical Physics</t>
  </si>
  <si>
    <t>24446565700;57225407985</t>
  </si>
  <si>
    <t>Perebinos, M. F.;Fedorenko, R. P.</t>
  </si>
  <si>
    <t>Perebinos M.F.</t>
  </si>
  <si>
    <t>Methods of mathematical programming in problems of optimal antenna design</t>
  </si>
  <si>
    <t>10.1016/0041-5553(86)90111-4</t>
  </si>
  <si>
    <t>2-s2.0-46149137120</t>
  </si>
  <si>
    <t>['wiley blackwell', 'type species', 'south africa', 'sierra leone', 'rights reserved', 'new guinea', 'n .)', 'mollibracon gen', 'long antennae', 'kimavu gen', 'jugubracon gen']</t>
  </si>
  <si>
    <t>Jugubracon gen. n (type species: Jugubracon ferrugineus sp.n.) from New Guinea is described and illustrated. Jugubracon is related to Bracon, from which it is distinguished by a mid‚Äêlongitudinally carinate 1st metasomal tergite and a curved fore‚Äêwing vein 1‚ÄêSR+M. Kimavu gen.n. (type species: Kimavu fulvus sp.n.) from Sierra Leone, South Africa and Madagascar is described and illustrated. Kimavu is related to Cratocnema Sz√©pligeti, from which it is distinguished by having long antennae which, in females, have a pale coloured annulus. Brucon annulicornis Brues, 1924, is transferred to Kimavu. Mollibracon gen.n. (type species: Bracon bimaris Turner, 1918) from Australia is described and illustrated. Mollibracon is related to Myosoma Brull√©, from which it is distinguished by a strongly curved fore‚Äêwing vein 1‚ÄêSR+M. Copyright ¬© 1986, Wiley Blackwell. All rights reserved</t>
  </si>
  <si>
    <t>QUICKE, DONALD L.J.</t>
  </si>
  <si>
    <t>Nottingham</t>
  </si>
  <si>
    <t>University of Nottingham</t>
  </si>
  <si>
    <t>QUICKE D.</t>
  </si>
  <si>
    <t>Three new genera of Braconini from the Afrotropical and Australian regions (Insecta, Hymenoptera, Braconidae)</t>
  </si>
  <si>
    <t>10.1111/j.1463-6409.1986.tb00221.x</t>
  </si>
  <si>
    <t>2-s2.0-46149139283</t>
  </si>
  <si>
    <t>['¬© 1986', 'spatial distribution', 'regional distribution', 'oxidative capacity', 'nadh diaphorase', 'muscle fiber', 'muscle cross', 'histochemical stainings', 'functional significance', 'flexor muscles', 'fiber types', 'distal joint', 'demonstrated within', 'contractile performances', 'behavioural role', 'antennal muscles', 'antagonist muscles']</t>
  </si>
  <si>
    <t>1. 1. Muscle fiber composition of antennal muscles of the rock lobster Palinurus vulgaris, was studied. Three fiber types (fast, slow and intermediate) were recognized within extensor and flexor muscles of the distal joint, on the basis of histochemical stainings for NADH diaphorase and ATPase. 2. 2. A correlation between oxidative capacity of a muscle fiber, as measured by NADH diaphorase activity, and myofibrillar ATPase activity was shown to exist. 3. 3. The spatial distribution of fiber types was analysed in muscle cross-section and a regional distribution of the fiber types was demonstrated within both antagonist muscles. 4. 4. The functional significance of the results is discussed in relation to the contractile performances of the muscles and to the behavioural role of the rock lobster antennae. ¬© 1986.</t>
  </si>
  <si>
    <t>617-623</t>
  </si>
  <si>
    <t>Comparative Biochemistry and Physiology -- Part A: Physiology</t>
  </si>
  <si>
    <t>105383610;105383610</t>
  </si>
  <si>
    <t>6603211907;7003437613</t>
  </si>
  <si>
    <t>Rossi-Durand, Christiane;Pagni, Simone</t>
  </si>
  <si>
    <t>C.N.R.S.-Institute of Neurophysiology and Psychophysiology-INP 4-31</t>
  </si>
  <si>
    <t>Rossi-Durand C.</t>
  </si>
  <si>
    <t>The antennal motor system of the rock lobster: Fiber composition of the muscles based on enzyme histochemistry</t>
  </si>
  <si>
    <t>10.1016/0300-9629(86)90375-0</t>
  </si>
  <si>
    <t>2-s2.0-46149140272</t>
  </si>
  <si>
    <t>['v +,', 'two modes', 'simplifies considerably', 'short bursts', 'results deduced', 'resonant transducer', 'one month', 'nonresonant transducer', 'new approach', 'march 1984', 'm2 hz', 'helium temperature', 'h 0', 'gravitational waves', 'good agreement', 'frequencies v', 'fet amplifier', 'experimental values', 'experimental results', 'data collected', 'data analysis', 'also evaluated', '6 j']</t>
  </si>
  <si>
    <t>Astronomical observations (listed by technique of observation) | Experimental tests of general relativity and observations of gravitational radiation</t>
  </si>
  <si>
    <t>We present here a new approach which simplifies considerably the data analysis for gravitational-wave antennas equipped with resonant transducer, based on the representation of the antenna as two independent oscillators. In fact, we can apply to each of the two modes of these antennas the same data analysis procedures already in use for antennas with nonresonant transducer and then compute the coincidences between the outputs of the two modes. The results deduced by such a procedure are in good agreement with the experimental results from the data collected in March 1984 with our 2270 kg 5056 Al bar cooled at liquid-helium temperature (T=4.2 K). The performances of the algorithms are presented in terms of the effective noise temperatures and sensitivity to short bursts of gravitational waves. With our experimental values, obtained by using a FET amplifier, we get an instrumental sensitivity F(v) of 6 J/m2 Hz. We have also evaluated the sensitivity of the detector for monochromatic gravitational waves with frequencies in bandwidths of {difference between}0.4 Hz around the frequencies v - and v +, for one month of observation:h 0{difference between}3¬∑10-23. ¬© 1986 Societ√† Italiana di Fisica.</t>
  </si>
  <si>
    <t>51-73</t>
  </si>
  <si>
    <t>Il Nuovo Cimento C</t>
  </si>
  <si>
    <t>60032350-60021660;60032350-60021660;60032350-60021660;60032350-60021660;60021660-60082962;60019778;60021660-60027509;60032350-60021660-60082962</t>
  </si>
  <si>
    <t>24785703100;7003386560;7003636273;7103269533;7004641893;6701785659;7005568912;7004243218</t>
  </si>
  <si>
    <t>Amaldi, E.;Pizzella, G.;Rapagnani, P.;Ricci, F.;Bonifazi, P.;Cavallari, G.;Coccia, E.;Pallottino, G. V.</t>
  </si>
  <si>
    <t>Italy;Italy;Italy;Italy;Switzerland</t>
  </si>
  <si>
    <t>Rome;Rome;Rome;Rome;Geneva</t>
  </si>
  <si>
    <t>Istituto di Fisica dello Spazio Interplanetario, Rome;Sapienza Universit√† di Roma;Universit√† degli Studi di Roma "Tor Vergata";Istituto Nazionale di Fisica Nucleare - INFN;European Organization for Nuclear Research</t>
  </si>
  <si>
    <t>60082962;60032350;60027509;60021660;60019778</t>
  </si>
  <si>
    <t>Amaldi E.</t>
  </si>
  <si>
    <t>Data analysis for a gravitational wave antenna with resonant capacitive transducer</t>
  </si>
  <si>
    <t>10.1007/BF02508052</t>
  </si>
  <si>
    <t>2-s2.0-51649150196</t>
  </si>
  <si>
    <t>['¬© 1986', 'rights reserved', 'rf field', 'primary electrons', 'plasma parameters', 'plasma lifetime', 'larger volume', 'indian academy']</t>
  </si>
  <si>
    <t>52.55 | antenna | major radius | minor radius | radio frequency electric field | toroidal magnetic field | Toroidal plasma | vertical magnetic field</t>
  </si>
  <si>
    <t>Low temperature plasma parameters in a toroidal magnetic field are measured. The effect of an externally applied perpendicular electric field on the plasma parameters is studied. The lifetime of the plasma is measured in the presence and absence of the RF electric field. Decrease in the plasma lifetime in the presence of RF field is attributed to detrapping of the primary electrons to a larger volume. Plasma lifetime increases when a small vertical magnetic field is added to the toroidal magnetic field. ¬© 1986, Indian Academy of Sciences. All rights reserved.</t>
  </si>
  <si>
    <t>549-561</t>
  </si>
  <si>
    <t>Pramana: Journal of Physics</t>
  </si>
  <si>
    <t>60014901;60014901;60014901</t>
  </si>
  <si>
    <t>7003909720;57214515625;7006076408</t>
  </si>
  <si>
    <t>Bora, D.;Satyanarayana, K.;Rai, V. N.</t>
  </si>
  <si>
    <t>Ahmedabad</t>
  </si>
  <si>
    <t>Physical Research Laboratory India</t>
  </si>
  <si>
    <t>Bora D.</t>
  </si>
  <si>
    <t>Effect of radio frequency field on toroidal plasma parameters</t>
  </si>
  <si>
    <t>10.1007/BF02846882</t>
  </si>
  <si>
    <t>2-s2.0-5844344944</t>
  </si>
  <si>
    <t>IEEE Antennas and Propagation Society Newsletter</t>
  </si>
  <si>
    <t>7202452162;7402507033</t>
  </si>
  <si>
    <t>Richards, William F.;Long, Stuart A.</t>
  </si>
  <si>
    <t>Richards W.F.</t>
  </si>
  <si>
    <t>Reactively Loaded Microstrip Antennas</t>
  </si>
  <si>
    <t>10.1109/MAP.1986.27876</t>
  </si>
  <si>
    <t>2-s2.0-67649407898</t>
  </si>
  <si>
    <t>Schrank, Hal</t>
  </si>
  <si>
    <t>Schrank H.</t>
  </si>
  <si>
    <t>Antenna Designer's Notebook</t>
  </si>
  <si>
    <t>10.1109/MAP.1986.27840</t>
  </si>
  <si>
    <t>2-s2.0-84863798863</t>
  </si>
  <si>
    <t>['¬© 1986', 'tucker conditions', 'sectional areas', 'rights reserved', 'previous methods', 'optimal design', 'objective function', 'new method', 'member cross', 'load caused', 'included among', 'francis group', 'final value', 'design variables', 'antenna structures', 'algorithm incorporates']</t>
  </si>
  <si>
    <t>Antenna structures | optimality criteria | optimization</t>
  </si>
  <si>
    <t>The guide-weight criterion method is an efficient rational criterion method for the optimal design of antenna structures. The algorithm incorporates a set of recursion formulae derived from the Kuhn-Tucker conditions for a conditional extreme value. It has overcome the limitations of previous methods which had to neglect the change of load caused by change of design variables, and both member cross-sectional areas and coordinates of joints are included among the design variables in the new method. Compared with the virtual work approach developed by Levy, much better results are obtained in respect of both the rate of convergence and the final value of the objective function. ¬© 1986, Taylor &amp; Francis Group, LLC. All rights reserved.</t>
  </si>
  <si>
    <t>199-216</t>
  </si>
  <si>
    <t>0305215X</t>
  </si>
  <si>
    <t>Engineering Optimization</t>
  </si>
  <si>
    <t>60025578;60025578</t>
  </si>
  <si>
    <t>56972579400;56972573800</t>
  </si>
  <si>
    <t>Shuxun, Chen;Shanghui, Ye</t>
  </si>
  <si>
    <t>Xidian University</t>
  </si>
  <si>
    <t>Shuxun C.</t>
  </si>
  <si>
    <t>A guide-weight criterion method for the optimal design of antenna structures</t>
  </si>
  <si>
    <t>10.1080/03052158608902537</t>
  </si>
  <si>
    <t>2-s2.0-84880499522</t>
  </si>
  <si>
    <t>['wave equation', 'subarray viewpoint', 'spot coverage', 'small portion', 'small array', 'small antennas', 'revisited briefly', 'results form', 'numerical computations', 'near field', 'modal decomposition', 'geometrical optics', 'developed using', 'design procedure', 'described first', 'control elements', 'angular coverage', 'active elements']</t>
  </si>
  <si>
    <t>An optical limited scan antenna system is considered for applications such as spot coverage of a small portion of the earth from a satellite. The optimum criterion relating aperture efficiency, number of control elements, and angular coverage is revisited briefly. The optical scheme advocated utilizes a bootlace aperture lens, a generalized Luneberg lens focused to the near field, and a small array of active elements. The operation of the system is described first in terms of geometrical optics and elementary diffraction principles. The subarray viewpoint is then developed using simplified diffraction concepts. These results form the basis of a design procedure for the synthesis of high performance limited scan systems. An accurate solution necessary for the analysis of small antennas is developed using a modal decomposition and the wave equation. Numerical computations for a case of practical interest verify the expectation of near optimum performance. ¬© 1986 IEEE</t>
  </si>
  <si>
    <t>1133-1142</t>
  </si>
  <si>
    <t>Dufort, Edward C.</t>
  </si>
  <si>
    <t>Dufort E.</t>
  </si>
  <si>
    <t>Optimum Optical Limited Scan Antenna</t>
  </si>
  <si>
    <t>10.1109/TAP.1986.1143957</t>
  </si>
  <si>
    <t>2-s2.0-84889401462</t>
  </si>
  <si>
    <t>['¬© 1986', 'typical source', 'transition frequencies', 'spectroscopic data', 'species identity', 'rights reserved', 'national institute', 'microwave regions', 'laboratory literature', 'interstellar clouds', 'critical examination', 'american institute', 'also given']</t>
  </si>
  <si>
    <t>HYPERFINE STRUCTURE | interstellar molecules | INTERSTELLAR SPACE | MICROWAVE SPECTRA | MOLECULES | QUANTUM NUMBERS | rotational spectra</t>
  </si>
  <si>
    <t>Accurate transition frequencies for the transitions of the molecular species detected in interstellar clouds are presented. These are recommended for reference in future astronomical observations in the radio and microwave regions. The transition frequencies have been selected through critical examination and analysis of the spectroscopic data in the literature. The species identity, quantum number labels, and probable error limits (2œÉ) are presented for each transition. Representative line antenna temperatures are also given for a typical source as a convenience to users. References are cited to both the astronomical and laboratory literature. ¬© 1986, American Institute of Physics for the National Institute of Standards and Technology. All rights reserved.</t>
  </si>
  <si>
    <t>251-303</t>
  </si>
  <si>
    <t>Journal of Physical and Chemical Reference Data</t>
  </si>
  <si>
    <t>Lovas, F. J.</t>
  </si>
  <si>
    <t>Lovas F.</t>
  </si>
  <si>
    <t>Recommended Rest Frequencies for Observed Interstellar Molecular Microwave Transitions‚Äì1985 Revision</t>
  </si>
  <si>
    <t>10.1063/1.555771</t>
  </si>
  <si>
    <t>2-s2.0-84902860979</t>
  </si>
  <si>
    <t>['¬© 1986', 'rights reserved', 'new ways', 'mutual coupling', 'microstrip antennas', 'early design', 'current state', 'analytical techniques', 'analysis work']</t>
  </si>
  <si>
    <t>This article will review the development of microstrip antennas and arrays. Early design and analysis work will be discussed, along with the advantages and limitations of microstrip antennas. Characteristics such as bandwidth, mutual coupling, and polarization will be addressed, and some of the recent work related to these characteristics will be noted. The current state of analytical techniques will be discussed, as will the concepts of a monolithic phased array. Finally, some new ways of feeding microstrip antennas will be presented. ¬© 1986, IEEE. All rights reserved.</t>
  </si>
  <si>
    <t>An Update on Microstrip Antenna Theory and Design Including Some Novel Feeding Techniques</t>
  </si>
  <si>
    <t>10.1109/MAP.1986.27875</t>
  </si>
  <si>
    <t>2-s2.0-84903771171</t>
  </si>
  <si>
    <t>DFG</t>
  </si>
  <si>
    <t>['¬© 1986', 'two cyanobacteria', 'several phycorubins', 'ring c', 'rights reserved', 'results show', 'quantitative study', 'phycocyanin subunits', 'pc investigated', 'mesobilirubin 3', 'mastigocladus laminosus', 'latter correspond', 'integral phycocyanin', 'dihydrogenated ring', 'diazotized ethylanthranilate', 'diazo reaction', 'bilirubin ix', 'b fragment', '4 ).']</t>
  </si>
  <si>
    <t>Antenna | Bile Pigments | Biliverdin | Photosynthesis | Phycobiliproteins</t>
  </si>
  <si>
    <t>A quantitative study of the diazo reaction has been made with several bilirubins including a 2, 3-dihydrobilirubin and several phycorubins. The latter have been prepared from the integral phycocyanin of two cyanobacteria (Mastigocladus laminosus and Spirulina platensis), and from the phycocyanin subunits. These phycorubins have been subjected to the diazo reaction in order to test for the presence of a second covalent chromophore protein bond in the latter. 1) The diazo reaction of unsymmetrically substituted bilirubins, mesobilirubin (3) and bilirubin IX a (13) in aqueous solution yields four products, two isomeric 9-azo-dipyrromethenones, and two isomeric 9-hydroxymethyl-dipyrromethenones. The maximum total yield is &gt; 97% with diazotized sulfanilic acid, and &lt; 60% with diazotized ethylanthranilate. 2) The diazo reaction of the 2, 3-dihydrobilirubin (16) yields likewise four products, two of them containing the 2, 3-dihydrogenated ring A/B fragment. The attack is regioselective at C-11 (6:4). 3) The diazo reaction of the phycorubins with ethylanthranilate yields two peptide bound products, containing the ring A/B fragment, and two low molecular weight products. The latter correspond to the C/D fragment and are identical with the respective products derived from mesobilirubin 3. The attack is preferential at C-9 (&gt; 4:1 with &lt; 1 mole reagent added). These results show, that there is no second covalent chromophore peptide bond in the PC investigated at the ring C/D fragment. ¬© 1986, Verlag der Zeitschrift f√ºr Naturforschung. All rights reserved.</t>
  </si>
  <si>
    <t>437-452</t>
  </si>
  <si>
    <t>Zeitschrift fur Naturforschung - Section C Journal of Biosciences</t>
  </si>
  <si>
    <t>60028717;60028717;60028717;60028717</t>
  </si>
  <si>
    <t>6507086969;57216166536;7403700517;57216047370</t>
  </si>
  <si>
    <t>Kufer, W.;Schmidt, O.;Schmidt, G.;Scheer, H.</t>
  </si>
  <si>
    <t>Ludwig-Maximilians-Universit√§t M√ºnchen</t>
  </si>
  <si>
    <t>Kufer W.</t>
  </si>
  <si>
    <t>The Diazo Reaction of Bilirubins and Phycorubins: A Quantitative Study</t>
  </si>
  <si>
    <t>10.1515/znc-1986-0411</t>
  </si>
  <si>
    <t>2-s2.0-84935386137</t>
  </si>
  <si>
    <t>22-23</t>
  </si>
  <si>
    <t>Antenna Designer‚Äôs Notebook</t>
  </si>
  <si>
    <t>10.1109/MAP.1986.27861</t>
  </si>
  <si>
    <t>2-s2.0-84939334118</t>
  </si>
  <si>
    <t>20-21</t>
  </si>
  <si>
    <t>10.1109/MAP.1986.27885</t>
  </si>
  <si>
    <t>2-s2.0-84939338176</t>
  </si>
  <si>
    <t>['unique angular', 'technique presented', 'significantly reduced', 'rf loss', 'principal planes', 'phase arrangements', 'mutual coupling', 'microstrip type', 'main beam', 'large array', 'cp quality', 'array feed', 'array composed', 'another feature']</t>
  </si>
  <si>
    <t>A method is presented for generating circularly polarized radiation from an array composed of linearly polarized elements having unique angular and phase arrangements. With this technique the complexity, weight, and RF loss of the array feed can be significantly reduced, especially in a large array. This uniquely formed array has the capability of generating excellent circular polarization (CP) over a relatively wide frequency bandwidth. In addition, the array is capable of scanning its main beam in the principal planes to relatively wide angles from its broadside direction without serious degradation to its CP quality. Another feature of this uniquely arranged array is a reduction in the occurrence of mutual coupling. The discussion in this paper places special emphasis on the microstrip type of radiator, although the technique presented can be adapted to most types of linearly polarized antenna elements. ¬© 1986 IEEE</t>
  </si>
  <si>
    <t>1113-1124</t>
  </si>
  <si>
    <t>Huang, John</t>
  </si>
  <si>
    <t>Huang J.</t>
  </si>
  <si>
    <t>A Technique for an Array to Generate Circular Polarization with Linearly Polarized Elements</t>
  </si>
  <si>
    <t>10.1109/TAP.1986.1143953</t>
  </si>
  <si>
    <t>2-s2.0-84939345627</t>
  </si>
  <si>
    <t>['underlying self', 'synthesis procedure', 'similarity inherent', 'random fractals', 'producing robust', 'novel method']</t>
  </si>
  <si>
    <t>A novel method of random array synthesis is presented. This new method relies on the application of the underlying self-similarity inherent in random fractals to the problem of antenna array theory. Several examples demonstrate the synthesis procedure and its usefulness in producing robust, low sidelobe arrays. ¬© 1986 IEEE</t>
  </si>
  <si>
    <t>1278-1280</t>
  </si>
  <si>
    <t>60102562;60102562</t>
  </si>
  <si>
    <t>57221436165;7006013598</t>
  </si>
  <si>
    <t>Kim, Y.;Jaggard, D. L.</t>
  </si>
  <si>
    <t>School of Engineering and Applied Science</t>
  </si>
  <si>
    <t>Kim Y.</t>
  </si>
  <si>
    <t>The Fractal Random Array</t>
  </si>
  <si>
    <t>10.1109/PROC.1986.13617</t>
  </si>
  <si>
    <t>2-s2.0-84939702316</t>
  </si>
  <si>
    <t>['theoretical predictions', 'several oscillators', 'phased array', 'paper presents', 'oscillator inter', 'oscillator drives', 'novel approach', 'locking concept', 'locked system', 'free space', 'electronics engineers', 'demonstration three', 'conventional power', 'combining circuit', 'antenna element', 'aided design']</t>
  </si>
  <si>
    <t>This paper presents a novel approach to synchronizing the phases of several oscillators for coherent power combining either in a conventional power-combining circuit or in free space as each oscillator drives an antenna element in a phased array. A set of nonlinear differential equations is derived to predict the system's behavior. These equations are used in the computer-aided design and construction of a demonstration three-oscillator inter-injection-locked system at VHF. Good qualitative agreement between initial experimental results and theoretical predictions is observed, and applications of the inter-injection-locking concept to systems are discussed. Copyright ¬© 1986 by The Institute of Electrical and Electronics Engineers, Inc.</t>
  </si>
  <si>
    <t>1017-1025</t>
  </si>
  <si>
    <t>Stephan, Karl D.</t>
  </si>
  <si>
    <t>Stephan K.D.</t>
  </si>
  <si>
    <t>Inter-Injection-Locked Oscillators for Power Combining and Phased Arrays</t>
  </si>
  <si>
    <t>10.1109/TMTT.1986.1133491</t>
  </si>
  <si>
    <t>2-s2.0-84939715126</t>
  </si>
  <si>
    <t>24-25</t>
  </si>
  <si>
    <t>10.1109/MAP.1986.27877</t>
  </si>
  <si>
    <t>2-s2.0-84939737024</t>
  </si>
  <si>
    <t>['unsatisfactory patterns', 'two elements', 'ten elements', 'shaped beams', 'receiving signals', 'measured results', 'limited number', 'insufficient degrees', 'improvement technique', 'electronics engineers', 'calculated pattern', 'algorithm necessary']</t>
  </si>
  <si>
    <t>When shaped beams are synthesized using array antennas with a limited number of elements, insufficient degrees of freedom sometimes result in practically unsatisfactory patterns. In such cases, it is very convenient if the unsatisfactory patterns can be improved to satisfactory ones using some techniques. An example is presented of such pattern improvement techniques. First, an algorithm necessary for the improvement technique is derived by modifying an algorithm commonly used for adaptive array antennas into a form not requiring real time information of receiving signals. Then, three application examples of this technique are presented. In the example of a shaped beam array antenna of which two elements are removed out of ten elements, measured results are compared to the calculated pattern to show the validity and usefulness of this technique. Copyright ¬© 1986 by The Institute of Electrical and Electronics Engineers, Inc.</t>
  </si>
  <si>
    <t>825-829</t>
  </si>
  <si>
    <t>60018735;60018735</t>
  </si>
  <si>
    <t>55624479867;7402420535</t>
  </si>
  <si>
    <t>Suzuki, Yasuo;Chiba, Taneaki</t>
  </si>
  <si>
    <t>Toshiba Corporation</t>
  </si>
  <si>
    <t>Suzuki Y.</t>
  </si>
  <si>
    <t>An Algorithm for Pattern Synthesis Improvement</t>
  </si>
  <si>
    <t>10.1109/TAP.1986.1143897</t>
  </si>
  <si>
    <t>2-s2.0-84939761499</t>
  </si>
  <si>
    <t>['partial waves', 'mobile antennas', 'located close', 'interferences due', 'electronics engineers']</t>
  </si>
  <si>
    <t>Mobile antennas, located close to the ground, e.g. receivers in vehicles, are subject to continuously changing field strength levels. Through the effects of scattering and reflection, partial waves are superimposed on the direct signal depending on time and location and lead to interferences due to multipath (MP) reception. Copyright ¬© 1986 by The Institute of Electrical and Electronics Engineers, Inc.</t>
  </si>
  <si>
    <t>475-481</t>
  </si>
  <si>
    <t>60084261;60028673;60028673</t>
  </si>
  <si>
    <t>7102301287;6701606454;6602733409</t>
  </si>
  <si>
    <t>Ammon, Heinz;Dietze, Andreas;Kriedt, Hans</t>
  </si>
  <si>
    <t>United States;Germany</t>
  </si>
  <si>
    <t>New York;Munich</t>
  </si>
  <si>
    <t>Siemens USA;Siemens AG</t>
  </si>
  <si>
    <t>60084261;60028673</t>
  </si>
  <si>
    <t>Ammon H.</t>
  </si>
  <si>
    <t>High performance FM-IF IC for systems with search tuning stop and multipath interference detection</t>
  </si>
  <si>
    <t>10.1109/TCE.1986.290068</t>
  </si>
  <si>
    <t>2-s2.0-84941484348</t>
  </si>
  <si>
    <t>30-31</t>
  </si>
  <si>
    <t>10.1109/MAP.1986.27869</t>
  </si>
  <si>
    <t>2-s2.0-84941533496</t>
  </si>
  <si>
    <t>22-25</t>
  </si>
  <si>
    <t>10.1109/MAP.1986.27851</t>
  </si>
  <si>
    <t>2-s2.0-84948591876</t>
  </si>
  <si>
    <t>['¬© 1986', 'two r', 'roughly twice', 'rights reserved', 'original configuration', 'neutral gas', 'midplane divides', 'magnetic field', 'lost radially', 'loss cone', 'located near', 'ions trapped', 'icrh antenna', 'gas box', 'fueling region', 'downstream side', 'charge exchange', 'central cell', 'acceptable levels', '2 mirrors']</t>
  </si>
  <si>
    <t>The gas injection system in the Tara central cell has been redesigned to overcome problems associated with fueling in the high field region at the ends of the central cell. Previous experimental studies indicated that plasma ions created in the region between the gas injection point and an ICRH antenna were lost radially before passing to the downstream side of the antenna. In the new system gas is injected at two diametrically opposite ports into a cylinder (‚Äúgas box‚Äù) located near the midplane, between the two double half turn antennas. A maximum in the magnetic field at the midplane divides the central cell into two R = 2 mirrors. Ions trapped in one of these mirrors must scatter into the loss cone before passing into the fueling region, where the loss rate due to charge exchange is highest. This configuration produces separate regions for ionization (at the gas box) and for heating (near the magnetic field minimum). Pumping of neutral gas by the central cell plasma reduces the amount of neutral gas flux into the axicell to acceptable levels. Gas utilization efficiencies are roughly twice as high as in the original configuration. ¬© 1986, American Vacuum Society. All rights reserved.</t>
  </si>
  <si>
    <t>1079-1083</t>
  </si>
  <si>
    <t>Journal of Vacuum Science and Technology A: Vacuum, Surfaces and Films</t>
  </si>
  <si>
    <t>60022195;60022195;60022195;60022195</t>
  </si>
  <si>
    <t>6602240440;57213753256;22968392900;6603304334</t>
  </si>
  <si>
    <t>Brau, K.;Goodrich, P.;Post, R. S.;Sevillano, E.</t>
  </si>
  <si>
    <t>Brau K.</t>
  </si>
  <si>
    <t>Gas injection system in the Tara central cell</t>
  </si>
  <si>
    <t>10.1116/1.573455</t>
  </si>
  <si>
    <t>2-s2.0-84956079942</t>
  </si>
  <si>
    <t>['¬© 1986', 'wave field', 'total absorption', 'plasma species', 'jet plasma', 'japan society', 'icrf waves', 'future experiments', 'efficient non', 'direct input', 'deposition profile', 'considered using', 'computational study', 'combined use', 'cold plasma', 'central deposition', 'applied physics', 'antenna impedance', 'also given', 'also discussed']</t>
  </si>
  <si>
    <t>A theoretical and a computational study of ICRF waves were conducted for JET plasma. The present experimental parameters are analysed and various prediction studies for future experiments are considered using a combination of two kinetic codes. The wave field was solved for obtaining a power deposition profile of each plasma species and the antenna impedance. A two-ion hybrid case was simulated. Strong minority heating in the central core region was observed and a direct input to electrons was found at most 10% of the total absorption. However, for the higher-temperature target plasma, the deposition profile to the electrons became broader and the off-center and its input reached 30%. An efficient non-central deposition to ions by a combined use of NBI is also discussed. A global coupling study is also given for a cold plasma with dampings. ¬© 1986 The Japan Society of Applied Physics.</t>
  </si>
  <si>
    <t>1121-1127</t>
  </si>
  <si>
    <t>60030788;60011001;60023147</t>
  </si>
  <si>
    <t>35352798500;13306390500;7005509402</t>
  </si>
  <si>
    <t>Itoh, Sanae Inoue;Itoh, Kimitaka;Fukuyama, Atsushi</t>
  </si>
  <si>
    <t>Higashihiroshima;Okayama;Kyoto</t>
  </si>
  <si>
    <t>Hiroshima University;Okayama University;Kyoto University</t>
  </si>
  <si>
    <t>60030788;60023147;60011001</t>
  </si>
  <si>
    <t>Itoh S.</t>
  </si>
  <si>
    <t>Analyses of icrf waves on jet plasma</t>
  </si>
  <si>
    <t>10.1143/JJAP.25.1121</t>
  </si>
  <si>
    <t>2-s2.0-84956101221</t>
  </si>
  <si>
    <t>['¬© taylor', 'small penicillum', 'pubescent cheeks', 'new species', 'miskelliana n', 'mainly charac', 'francis group', 'fourth segment', 'extreme amount', 'elytral maculation', 'eastern kenya', 'diate environs', 'coleoptera cicindelidae', 'closest relative']</t>
  </si>
  <si>
    <t>An interesting, surprising, new African Lophyra - L. (Stenolophyra) miskelliana n.sp. (Coleoptera Cicindelidae) - is described from the imme-diate environs of Mogadishu, Somalia. This new species is mainly charac-terized by an extreme amount of elytral maculation (which covers the whole of elytra, making them almost completely straw-yellow) and by pubescent cheeks. The male has a small penicillum on the underside of the fourth segment of the antennae. Its closest relative is L. (S.) wajirensis Miskell from Wajir, north-eastern Kenya. ¬© Taylor &amp; Francis Group, LLC.</t>
  </si>
  <si>
    <t>25-30</t>
  </si>
  <si>
    <t>Monitore Zoologico Italiano, Supplemento</t>
  </si>
  <si>
    <t>Cassola, Fabio</t>
  </si>
  <si>
    <t>Siena</t>
  </si>
  <si>
    <t>Universit√† degli Studi di Siena</t>
  </si>
  <si>
    <t>Cassola F.</t>
  </si>
  <si>
    <t>Studies on cicindelids. 42. a new lophyra from mogadishu, somalia (coleoptera cicindelidae)</t>
  </si>
  <si>
    <t>10.1080/03749444.1986.10736706</t>
  </si>
  <si>
    <t>2-s2.0-84960647323</t>
  </si>
  <si>
    <t>76-77</t>
  </si>
  <si>
    <t>Giornale Botanico Italiano</t>
  </si>
  <si>
    <t>60000481;60000481;60000481</t>
  </si>
  <si>
    <t>35553979700;7003283287;57167668600</t>
  </si>
  <si>
    <t>Bassi, R.;Barbato, R.;Sechi, S.</t>
  </si>
  <si>
    <t>Padua</t>
  </si>
  <si>
    <t>Universit√† degli Studi di Padova</t>
  </si>
  <si>
    <t>Bassi R.</t>
  </si>
  <si>
    <t>Chlorophyll proteins of photosystem I and II and their interactions with the antenna system</t>
  </si>
  <si>
    <t>10.1080/11263508609428022</t>
  </si>
  <si>
    <t>2-s2.0-84960668750</t>
  </si>
  <si>
    <t>['transforms portions', 'recessive mutation', 'parasitoid wasp', 'male wasps', 'expressed autonomously', 'evident linkage', 'ebony also', 'distal regions', 'distal portion', 'dark brown', 'bracon hebetor', 'ap allele', 'ap ),', 'antennae mosaic', 'antenna according', 'antenna ).']</t>
  </si>
  <si>
    <t>The recessive mutation, antennapedia (ap), of the parasitoid wasp, Bracon hebetor, transforms portions of the antenna to leg. The phenotype of the mutant was characterized by classifying each annulus of the antenna according to the ratio of length to width (high in leg; low in antenna), color (yellow in leg; dark brown in antenna), find the number of multiporous plate sensllla (absent in leg; approximately four per annulus in antenna). The transformation was more complete in the proximal and distal regions of the antenna, with the distal portion being transformed into a foot, while the middle region remained antenna-like. The ap antennae also exhibit incomplete segmentation and a deficiency in multiporous plate senslllae that may be related to the observed deficient behavior of female and male wasps. Antennae mosaic for ap and normal tissue indicated that the ap allele was expressed autonomously with a longitudinal cell lineage being evident Linkage of antennapedia and ebony also was found. ¬© 1986 Oxford University Press.</t>
  </si>
  <si>
    <t>58-60</t>
  </si>
  <si>
    <t>Journal of Heredity</t>
  </si>
  <si>
    <t>60001439-60004923;60001439-60004923;60001439-60004923</t>
  </si>
  <si>
    <t>57188774968;57212940279;6602387663</t>
  </si>
  <si>
    <t>Light, Anne Marie;Petters, Robert M.;Loucas, Bradford D.</t>
  </si>
  <si>
    <t>Raleigh;University Park</t>
  </si>
  <si>
    <t>NC State University;Pennsylvania State University</t>
  </si>
  <si>
    <t>60004923;60001439</t>
  </si>
  <si>
    <t>Light A.M.</t>
  </si>
  <si>
    <t>Antennapedia, a homoeotic mutation of Bracon hebetor</t>
  </si>
  <si>
    <t>10.1093/oxfordjournals.jhered.a110172</t>
  </si>
  <si>
    <t>2-s2.0-84963032965</t>
  </si>
  <si>
    <t>['volatile pheromone', 'visual signal', 'rights reserved', 'recognise mates', 'recognise females', 'portuguese millipede', 'ommatoiulus moreletii', 'night phase', 'mating behaviour', 'mating activity', 'mate recognition', 'males use', 'increase activity', 'female cuticle', 'chemical secretion', 'airborne signal']</t>
  </si>
  <si>
    <t>The mating behaviour of the Portuguese millipede, Ommatoiulus moreletii, was observed in the laboratory. Male attention towards females appeared to be initiated on contact. Mating activity was more frequent in the night phase of the photoperiod and was not inhibited by darkness. This suggested that a visual signal was not important in mate recognition. Females without antennae mated readily, but males without antennae did not, which suggests that males use their antennae to recognise females. Experiments in T-mazes and petri dishes showed that males were not attracted towards females, nor did they increase activity in the presence of females they could not touch, which implied that an airborne signal such as a volatile pheromone was not used. It was concluded that males use some characteristic of the female cuticle, possibly a chemical secretion, to recognise mates. ¬© 1986 CSIRO. All Rights Reserved.</t>
  </si>
  <si>
    <t>837-842</t>
  </si>
  <si>
    <t>0004959X</t>
  </si>
  <si>
    <t>Australian Journal of Zoology</t>
  </si>
  <si>
    <t>60020828;60020828</t>
  </si>
  <si>
    <t>57189447570;57203698613</t>
  </si>
  <si>
    <t>Carey, C. J.;Bull, C. M.</t>
  </si>
  <si>
    <t>Adelaide</t>
  </si>
  <si>
    <t>Flinders University</t>
  </si>
  <si>
    <t>Carey C.J.</t>
  </si>
  <si>
    <t>Recognition of mates in the portuguese millipede, Ommatoiulus moreletii</t>
  </si>
  <si>
    <t>10.1071/ZO9860837</t>
  </si>
  <si>
    <t>2-s2.0-84971045285</t>
  </si>
  <si>
    <t>['¬© 1986', 'white mustard', 'tobin );', 'tests showed', 'significant effect', 'rights reserved', 'plutella xylostella', 'plant extracts', 'olfactory responses', 'napus cv', 'leaf extracts', 'l .])', 'greatly stimulated', 'following plants', 'females gave', 'faba bean', 'extracts attracted', 'entomological society', 'electrophysiological tests', 'control except', 'choice situations', 'campestris cv', 'behavioral tests', 'attracted males', 'antennal receptors']</t>
  </si>
  <si>
    <t>The olfactory responses of male and female diamondback moths (Plutella xylostella [L.]) to leaf extracts of the following plants were examined by behavioral and electrophysiological tests: white mustard (Brassica hirta cv. Ochre); Argentine canola (B. napus cv. Regent, B. napus cv. Westar); Polish canola (B. campestris cv. Tobin); and faba bean (Vicia faba). In behavioral tests both two-choice and four-choice situations were used. All extracts attracted more moths than the control except for Regent canola extract which attracted males only. White mustard extract was about twice as attractive as that of Regent or faba bean. White mustard and faba bean extracts appeared slightly more attractive to females than to males. Oviposition was greatly stimulated by white mustard extract, but other extracts had no significant effect. Electroantennogram (EAG) tests showed that both male and female moths perceived the plant extracts through antennal receptors. Antennae of females gave a stronger EAG response than those of males, especially to white mustard and faba bean extracts. ¬© 1986, Entomological Society of Canada. All rights reserved.</t>
  </si>
  <si>
    <t>1279-1285</t>
  </si>
  <si>
    <t>0008347X</t>
  </si>
  <si>
    <t>The Canadian Entomologist</t>
  </si>
  <si>
    <t>60015186;60019967;60009839</t>
  </si>
  <si>
    <t>56628021500;6602339233;24327535300</t>
  </si>
  <si>
    <t>Gillott, C.;Palaniswamy, P.;Slater, G. P.</t>
  </si>
  <si>
    <t>Canada;Canada;Canada</t>
  </si>
  <si>
    <t>Ottawa;Saskatoon;Ottawa ON,</t>
  </si>
  <si>
    <t>Agriculture et Agroalimentaire Canada;University of Saskatchewan;National Research Council Canada</t>
  </si>
  <si>
    <t>60019967;60015186;60009839</t>
  </si>
  <si>
    <t>Gillott C.</t>
  </si>
  <si>
    <t>Attraction of diamondback moths, Plutella xylostella (L.) (Lepidoptera: Plutellidae), by volatile compounds of Canola, white mustard, and faba bean</t>
  </si>
  <si>
    <t>10.4039/Ent1181279-12</t>
  </si>
  <si>
    <t>2-s2.0-84974223864</t>
  </si>
  <si>
    <t>Natural Sciences and Engineering Research Council of Canada</t>
  </si>
  <si>
    <t>A- 1399</t>
  </si>
  <si>
    <t>NSERC</t>
  </si>
  <si>
    <t>['¬© 1986', 'without membrane', 'unique structure', 'tr2 muscle', 'three characters', 'supraorbital sulci', 'state evolution', 'state distribution', 'several apomorphies', 'rights reserved', 'raised lineations', 'proposed relationships', 'phyletic relationships', 'phyletic relationship', 'occipital sclerites', 'monophyletic based', 'mesoscutal portion', 'male genitalia', 'lateral edge', 'inner margin', 'including mymaridae', 'head composed', 'fore wing', 'family mymaridae', 'entomological society', 'deemed inconclusive', 'characters analyzed', 'character systems', 'chalcidoidea based', 'axillar portion', 'axillar phragma', 'accurately determined', '3 apomorphies']</t>
  </si>
  <si>
    <t>Twenty-three characters or character systems of adults and larvae of Terebrantes are analyzed for evidence of monophyly and phyletic relationships of Chalcidoidea, Mymaridae, and Mymarommatidae. The taxa are considered to be a monophyletic group based on 3 hypothesized synapomorphies: mesotrochanteral depressor without fu2-tr2 or mesoscutal portion of t2-tr2; axillar phragma as site of origin for all or part of t2-tr2 muscle; and independent basal ring absent from male genitalia. The family Mymaridae is considered to be monophyletic based on at least 3 apomorphies: fore wing with hypochaeta; head with frontal, median, and supraorbital sulci; and toruli distinctly closer to inner margin of eye than to each other. Chalcidoidea, including Mymaridae, is considered to be a monophyletic taxon based on 3 apomorphies: prepectus externally visible, at least dorsally adjacent to lateral edge of mesoscutum; mesothoracic spiracle positioned at exposed lateral edge of mesoscutum; and multiporous plate sensilla of antenna with unique structure, as described in text. Mymarommatidae is considered to be the monophyletic sister group of Chalcidoidea based on several apomorphies, including 4 autapomorphies: head composed of frontal and occipital sclerites, which are connected by pleated membrane along hyperoccipital region; hind wing stalk-like, without membrane and terminated in bifurcation that clasps fore wing; fore wing with reticulate pattern formed by raised lineations of membrane; and axillar portion of t2-tr2 muscle absent. Phyletic relationship of Serphitidae with Mymarommatidae is deemed inconclusive because relevant internal character states of amber fossil serphitids cannot be determined. It is suggested that mymarommatids be accorded family status, but not be assigned to superfamily until phyletic relationships are more accurately determined in Terebrantes. A matrix summarizes character-state distribution of most characters analyzed for Terebrantes, and a cladogram illustrates hypotheses of character-state evolution and proposed relationships. ¬© 1986, Entomological Society of Canada. All rights reserved.</t>
  </si>
  <si>
    <t>205-240</t>
  </si>
  <si>
    <t>Gibson, Gary A.P.</t>
  </si>
  <si>
    <t>Ottawa</t>
  </si>
  <si>
    <t>Agriculture et Agroalimentaire Canada</t>
  </si>
  <si>
    <t>Gibson G.A.P.</t>
  </si>
  <si>
    <t>Evidence for monophyly and relationships of chalcidoidea, mymaridae, and mymarommatidae (Hymenoptera: Terebrantes)</t>
  </si>
  <si>
    <t>10.4039/Ent118205-3</t>
  </si>
  <si>
    <t>2-s2.0-84974268326</t>
  </si>
  <si>
    <t>['¬© 1986', 'virgin females', 'two ends', 'rights reserved', 'raised slightly', 'photoperiodic cue', 'last two', 'held close', 'entomological society', 'endogenously based', 'directed posteriorly', 'diel periodicity', 'curved downward', 'continuous pattern', 'circadian rhythm', 'calling posture', 'calling pattern', 'bertha armyworm', '45 ¬∞,']</t>
  </si>
  <si>
    <t>The calling posture, diel periodicity of calling, calling pattern, photoperiodic cue of calling, and endogenous circadian rhythm of calling were studied in virgin females of the bertha armyworm, Mamestra configurata Walker, at 20¬∞C, 60% RH, and a 16 h light: 8 h dark photoperiod. The female had a definite calling posture: the ovipositor was extruded and curved downward at an angle of about 45¬∞, the wings were raised above the abdomen in the form of a ‚ÄúV‚Äù, the antennae were directed posteriorly and held close to the sides of the thorax, and the abodmen was bent so that the two ends were raised slightly and the middle was lowered. Calling had a discrete diel periodicity, occurring in the last two-thirds of the scotophase. The calling pattern was characteristic of the continuous pattern of calling. The lights-off signal was the photoperiodic cue responsible for setting the timing of the diel periodicity of calling. The circadian rhythm of calling was endogenously based. ¬© 1986, Entomological Society of Canada. All rights reserved.</t>
  </si>
  <si>
    <t>735-743</t>
  </si>
  <si>
    <t>60014714;60019967</t>
  </si>
  <si>
    <t>24427569100;7202515899</t>
  </si>
  <si>
    <t>Howlader, M. A.;Gerber, G. H.</t>
  </si>
  <si>
    <t>Canada;Bangladesh</t>
  </si>
  <si>
    <t>Ottawa;Dhaka</t>
  </si>
  <si>
    <t>Agriculture et Agroalimentaire Canada;University of Dhaka</t>
  </si>
  <si>
    <t>60019967;60014714</t>
  </si>
  <si>
    <t>Howlader M.</t>
  </si>
  <si>
    <t>Calling behavior of the bertha armyworm, mamestra configurata (Lepidoptera: Noctuidae)</t>
  </si>
  <si>
    <t>10.4039/Ent118735-8</t>
  </si>
  <si>
    <t>2-s2.0-84974380205</t>
  </si>
  <si>
    <t>A-1399</t>
  </si>
  <si>
    <t>['¬© 1986', 'vertical force', 'transscutal articulation', 'thereby pulling', 'subsequently released', 'structurally independent', 'structural dimorphism', 'single mechanism', 'sexual dimorphism', 'rights reserved', 'previously described', 'muscle form', 'mesotrochanteral muscles', 'mesothoracic structure', 'mesothoracic skeletomusculature', 'mesotergal muscles', 'mesonotum rotates', 'mesonotum along', 'male eupelmines', 'large mesotergal', 'large mesopleural', 'jumping mechanisms', 'jumping mechanism', 'increased degree', 'flight mechanism', 'females results', 'female eupelmines', 'female eupelminae', 'equally applicable', 'entomological society', 'axillar phragmata', 'anteroventral angle', 'anterolateral processes', 'also described', 'adaptive significance', 'act directly']</t>
  </si>
  <si>
    <t>Mesothoracic skeletomusculature of male and female Eupelminae is described and compared with that of other Eupelmidae, Chalcidoidea, and Hymenoptera. Various external mesopleural features and structural dimorphism between the sexes are explained by differences in muscle form and placement. A set of terms for mesothoracic structure is proposed that is equally applicable to male and female eupelmines and to other chalcidoids. Mechanics of flight and jumping in male eupelmines, and of jumping in females, is also described. The flight mechanism of males is similar to that previously described in other hymenopterans and is structurally independent of the jumping mechanism. Contraction of large mesotergal-mesotrochanteral muscles, originating from the axillae and axillar phragmata, act directly to retract the mesotrochanters into the mesocoxae for jumping. Females have coadapted the flight and jumping mechanisms into a single mechanism to improve jumping greatly. The mesotergal-mesotrochanteral muscles are reduced to slender, tendon-like muscles originating from the anteroventral angle of each lateral axillar surface. Jumping in females results from contraction of large mesopleural-mesotergal muscles that insert into anterolateral processes of the mesoscutum by pads of resilin. The pads are stretched during contraction of the mesopleural-mesotergal muscles and the potential energy thus stored is subsequently released to flex the mesonotum along the transscutal articulation. The first and second axillary sclerites are modified to function as a hinge to control mesonotal flexing for jumping. Flexing the mesonotum rotates the lateral axillar surfaces anteriorly and dorsally, thereby pulling up on the mesotergal-mesotrochanteral muscles and changing a horizontally directed force into a vertical force that is used to retract the mesotrochanters for jumping. A mesothoracic lock mechanism to prevent initial mesonotal flexing is proposed, but is not documented. ‚ÄúContortion‚Äù of female eupelmines is described, and is a consequence of the increased degree of mesonotal flexing required for their jumping mechanism. The modified mesocoxal articulation of females is hypothesized to function in rotating the middle legs cephalad to protect the head and antennae during landing. It is questioned whether female eupelmines can fly, and the adaptive significance of enhancement of jumping at the expense of flight in females, and of sexual dimorphism in the subfamily, is discussed. ¬© 1986, Entomological Society of Canada. All rights reserved.</t>
  </si>
  <si>
    <t>691-728</t>
  </si>
  <si>
    <t>Mesothoracic skeletomusculature and mechanics of flight and jumping in eupelminae (Hymenoptera, Chalcidoidea: Eupelmidae)</t>
  </si>
  <si>
    <t>10.4039/Ent118691-7</t>
  </si>
  <si>
    <t>2-s2.0-84974510009</t>
  </si>
  <si>
    <t>['wiley blackwell', 'small size', 'rights reserved', 'possible hygro', 'olfactory chemoreceptor', 'fine structure', 'electrophysiological recordings', 'dual function', 'counts show', 'also found']</t>
  </si>
  <si>
    <t>antenna | Oryzaephilus surinamensis | saw‚Äêtoothed grain beetle | sensilla distribution | ultrastructure</t>
  </si>
  <si>
    <t>ABSTRACT. Antennae of the saw‚Äêtoothed grain beetle (Oryzaephilus surinamensis L.) (Coleoptera: Silvanidae) were examined using scanning and transmission electron microscopy to determine the fine structure and distribution of sensilla. Seven morphologically different sensilla types are distinguished. Mechanoreceptor hairs account for over 68% of all sensilla. Mechanoreceptors are also found in conjunction with contact chemo‚Äêreceptors; this dual function is demonstrated by electrophysiological recordings. Three different types of olfactory chemoreceptor are found, accounting for 26% of all sensilla, plus two sensilla types with possible hygro/thermo‚Äêreceptor functions. Counts show the numbers of chemo‚Äêreceptors to be small, though this many simply reflect the small size of these beetles. Copyright ¬© 1986, Wiley Blackwell. All rights reserved</t>
  </si>
  <si>
    <t>227-238</t>
  </si>
  <si>
    <t>Physiological Entomology</t>
  </si>
  <si>
    <t>60026851;60026851</t>
  </si>
  <si>
    <t>55473093600;7006644408</t>
  </si>
  <si>
    <t>WHITE, PETER R.;LUKE, BARBARA M.</t>
  </si>
  <si>
    <t>Oxford</t>
  </si>
  <si>
    <t>University of Oxford</t>
  </si>
  <si>
    <t>WHITE P.</t>
  </si>
  <si>
    <t>Fine structure, function and distribution of antennal sensilla in the saw‚Äêtoothed grain beetle, Oryzaephilus surinamensis</t>
  </si>
  <si>
    <t>10.1111/j.1365-3032.1986.tb00410.x</t>
  </si>
  <si>
    <t>2-s2.0-84981562872</t>
  </si>
  <si>
    <t>['video information', 'tv codec', 'transmitted without', 'transmission rates', 'synchronization recovery', 'standard signal', 'simple control', 'refresh mode', 'paper describes', 'one prediction', 'mixed analogue', 'main features', 'intelsat r', 'field tests', 'digital networks', 'composite coding', 'codec uses', 'called map', 'burst error', '30 mb']</t>
  </si>
  <si>
    <t>The UNICODEC, developed under the INTELSAT R &amp; D Program, is a TV codec which can transmit and receive any standard signal of NTSC, PAL, or SECAM, by using 15 Mb/s or 30 Mb/s transmission rates (switchable) with two high quality sound channels and one voice circuit. These rates include rate 239/255 BCH FEC for video information. The codec uses the 4:2:2 digital interface for component coding based on CCIR Recommendation 601. The UNICODEC can provide the flexibility to deal with the composite coding now needed in mixed analogue/digital networks, but can also handle either composite NTSC, PAL, SECAM or MAC (multiplexed analogue components), or digital component signals (Y, R‚ÄêY, B‚ÄêY) in the future. The key technique used here is called MAP (median adaptive prediction) coding, which is one of the adaptive DPCM methods for accurate and simple control in high quality TV transmission; one prediction out of three (interframe, intrafield or interfield) is transmitted without the need for many control bits. There is also a refresh mode for burst error or synchronization recovery. The UNICODEC is expected to provide double capacity with higher quality pictures compared to conventional analogue transmission (FM in 18 MHz). Alternatively, smaller size antennas may be used. This paper describes the objectives of the development of the UNICODEC, its main features and results of field tests. Copyright ¬© 1986 John Wiley &amp; Sons, Ltd.</t>
  </si>
  <si>
    <t>221-227</t>
  </si>
  <si>
    <t>International Journal of Satellite Communications</t>
  </si>
  <si>
    <t>October/December 1986</t>
  </si>
  <si>
    <t>60004541;60004541;60004541;117138306;117138306;117138306</t>
  </si>
  <si>
    <t>35606492800;6602295670;7101738155;56306858700;7402080381;35476617400</t>
  </si>
  <si>
    <t>Kinuhata, K.;Nuspl, P.;Kwan, A.;Yamamoto, H.;Murakami, H.;Matsumoto, S.</t>
  </si>
  <si>
    <t>Washington, D.C.;Tokyo</t>
  </si>
  <si>
    <t>INTELSAT;R &amp; D Laboratories</t>
  </si>
  <si>
    <t>60004541;117138306</t>
  </si>
  <si>
    <t>Kinuhata K.</t>
  </si>
  <si>
    <t>Universal digital TV codec‚Äîunicodec</t>
  </si>
  <si>
    <t>10.1002/sat.4600040408</t>
  </si>
  <si>
    <t>2-s2.0-84981566363</t>
  </si>
  <si>
    <t>['wiley blackwell', 'weighted higher', 'twisted segments', 'tropotactical signal', 'successive bursts', 'rights reserved', 'right antenna', 'produced intermittently', 'marked alternations', 'less pronounced', 'bursts towards', 'brief bursts', 'arcadic structure', 'angular positions', 'anemotactic signal', 'anemoreceptive system', 'amputated side']</t>
  </si>
  <si>
    <t>anemotactic orientation | disparlure | Gypsy moth | Lymantria | searching‚Äêbehaviour | sex pheromone | tropotaxis</t>
  </si>
  <si>
    <t>ABSTRACT. Tracks of dewinged gypsy moth males, Lymantria dispar L. (Lymantriidae), walking upwind in an airstream without pheromone consist of marked alternations between more or less straight upwind segments, partly with an arcadic structure, and twisted segments. This apparently complicated behaviour can, however, simply be explained by a superposition of noise and two turning commands: an upwind turning tendency, derived from the anemoreceptive system, which represents an average of the moth's angular positions over a period of time; and an internal turning tendency which consists of strong but brief bursts. These bursts are produced intermittently; successive bursts do not necessarily alternate polarity. Amputation of one antenna increases the probability of bursts towards the amputated side; therefore a separate burst source is postulated for each antenna. In the presence of the attractant pheromone (+)‚Äêdisparlure, the anemotactic signal is weighted higher; twisted segments are, therefore, less pronounced. There is a chemotropotactical component involved in the male's orientation. The tropotactical signal, dependent on the difference of odour concentration perceived by the left and right antenna, competes with the upwind turning tendency. Copyright ¬© 1986, Wiley Blackwell. All rights reserved</t>
  </si>
  <si>
    <t>185-198</t>
  </si>
  <si>
    <t>60005460;60005460</t>
  </si>
  <si>
    <t>7005013512;7201929835</t>
  </si>
  <si>
    <t>PREISS, R.;KRAMER, E.</t>
  </si>
  <si>
    <t>Pocking</t>
  </si>
  <si>
    <t>Max Planck Institute for Ornithology</t>
  </si>
  <si>
    <t>PREISS R.</t>
  </si>
  <si>
    <t>Anemotactic orientation of gypsy moth males and its modification by the attractant pheromone (+)‚Äêdisparlure during walking</t>
  </si>
  <si>
    <t>10.1111/j.1365-3032.1986.tb00405.x</t>
  </si>
  <si>
    <t>2-s2.0-84981584639</t>
  </si>
  <si>
    <t>['wiley blackwell', 'whole por', 'thoracic muscles', 'sustained performance', 'simultaneous contractions', 'sequences differing', 'rights reserved', 'repetitive sequence', 'repetitive expansions', 'por ).', 'pfm sequence', 'pfm ).', 'obstruction removal', 'neural basis', 'middle portion', 'locomotor elements', 'hypothetical scheme', 'forward movement', 'final phases', 'experimentally induced', 'critical period', 'air hammer']</t>
  </si>
  <si>
    <t>eclosion behaviour | Fleshfly | haemolymph pressure | mechano‚Äêreception | Sarcophaga bullata</t>
  </si>
  <si>
    <t>ABSTRACT. Stereotyped eclosion behaviour of Sarcophaga bullata Parker (Diptera, Sarcophagidae) consists of two different repetitive sequences of movements. One, which is instrumental for making forward progress in extricating the body from the puparium or for digging through the soil, is called the programme for forward movement (PFM). The other, which is performed as a response to an obstruction, is called the programme for obstruction removal (POR). The initial and final phases of each repetitive sequence are identical in both programmes, the sequences differing only in the middle portion. In the POR, the locomotor elements of the PFM sequence (peristalsis) are substituted by a train of repetitive expansions of the ptilinum, which are caused by simultaneous contractions of the abdominal and thoracic muscles. These ptilinal movements function as an air hammer against the obstruction. Switching from the PFM to POR can be experimentally induced by a rough mechanical stimulation of the head (squeezing, pushing against a barrier) but not by gentle tactile stimulation of the ptilinum or antennae. The critical period for induction of the POR is in the phase of the PFM sequence at which the two programmes diverge. A constant mechanical stimulus is necessary for a sustained performance of the whole POR. A hypothetical scheme of the neural basis of this behaviour is suggested. Copyright ¬© 1986, Wiley Blackwell. All rights reserved</t>
  </si>
  <si>
    <t>107-114</t>
  </si>
  <si>
    <t>60013029;60000745;60000745</t>
  </si>
  <si>
    <t>7003948182;16181946400;7005358529</t>
  </si>
  <si>
    <t>≈Ωƒé√ÅREK, JAN;REID, SILVIA;FRAENKEL, GOTTFRIED</t>
  </si>
  <si>
    <t>Czech Republic;United States</t>
  </si>
  <si>
    <t>Ceske Budejovice;Urbana</t>
  </si>
  <si>
    <t>Institute of Entomology, Biology Centre of the Academy of Sciences of the Czech Republic;University of Illinois Urbana-Champaign</t>
  </si>
  <si>
    <t>60013029;60000745</t>
  </si>
  <si>
    <t>≈Ωƒé√ÅREK J.</t>
  </si>
  <si>
    <t>How does an eclosing fly deal with obstacles?</t>
  </si>
  <si>
    <t>10.1111/j.1365-3032.1986.tb00395.x</t>
  </si>
  <si>
    <t>2-s2.0-84981594778</t>
  </si>
  <si>
    <t>['vista services', 'thus reducing', 'small antennas', 'results obtained', 'relative geometry', 'particularly suitable', 'paper describes', 'overall cost', 'larger percentage', 'extensively used', 'example calculations', 'domestic leases', 'developed based', 'cost advantages', 'antenna diameter', 'also provided']</t>
  </si>
  <si>
    <t>Antenna design | Antenna tracking | Earth‚Äêstation | Pointing losses</t>
  </si>
  <si>
    <t>There are substantial cost advantages in the use of single‚Äêaxis or fixed‚Äêmount earth‚Äêstation antennas, thus reducing or eliminating the need for autotracking in earth‚Äêstations operating with quasi‚Äêstationary satellites. Such cost advantages are more relevant in small antennas where the tracking system represents a larger percentage of the overall cost. In addition, small antennas are particularly suitable to be operated without autotracking, owing to their wider half‚Äêpower beamwidth. This paper describes a model for calculating the antenna pointing loss as a function of the antenna diameter, operating frequency band, satellite station‚Äêkeeping tolerances, and the relative geometry between the earth‚Äêstation and the satellite. The model has been extensively used in the development of INTELSAT's IBS and VISTA services as well as in domestic leases. Although the model has been developed based on orbital mechanics equations, its emphasis is towards earth‚Äêstation and systems engineering applications. Some example calculations and results obtained through an HP‚Äê41 CV programmable calculator are also provided. Copyright ¬© 1986 John Wiley &amp; Sons, Ltd.</t>
  </si>
  <si>
    <t>89-96</t>
  </si>
  <si>
    <t>April/June 1986</t>
  </si>
  <si>
    <t>Buchsbaum, L. M.</t>
  </si>
  <si>
    <t>INTELSAT</t>
  </si>
  <si>
    <t>Buchsbaum L.</t>
  </si>
  <si>
    <t>Pointing losses in single‚Äêaxis and fixed‚Äêmount earth‚Äêstation antennas due to satellite movement</t>
  </si>
  <si>
    <t>10.1002/sat.4600040206</t>
  </si>
  <si>
    <t>2-s2.0-84981620140</t>
  </si>
  <si>
    <t>['wiley blackwell', 'test compounds', 'rights reserved', 'predetermined intervals', 'improved electroantennogram', 'fully automatic', 'allows insertion']</t>
  </si>
  <si>
    <t>cyclic timer | Electroantennogram apparatus | injection system | insect sex pheromones</t>
  </si>
  <si>
    <t>ABSTRACT. An improved electroantennogram (EAG) apparatus with a new automatic sample injection system, based on a cyclic timer connected to a 12VD.C. electrovalve, is described. The device is fully automatic and allows insertion of constant cyclic air puffs of the test compounds to the antenna at predetermined intervals. Copyright ¬© 1986, Wiley Blackwell. All rights reserved</t>
  </si>
  <si>
    <t>273-277</t>
  </si>
  <si>
    <t>60006754;60006754;60029205</t>
  </si>
  <si>
    <t>7201428748;57190611954;57190612326</t>
  </si>
  <si>
    <t>GUERRERO, A.;MURGO, R.;MARTORELL, X.</t>
  </si>
  <si>
    <t>Barcelona;Madrid</t>
  </si>
  <si>
    <t>CSIC - Instituto de Ciencias de la Tierra Jaume Almera (ICTJA);Consejo Superior de Investigaciones Cient√≠ficas</t>
  </si>
  <si>
    <t>60029205;60006754</t>
  </si>
  <si>
    <t>GUERRERO A.</t>
  </si>
  <si>
    <t>An improved electroantennogram apparatus with a new automatic sample injection system</t>
  </si>
  <si>
    <t>10.1111/j.1365-3032.1986.tb00414.x</t>
  </si>
  <si>
    <t>2-s2.0-84981625642</t>
  </si>
  <si>
    <t>['wiley blackwell', 'stomoxys calcitrans', 'small increases', 'rights reserved', 'l .)', 'increasing concentrations', 'hunger develops', 'flies deprived', 'cattle odour', 'carbon dioxide', 'calcitrans increases', 'also recorded']</t>
  </si>
  <si>
    <t>carbon dioxide | Electroantennogram | host odours | Stomoxys calcitrans</t>
  </si>
  <si>
    <t>ABSTRACT. Electroantennograms (EAGs) were recorded from Stomoxys calcitrans (L.) in response to increasing concentrations of carbon dioxide in an airstream. The magnitude of the EAG increases logarithmically from +0.023% carbon dioxide up to approximately +2.0% where a maximum is reached. Flies deprived of food for 48‚Äì50 h are more responsive to small increases in the carbon dioxide concentration than those deprived of food for only 20‚Äì23 h. It is concluded that the sensitivity of carbon dioxide receptors on the antennae of S. calcitrans increases as hunger develops. EAGs were also recorded in response to cattle odour, odour from fresh cattle faeces, expired human breath, acetone, and l‚Äêocten‚Äê3‚Äêol. Acetic acid vapour causes a reversal of the usual EAG response indicating inhibition. Copyright ¬© 1986, Wiley Blackwell. All rights reserved</t>
  </si>
  <si>
    <t>469-473</t>
  </si>
  <si>
    <t>6701774715;6701394641</t>
  </si>
  <si>
    <t>WARNES, M. L.;FINLAYSON, L. H.</t>
  </si>
  <si>
    <t>WARNES M.</t>
  </si>
  <si>
    <t>Electroantennogram responses of the stable fly, Stomoxys calcitrans, to carbon dioxide and other odours</t>
  </si>
  <si>
    <t>10.1111/j.1365-3032.1986.tb00438.x</t>
  </si>
  <si>
    <t>2-s2.0-84981627416</t>
  </si>
  <si>
    <t>['wiley company', 'wideband operation', 'wide bandwidth', 'triangular elements', 'three loops', 'small number', 'peripheral lengths', 'overall properties', 'numerical results', 'inc .,', 'high gain', 'gain variation', 'experimental results', 'approximately equal', 'also wideband', 'absolute gain', '6 db']</t>
  </si>
  <si>
    <t>When two regular triangular loops with peripheral lengths which are approximately equal to the wavelength are placed on a plane and fed in parallel to form an antenna, it acquires high gain and wide bandwidth. The overall properties of this antenna can be modified by changing the geometry of the loops. We propose a Yagi‚ÄêUda antenna consisting of these triangular elements which has high gain and wide bandwidth with a small number of loops. Some numerical results when two or three loops are used are obtained by means of the moment method based on the Hallen integral equations, and the results are compared with experimental results. With a 2‚Äêelement array antenna consisting of a radiator and a reflector, the gain variation is small over an octave frequency range (the absolute gain is as high as 9.6 dB) and the impedance is also wideband. A high‚Äêgain, wideband operation will be achieved with a small number of elements when combined with conventional dipole directors. Copyright ¬© 1986 Wiley Periodicals, Inc., A Wiley Company</t>
  </si>
  <si>
    <t>60031720;60031720</t>
  </si>
  <si>
    <t>36763205100;7005288493</t>
  </si>
  <si>
    <t>Tou, Shigefumi;Tsukiji, Takehiko</t>
  </si>
  <si>
    <t>Fukuoka</t>
  </si>
  <si>
    <t>Fukuoka University</t>
  </si>
  <si>
    <t>Tou S.</t>
  </si>
  <si>
    <t>Yagi‚Äêuda array antenna composed of twin‚Äêdelta loops</t>
  </si>
  <si>
    <t>10.1002/ecja.4410691013</t>
  </si>
  <si>
    <t>2-s2.0-84984370396</t>
  </si>
  <si>
    <t>['zoological society', 'trap setae', 'socket rim', 'sminthurus viridis', 'single setae', 'similar setae', 'shapes change', 'setal trap', 'setae reached', 'restoring forces', 'resistance increased', 'pulled upwards', 'long setae', 'kinetic energy', 'holding force', 'highest point', 'heteromurus nitidus', 'extraordinary strength', 'escape chance', 'distal along', 'antennal segments', '60 ¬∞', '109 ¬∞,']</t>
  </si>
  <si>
    <t>Loricera pilicornis Fabricius 1775 has long strong setae on its proximal antennal segments which are used to form a trap for capturing the collembolans on which it feeds. The structure of this prey‚Äêcapture apparatus was investigated with the scanning electron microscope and its function with mechanical experiments using a microbalance. Long setae which do not belong to the trap were included for comparison. The positions of the setae on the antennal segments and their shapes change from proximal to distal along the antennae. Typical trap setae are found on the four proximal antennal segments. They are characterized by their extraordinary strength and by the shape of their sockets, which always have their highest point on the outside of the trap. The restoring forces for single setae were measured by bending the setae against the highest point of the socket rim. The resistance to bending of the trap setae is approximately 10 times that of similar setae which are not part of the trap. The trap setae were bent by up to 60¬∞ with their resistance increasing linearly, whereas the other setae reached a range at about40‚Äì50¬∞ in which the resistance increased more sharply; no seta was damaged by such bending. The behaviour of the trap setae is discussed with respect to their function in hunting and prey‚Äêcapture. To calculate the escape chance of a medium‚Äêsized springtail, specimens of Heteromurus nitidus (Arthropleona) were pulled upwards out of the trap while measuring the holding force, which amounted to at least79‚Äì99 √ó 10‚Äê5, depending on the position of the antennae and of the prey between them. The setae were bent up to50‚Äì90¬∞ without damage during these experiments. By calculating the kinetic energy of a jumping Heteromurus nitidus, we show that this species is unable to escape from the setal trap, whereas another species, Sminthurus viridis (Symphypleona), develops enough kinetic energy to bend the setae up to 109¬∞, which is enough to open the trap. 1986 The Zoological Society of London</t>
  </si>
  <si>
    <t>615-630</t>
  </si>
  <si>
    <t>Journal of Zoology</t>
  </si>
  <si>
    <t>16440353100;7202749731</t>
  </si>
  <si>
    <t>Hintzpeter, U.;Bauer, T.</t>
  </si>
  <si>
    <t>Hintzpeter U.</t>
  </si>
  <si>
    <t>The antennal setal trap of the Ground beetle Loricera pilicornis: a specialization for feeding on Collembola</t>
  </si>
  <si>
    <t>10.1111/j.1469-7998.1986.tb01527.x</t>
  </si>
  <si>
    <t>2-s2.0-84985370858</t>
  </si>
  <si>
    <t>['zoological society', 'third maxillipeds', 'serrate setae', 'phyletic affinity', 'marine relatives', 'involves primarily', 'grooming behaviour', 'grooming appendages', 'general morphology', 'freshwater decapods', 'fourth pereiopods', 'fifth pereiopods', 'fifth pereiopod', 'denticulate margins', 'appendage grooms', 'anomura rather', 'aeglids resemble', 'aegla platensis']</t>
  </si>
  <si>
    <t>Grooming behaviour in South American freshwater aeglid crabs (Aegla platensis and A. uruguayana) involves primarily the third maxillipeds and fifth pereiopods. The third maxilliped grooms the eyes, antennules and occasionally the antennae with fields of sword and serrate setae. The crista dentata located on the ischium of the third maxilliped cleans the dactyli of the second, third and fourth pereiopods. The fifth pereiopod is chelate but opens only slightly. This appendage grooms the gills, carapace, abdomen and pleopods with the denticulate margins of the chela and specialized composite setae of the propodus and dactylus. Grooming behaviour and general morphology of grooming appendages in aeglids resemble those of their marine relatives in the Anomura rather than those of other freshwater decapods. This observation supports Bauer's (1981) contention that grooming may serve as an indicator of phyletic affinity. 1986 The Zoological Society of London</t>
  </si>
  <si>
    <t>213-224</t>
  </si>
  <si>
    <t>60002092;60002092</t>
  </si>
  <si>
    <t>7501555960;6603845710</t>
  </si>
  <si>
    <t>Martin, J. W.;Felgenhauer, B. E.</t>
  </si>
  <si>
    <t>Tallahassee</t>
  </si>
  <si>
    <t>Florida State University</t>
  </si>
  <si>
    <t>Martin J.W.</t>
  </si>
  <si>
    <t>Grooming behaviour and the morphology of grooming appendages in the endemic South American crab genus Aegla (Decapoda, Anomura, Aeglidae)</t>
  </si>
  <si>
    <t>10.1111/j.1469-7998.1986.tb03577.x</t>
  </si>
  <si>
    <t>2-s2.0-84985376599</t>
  </si>
  <si>
    <t>['‚ äê2', '‚ äê1', '‚ äê', 'wiley blackwell', 'rights reserved', 'response flexlbility', 'psi ratio', 'psi ranged', 'photosystem ii', 'photosynthesis shifted', 'near unity', 'maximum rates', 'low light', 'light saturation', 'light intensity', 'initial slope', 'hl regime', 'hl conditions', 'hl cells', 'growth pfd', 'grown cells', 'cytochrome f', 'cyt f', 'chlamydomonas reinhardtii', 'cellular level', 'cell growth', 'balanced absorption', 'algal photosynthesis', '400 œºe', '370 chl', '2 lower', '170 chl']</t>
  </si>
  <si>
    <t>chlorophyll a | cytochrome | photosynthesis | photosystem antenna size | reaction centers</t>
  </si>
  <si>
    <t>Chlamydomonas reinhardtii was grown at photon flux densities (PFDs) ranging from 47 to 400 ŒºE.m‚Äê2 s‚Äê1. The total cellular content of chlorophyll (Chl) was twice as high in the low light (LL) versus high light (HL) grown cells. On an equal Chl basis, photosystem II (PSII) and cytochrome f (Cyt f) content was higher in HL cells, but photosystem I (PSI) concentration displayed little variation with the light intensity during cell growth. Consequently, there was a shift in the ratio of PSII / PSI and Cyt / PSI from near unity in LL cells to greater than two in HL cells. The functional Chl antenna size of PSII and PSI ranged from 460 and 170 Chl (a + b)in HL‚Äêgrown cells to 620 and 370 Chl (a+ b)in LL‚Äêgrown cells, respectively. The initial slope of the Chl‚Äêspecific photosyn‚Äêthesis‚Äêirradiance (P‚ÄêI) curve was similar in LL‚Äê and HL‚Äêgrown cells, but the light saturated rate of photosynthesis was lower under LL. The response to low light was beneficial at the cellular level, since there was an enhancement of photosynthesis in LL. The PFD for the onset of light saturation, 1 was a factor of 2 lower in LL‚Äê relative to HL‚Äêgrown photosythetic membranes. Since growth PFD varied by a factor of ten, photosynthesis shifted from being light‚Äêlimited in the LL regime to light‚Äêsaturated in the HL regime. The requirement for balanced absorption of light by the two photosystems constrains the PSII / PSI ratio to near unity when growth is light‚Äêlimited, but such a constraint does not apply in HL conditions. Instead the concentration of individual electron transport complexes way be related to the pool size necessary for maximum rates of steady‚Äêstate electron transport. Thus the stoichiometry of electron transport complexes changes in response to growth PFD and this change is correlated with the response flexlbility of algal photosynthesis in diverse light environments. Copyright ¬© 1986, Wiley Blackwell. All rights reserved</t>
  </si>
  <si>
    <t>531-538</t>
  </si>
  <si>
    <t>Journal of Phycology</t>
  </si>
  <si>
    <t>35450144200;57203081985</t>
  </si>
  <si>
    <t>Neale, Patrick J.;Melis, Anastasios</t>
  </si>
  <si>
    <t>Neale P.</t>
  </si>
  <si>
    <t>ALGAL PHOTOSYNTHETIC MEMBRANE COMPLEXES AND THE PHOTOSYNTHESIS‚ÄêIRRADIANCE CURVE: A COMPARISON OF LIGHT‚ÄêADAPTATION RESPONSES IN CHLAMYDOMONAS REINHARDTII (CHLOROPHYTA)</t>
  </si>
  <si>
    <t>10.1111/j.1529-8817.1986.tb02497.x</t>
  </si>
  <si>
    <t>2-s2.0-84986791262</t>
  </si>
  <si>
    <t>['wiley blackwell', 'rights reserved', 'photosystem ii', 'incorrect assignment', 'general consequence', 'fluorescence induction', 'eliminates ambiguities', 'antenna size', '700 nm', '293 k']</t>
  </si>
  <si>
    <t>Abstract‚Äî The kinetics of photosystem II photochemistry are analyzed in the marine diatom Phaeodacfylum tricornutum by measurement of fluorescence induction in cell suspensions treated with 3‚Äì(3,4‚Äêdichlorophenyl)‚Äê1,1‚Äêdimethylurea. Photosystem II kinetics are found to be biphasic, the sum of two exponential components, suggesting that biphasic energy conversion in photosystem II may be a general consequence of thylakoid membrane appression. The emission wavelength‚Äêdependence of fluorescence induction suggests that the two photosystem II components have different variable fluorescence emission spectra. The slower component exhibits characteristic emission of the diatom light‚Äêharvesting complexes while emission from the faster component resembles that of the photosystem II reaction center. Variable fluorescence emission (293 K) at wavelengths &gt; 700 nm is assigned to photosystem II. Application of model equations indicates that the two photosystem II unit types differ primarily in antenna size. A new analytical procedure is presented which eliminates ambiguities in the kinetic analysis associated with the incorrect assignment of the maximal fluorescence yield. Copyright ¬© 1986, Wiley Blackwell. All rights reserved</t>
  </si>
  <si>
    <t>535-544</t>
  </si>
  <si>
    <t>Owens, Thomas G.</t>
  </si>
  <si>
    <t>Cornell University</t>
  </si>
  <si>
    <t>Owens T.</t>
  </si>
  <si>
    <t>PHOTOSYSTEM II HETEROGENEITY IN THE MARINE DIATOM Phaeodactylum tricornutum</t>
  </si>
  <si>
    <t>10.1111/j.1751-1097.1986.tb09532.x</t>
  </si>
  <si>
    <t>2-s2.0-84989688284</t>
  </si>
  <si>
    <t>['wiley blackwell', 'three species', 'rights reserved', 'psi ).', 'previously described', 'phycobiliprotein peaks', 'photosystem ii', 'ovata showed', 'intact cells', 'increased contribution', 'green plants', 'green algae', 'fluorescence decay', 'excitation spectra', 'decreased contributions', 'cryptophyte algae', 'cryptomonas ovata', 'chroomonas salina', 'chroomonas pauciplastida', 'antenna pigments', '77 k', '505 nm', '493 nm', '445 nm', '417 nm']</t>
  </si>
  <si>
    <t>Excitation spectra of chlorophyll‚Äêa (Chl‚Äêa) fluorescence in intact cells of Cryptomonas ovata, Chroomonas pauciplastida and Chroomonas salina were determined at 77 K. For all species the excitation spectra for emission from Chl‚Äêa associated with photosystem II (PSII) showed increased contributions by a carotenoid (493 nm) and phycobiliproteins, and decreased contributions by carotenoid (417 nm, 505 nm) and Chl‚Äêa (445 nm) as compared to excitation spectra for emission from Chl‚Äêa associated with photosystem I (PSI). Excitation spectra of C. salina and C. ovata showed an increased contribution by Chl‚Äêc2 to PSII Chl‚Äêa fluorescence emission. In all three species the absorbance band positions of Chl‚Äêa, as determined from the excitation spectra, were similar to those previously described in green plants. green algae and phycobilisome‚Äêcontaining organisms. Time‚Äêresolved 77 K fluorescence emission spectra of C. ovata and C. salina showed successive emission from both phycoerythrin and Chl‚Äêc2, PSII Chl‚Äêa, and PSI Chl‚Äêa. C. pauciplastida showed successive emission from phycocyanin, PSII Chl‚Äêa, and PSI Chl‚Äêa. Spectral red‚Äêshifts with time were observed for the phycobiliprotein peaks in all three species. The fluorescence decay of phycoerythrin in C. ovata and C. salina was faster than that of phycocyanin in C. pauciplastida. The results are discussed in relation to the organization of the antenna pigments of PSII and PSI in the cryptophyte algae. Copyright ¬© 1986, Wiley Blackwell. All rights reserved</t>
  </si>
  <si>
    <t>519-525</t>
  </si>
  <si>
    <t>60011460;60011460;60018491;60018491</t>
  </si>
  <si>
    <t>7202146710;7005845761;7103109862;7006609975</t>
  </si>
  <si>
    <t>Bruce, Doug;Biggins, John;Steiner, Tom;Thewalt, Mike</t>
  </si>
  <si>
    <t>Burnaby;Providence</t>
  </si>
  <si>
    <t>Simon Fraser University;Brown University</t>
  </si>
  <si>
    <t>60018491;60011460</t>
  </si>
  <si>
    <t>Bruce D.</t>
  </si>
  <si>
    <t>EXCITATION ENERGY TRANSFER IN THE CRYPTOPHYTES. FLUORESCENCE EXCITATION SPECTRA AND PICOSECOND TIME‚ÄêRESOLVED EMISSION SPECTRA OF INTACT ALGAE AT 77 K</t>
  </si>
  <si>
    <t>10.1111/j.1751-1097.1986.tb04702.x</t>
  </si>
  <si>
    <t>2-s2.0-84989757505</t>
  </si>
  <si>
    <t>['¬© 1986', 'young larvae', 'winter season', 'white wax', 'utsunomiya city', 'third generations', 'term seemed', 'summer season', 'species went', 'rights reserved', 'rearing results', 'mature larvae', 'late november', 'larval mortalities', 'japanese society', 'coldest months', 'applied entomology', 'almost spherical', 'adults lived']</t>
  </si>
  <si>
    <t>Apterous and alate viviparous female larvae and adults lived in the winter season in the same manner as in the summer season, but few alate viviparous female adults were alive in February and March, the coldest months of the year. The ratio of young larvae was high in February, while that of middle and mature larvae was high in March. Adults in the winter season were covered with white wax. Appendages such as antennae, cornicles, caudae, femora and tibiae were small and the shape of the abdomen was almost spherical. These features were conspicuous in the adults in February. This species went through almost two generations from December to March in the winter season in Utsunomiya City. The apterous viviparous female adults that lived in the field during this term seemed to have been born in the period from the beginning of November to the middle of December and matured from late November to the end of January. In the years when the temperatures in February and March were lower than normal, larval mortalities in the second and third generations were high, which affected the further increase of this species as suggested from the evaluation of the rearing results of two winter seasons in 1983 and 1984. ¬© 1986, JAPANESE SOCIETY OF APPLIED ENTOMOLOGY AND ZOOLOGY. All rights reserved.</t>
  </si>
  <si>
    <t>Japanese Journal of Applied Entomology and Zoology</t>
  </si>
  <si>
    <t>Inaizumi, Mitsumaru</t>
  </si>
  <si>
    <t>Utsunomiya</t>
  </si>
  <si>
    <t>Utsunomiya University</t>
  </si>
  <si>
    <t>Inaizumi M.</t>
  </si>
  <si>
    <t>Studies on the Winter Viviparous Females of Aphis gossypii Glover (Homoptera: Aphididae)</t>
  </si>
  <si>
    <t>10.1303/jjaez.30.43</t>
  </si>
  <si>
    <t>2-s2.0-85004208917</t>
  </si>
  <si>
    <t>['¬© 1986', 'two types', 'threshold dosages', 'three series', 'significantly responded', 'significantly different', 'significant difference', 'separate species', 'rights reserved', 'pft antennae', 'pft ).', 'japanese society', 'hexanoic acid', 'fft antennae', 'feeding type', 'ester homologues', 'eag responses', 'eag response', 'corresponding alcohol', 'conogethes punctiferalis', 'c9 compounds', 'c6 compounds', 'applied entomology', 'alkyl compounds', 'alkanoic acid', 'aldehyde homologues', '90 n', '5 times']</t>
  </si>
  <si>
    <t>EAG responses to 90 n-alkyl compounds, with different functional groups and some homologues, were compared between the two types of the yellow peach moth, Conogethes punctiferalis (Guen√©E), Fruit-Feeding type (FFT) and Pinaceae-feeding type (PFT). Females of both types responded clearly to C5 or C6 compounds in all three series of alkanol, alkanal, and alkanoic acid while both males showed prominent bimodal response with C5 or C6 and C9 compounds in aldehyde. The antennae of both sexes in each type more significantly responded to n-hexanal than to the corresponding alcohol and acid. The FFT antennae were twice as sensitive to n-hexanol and n-hexanal, and 1.5 times more to n-hexanoic acid than the PFT antennae. Females of both types were more sensitive to n-hexanoic acid than the males, particularly in FFT, but no significant difference was observed with n-hexanol and n-hexanal. The threshold dosages of n-hexanol, n-hexanal and n-hexanoic acid to both types were not significantly different, and were within 5 X l0-4Œºl to 1 X 10‚Äì3Œºl.The EAG responses of both types to ester homologues were unimodal and bimodal in female and male, respectively, similar to those to aldehyde homologues. From these differences in EAG response and with reference to the morphological and biological differences reported earlier, we conclude that the two types are separate species. ¬© 1986, JAPANESE SOCIETY OF APPLIED ENTOMOLOGY AND ZOOLOGY. All rights reserved.</t>
  </si>
  <si>
    <t>126-133</t>
  </si>
  <si>
    <t>1347605X</t>
  </si>
  <si>
    <t>Applied Entomology and Zoology</t>
  </si>
  <si>
    <t>55614177100;57192320755;24394552200</t>
  </si>
  <si>
    <t>Honda, Hiroshi;Maruyama, Yasuhito;Matsumoto, Yoshiharu</t>
  </si>
  <si>
    <t>Honda H.</t>
  </si>
  <si>
    <t>Comparisons in EAG Response to n-Alkyl Compounds between the Fruit- and Pinaceae-Feeding Type of Yellow Peach Moth, Conogethes punctiferalis (Guen√©e)(Lepidoptera: Pyralidae)</t>
  </si>
  <si>
    <t>10.1303/aez.21.126</t>
  </si>
  <si>
    <t>2-s2.0-85004387217</t>
  </si>
  <si>
    <t>['¬© 1986', 'walk foward', 'surface intensively', 'surface alternately', 'stopped walking', 'soybean plant', 'sometimes included', 'several kinds', 'rights reserved', 'resting respectively', 'ovipositor tip', 'oviposition site', 'oviposition bout', 'oviposition behavior', 'ordinary walking', 'occasionally searched', 'latter part', 'laboratory cages', 'japanese society', 'host plant', 'host ovipositing', 'flew away', 'early part', 'dark period', 'common sequence', 'applied entomology', 'anterior portion', '4 min']</t>
  </si>
  <si>
    <t>Oviposition behavior of E. zinckenella on a soybean plant was observed in both field and laboratory cages. Gravid females tended to oviposit several separate eggs on a plant at each arrival. They exhibited behavioral sequences composed of several kinds of events after alighting on the host plant. The most common sequence was as follows: A female that alighted on a host plant bent her abdomen downward immediately after touching its surface with her antennae, and began to walk foward while dragging her ovipositor tip and tapping the surface alternately with her antennae. Detecting the oviposition site, she stopped walking, raised the anterior portion of her body, and deposited an egg. After raising her body, however, she occasionally searched the surface intensively with the ovipositor tip alone. The insect often repeated this sequence several times, laying an egg each time. Additionally, ordinary walking and pausing were sometimes included in the sequence. She stayed on the host ovipositing in this way for about 4 min on an average and then flew away. In general, such an oviposition bout was repeated in the early part of the dark period accompanied by flying and resting respectively, before and after it. Most females remained quiescent in the middle or latter part of the dark period. ¬© 1986, JAPANESE SOCIETY OF APPLIED ENTOMOLOGY AND ZOOLOGY. All rights reserved.</t>
  </si>
  <si>
    <t>33-38</t>
  </si>
  <si>
    <t>Hattori, Makoto</t>
  </si>
  <si>
    <t>Hokuriku National Agricultural Experiment Station</t>
  </si>
  <si>
    <t>Hattori M.</t>
  </si>
  <si>
    <t>Oviposition Behavior of the Limabean Pod Borer, Etiella zinckenella Treitschke (Lepidoptera: Pyralidae) on the Soybean</t>
  </si>
  <si>
    <t>10.1303/aez.21.33</t>
  </si>
  <si>
    <t>2-s2.0-85004395871</t>
  </si>
  <si>
    <t>['¬© 1986', 'unconditioned disc', 'small tobacco', 'significantly small', 'rights reserved', 'relatively large', 'previously female', 'petri dish', 'ovipositional response', 'ovipositional behavior', 'lasioderma serricorne', 'japanese society', 'f .)', 'eggs one', 'conditioned disc', 'composite uniformly', 'cigarette beetles', 'cigarette beetle', 'body extract', 'applied entomology', '36 sites']</t>
  </si>
  <si>
    <t>The presence of a pheromone-like substance regulating the ovipositional behavior in the cigarette beetle, Lasioderma serricorne (F.) was shown. When small tobacco-disc-composites were arranged at 36 sites in a petri dish (12 cm diam), a gravid female laid her eggs one by one on each disc-composite uniformly. In the two-choice test using a previously female-conditioned disc and an unconditioned fresh disc, the number of eggs on the conditioned disc was significantly small, whereas the number on a male-conditioned disc or an unconditioned disc was relatively large. Some of the fractions chromatographically obtained from the body extract of cigarette beetles were shown to have a strongly inhibiting activity for ovipositional response. It was confirmed that beetles recognize certain-oviposition inhibiting chemicals with their antennae. ¬© 1986, JAPANESE SOCIETY OF APPLIED ENTOMOLOGY AND ZOOLOGY. All rights reserved.</t>
  </si>
  <si>
    <t>15-20</t>
  </si>
  <si>
    <t>60009784;60009784;60009784;60009784</t>
  </si>
  <si>
    <t>57192329408;7201852881;10840702500;16469029300</t>
  </si>
  <si>
    <t>Kohno, Masahiro;Mochizuki, Keiko;Chuman, Tatsuji;Ohnishi, Akio</t>
  </si>
  <si>
    <t>Japan Tobacco</t>
  </si>
  <si>
    <t>Kohno M.</t>
  </si>
  <si>
    <t>Pheromone-Like Substances Affecting the Oviposition Behavior of the Female Cigarette Beetle, Lasioderma serricorne (F.) (Coleoptera: Anobiidae)</t>
  </si>
  <si>
    <t>10.1303/aez.21.15</t>
  </si>
  <si>
    <t>2-s2.0-85004450255</t>
  </si>
  <si>
    <t>['two groups', 'three strokes', 'stroke repetition', 'quantitatively analysed', 'one stroke', 'individual variation', 'greater efficiency', 'genera ceratina', 'fewer strokes', 'fewer number', 'females tend', 'females differ', 'females clean', 'families colletidae', 'except ceratina', 'derived morphology', 'considerably larger', 'compensate partly', 'bees fall', 'antenna grooming', 'antenna cleaner', 'ancestral strigilis', 'always uniscrapers', '100 species']</t>
  </si>
  <si>
    <t>Antenna grooming in more than 100 species of bees (Apoidea), representing 34 genera of the 7 major bee families is recorded and quantitatively analysed. Most species of bees fall into one of two groups with respect to repetitive antenna cleaning: ‚ÄúUniscrapers‚Äù predominantly clean their antennae with one stroke, ‚Äúbiscrapers‚Äù mostly with two subsequent strokes. Uniscrapers are more consequent in their behaviour than biscrapers. Most biscrapers occasionally clean their antenna with one or three strokes. Individual variation in the ratio of stroke repetition is considerably larger in bi‚Äê than in uniscrapers. In several species males and females differ with respect to their antenna cleaning behaviour, females tend to be more uniscraping. Most species of the families Colletidae, Halictidae, and Andrenidae, as well as the species of the genera Ceratina and Nomada (Anthophoridae) are biscrapers. Almost all species of Melittidae, Megachilidae, Apidae, and Anthophoridae (except Ceratina and Nomada) are uniscrapers. Bees with an antenna cleaner with ancestral (plesiomorphic) morphology are mostly, but not always, biscrapers, those with a derived antenna cleaner are always uniscrapers. Bees with a derived antenna cleaner perform on average less cleaning actions and strokes than those with an ancestral antenna cleaner. Uniscrapers with an ancestral strigilis do on average more cleaning actions per minute than biscrapers, thus they compensate partly for the fewer number of strokes. But nevertheless the uniscrapers do fewer strokes than the biscrapers (both with an ancestral strigilis). Females clean their antennae on average more often than males. It is interpreted that the behaviour of uniscraping and a derived morphology of the antenna cleaner result in greater efficiency than the status which is ancestral for Apoidea (biscraping and a plesiomorphic antenna cleaner). 1986 Blackwell Verlag GmbH</t>
  </si>
  <si>
    <t>29-42</t>
  </si>
  <si>
    <t>Ethology</t>
  </si>
  <si>
    <t>January‚ÄêDecember 1986</t>
  </si>
  <si>
    <t>SCH√ñNITZER, KLAUS</t>
  </si>
  <si>
    <t>SCH√ñNITZER K.</t>
  </si>
  <si>
    <t>Quantitative Aspects of Antenna Grooming in Bees (Apoidea: Hymenoptera)</t>
  </si>
  <si>
    <t>10.1111/j.1439-0310.1986.tb00997.x</t>
  </si>
  <si>
    <t>2-s2.0-85005722939</t>
  </si>
  <si>
    <t>['zu 3', 'zu 2', 'zu 1', 'und 4', 'tigmotactic stimuli', 'thorax lasts', 'tergum register', 'tactile stimulus', 'swinging movement', 'sticky foil', 'stadiums ).', 'single aphid', 'seizing corresponds', 'right side', 'release continues', 'raised thorax', 'preying behaviour', 'passive waiting', 'ort fixiert', 'next moment', 'lateral side', 'lateral part', 'increasing length', 'herrn dr', 'glands near', 'frau prof', 'every swing', 'constantly oscillating', 'behaviour pattern', 'ad 3', 'ad 2', 'ad 1', 'active seizing', 'active search', '4th stage', '1 entsprechend', '1 ).']</t>
  </si>
  <si>
    <t>Studies on the preying behaviour of Syrphus balteatus Deg. (Diptera, Syrphidae) Larvae of Syrphus balteatus exhibit three strategies in their behaviour pattern when seizing their prey: 1. passive waiting for a single aphid 2. active seizing of a single aphid 3. active seizing of a colony of aphids (refers to larvae of the 3rd and 4th stage) Ad 1: The larvae of a hovering fly awaits with raised thorax the tactile stimulus of an aphid. Laterally and tergally arranged mechanoreceptors of increasing length from the lateral side to the tergum register the tigmotactic stimuli. After contact of a receptor, the larva lightly touches the aphid with her antennae (test for the cause of the stimulus) followed by the release of a glue from glands near to the caput which fixes the aphid at the thorax of the larva. In the next moment the integument will be perforated by the mouthparts and the prey will be sucked out. Ad 2: After active search for a single aphid the action of seizing corresponds to the one as described under (1). Ad 3: When seizing a colony of aphids, the larva of the hovering fly moves over the colony while constantly oscillating with the thorax. Every swing to the left or the right side is completed by putting down the antennae. As long as the antennae touch aphids, a glue is released from glands which are arranged at the ventral or lateral part of the thorax. This release continues as long as the swinging movement of the thorax lasts. In this way a sticky foil is created which covers the colony of aphids, connects them to each other and fixes them to the spot. Subsequently one aphid after the other is sucked out. Den Mitarbeitern des IWF G√∂ttingen, Herrn Dr. D. Haarhaus und Herrn Kameramann H. Wittmann danke ich f√ºr vorbildliche Zusammenarbeit, Frau Prof. Dr. C. Podufal, Zoologisches Institut der Universit√§t G√∂ttingen, f√ºr die anregende Diskussion histologischer Ergebnisse. Nicht zuletzt bedanke ich mich bei Herrn Prof. Dr. S. Bombosch f√ºr Anregungen bei der Durchsicht der Arbeit. Die Larven von Syrphus balteatus zeigen 3 Strategien des Beutefangverhaltens: 1. passives Warten auf die Einzellaus, 2. aktives Erbeuten der Einzellaus, 3. aktives Erbeuten einer L√§usekolonie (bei Larven des 3. und 4. Stadiums). Zu 1. Mit erhobenem Vorderk√∂rper erwartet die Schwebfliegenlarve den Ber√ºhrungsreiz einer Blattlaus. Zur Aufnahme der tigmotaktischen Reize dienen lateral und tergal angeordnete zapfenf√∂rmige Mechanorezeptoren, deren L√§nge von der Lateralseite zum Tergum hin zunehmen. Nach der Ber√ºhrung eines Rezeptors betupft die Larve mit ihren Antennen die Blattlaus (√úberpr√ºfung der Reizursache) und entl√§√üt anschlie√üend aus kopfnah gelegenen Dr√ºsen einen Klebstoff, der die Laus am Vorderk√∂rper der Larve fixiert. Daraufhin wird das Integument mit den Mundwerkzeugen durchstochen und die Laus ausgesaugt. Zu 2. Nach aktivem Aufsuchen der Einzellaus verl√§uft die Beutefanghandlung Nr. 1 entsprechend. Zu 3. Beim Erbeuten einer L√§usekolonie bewegt sich die Schwebfliegenlarve unter st√§ndigem Pendeln des Vorderk√∂rpers √ºber die Kolonie, wobei jeder nach rechts oder links ausgef√ºhrte Pendelschlag mit dem Aufsetzen der Antennen endet. Solange die Antennen auf Blattl√§use treffen, entlassen im Vorderk√∂rper der Larve ventral und lateral angeordnete Dr√ºsen einen Klebstoff, der w√§hrend der Pendelbewegung des Vorderk√∂rpers kontinuierlich ausgeschieden wird. Dabei bildet sich eine klebende, die L√§usekolonie √ºberziehende ‚ÄúFolie‚Äù, welche die L√§use miteinander verbindet und am Ort fixiert. Anschlie√üend wird Blattlaus f√ºr Blattlaus ausgesaugt. 1986 Blackwell Verlag GmbH</t>
  </si>
  <si>
    <t>309-313</t>
  </si>
  <si>
    <t>Journal of Applied Entomology</t>
  </si>
  <si>
    <t>January/December 1986</t>
  </si>
  <si>
    <t>Gries, G.</t>
  </si>
  <si>
    <t>Gottingen</t>
  </si>
  <si>
    <t>Georg-August-Universit√§t G√∂ttingen</t>
  </si>
  <si>
    <t>Gries G.</t>
  </si>
  <si>
    <t>Zum Beutefangverhalten der Schwebfliegenlarve Syrphus balteatus Deg. (Diptera, Syrphidae)</t>
  </si>
  <si>
    <t>10.1111/j.1439-0418.1986.tb00927.x</t>
  </si>
  <si>
    <t>2-s2.0-85009322781</t>
  </si>
  <si>
    <t>['wiley blackwell', 'throughout colletidae', 'rights reserved', 'related genera', 'large variety', 'halictidae ).', 'figure 37', 'except oxaeidae', 'described comparatively', 'derived type', 'derived ones', 'bees representing', 'antenna cleaners', 'antenna cleaner', 'ancestral type', 'ancestral character', '50 genera', '175 species']</t>
  </si>
  <si>
    <t>The morphology of the antenna cleaners of 175 species of bees representing more than 50 genera was investigated and described comparatively. An ancestral type of antenna cleaner was found in most short‚Äêtongued bees (except Oxaeidae and Ctenoplectridae) as well as in Nomadinae, Ceratini, and some Megachilidae. A further ancestral character (shallow notch), however, was only found in some of these bees (but throughout Colletidae and Halictidae). A derived type of antenna cleaner was found in Anthophora, Eucera and related genera, as well as in Melecta, Ancyloscelis, and Ctenoplectra. Several further (derived) types of antenna cleaners were found in Anthophoridae and Apidae. A large variety of antenna cleaners (ancestral as well as derived ones) were found in the Megachilidae. Possible phylogenetic consequences are suggested in Figure 37. Copyright ¬© 1986, Wiley Blackwell. All rights reserved</t>
  </si>
  <si>
    <t>35-51</t>
  </si>
  <si>
    <t>Journal of Zoological Systematics and Evolutionary Research</t>
  </si>
  <si>
    <t>Sch√∂nitzer, By K.</t>
  </si>
  <si>
    <t>Sch√∂nitzer B.</t>
  </si>
  <si>
    <t>Comparative morphology of the antenna cleaner in bees (Apoidea)</t>
  </si>
  <si>
    <t>10.1111/j.1439-0469.1986.tb00614.x</t>
  </si>
  <si>
    <t>2-s2.0-85016195993</t>
  </si>
  <si>
    <t>['¬© 1986', 'wire grid', 'structures involves', 'rights reserved', 'input impedance', 'good approximation', 'experimentally modelling', 'electrical engineers', 'approximate solution', 'approximate problem']</t>
  </si>
  <si>
    <t>Antenna theory | Antennas | Modelling</t>
  </si>
  <si>
    <t>Theoretical wire grid modelling for antennas on structures involves the approximate solution of an approximate problem. By experimentally modelling the approximate problem of a wire grid replacing a continuous metal structure, it is shown that a wire grid with spacing ~ Œª/10 is a good approximation both for the far-field radiation pattern of the antenna and for its input impedance. Difficulties in providing accurate impedance predictions should therefore be ascribed to the approximate mathematical solution, rather than the wire grid model. ¬© 1986, The Institution of Electrical Engineers. All rights reserved.</t>
  </si>
  <si>
    <t>940-941</t>
  </si>
  <si>
    <t>60082676;60022148</t>
  </si>
  <si>
    <t>55698377500;57215808633</t>
  </si>
  <si>
    <t>Smith, M. S.;Barrett, M. J.</t>
  </si>
  <si>
    <t>Harlow;London</t>
  </si>
  <si>
    <t>Standard Telecommunication Laboratories Ltd.;University College London</t>
  </si>
  <si>
    <t>Smith M.S.</t>
  </si>
  <si>
    <t>Experimental wire grid modelling for antennas on structures</t>
  </si>
  <si>
    <t>10.1049/el:19860640</t>
  </si>
  <si>
    <t>2-s2.0-85024279687</t>
  </si>
  <si>
    <t>NASA Technical Memorandum</t>
  </si>
  <si>
    <t>60026717;60026717;60026717;60026717</t>
  </si>
  <si>
    <t>7006626132;6603602016;6701808541;7102929356</t>
  </si>
  <si>
    <t>Bhasin, K. B.;Anzic, G.;Kunath, R. R.;Connolly, D. J.</t>
  </si>
  <si>
    <t>OPTICAL TECHNIQUES TO FEED AND CONTROL GaAs MMIC MODULES FOR PHASED ARRAY ANTENNA APPLICATIONS.</t>
  </si>
  <si>
    <t>10.2514/6.1986-687</t>
  </si>
  <si>
    <t>2-s2.0-85088546982</t>
  </si>
  <si>
    <t>['¬© 1986', 'tentatively ascribed', 'saturating reaction', 'readily accessible', 'rapid phase', 'proteoliposomes initiates', 'protein surface', 'porphyrin ring', 'outer surface', 'new phase', 'negative inside', 'intact chromatophores', 'indicates localization', 'free rc', 'containing rc', 'charge separation', '9 œºm', '870 near', '870 +.', '200 ns']</t>
  </si>
  <si>
    <t>(Kinetics, R. rubrum) | Cytochrome c | Membrane potential | Proteoliposome | Reaction center</t>
  </si>
  <si>
    <t>Rhodospirillum rubrum reaction centre (RC) complexes with or without antenna bacteriochlorophyll have been incorporated into liposomes; the latter were associated with a phospholipid-impregnated collodion film, and flash-induced electric responses were measured. It is shown that in the antenna-free RC-proteoliposomes a very rapid phase of charge separation (less than 200 ns) due to P-870 ‚Üí QA electron transfer has a polarity (negative inside) opposite to that of the intact chromatophores or of the antenna-containing RC-proteoliposomes. In the antenna-free RC-proteoliposomes (but not in the chromatophores), P-870 is readily accessible to membrane-impermeable cationic electron donors like cytochrome c and Ru(NH3)2+6, which indicates localization of P-870 near the outer surface of the membrane. Oxidation of externally added cytochrome c2+ by P-870+ in these proteoliposomes initiates an additional slower phase of ŒîŒ® generation comprising about 25% of the total photoelectric response. The dependence of the slower phase rate on the cytochrome c concentration is characteristic of a saturating reaction with Km of 0.9 ŒºM and kmax of approx. 6 ¬∑ 103 s-1 at low ionic strength. A similar electrogenic phase can be observed without cytochrome c in the presence of sufficiently high concentrations of artificial redox dyes, e.g., 2 mM TMPD or more than approx. 50 ŒºM PMS. The new phase of ŒîŒ® generation is tentatively ascribed to e- transfer within reaction centre molecule from the protein surface to the porphyrin ring of P-870+. ¬© 1986.</t>
  </si>
  <si>
    <t>137-146</t>
  </si>
  <si>
    <t>BBA - Bioenergetics</t>
  </si>
  <si>
    <t>60007457;60007457;60007457;60007457;60007457;60007457;60007457;60007457</t>
  </si>
  <si>
    <t>24443746900;6602092921;7103374495;7004304649;7006130445;7004481474;7402499110;35468160400</t>
  </si>
  <si>
    <t>Drachey, L. A.;Kaminskaya, O. P.;Konstantinov, A. A.;Kotova, E. A.;Mamedov, M. D.;Samuilov, V. D.;Semenov, A. Yu;Skulachev, V. P.</t>
  </si>
  <si>
    <t>Lomonosov Moscow State University</t>
  </si>
  <si>
    <t>Drachey L.A.</t>
  </si>
  <si>
    <t>The effect of cytochrome c, hexammineruthenium and ubiquinone-10 on the kinetics of photoelectric responses of Rhodospirillum rubrum reaction centres</t>
  </si>
  <si>
    <t>10.1016/0005-2728(86)90169-6</t>
  </si>
  <si>
    <t>2-s2.0-0022616887</t>
  </si>
  <si>
    <t>['sensitive sensilla', 'receptor neuron', 'readily predicted', 'individual pheromone', 'individual components', 'electrical activity', 'component stimuli']</t>
  </si>
  <si>
    <t>Cabbage looper | electrophysiology | insect attractant | Lepidoptera | Noctuidae | olfactory receptor | pheromone blend | Trichoplusia ni</t>
  </si>
  <si>
    <t>Multicomponent pheromone systems are common in many insect species. As our knowledge about the number of different chemical compounds actually involved in a particular communication system increases, so too does the need for an efficient neural mechanism for the encoding of behaviorially relevant odor compounds. Here we consider the electrical activity of olfactory receptor neurons in a subset of the individual pheromone-sensitive sensilla on the antennae of male cabbage looper moths (Trichoplupia ni). Responses to single- and multiple-component stimuli, drawn from seven behaviorally active compounds, were obtained at several different intensities. Some blends elicited electrical responses which were not readily predicted from a knowledge of the receptor neuron's response to individual components. ¬© 1986 Plenum Publishing Corporation.</t>
  </si>
  <si>
    <t>451-467</t>
  </si>
  <si>
    <t>Journal of Chemical Ecology</t>
  </si>
  <si>
    <t>60000986;60000986;60000986</t>
  </si>
  <si>
    <t>7103138825;57225330801;7402445350</t>
  </si>
  <si>
    <t>O'Connell, Robert J.;Beauchamp, Jeffrey T.;Grant, Alan J.</t>
  </si>
  <si>
    <t>O'Connell R.J.</t>
  </si>
  <si>
    <t>Insect olfactory receptor responses to components of pheromone blends</t>
  </si>
  <si>
    <t>10.1007/BF01020566</t>
  </si>
  <si>
    <t>2-s2.0-0001584640</t>
  </si>
  <si>
    <t>['wave receiver', 'substrate surface', 'main lobe', 'integral antenna', 'instantaneous bandwidth', 'hybrid millimeter', 'highest level', 'frequency range', '5 db', '10 ghz']</t>
  </si>
  <si>
    <t>coplanar waveguide | millimeter-wave integrated circuit | millimeter-wave receiver</t>
  </si>
  <si>
    <t>A planar, subharmonically-pumped, hybrid millimeter-wave receiver with integral antenna is described. Coplanar waveguide filters are used to isolate the ports and provide image enhancement. The integral planar antenna has 12 dB gain and is suited for use as a feed. The main lobe is normal to the substrate surface. The receiver is designed for an instantaneous bandwidth of 10 GHz. Experiments at 71 GHz indicate single-sideband mixer conversion loss of 6.5 dB. We believe that this represents the highest level of integration yet demonstrated in this frequency range. ¬© 1986 Plenum Publishing Corporation.</t>
  </si>
  <si>
    <t>183-195</t>
  </si>
  <si>
    <t>60121438-60025038;60121438-60025038</t>
  </si>
  <si>
    <t>7406552522;7202176080</t>
  </si>
  <si>
    <t>Williams, Dylan F.;Schwarz, S. E.</t>
  </si>
  <si>
    <t>Berkeley;Berkeley</t>
  </si>
  <si>
    <t>60121438;60025038</t>
  </si>
  <si>
    <t>Williams D.</t>
  </si>
  <si>
    <t>A planar subharmonically-pumped 71 GHz receiver with integral feed antenna</t>
  </si>
  <si>
    <t>10.1007/BF01013266</t>
  </si>
  <si>
    <t>2-s2.0-0022659478</t>
  </si>
  <si>
    <t>['presented comparing']</t>
  </si>
  <si>
    <t>A new fading reduction technique applicable to small shipborne antennas in the future maritime satellite communications is proposed. This technique has simple hardware construction and a good fading reduction effect. The principle of the proposed fading reduction technique and the theoretical reduction effects of the technique are presented comparing with those of the and are compared with those of the polarization shaping method.</t>
  </si>
  <si>
    <t>83-85</t>
  </si>
  <si>
    <t>E69</t>
  </si>
  <si>
    <t>0387236X</t>
  </si>
  <si>
    <t>Transactions of the Institute of Electronics and Communication Engineers of Japan. Section E</t>
  </si>
  <si>
    <t>60021208;60021208;60021208</t>
  </si>
  <si>
    <t>7005670025;7102618328;7005154210</t>
  </si>
  <si>
    <t>Yasunaga, Masayuki;Karasawa, Yoshio;Shiokawa, Takayasu</t>
  </si>
  <si>
    <t>KDDI Corporation</t>
  </si>
  <si>
    <t>Yasunaga M.</t>
  </si>
  <si>
    <t>SIMPLIFIED FADING REDUCTION TECHNIQUE IN MARITIME SATELLITE COMMUNICATIONS.</t>
  </si>
  <si>
    <t>2-s2.0-0022659884</t>
  </si>
  <si>
    <t>['rapid evaluation', 'measuring primary', 'measured pattern', 'mainframe computer', 'cassegrain antenna', 'automated millimeter']</t>
  </si>
  <si>
    <t>An automated millimeter-wave antenna range capable of measuring primary-feed structure patterns and transferring this data to a mainframe computer for secondary pattern computation is described. Its applicability to the rapid evaluation of complex feed structures as used in a Cassegrain antenna is illustrated. An example of a reflector antenna analysis is compared to a measured pattern. ¬© 1986 Plenum Publishing Corporation.</t>
  </si>
  <si>
    <t>245-250</t>
  </si>
  <si>
    <t>Lazar, Steven</t>
  </si>
  <si>
    <t>Lazar S.</t>
  </si>
  <si>
    <t>Millimeter-wave range for the quick evaluation of large reflector antennas with complex feeds</t>
  </si>
  <si>
    <t>10.1007/BF01013269</t>
  </si>
  <si>
    <t>2-s2.0-0022660375</t>
  </si>
  <si>
    <t>['test antenna', 'surface quality', 'reference antenna', 'receiving equipment', 'prime focus', 'plotted quickly', 'interference pattern', 'focusing errors', 'contour maps', 'computer program', 'cassegrain dishes', 'antenna pannels', 'antenna hologram']</t>
  </si>
  <si>
    <t>Contour maps of parabolic dish antenna surfaces are able to be plotted quickly and easily using microwave antenna holography. The results can be used to check the surface quality and alignment of the antenna pannels and to check for focusing errors. This technique will work on both prime focus and Cassegrain dishes. An antenna hologram is created from the interference between the microwave signal received at a reference antenna and a test antenna. The antenna hologram - a surface contour plot - is produced by processing the interference pattern through the receiving equipment and a computer program.</t>
  </si>
  <si>
    <t>95-96, 103</t>
  </si>
  <si>
    <t>100384980;100384980;100384980;100384980</t>
  </si>
  <si>
    <t>7201528760;57199297873;7103303147;6505712127</t>
  </si>
  <si>
    <t>Freedman, Daniel J.;Moore, Craig R.;Shaffer, David B.;Gipson John, M.</t>
  </si>
  <si>
    <t>Columbia</t>
  </si>
  <si>
    <t>BENDIX FIELD ENGINEERING CORPORATION</t>
  </si>
  <si>
    <t>Freedman D.</t>
  </si>
  <si>
    <t>MEASURE ANTENNA SURFACE WITH MICROWAVE HOLOGRAMS.</t>
  </si>
  <si>
    <t>2-s2.0-0022660956</t>
  </si>
  <si>
    <t>['wave aerial', 'screening enclosure', 'screened receivers', 'local interference', 'indoor short', 'impracticable since', 'fronted box', 'first requirement', 'experiment shows', 'earlier design', 'deep enough']</t>
  </si>
  <si>
    <t>An earlier design of an indoor short-wave aerial for use with well-screened receivers was found not very suited to ordinary domestic receivers because their lack of screening allows signals to bypass the loop. The result is loss of directionality and, at the same time, trouble from local interference of the kind which a magnetic aerial rejects. Some relatively simple changes can avoid these problems. The first requirement is to provide the receiver with some sort of screening enclosure to exclude direct pickup. A complete screening box is impracticable since it would prevent access to the controls. Experiment shows that an open-fronted box will work, provided that it is deep enough for the receiver to be pushed well inside.</t>
  </si>
  <si>
    <t>41-42</t>
  </si>
  <si>
    <t>Wareham, G.</t>
  </si>
  <si>
    <t>Wareham G.</t>
  </si>
  <si>
    <t>SHORT-WAVE LOOP AERIAL.</t>
  </si>
  <si>
    <t>2-s2.0-0022662232</t>
  </si>
  <si>
    <t>['western half', 'western beam', 'results presented', 'horizontal polarization', 'eastern half', 'eastern beam', 'advanced ku', '39 dbi', '37 dbi']</t>
  </si>
  <si>
    <t>Advanced Ku-band satellite communications antennas have been designed that allow the beam to be reshaped in-orbit via commands from the ground. The Ku-band systems afford the operator substantial flexibility, in that all power in any channel can be transmitted to either the eastern half or the western half of the US. An engineering breadboard model of the antenna has been built and tested. Although both vertical and horizontal polarization performances were measured, for brevity the results presented in paper are from tests of the horizontal polarization. Minimum and maximum measured gain contours for the transmit band range from 30 to 37 dBi for the eastern beam and from 30 to 39 dBi for the western beam.</t>
  </si>
  <si>
    <t>75-78</t>
  </si>
  <si>
    <t>60007716;60007716;60007716</t>
  </si>
  <si>
    <t>7006782511;7003886606;6506387812</t>
  </si>
  <si>
    <t>Parekh, S. V.;Kara, J.;Kularajah, R.</t>
  </si>
  <si>
    <t>Parekh S.</t>
  </si>
  <si>
    <t>SATCOM ANTENNAS FEATURE EAST/WEST BEAM SHAPING.</t>
  </si>
  <si>
    <t>2-s2.0-0022663134</t>
  </si>
  <si>
    <t>['true high', 'private homes', 'power satellites', 'direct broadcast', 'critical factor']</t>
  </si>
  <si>
    <t>Interest in Direct Broadcast by Satellite (DBS) was prompted by the ITU's World Administrative Radio Conference (WARC) at Geneva in 1977. The prospect was of a multiplicity of TV satellite channels becoming available throughout Europe direct to private homes. However, the cost of true high-power satellites has inhibited this development and the critical factor of what programmes should be delivered has yet to be resolved.</t>
  </si>
  <si>
    <t>252-253</t>
  </si>
  <si>
    <t>0141061X</t>
  </si>
  <si>
    <t>Electronic technology London</t>
  </si>
  <si>
    <t>Flach, D. J.J.</t>
  </si>
  <si>
    <t>Granda</t>
  </si>
  <si>
    <t>Granada Cable &amp; Satellite Ltd</t>
  </si>
  <si>
    <t>Flach D.J.J.</t>
  </si>
  <si>
    <t>SATELLITE BROADCASTING - AN INTRODUCTION TO THE CURRENT STATE-OF-THE-ART.</t>
  </si>
  <si>
    <t>2-s2.0-0022663603</t>
  </si>
  <si>
    <t>['transmission line', 'technique presented', 'simple technique', 'reflections along', 'radiating slot', 'exciting line', 'energy transferred', 'energy along', 'domain reflections', 'distortion characteristics', 'coupling slot', 'attenuator placed']</t>
  </si>
  <si>
    <t>Time-domain reflections from a short or an open circuit relate to the distortion characteristics of an attenuator placed in a 10-cm APC7 line; because of that relationship, a simple technique can be developed to measure the absorption or radiation of energy along a transmission line or antenna. The technique presented in paper can also be used to determine the amount of energy transferred from the transmission line to a radiating slot. To do this, the reflections at the end of the exciting line are analyzed. The time domain also reveals reflections that can occur at the coupling slot and helps to explain the cancellation of reflections along the line.</t>
  </si>
  <si>
    <t>115-116</t>
  </si>
  <si>
    <t>Stinehelfer, Harold E.</t>
  </si>
  <si>
    <t>Burlington</t>
  </si>
  <si>
    <t>Made-It Associates, Inc.</t>
  </si>
  <si>
    <t>Stinehelfer H.</t>
  </si>
  <si>
    <t>TESTING TECHNIQUE CHECKS LINE/ANTENNA ABSORPTION.</t>
  </si>
  <si>
    <t>2-s2.0-0022663720</t>
  </si>
  <si>
    <t>['single stand', 'horizontal polarity', 'height positioning']</t>
  </si>
  <si>
    <t>A single stand for testing different horn-type rf antennas is described. Height positioning, as well as 90 degree rotational positioning for vertical/horizontal polarity, is accommodated.</t>
  </si>
  <si>
    <t>4142-4143</t>
  </si>
  <si>
    <t>IBM technical disclosure bulletin</t>
  </si>
  <si>
    <t xml:space="preserve">Anon, </t>
  </si>
  <si>
    <t>Anon</t>
  </si>
  <si>
    <t>RADAR ANTENNA STAND.</t>
  </si>
  <si>
    <t>2-s2.0-0022663867</t>
  </si>
  <si>
    <t>['projection matching', 'periodic array', 'incident obliquely', 'h polarized', 'electromagnetic wave']</t>
  </si>
  <si>
    <t>Using the method of projection matching, an algorithm is constructed for the problem of the diffraction of a plane (E and H polarized) electromagnetic wave, incident obliquely on a periodic array of infinitely long dielectric rods of circular cross section. Some relations between the main diffraction characteristics of the array and its parameters are presented and analyzed.</t>
  </si>
  <si>
    <t>7003720251;6603758447;6506478980;6506284412</t>
  </si>
  <si>
    <t>Bogdanov, F. G.;Kevanishvili, G. Sh;Sikmashvili, Z. I.;Tsagareyshvili, O. P.</t>
  </si>
  <si>
    <t>Bogdanov F.</t>
  </si>
  <si>
    <t>DIFFRACTION OF A PLANE ELECTROMAGNETIC WAVE BY AN ARRAY OF CIRCULAR DIELECTRIC RODS.</t>
  </si>
  <si>
    <t>2-s2.0-0022665275</t>
  </si>
  <si>
    <t>['ultrashort waves', 'theoretical analysis', 'gaussian model', 'experimental measurements', 'correlation properties', 'analyzed assuming']</t>
  </si>
  <si>
    <t>The correlation properties of signals with angular diversity reception under conditions of long-range tropospheric propagation (LTP) of ultrashort waves are analyzed assuming a Gaussian model for the field in the aperture of the antenna. The experimental measurements in the 10-centimeter band along marine paths 200-300 km long are compared with the results of a theoretical analysis of the angular correlation functions of the signals.</t>
  </si>
  <si>
    <t>Rybakov, B. S.</t>
  </si>
  <si>
    <t>Rybakov B.</t>
  </si>
  <si>
    <t>CORRELATION PROPERTIES OF SIGNALS IN THE 10-CENTIMETER BAND WITH ANGULAR DIVERSITY RECEPTION ALONG MARINE PATHS.</t>
  </si>
  <si>
    <t>2-s2.0-0022665295</t>
  </si>
  <si>
    <t>['suitable calculation', 'optimum distribution', 'minimum width', 'marked surge', 'main beam', 'field distributions', 'feeds realizing', 'directivity characteristics', 'directivity characteristic', 'circular apertures', 'article discusses', 'aperture edge', 'antenna system', 'antenna aperture', '4 refs']</t>
  </si>
  <si>
    <t>The design of an antenna system with a low sidelobe level can be reduced to the realization of an optimum distribution of the field in the antenna aperture which forms the directivity characteristic with a minimum width of the main beam for a given sidelobe level. The optimum field distributions in circular apertures were obtained in a number of publications. The indicated field distributions are oscillatory in nature with a marked surge at the aperture edge. Such field distributions can be realized in two-reflector antenna systems by a suitable calculation of the profiles of the reflectors. However, the construction of feeds realizing such distributions in single-reflector antenna systems is problematic. This article discusses the realization of directivity characteristics with a minimum sidelobe level in single-reflector antenna systems. 4 refs.</t>
  </si>
  <si>
    <t>165-167</t>
  </si>
  <si>
    <t>Panchenko, V. G.</t>
  </si>
  <si>
    <t>Panchenko V.</t>
  </si>
  <si>
    <t>REALIZATION OF DIRECTIVITY CHARACTERISTICS WITH A MINIMUM SIDELOBE LEVEL IN SINGLE-REFLECTOR ANTENNA SYSTEMS.</t>
  </si>
  <si>
    <t>2-s2.0-0022665319</t>
  </si>
  <si>
    <t>['two reflectors', 'surface generatrices', 'single integrals', 'required ray', 'primary spherical', 'plane wave', 'imaging function', 'formulas contain', 'explicit formulas', 'derived previously']</t>
  </si>
  <si>
    <t>Explicit formulas are derived for the surface generatrices of two reflectors which transform a primary spherical or plane wave into a plane wave according to a required ray-imaging function (the plane and axially symmetric problems). The formulas contain only single integrals of specified mapping functions. The formulas obtained reduce to those derived previously for some known special cases.</t>
  </si>
  <si>
    <t>40-44</t>
  </si>
  <si>
    <t>6507252594;6603710798;57198186279</t>
  </si>
  <si>
    <t>Bodulinskiy, V. K.;Kinber, B. Ye;Romanova, V. I.</t>
  </si>
  <si>
    <t>Bodulinskiy V.</t>
  </si>
  <si>
    <t>GENERATRICES OF TWO-REFLECTOR ANTENNAS.</t>
  </si>
  <si>
    <t>2-s2.0-0022667791</t>
  </si>
  <si>
    <t>['optimum estimates', 'observation model', 'main lobe', 'estimates maximizing', 'comparative analysis']</t>
  </si>
  <si>
    <t>The problem of improving the stability of optimum estimates against perturbations of the observation model is discussed. A comparative analysis is made of the maximum likelihood estimates and of estimates maximizing the a posteriori probability density in the presence of interfering (not estimated) parameters. An example is given of the calculation of the characteristics of a two-target goniometer intended for tracking radiation sources within the main lobe of the antenna radiation pattern with random phase errors.</t>
  </si>
  <si>
    <t>79-84</t>
  </si>
  <si>
    <t>Reshetov, L. A.</t>
  </si>
  <si>
    <t>Reshetov L.</t>
  </si>
  <si>
    <t>PARAMETRIC STABILITY (ROBUSTNESS) OF PSEUDO-BAYESIAN ESTIMATES.</t>
  </si>
  <si>
    <t>2-s2.0-0022668969</t>
  </si>
  <si>
    <t>['radiation pattern', 'main maximum', 'main beam', 'extremum points', 'directional properties', 'average values']</t>
  </si>
  <si>
    <t>A method is developed for describing the directional properties of an antenna, based on a determination of extremum points (maxima and minima) of a random radiation pattern. The energy characteristics investigated are: the average values of the radiation pattern at extremum points, the total power contained in the main beam, and the instantaneous average radiation pattern calculated taking the displacement of the main maximum into account.</t>
  </si>
  <si>
    <t>26-32</t>
  </si>
  <si>
    <t>DIRECTIONAL PROPERTIES OF AN ANTENNA IN A TURBULENT ATMOSPHERE USING SHORT-TERM AVERAGING. THE ENERGY CHARACTERISTICS OF THE RADIATION PATTERN.</t>
  </si>
  <si>
    <t>2-s2.0-0022670493</t>
  </si>
  <si>
    <t>['tetradecenyl acetate', 'poor substrates', 'natural pheromone', 'increasing concentrations', 'higher concentrations', 'hexadecadienyl diazoacetate', 'hexadecadienyl acetate', 'four orders', 'former two', 'flat response', 'enzymatic hydrolysis', 'competitive inhibitors', 'antheraea polyphemus', 'also examined', 'abundant 15', '9 z', '11 z']</t>
  </si>
  <si>
    <t>antennal proteins | Antherea polyphemus | Lepidoptera | pheromone binding | pheromone hydrolysis | radiolabeled pheromone | Saturniidae | wild silk moth</t>
  </si>
  <si>
    <t>Sensory hair proteins from antennae of males of the wild silk moth, Antheraea polyphemus (Lepidoptera, Saturniidae) were incubated with radiolabeled 6 E,11 Z-hexadecadienyl acetate in the presence of unlabeled pheromone analogs as competitive inhibitors. The two extracellular proteins of importance, a highly active sensillar esterase and an abundant 15,000 mol wt binding protein, interact to degrade labeled pheromone less efficiently in the presence of certain unsaturated acetate analogs of the natural pheromone. Enzymatic hydrolysis of the acetate (or diazoacetate) was also examined for three pheromone analogs: [11,12-3H2]-6 E,11 Z-hexadecadienyl diazoacetate, [11,12-3H2]-hexadecyl acetate, and [9,10-3H2]-9 Z-tetradecenyl acetate. The former two are poor substrates at concentrations over four orders of magnitude. The 9 Z-14:Ac, however, is the best alternative substrate for this in vitro pheromone metabolism system. Unlabeled 9 Z-14: Ac is also the best competitive inhibitor of the hydrolysis of labeled 6 E, 11 Z-16: Ac. Whereas the tritiated natural pheromone shows a flat response (ca. 40% conversion) to increasing concentrations from 3 √ó 10-9 to 3 √ó 10-6 M, tritiated 9 Z-14: Ac is degraded more rapidly at higher concentrations. ¬© 1986 Plenum Publishing Corporation.</t>
  </si>
  <si>
    <t>323-333</t>
  </si>
  <si>
    <t>60026415;60015481;60015481</t>
  </si>
  <si>
    <t>36043755100;7202412220;7006721427</t>
  </si>
  <si>
    <t>Prestwich, Glenn D.;Vogt, Richard G.;Riddiford, Lynn M.</t>
  </si>
  <si>
    <t>Stony Brook;Seattle</t>
  </si>
  <si>
    <t>Stony Brook University;University of Washington</t>
  </si>
  <si>
    <t>60026415;60015481</t>
  </si>
  <si>
    <t>Prestwich G.</t>
  </si>
  <si>
    <t>Binding and hydrolysis of radiolabeled pheromone and several analogs by male-specific antennal proteins of the moth Antheraea polyphemus</t>
  </si>
  <si>
    <t>10.1007/BF01020559</t>
  </si>
  <si>
    <t>2-s2.0-0343971245</t>
  </si>
  <si>
    <t>['vivo incubation', 'tetradecenoic acid', 'specificity studies', 'observed metabolite', 'enzyme activity', 'choristoneura fumiferana', 'adsorption followed']</t>
  </si>
  <si>
    <t>aldehyde dehydrogenase | Choristoneura fumiferana | Lepidoptera | pheromone components | pheromone metabolites | Tortricidae</t>
  </si>
  <si>
    <t>In vivo incubation of Choristoneura fumiferana with (E)-11-tetradecenal, the major pheromone component, resulted in adsorption followed by transformation to (E)-11-tetradecenoic acid, the only observed metabolite. Antennae, legs, and wings from both sexes were investigated for enzyme activity. Specificity studies with the aldehyde dehydrogenase system showed that the enzyme prefers aldehydes of 14-carbon chain length or shorter. ¬© 1986 Plenum Publishing Corporation.</t>
  </si>
  <si>
    <t>483-496</t>
  </si>
  <si>
    <t>Lonergan, Greg C.</t>
  </si>
  <si>
    <t>Lonergan G.</t>
  </si>
  <si>
    <t>Metabolism of pheromone components and analogs by cuticular enzymes of Choristoneura fumiferana</t>
  </si>
  <si>
    <t>10.1007/BF01020568</t>
  </si>
  <si>
    <t>2-s2.0-0344071327</t>
  </si>
  <si>
    <t>147-158</t>
  </si>
  <si>
    <t>7005785456;36932468300</t>
  </si>
  <si>
    <t>Belov, Yu I.;Emel'yanov, D. E.</t>
  </si>
  <si>
    <t>Belov Y.</t>
  </si>
  <si>
    <t>Properties of Fourier transform of near-zone antenna field measured at a nonspherical surface</t>
  </si>
  <si>
    <t>10.1007/BF01034655</t>
  </si>
  <si>
    <t>2-s2.0-34250103597</t>
  </si>
  <si>
    <t>['¬© 1986', 'vitamin k1', 'triplet formation', 'residual amount', 'reduced amount', 'qa content', 'protein containing', 'oxidized partly', 'functional core', 'four preparations', 'ferricyanide added', 'evolving preparations', 'essentially free', 'epr measurements', 'back reaction', 'b lacked', 'antenna chlorophyll', 'also carried', 'acta 807', '80 ),']</t>
  </si>
  <si>
    <t>(Synechococcus sp.) | Electron transport | ESR | Photosystem II | Plastoquinone | Signal II</t>
  </si>
  <si>
    <t>The contents of plastoquinone and PS II electron carriers (QB and Z) of four PS II preparations from the thermophilic cyanobacterium Synechococcus sp. were determined. (1) The oxygen-evolving preparations and the PS II reaction center complexes contained about three and two plastoquinone molecules per PS II, respectively. CP2-b, which represents the functional core of the reaction center complex (Yamagishi, A. and Katoh, S. (1985) Biochim. Biophys. Acta 807, 74-80), had a reduced amount of plastoquinone which is just comparable with the QA content, whereas no plastoquinone was detected in CP2-c, the antenna chlorophyll-protein containing only the 40 kDa subunit. (2) The four preparations were essentially free from vitamin K1. (3) The occurrence of QB and Z in the PS II preparations were determined by measuring oxidation kinetics of Q-A, as well as effects of 3-(3,4-dichlorophenyl)-1,1-dimethylurea, ferricyanide and benzidine on the Q-A oxidation with repetitive flash technique. EPR measurements were also carried out to determine Signal IIs and IIf. QB and Z were present in the oxygen-evolving preparations, while the PS II reaction center complexes had Z, but no or only a residual amount of QB. CP2-b lacked both QB and Z. (4) Q-A was oxidized partly by a back electron transport to Z+ and partly by ferricyanide added in the reaction center complexes. No back reaction between Q-A and P-680+ was detected in CP2-b, which instead showed absorption changes indicative of the triplet formation. It is concluded that three plastoquinone molecules (but not vitamin K1) function as QA, QB and Z and, besides them, there is no extra bound plastoquinone molecule which serves as an additional electron donor or acceptor in the vicinity of the PS II reaction center. The results also suggest that QA, pheophytin and P-680 are located in the interior of the reaction center complexes, but are exposed on removal of the 40 kDa subunit. ¬© 1986.</t>
  </si>
  <si>
    <t>183-192</t>
  </si>
  <si>
    <t>35434054000;7202864511</t>
  </si>
  <si>
    <t>Takahashi, Yuichiro;Katoh, Sakae</t>
  </si>
  <si>
    <t>Takahashi Y.</t>
  </si>
  <si>
    <t>Numbers and functions of plastoquinone molecules associated with photosystem II preparations from Synechococcus sp.</t>
  </si>
  <si>
    <t>000527288690040X</t>
  </si>
  <si>
    <t>10.1016/0005-2728(86)90040-X</t>
  </si>
  <si>
    <t>2-s2.0-0022571930</t>
  </si>
  <si>
    <t>['¬© 1986', 'time constant', 'several tens', 'secondary acceptor', 'region 550', 'reduced chemically', 'reaction centers', 'picosecond absorbance', 'excited chlorophyll', 'electron transfer', 'difference spectroscopy', 'charge separation', 'charge recombination', 'average lifetime', 'absorbance increase', '900 nm', '80 chlorophyll', '675 nm', '300 ps', '2 ns']</t>
  </si>
  <si>
    <t>(Spinach chloroplast) | Charge separation | Chlorophyll a | Pheophytin a | Photosystem II | Picosecond spectroscopy</t>
  </si>
  <si>
    <t>Photosystem II particles from spinach, containing about 80 chlorophyll a molecules per reaction center, have been investigated with picosecond absorbance-difference spectroscopy. The 35 ps excitation pulse at 532 nm produced absorbance changes due to the formation of singlet excited antenna chlorophyll a and to the primary-charge separation in the reaction centers. The appearance of excited chlorophyll a was accompanied by the bleaching of the ground state Qy absorption band and by the formation of a rather flat absorption band in the region 550-900 nm. At high flash intensity its average lifetime was found to be several tens of picoseconds. In the reaction center charge separation was observed between the primary electron donor P-680 and pheophytin a. Reduction of pheophytin a was accompanied by an absorbance increase between 640 and 675 nm and a bleaching around 685 nm. Electron transfer to a secondary acceptor occurred with a time constant of 250-300 ps. If this secondary acceptor was reduced chemically, the primary radical pair decayed by charge recombination in about 2 ns. ¬© 1986.</t>
  </si>
  <si>
    <t>167-175</t>
  </si>
  <si>
    <t>23373601600;7003439547;24388765000;6603047878</t>
  </si>
  <si>
    <t>Nuijs, Antonius M.;van Gorkom, Hans J.;Plijter, Johan J.;Duysens, Louis N.M.</t>
  </si>
  <si>
    <t>Nuijs A.</t>
  </si>
  <si>
    <t>Primary-charge separation and excitation of chlorophyll a in photosystem II particles from spinach as studied by picosecond absorbance-difference spectroscopy</t>
  </si>
  <si>
    <t>10.1016/0005-2728(86)90038-1</t>
  </si>
  <si>
    <t>2-s2.0-46149142812</t>
  </si>
  <si>
    <t>['prey position', 'particles present', 'particle entrained', 'model shows', 'feeding flow', 'feeding current', 'early detection', 'distance away']</t>
  </si>
  <si>
    <t>A model of early detection of individual algal prey by copepod mechanoreception suggests that mechanoreception may serve as an indicator of prey position. Our model shows that the magnitude of the pressure disturbance created by a particle entrained in a feeding flow of a copepod increases linearly with increasing particle size, decreases as the square of the distance away from the antenna, and is unique for a given particle size. These pressure disturbances may be utilized by the copepod to determine the size and location of particles present in the feeding current and may provide information necessary for initial prey detection. ¬© 1986 Springer-Verlag.</t>
  </si>
  <si>
    <t>529-535</t>
  </si>
  <si>
    <t>Marine Biology</t>
  </si>
  <si>
    <t>60026415;60026415;60026415;60026415</t>
  </si>
  <si>
    <t>16468355500;7406515555;8910207800;7005084204</t>
  </si>
  <si>
    <t>L√©gier-Visser, M. F.;Mitchell, J. G.;Okubo, A.;Fuhrman, J. A.</t>
  </si>
  <si>
    <t>Stony Brook</t>
  </si>
  <si>
    <t>Stony Brook University</t>
  </si>
  <si>
    <t>L√©gier-Visser M.</t>
  </si>
  <si>
    <t>Mechanoreception in calanoid copepods - A mechanism for prey detection</t>
  </si>
  <si>
    <t>10.1007/BF00409273</t>
  </si>
  <si>
    <t>2-s2.0-0000898539</t>
  </si>
  <si>
    <t>['virgifera virgifera', 'virgifera found', 'trapping bioassays', 'tasseling period', 'single component', 'sex ratio', 'prolonged period', 'potent attractant', 'mass spectrometry', 'later september', 'late july', 'highly active', 'headspace volatiles', 'gas chromatography', 'electroantennogram bioassay', 'early september', 'acalymma vittatum', 'abundant august']</t>
  </si>
  <si>
    <t>Acalymma vittatum | Attractant | Chrysomelidae | Coleoptera | Cucurbita maxima | Cucurbitaceae | Diabrotica undecimpunctata howardi | Diabrotica virgifera virgifera | electroantennogram | floral volatile | indole</t>
  </si>
  <si>
    <t>Fractionation of headspace volatiles from Cucurbita maxima blossoms by high-performance liquid chromatography resulted in the isolation of a single component which was highly active in an electroantennogram bioassay on Diabrotica undecimpunctata howardi antennae. This compound was identified as indole by gas chromatography-mass spectrometry. Field-trapping bioassays were conducted which indicated that indole is a potent attractant of the western corn rootworm, D. virgifera virgifera, and the striped cucumber beetle, Acalymma vittatum. The southern corn rootworm, D. u. howardi, did not respond, despite its strong EAG response. The sex ratio of D. v. virgifera found in indole-baited traps varied seasonally. Males were trapped in abundance in late July and later September, 1983, while females were more abundant August and early September. The effectiveness of indole as a D. v. virgifera attractant also varied seasonally. A prolonged period of depressed trap catches occurred in early August 1983, during the silking and tasseling period of the corn in the field where trapping was carried out. ¬© 1986 Plenum Publishing Corporation.</t>
  </si>
  <si>
    <t>687-699</t>
  </si>
  <si>
    <t>7403570591;7101983803</t>
  </si>
  <si>
    <t>Andersen, J. F.;Metcalf, R. L.</t>
  </si>
  <si>
    <t>Andersen J.</t>
  </si>
  <si>
    <t>Identification of a volatile attractant for Diabrotica and Acalymma spp. from blossoms of Cucurbita maxima duchesne</t>
  </si>
  <si>
    <t>10.1007/BF01012102</t>
  </si>
  <si>
    <t>2-s2.0-0003068443</t>
  </si>
  <si>
    <t>['transient variation', 'stability conditions', 'identical elements', 'digital filter', 'diagonal matrix', 'compensation inputs', 'adaptive algorithm']</t>
  </si>
  <si>
    <t>The stability conditions are derived, and the rate of convergence of the transient output noise power at the output of an adaptive digital filter which uses the gradient adaptive algorithm is estimated. The analysis is carried out under the assumption that the noise correlation matrix at the compensation inputs of the digital filter is a diagonal matrix of identical elements. The dynamic characteristics obtained differ substantially from the characteristics usually employed which describe the transient variation of the average weighting coefficients of the adaptive algorithm.</t>
  </si>
  <si>
    <t>61-66</t>
  </si>
  <si>
    <t>Byalyy, L. I.</t>
  </si>
  <si>
    <t>Byalyy L.</t>
  </si>
  <si>
    <t>ANALYSIS OF THE DYNAMICS OF A DIGITAL GRADIENT ALGORITHM FOR ADAPTIVE SIGNAL FILTERING.</t>
  </si>
  <si>
    <t>2-s2.0-0022672708</t>
  </si>
  <si>
    <t>260-261</t>
  </si>
  <si>
    <t>Measurement Techniques</t>
  </si>
  <si>
    <t>7103313639;6701453221</t>
  </si>
  <si>
    <t>Tishchenko, V. A.;Tokatly, V. I.</t>
  </si>
  <si>
    <t>Tishchenko V.</t>
  </si>
  <si>
    <t>Measurement of field strength and calibration of antennas at low frequencies</t>
  </si>
  <si>
    <t>10.1007/BF00863871</t>
  </si>
  <si>
    <t>2-s2.0-0022672796</t>
  </si>
  <si>
    <t>['way services', 'way networks', 'transmission techniques', 'rf interference', 'performance considerations', 'include safeguards', 'experience gained', 'compared based', 'bidirectional communications']</t>
  </si>
  <si>
    <t>The introduction of new specialized services such as interactive and data communications services on cable television systems require the implementation of two-way bidirectional communication networks. The accumulation and effects of rf interference and noise have historically been considered major impediments to the implementation of bidirectional communications over conventional cable television networks. The purpose of this paper is to analyse the technical problems involved in the design and operation of a two-way cable communication system and present appropriate solutions. Alternate network topographies and design concepts used for the planning and implementation of two-way networks are compared based on performance considerations. The transmission techniques that include safeguards to minimize the effects of interference are analyzed. The experience gained in the implementation and operation of bidirectional cable television systems in large metropolitan areas shows that it is feasible to offer reliable two-way services.</t>
  </si>
  <si>
    <t>157-164</t>
  </si>
  <si>
    <t>Cable television engineering</t>
  </si>
  <si>
    <t>Allora-Abbondi, Giorgio</t>
  </si>
  <si>
    <t>Rogers Cablesystems Inc</t>
  </si>
  <si>
    <t>Allora-Abbondi G.</t>
  </si>
  <si>
    <t>INTERACTIVE COMMUNICATIONS NETWORKS: DESIGN CONCEPTS AND OPERATIONAL EXPERIENCES.</t>
  </si>
  <si>
    <t>2-s2.0-0022674161</t>
  </si>
  <si>
    <t>['using square', 'simplest form', 'rf testing', 'rf modulates', 'purpose led', 'highly desirable', 'audio frequencies']</t>
  </si>
  <si>
    <t>Optically coupled RF probes' inherent shielding makes them highly desirable for RF testing. In the simplest form of these probes, the RF modulates an LED. Below UHF, this method serves well; unfortunately, however, LEDs that are sensitive at UHF are very expensive. But by using square-wave switched RF signals, modulation is at audio frequencies. This permits a general-purpose LED to be used.</t>
  </si>
  <si>
    <t>143-144</t>
  </si>
  <si>
    <t>60023643;60023643</t>
  </si>
  <si>
    <t>7006094772;57199075868</t>
  </si>
  <si>
    <t>Lazarus, M. J.;Davis, R. G.</t>
  </si>
  <si>
    <t>Lancaster</t>
  </si>
  <si>
    <t>Lancaster University</t>
  </si>
  <si>
    <t>Lazarus M.</t>
  </si>
  <si>
    <t>MODIFICATION HIKES RF PROBE TO UHF.</t>
  </si>
  <si>
    <t>2-s2.0-0022674202</t>
  </si>
  <si>
    <t>258-264</t>
  </si>
  <si>
    <t>Savenko, P. A.</t>
  </si>
  <si>
    <t>Savenko P.</t>
  </si>
  <si>
    <t>Bifurcation of the solutions of the problems of synthesis of radiating systems with a flat aperture from a given amplitude radiation pattern</t>
  </si>
  <si>
    <t>10.1007/BF01037632</t>
  </si>
  <si>
    <t>2-s2.0-0022674633</t>
  </si>
  <si>
    <t>265-272</t>
  </si>
  <si>
    <t>6603546004;7005559067</t>
  </si>
  <si>
    <t>Komar', G. I.;Shestopalov, V. P.</t>
  </si>
  <si>
    <t>Komar' G.I.</t>
  </si>
  <si>
    <t>Experimental investigation of the distribution of the electric field in cylindrical and mirror slotted lines</t>
  </si>
  <si>
    <t>10.1007/BF01037633</t>
  </si>
  <si>
    <t>2-s2.0-0022674634</t>
  </si>
  <si>
    <t>['time variation', 'september 7', 'scintillations associated', 'relatively weak', 'rapidly decreasing', 'power spectra', 'observed throughout', 'local times', 'lasting scintillations', 'july 14', 'geostationary satellite', 'geomagnetic storm', 'geomagnetic h', 'features different', 'antenna measurement', '10 h', '0 h']</t>
  </si>
  <si>
    <t>Observations of scintillations associated with the major geomagnetic storms occurring on July 14 and September 7, 1982 are described. On July 14, relatively weak and long-lasting scintillations were observed on 136-MHz radio wave from the geostationary satellite, ETS-II. These scintillations have features different from those under geomagnetically quiet conditions; (1) They appeared at local times between 0 h and 10 h. (2) Very high irregularity drifts of about 200 m/s were observed throughout the scintillations by means of the three-antenna measurement. (3) When the geomagnetic H-component was rapidly decreasing, the irregularity drift direction reversed from southwestward to northeastward. (4) Power spectra of the scintillations were steeper than usual. (5) TID-like fluctuations propagating southeastward were detected on the time variation in TEC (Total Electron content). These features may suggest that the ionospheric F region irregularities observed on July 14 were controlled and modified by the geomagnetic storm.</t>
  </si>
  <si>
    <t>257-268</t>
  </si>
  <si>
    <t>Journal of the Radio Research Laboratory</t>
  </si>
  <si>
    <t>55427283700;7404741481;7402411466</t>
  </si>
  <si>
    <t>Kumagai, Hiroshi;Ogawa, Tadahiko;Hori, Toshihiro</t>
  </si>
  <si>
    <t>SOLAR-TERRESTRIAL DISTURBANCES OF JUNE-SEPTEMBER 1982: IV. IONOSPHERIC DISTURBANCES; 12 IONOSPHERIC SCINTILLATIONS OF GEOSTATIONARY SATELLITE RADIO WAVES.</t>
  </si>
  <si>
    <t>2-s2.0-0022675328</t>
  </si>
  <si>
    <t>['¬© 1986', 'two types', 'tests carried', 'rapid loading', 'efficiency factors', 'bridge strand', 'bolt clips', 'base clips', 'applied torque', '7 8', '7 16', '5 8', '5 16', '3 8', '3 4', '21 nineteen', '18 seven', '13 16', '11 16', '1 2']</t>
  </si>
  <si>
    <t>Results of the tests carried out on 18 seven-wire Guy Strand specimens and 21 nineteen-wire Bridge Strand specimens are presented. The sizes of Guy Strand specimens were 5 16, 3 8, 7 16, and 1 2 in. while those of Bridge Strand were 1 2, 5 8, 11 16, 3 4, 13 16, and 7 8 in. Two types of wire rope clips, viz., U-bolt clips and twin-base clips were included in the investigation. The efficiency factors of end connections using U-bolt clips were determined. The effects of rapid loading (to simulate wind gusts) and the variation of the applied torque on the efficiency factors were studied. Finally, the efficiency factors of twin-base clips were compared with those of U-bolt clips. ¬© 1986.</t>
  </si>
  <si>
    <t>143-154</t>
  </si>
  <si>
    <t>Civil Engineering for Practicing and Design Engineers</t>
  </si>
  <si>
    <t>Madugula, Murty K.S.</t>
  </si>
  <si>
    <t>Windsor</t>
  </si>
  <si>
    <t>University of Windsor</t>
  </si>
  <si>
    <t>Madugula M.</t>
  </si>
  <si>
    <t>Efficiency factors for U-bolt and twin-base clips on strand</t>
  </si>
  <si>
    <t>2-s2.0-0022676235</t>
  </si>
  <si>
    <t>249-258</t>
  </si>
  <si>
    <t>Pelyushenko, S. A.</t>
  </si>
  <si>
    <t>Pelyushenko S.</t>
  </si>
  <si>
    <t>Measurement of antenna directional patterns using extended radio sources</t>
  </si>
  <si>
    <t>10.1007/BF01037631</t>
  </si>
  <si>
    <t>2-s2.0-0022677644</t>
  </si>
  <si>
    <t>['optimum configuration', 'noise ratio', 'circular array', 'adaptive antenna']</t>
  </si>
  <si>
    <t>It is shown that a circular array is the optimum configuration of an adaptive antenna for suppressing multipath interference. The results of calculations which maximize the signal-to-noise ratio are given for linear and circular adaptive antenna arrays.</t>
  </si>
  <si>
    <t>50-53</t>
  </si>
  <si>
    <t>7801539624;7003684032</t>
  </si>
  <si>
    <t>Glibitskiy, M. M.;Sodin, L. G.</t>
  </si>
  <si>
    <t>Glibitskiy M.</t>
  </si>
  <si>
    <t>COMPARISON OF CIRCULAR AND LINEAR ADAPTIVE ANTENNA ARRAYS.</t>
  </si>
  <si>
    <t>2-s2.0-0022679489</t>
  </si>
  <si>
    <t>['isotropic media', 'inhomogeneous maxwell']</t>
  </si>
  <si>
    <t>The solutions of the inhomogeneous Maxwell's equations for isotropic media are investigated. An expression is obtained for Green's functions and using it the fields of an elementary electric dipole in such a medium are obtained.</t>
  </si>
  <si>
    <t>39-42</t>
  </si>
  <si>
    <t>14423428900;6701398779</t>
  </si>
  <si>
    <t>Eremin, S. M.;Lishin, I. V.</t>
  </si>
  <si>
    <t>Eremin S.</t>
  </si>
  <si>
    <t>CALCULATION OF THE FIELDS OF SOURCES IN SPHERICALLY SYMMETRIC INHOMOGENEOUS ISOTROPIC MEDIA.</t>
  </si>
  <si>
    <t>2-s2.0-0022679809</t>
  </si>
  <si>
    <t>['specific attenuation', 'paper discusses', 'microwave hyperthermia', 'localized within', 'investigate theoretically', 'human body', 'focusing properties', 'focusing capability', 'aperture antenna', 'absorbing medium']</t>
  </si>
  <si>
    <t>The paper discusses the focusing properties of an aperture antenna in an absorbing medium. It is of interest to investigate theoretically and experimentally the focusing capability and quality in an absorbing medium. Such an investigation is particularly pressing since it is necessary to improve the sensitivity and resolution of radio measuring systems in recording the temperature of tumors which are localized within a small volume inside the human body, as well as in connection with the possibility of using focused antennas in media with the above value of specific attenuation in the case of microwave hyperthermia.</t>
  </si>
  <si>
    <t>175-178</t>
  </si>
  <si>
    <t>6602678516;6603054601;6602951848</t>
  </si>
  <si>
    <t>Misezhnikov, G. S.;Sel'skii, A. G.;Shteinshleiger, V. B.</t>
  </si>
  <si>
    <t>Misezhnikov G.</t>
  </si>
  <si>
    <t>ON THE FOCUSING PROPERTIES OF AN APERTURE ANTENNA IN AN ABSORBING MEDIUM.</t>
  </si>
  <si>
    <t>2-s2.0-0022679980</t>
  </si>
  <si>
    <t>['standard gradient', 'practical realization', 'original improved', 'modification results', 'mean squares', 'improved algorithm', 'finding zeros', 'feedback loop', 'equal open', 'based mathematically', 'adaptive arrays', 'adaptive array']</t>
  </si>
  <si>
    <t>A practical, readily realizable method of eliminating the problem of widely disparate modal convergence rates in least-mean-mean squares (LMS) adaptive arrays is analyzed. The method is based mathematically on the Newton-Raphson iteration technique of finding zeros of a function. The practical realization is based on an extension of R. T. Compton's (1980) improved-feedback adaptive loop. It is shown how this modification results in constant and equal modal convergence rates in an adaptive array under conditions which cause widely disparate modal convergence rates in standard gradient-descent LMS algorithms, even in the presence of common circuit imperfections. The improved algorithm is compared to Compton's original improved-feedback loop and to a standard LMS adaptive array, all with equal open-loop time constants, then with individually optimized time constants. Preliminary experimental results substantiate some of the analysis.</t>
  </si>
  <si>
    <t>440-446</t>
  </si>
  <si>
    <t>Klemes, Marek</t>
  </si>
  <si>
    <t>CMC Electronics</t>
  </si>
  <si>
    <t>Klemes M.</t>
  </si>
  <si>
    <t>PRACTICAL METHOD OF OBTAINING CONSTANT CONVERGENCE RATES IN LMS ADAPTIVE ARRAYS.</t>
  </si>
  <si>
    <t>2-s2.0-0022683272</t>
  </si>
  <si>
    <t>['type reflector', 'type antennas', 'two high', 'standard shell', 'band shell']</t>
  </si>
  <si>
    <t>The two-band shell-type antenna transmits two radio bands simultaneously with the same quality as two high-performance monoband shell-type antennas. It consists of a standard shell-type reflector and a two-band corrugated horn. An antenna diplexer establishes the connection between the horn and four selective terminals.</t>
  </si>
  <si>
    <t>77-82</t>
  </si>
  <si>
    <t>Telcom Report (English Edition)</t>
  </si>
  <si>
    <t>56837200900;6504333741</t>
  </si>
  <si>
    <t>Schuegraf, Eberhard;Tauschek, Eberhard</t>
  </si>
  <si>
    <t>Schuegraf E.</t>
  </si>
  <si>
    <t>TWO-BAND SHELL-TYPE ANTENNA WITH CORRUGATED HORN AND ANTENNA DIPLEXER.</t>
  </si>
  <si>
    <t>2-s2.0-0022683765</t>
  </si>
  <si>
    <t>['transient response', 'simulated performance', 'realized using', 'perturbed one', 'perturbation interval', 'new algorithm', 'misadjustment formulas', 'mathematical formalism', 'jamming power', 'hardlimited version', 'good performance', 'good agreement', 'coherent perturbation', 'adaptive weights', 'adaptive algorithm']</t>
  </si>
  <si>
    <t>A mathematical formalism is developed to describe gradient estimation in stochastic gradient perturbation algorithms. The adaptive weights are assumed to be perturbed one at a time. A single-port, coherent perturbation (CP) adaptive algorithm is presented and compared with an existing noncoherent perturbation (NCP) technique. The CP algorithm requires only two perturbations per weight update, but the data must remain correlated over the perturbation interval. Good performance is realized using only two perturbations per inverse cancellation bandwidth. A hardlimited version of the new algorithm can also be implemented to reduce the dynamic range requirement as well as the variations in transient response with jamming power. Misadjustment formulas are developed and found to be in good agreement with simulated performance.</t>
  </si>
  <si>
    <t>380-388</t>
  </si>
  <si>
    <t>60028654;60028654;60028654</t>
  </si>
  <si>
    <t>7410191088;57191195123;7006731191</t>
  </si>
  <si>
    <t>Davis, Richard M.;Farden, David C.;Sher, Patrick J.S.</t>
  </si>
  <si>
    <t>Syracuse</t>
  </si>
  <si>
    <t>SRC, Inc.</t>
  </si>
  <si>
    <t>Davis R.</t>
  </si>
  <si>
    <t>COHERENT PERTURBATION ALGORITHM.</t>
  </si>
  <si>
    <t>2-s2.0-0022686014</t>
  </si>
  <si>
    <t>['proposed structure', 'parallel structure', 'likelihood estimate', 'desired signal', 'algorithm uses']</t>
  </si>
  <si>
    <t>A spatial processing algorithm with parallel structure is presented for the prevention of signal cancellation phenomena in conventional adaptive arrays. This algorithm uses a parallel structure with a spatial averaging effect to combat coherent jamming. It results in a spatially smoothed maximum-likelihood estimate of the desired signal when the adaptive beamformer converges. Simulations have been conducted which verify the effectiveness of the proposed structure.</t>
  </si>
  <si>
    <t>347-355</t>
  </si>
  <si>
    <t>7404457208;7003596870;7005244627</t>
  </si>
  <si>
    <t>Su, Young Lim;Shan, Tie Jun;Widrow, Bernard</t>
  </si>
  <si>
    <t>Su Y.</t>
  </si>
  <si>
    <t>PARALLEL SPATIAL PROCESSING: A CURE FOR SIGNAL CANCELLATION IN ADAPTIVE ARRAYS.</t>
  </si>
  <si>
    <t>2-s2.0-0022686183</t>
  </si>
  <si>
    <t>['values occurring', 'reuse line', 'radiation patterns', 'polarization discrimination', 'polar attenuation', 'observed dependence', 'measured refractive', 'input data', 'experimental values']</t>
  </si>
  <si>
    <t>Attenuation | Cross polarization | Digital simulation | Frequency reuse | Light of sight propagation | Microwaves | Multipath propagation | Parameter estimation | Radio relay system | Ray tracing | Simulation model | Wave polarization</t>
  </si>
  <si>
    <t>A ray-tracing computer model, combining the effects of the curvature of the Earth, of the radiation patterns of the antennas, as well as those of the reflection at the Earth's surface, has been developed in order to simulate multipath effects on the relationship between cross-polarization discrimination (xpd)and co-polar attenuation (cpa)values occurring in frequency-reuse line-of-sight microwave links. Measured refractive-index vertical profiles have been used as input data to this model, in order to study the dependence of the parameters of the law relating xpd and cpa on the characteristics of the link. Based on the observed dependence, experimental values for the parameters of this law, available in the literature, have then been analyzed. ¬© 1986 Springer-Verlag.</t>
  </si>
  <si>
    <t>197-211</t>
  </si>
  <si>
    <t>Annales Des T√©l√©communications</t>
  </si>
  <si>
    <t>Costa, Emanoel</t>
  </si>
  <si>
    <t>Brazil</t>
  </si>
  <si>
    <t>Rio de Janeiro</t>
  </si>
  <si>
    <t>Pontif√≠cia Universidade Cat√≥lica do Rio de Janeiro</t>
  </si>
  <si>
    <t>Costa E.</t>
  </si>
  <si>
    <t>A simulation of multipath effects on the cross-polarization discrimination in microwave line-of-sight links</t>
  </si>
  <si>
    <t>10.1007/BF02998433</t>
  </si>
  <si>
    <t>2-s2.0-0022687707</t>
  </si>
  <si>
    <t>['reactive terminations', 'planar configurations', 'planar array', 'null toward', 'azimuth directions', 'adaptive control', '30 db']</t>
  </si>
  <si>
    <t>A planar (two-dimensional) reactively steered adaptive array (RESAA) including a single active microstrip element and eight closely coupled parasitic microstrip elements has been designed and tested. Steering of a null toward a single incident jammer is accomplished by adaptive control of reactive terminations on the parasitic elements using a guided random search algorithm. The planar array can steer a null in both the elevation and azimuth directions with a depth of 30 dB. It is noted that it is not clear how easily these results can be generalized to other planar configurations.</t>
  </si>
  <si>
    <t>427-431</t>
  </si>
  <si>
    <t>Dinger, Robert J.</t>
  </si>
  <si>
    <t>China Lake</t>
  </si>
  <si>
    <t>Naval Air Warfare Center Weapons Division</t>
  </si>
  <si>
    <t>Dinger R.</t>
  </si>
  <si>
    <t>PLANAR VERSION OF A 4. 0 GHZ REACTIVELY STEERED ADAPTIVE ARRAY.</t>
  </si>
  <si>
    <t>2-s2.0-0022687772</t>
  </si>
  <si>
    <t>['specifications applicable', 'satellite communications', 'satellite antennas', 'future trends', 'earth stations', 'detail following', 'aussat networks', 'antennas used']</t>
  </si>
  <si>
    <t>The antenna configurations used for both earth stations and satellites are considered in some detail following an introduction outlining relevant basic antenna principles. The specifications applicable to antennas used for satellite communications and their effects on the design of the antennas are considered. Examples of both earth-station and satellite antennas and their characteristics are illustrated by reference to the INTELSAT and AUSSAT networks. Future trends in earth-station and satellite antenna design ae also considered.</t>
  </si>
  <si>
    <t>Journal of Electrical and Electronics Engineering, Australia</t>
  </si>
  <si>
    <t>60029470;60029470;60029470;60029470</t>
  </si>
  <si>
    <t>7202832083;7201399131;7003443054;57217802857</t>
  </si>
  <si>
    <t>Bird, T. S.;James, G. L.;Poulton, G. T.;Thomas, B. Mac A.</t>
  </si>
  <si>
    <t>Bird T.S.</t>
  </si>
  <si>
    <t>ANTENNA DESIGN PRINCIPLES FOR SATELLITE COMMUNICATIONS.</t>
  </si>
  <si>
    <t>2-s2.0-0022688852</t>
  </si>
  <si>
    <t>['three types', 'signal model', 'problem formulation', 'linear constraints', 'frequency band', 'exact presteering', 'direction response', 'desired look', 'design technique', 'coarse presteering', 'closely approximated', 'broadband processors', 'also established', 'actual scenario']</t>
  </si>
  <si>
    <t>A set of linear constraints for designing broadband time-domain-element space antenna array processors is presented. The set of linear constraints is used to ensure that a desired look-direction response of the processor over a frequency band of interest can be closely approximated. The design technique is posed in such a way that three types of presteering can be handled: no presteering, coarse presteering, and exact presteering. The relationship that the processor has to other broadband processors is also established. The approach enables various types of errors and mismatches between signal model and actual scenario to be incorporated in the problem formulation.</t>
  </si>
  <si>
    <t>320-329</t>
  </si>
  <si>
    <t>60010571;60010571</t>
  </si>
  <si>
    <t>Callaghan</t>
  </si>
  <si>
    <t>The University of Newcastle, Australia</t>
  </si>
  <si>
    <t>Er M.H.</t>
  </si>
  <si>
    <t>NEW SET OF LINEAR CONSTRAINTS FOR BROAD-BAND TIME DOMAIN ELEMENT SPACE PROCESSORS.</t>
  </si>
  <si>
    <t>2-s2.0-0022690028</t>
  </si>
  <si>
    <t>['wide range', 'wavefront array', 'triangular systolic', 'system design', 'specific application', 'also described', 'adaptive combiner', 'adaptive beamforming']</t>
  </si>
  <si>
    <t>An algorithm and architecture are described which have specific application to high-performance, digital, adaptive beamforming. It is shown how a simple, linearly constrained adaptive combiner forms the basis for a wide range of adaptive antenna subsystems. The function of such an adaptive combiner is formulated as a recursive-least-squares minimization operation and the corresponding weight vector is obtained by means of the Q-R decomposition algorithm using Givens rotations. An efficient pipelined architecture to implement this algorithm is also described. This takes the form of a triangular systolic/wavefront array and has many desirable features for very large scale integration (VLSI) system design.</t>
  </si>
  <si>
    <t>338-346</t>
  </si>
  <si>
    <t>60082676;60082676;60082676</t>
  </si>
  <si>
    <t>7401533615;7005457527;7006283363</t>
  </si>
  <si>
    <t>Ward, Christopher R.;Hargrave, Philip J.;McWhirter, John G.</t>
  </si>
  <si>
    <t>Standard Telecommunication Laboratories Ltd.</t>
  </si>
  <si>
    <t>Ward C.</t>
  </si>
  <si>
    <t>NOVEL ALGORITHM AND ARCHITECTURE FOR ADAPTIVE DIGITAL BEAMFORMING.</t>
  </si>
  <si>
    <t>2-s2.0-0022690993</t>
  </si>
  <si>
    <t>['wave structure', 'tight coupling', 'scattering matrices', 'phase gradient', 'loose coupling', 'accurate measurement']</t>
  </si>
  <si>
    <t>The calculation of impedance and scattering matrices from accurate measurement of a wide-bnd 16 element hf log-periodic transmitting array is discussed. These matrices are used to investigate the influence of the antenna feeder line length on the relative mutual impedances. The phase gradient with frequency of the self-reflection coefficient depends on the feeder line length and indicates two distinct frequency regimes: the low frequency end of the band with tight coupling with the high frequency end of the band with loose coupling. The phases of the coupling coefficients indicate that at the low frequency end of the band the array can be considered a slow-wave structure.</t>
  </si>
  <si>
    <t>29-39</t>
  </si>
  <si>
    <t>60003480;60003480</t>
  </si>
  <si>
    <t>57189168302;7103389860</t>
  </si>
  <si>
    <t>Netherway, D. J.;Carson, C. T.</t>
  </si>
  <si>
    <t>Defence Science and Technology Group</t>
  </si>
  <si>
    <t>Netherway D.</t>
  </si>
  <si>
    <t>IMPEDANCE AND SCATTERING MATRICES OF A WIDEBAND HF PHASED ARRAY.</t>
  </si>
  <si>
    <t>2-s2.0-0022691152</t>
  </si>
  <si>
    <t>['wave antenna', 'virgo cluster', 'underground laboratory', 'secondaries generated', 'resonating gravitational', 'high sensitivities', 'electromagnetic interaction', 'cosmic rays', 'authors examine']</t>
  </si>
  <si>
    <t>Experimental tests of general relativity and observations of gravitational radiation | Muons and neutrinos | PACS. 94.40.Te</t>
  </si>
  <si>
    <t>The authors examine once more the effect of cosmic rays on a resonating gravitational-wave antenna in view of the very high sensitivities that are required for detecting the supernovae of the Virgo Cluster. They show that, at sea-level, the secondaries generated in the bar by the electromagnetic interaction of high-energy muons produce signals with rates much larger than that expected from supernovae. This inconvenience is eliminated in an underground laboratory. ¬© 1986 Marzo-Aprile.</t>
  </si>
  <si>
    <t>612-620</t>
  </si>
  <si>
    <t>60032350-60021660;60032350-60021660</t>
  </si>
  <si>
    <t>24785703100;7003386560</t>
  </si>
  <si>
    <t>Amaldi, E.;Pizzella, G.</t>
  </si>
  <si>
    <t>Sapienza Universit√† di Roma;Istituto Nazionale di Fisica Nucleare - INFN</t>
  </si>
  <si>
    <t>60032350;60021660</t>
  </si>
  <si>
    <t>Estimate of the background of a gravitational-wave detector due to cosmic rays</t>
  </si>
  <si>
    <t>10.1007/BF02514879</t>
  </si>
  <si>
    <t>2-s2.0-51649154477</t>
  </si>
  <si>
    <t>['rock mantel', 'radar capable', 'glacier covering', 'design parameters', 'complex permittivities']</t>
  </si>
  <si>
    <t>Antennas | Cosmic rays | transmission lines and propagation</t>
  </si>
  <si>
    <t>Complex permittivities of ice and snow are used as a basis for defining the design parameters of a radar capable of mapping the thickness of a glacier covering the rock mantel which lies above Mont Blanc underground stations. ¬© 1986 Marzo-Aprile.</t>
  </si>
  <si>
    <t>414-420</t>
  </si>
  <si>
    <t>60025153-60021199;60025153-60021199</t>
  </si>
  <si>
    <t>6603453908;6602159460</t>
  </si>
  <si>
    <t>Lombardini, P. P.;Trivero, P.</t>
  </si>
  <si>
    <t>Genoa;Rome</t>
  </si>
  <si>
    <t>Universit√† degli Studi di Genova;Consiglio Nazionale delle Ricerche</t>
  </si>
  <si>
    <t>60025153;60021199</t>
  </si>
  <si>
    <t>Lombardini P.</t>
  </si>
  <si>
    <t>Electromagnetic method for measuring glacier thickness</t>
  </si>
  <si>
    <t>10.1007/BF02514859</t>
  </si>
  <si>
    <t>2-s2.0-51649155185</t>
  </si>
  <si>
    <t>['toroidal eigenmodes', 'symmetry property', 'resonant surfaces', 'order mixing', 'order coupling', 'multispectral content', 'mhd spectrum', 'mhd counterpart', 'mechanical methods', 'frequency œâ02', 'entire range', 'different helicity', 'cylindrical position']</t>
  </si>
  <si>
    <t>The symmetry property of the magnetohydrodynamic (MHD) wave propagation operator is utilized to express the toroidal eigenmodes as a superposition of the mutually orthogonal cylindrical modes. Because of the degeneracy among cylindrical modes with the same frequency but resonant surfaces of different helicity, the toroidal perturbation produces a zeroth-order mixing of the above modes. The toroidal eigenmodes of frequency œâ02 have multiple resonant surfaces, with each surface shifted relative to its cylindrical position and carrying a multispectral content. Thus a single helicity toroidal antenna of frequency œâ0 couples strongly to all different helicity resonant surfaces with matching local Alfv√©n frequency. Zeroth-order coupling between modes in the continuum and global Alfv√©n modes also results from toroidicity and degeneracy. The perturbation technique used in this study is the MHD counterpart of the quantum-mechanical methods and is applicable through the entire range of the MHD spectrum.</t>
  </si>
  <si>
    <t>731-740</t>
  </si>
  <si>
    <t>Physics of Fluids</t>
  </si>
  <si>
    <t>60013372;60013372</t>
  </si>
  <si>
    <t>7006662061;55532373700</t>
  </si>
  <si>
    <t>Riyopoulos, S.;Mahajan, S.</t>
  </si>
  <si>
    <t>Austin</t>
  </si>
  <si>
    <t>The University of Texas at Austin</t>
  </si>
  <si>
    <t>Riyopoulos S.</t>
  </si>
  <si>
    <t>Alfv√©n continuum with toroidicity</t>
  </si>
  <si>
    <t>10.1063/1.865926</t>
  </si>
  <si>
    <t>2-s2.0-84964320762</t>
  </si>
  <si>
    <t>['¬© 1986', 'short axis', 'rhodopseudomonas palustris', 'results favor', 'rectangular crystals', 'reaction center', 'purified complex', 'protein pattern', 'optical spectroscopy', 'major change', 'long axis', 'harvesting complex', 'crystallized without', 'crystal plane', 'b875 light', 'aligned along']</t>
  </si>
  <si>
    <t>(Rhodopseudomonas palustris) Reaction center-B875 complex Membrane protein crystallization Linear dichroism</t>
  </si>
  <si>
    <t>A pigment-protein complex containing a reaction center and the B875 light-harvesting complex from Rhodopseudomonas palustris was purified and crystallized in the presence of detergent. Thin, rectangular crystals were obtained and used for optical spectroscopy. The protein pattern as well as the spectrum of the solubilized and crystallized complex show that the purified complex was crystallized without a major change in its composition and conformation. The absorption band intensities in the plane of the crystal as well as the spectra of the tilted crystal indicate that the 590 nm Qx transitions are aligned along the long axis of the crystal, while the 875 nm Qy transitions are aligned along the short axis of the crystal plane. The results favor a model where the antenna bacteriochlorophylls associated with one reaction center have a common Qx direction and perpendicular to it a distribution of 875 nm Qy transitions exhibiting a maximum along one direction. ¬© 1986.</t>
  </si>
  <si>
    <t>267-273</t>
  </si>
  <si>
    <t>FEBS Letters</t>
  </si>
  <si>
    <t>100498641;60025641;100498641;100498641;100498641;60025641;100498641</t>
  </si>
  <si>
    <t>6603767150;6601975192;57199933883;7006210611;7004521296;7102742634;7006702640</t>
  </si>
  <si>
    <t>Wacker, Thomas;Gad'on, Nasser;Becker, Andreas;M√§ntele, Werner;Kreutz, Werner;Drews, Gerhart;Welte, Wolfram</t>
  </si>
  <si>
    <t>Freiburg im Breisgau;Hamburg</t>
  </si>
  <si>
    <t>Universit√§t Freiburg im Breisgau;Institut f√ºr Biophysik und Strahlenbiologie</t>
  </si>
  <si>
    <t>60025641;100498641</t>
  </si>
  <si>
    <t>Wacker T.</t>
  </si>
  <si>
    <t>Crystallization and spectroscopic investigation with polarized light of the reaction center-B875 light-harvesting complex of Rhodopseudomonas palustris</t>
  </si>
  <si>
    <t>10.1016/0014-5793(86)80340-4</t>
  </si>
  <si>
    <t>2-s2.0-0022553138</t>
  </si>
  <si>
    <t>University of Calgary</t>
  </si>
  <si>
    <t>U of C</t>
  </si>
  <si>
    <t>['¬© 1986', 'wide class', 'velocity responses', 'velocity response', 'form time', 'expressions obtained', 'evolutionary coincident', 'displacement responses', 'displacement response', 'contribution due']</t>
  </si>
  <si>
    <t>Closed-form time-dependent response statistics such as (i) the variance of displacement response and variance of velocity response, (ii) the covariance of displacement and velocity responses, and (iii) covariances of displacement responses and velocity responses of structures, discretized by the finite element method, subjected to a wide class of non-stationary random excitations are presented. The response statistics include the contribution due to the evolutionary coincident and quadrature spectral density functions. Application of the expressions obtained has been made to a quarter-scale physical model of a class of mast antenna structures excited at the base. Computed results indicate that the contribution due to the evolutionary quadrature spectral density function is insignificant. ¬© 1986.</t>
  </si>
  <si>
    <t>217-231</t>
  </si>
  <si>
    <t>0022460X</t>
  </si>
  <si>
    <t>Journal of Sound and Vibration</t>
  </si>
  <si>
    <t>To, C. W.S.</t>
  </si>
  <si>
    <t>Calgary</t>
  </si>
  <si>
    <t>To C.</t>
  </si>
  <si>
    <t>Response statistics of discretized structures to non-stationary random excitation</t>
  </si>
  <si>
    <t>0022460X86901513</t>
  </si>
  <si>
    <t>10.1016/0022-460X(86)90151-3</t>
  </si>
  <si>
    <t>2-s2.0-0023044514</t>
  </si>
  <si>
    <t>Science and Engineering Research Council</t>
  </si>
  <si>
    <t>SERC</t>
  </si>
  <si>
    <t>['¬© 1986', 'variation may', 'type strains', 'two wild', 'temperature independent', 'rhodopseudomonas acidophila', 'relative efficiency', 'fluorescence emission', 'excitation spectra', 'depending upon', 'acidophila alters', '4 k', '280 k']</t>
  </si>
  <si>
    <t>(Rps. acidophila) | Bacterial photosynthesis | Bacteriochlorophyll | Carotenoid | Light-harvesting complex | Pigment-protein complex</t>
  </si>
  <si>
    <t>Four different antenna-complexes were prepared from two wild-type strains of Rhodopseudomonas acidophila and their absorption, fluorescence emission and excitation spectra were recorded as a function of temperature in the range from 280 K to 4 K. In each case as the temperature was lowered the fluorescence yield increased. The efficiency of singlet-singlet energy transfer from the carotenoids to the bacteriochlorophyll a within each complex was determined. The efficiency of this process was shown to be temperature independent. Interestingly the relative efficiency of the carotenoid-to-bacteriochlorophyll a energy transfer varied markedly, depending upon the type of complex. It is suggested that this variation may, in part, explain why Rps. acidophila alters the type of the variable antenna component present in its cells when it is grown at different light intensities. ¬© 1986.</t>
  </si>
  <si>
    <t>333-341</t>
  </si>
  <si>
    <t>60015815;60001490;60001490</t>
  </si>
  <si>
    <t>6603789154;7006465617;6507285696</t>
  </si>
  <si>
    <t>Angerhofer, Alexander;Cogdell, Richard J.;Hipkins, Michael F.</t>
  </si>
  <si>
    <t>Germany;United Kingdom</t>
  </si>
  <si>
    <t>Stuttgart;Glasgow</t>
  </si>
  <si>
    <t>Universit√§t Stuttgart;University of Glasgow</t>
  </si>
  <si>
    <t>60015815;60001490</t>
  </si>
  <si>
    <t>Angerhofer A.</t>
  </si>
  <si>
    <t>A spectral characterisation of the light-harvesting pigment-protein complexes from Rhodopseudomonas acidophila</t>
  </si>
  <si>
    <t>10.1016/0005-2728(86)90208-2</t>
  </si>
  <si>
    <t>2-s2.0-0022624485</t>
  </si>
  <si>
    <t>['transmission characteristics', 'theory based', 'normal incidence', 'matrix method', 'dielectric slab', 'bessel expansions']</t>
  </si>
  <si>
    <t>A theory based on Fourier-Bessel expansions and the T-matrix method is presented to compute the reflection and transmission characteristics of dielectric or perfectly conducting cylindrical gratings embedded in a dielectric slab. It is shown that such gratings discriminate quite effectively between TE and TM polarizations even at normal incidence. These results are important in designing semitransparent mirrors for lasers as well as in reflector antenna design. ¬© 1986 Optical Society of America.</t>
  </si>
  <si>
    <t>887-894</t>
  </si>
  <si>
    <t>60001439;60001439;60001439</t>
  </si>
  <si>
    <t>53877620200;7202350150;36039583900</t>
  </si>
  <si>
    <t>Lakhtakia, Akhlesh;Varadan, Vasundara V.;Varadan, Vijay K.</t>
  </si>
  <si>
    <t>University Park</t>
  </si>
  <si>
    <t>Pennsylvania State University</t>
  </si>
  <si>
    <t>Lakhtakia A.</t>
  </si>
  <si>
    <t>Reflection characteristics of a dielectric slab containing dielectric or perfectly conducting cylindrical gratings</t>
  </si>
  <si>
    <t>10.1364/AO.25.000887</t>
  </si>
  <si>
    <t>2-s2.0-84975608693</t>
  </si>
  <si>
    <t>['rayleigh distribution', 'probabilistic laws', 'experimental data']</t>
  </si>
  <si>
    <t>Relationships are obtained for the probabilistic laws of the distribution of the rates of variation in the amplitude and phase of a signal whose level has a Rayleigh distribution. The results of calculations are compared with experimental data.</t>
  </si>
  <si>
    <t>Frolov, O. P.</t>
  </si>
  <si>
    <t>Frolov O.</t>
  </si>
  <si>
    <t>DISTRIBUTIONS OF THE RATE OF FAST SIGNAL FADES IN TROPOSPHERIC RADIO LINKS.</t>
  </si>
  <si>
    <t>2-s2.0-0022694406</t>
  </si>
  <si>
    <t>['value problem', 'st kind', 'excitation coefficients', 'desired function', 'corresponding boundary', 'circular cylinder']</t>
  </si>
  <si>
    <t>A problem of the coupling and radiation of two waveguide antenna arrays located on the surface of a circular cylinder when there is a ribbed decoupling structure between the antennas is discussed. The corresponding boundary-value problem is reduced to a Fredholm integral equation of the 1-st kind with respect to the electric field distribution over the apertures which is solved by Feld's special orthogonalization method which enables the solution of this equation to be reduced to calculations using recursion formulas. It is shown that the excitation coefficients of the receiving array waveguides defining the decoupling and transmitting array radiation pattern are defined as functionals of the desired function. The results of calculations and their analysis are given.</t>
  </si>
  <si>
    <t>18-25</t>
  </si>
  <si>
    <t>7005873528;6507457912</t>
  </si>
  <si>
    <t>Kyurkchan, A. G.;Zimnov, M. Kh</t>
  </si>
  <si>
    <t>Kyurkchan A.</t>
  </si>
  <si>
    <t>COUPLING BETWEEN ANTENNAS ON A CYLINDER IN THE PRESENCE OF RIBBED STRUCTURES.</t>
  </si>
  <si>
    <t>2-s2.0-0022695756</t>
  </si>
  <si>
    <t>343-344</t>
  </si>
  <si>
    <t>6602956702;7103313639</t>
  </si>
  <si>
    <t>Buzinov, V. S.;Tishchenko, V. A.</t>
  </si>
  <si>
    <t>Buzinov V.</t>
  </si>
  <si>
    <t>Application of thermistors in reference field strength meters with dipole antennas</t>
  </si>
  <si>
    <t>10.1007/BF00864111</t>
  </si>
  <si>
    <t>2-s2.0-0022697265</t>
  </si>
  <si>
    <t>['surface imaging', 'rectangular array', 'receive antenna', 'radiators receives', 'larger version', 'first time', 'final design', 'fed string', 'element prototype', 'earth imaging', 'band phased']</t>
  </si>
  <si>
    <t>A C-band phased-array, transmit/receive antenna has been built by integrating the technologies of microstrip patch radiators, high-power and low-noise FET amplifiers, and PIN-diode phase shifters. The antenna is a 24-active-element prototype with an electronically steerable beam. The final design - a larger version of the prototype - will be used for surface imaging of the earth. It is the first time a C-band phased-array antenna goes into space for the purpose of earth imaging. The radiating aperture consists of a rectangular array of series-fed microstrip patch radiators. There are 12 'strings' of radiators, with each string containing 18 patch elements. Each center-fed string of radiators receives and transmits a vertically and horizontally polarized signal. Each of these dual-polarized microstrip patch radiators has approximately a 4-percent impedance bandwidth.</t>
  </si>
  <si>
    <t>103-104, 106, 108</t>
  </si>
  <si>
    <t>60022476;60022476;60022476</t>
  </si>
  <si>
    <t>7004932166;6507090668;7102698670</t>
  </si>
  <si>
    <t>Haddad, Hussain;Fithian, Michael;Coombs, Dennis</t>
  </si>
  <si>
    <t>Ball Aerospace</t>
  </si>
  <si>
    <t>Haddad H.</t>
  </si>
  <si>
    <t>HEADING FOR SPACE: C-BAND PHASED ARRAY.</t>
  </si>
  <si>
    <t>2-s2.0-0022698045</t>
  </si>
  <si>
    <t>['two parts', 'satellite link', 'parameters involved', 'paper discusses', 'link calculation', 'introductory level']</t>
  </si>
  <si>
    <t>This paper, consisting of two parts, discusses satellite communication at an introductory level and covers communication aspects of a satellite link. After an introduction, showing the utility of a satellite link, Part I of the paper discusses, in detail, the parameters involved in a link calculation. An example, illustrating typical values, is given.</t>
  </si>
  <si>
    <t>Students' Journal of the Institution of Electronics and Telecommunication Engineers</t>
  </si>
  <si>
    <t xml:space="preserve">Vishwanath Sinha, </t>
  </si>
  <si>
    <t>Puerto Rico</t>
  </si>
  <si>
    <t>Mayaguez</t>
  </si>
  <si>
    <t>Recinto Universitario de Mayag√ºez</t>
  </si>
  <si>
    <t>Vishwanath Sinha</t>
  </si>
  <si>
    <t>SATELLITE COMMUNICATION - PART I.</t>
  </si>
  <si>
    <t>2-s2.0-0022698810</t>
  </si>
  <si>
    <t>['window detector', 'shielding effectiveness', 'rf receiver', 'rf enclosure', 'receiver incorporates', 'radiated signal', 'placed inside', 'located outside', 'field intensity', 'false alarm', 'equipment rack', 'ensure stability', 'detect degradation', 'crystal controlled', 'constant level', 'closely controlled', 'ccts decoder', 'automatically detecting', 'associated antenna']</t>
  </si>
  <si>
    <t>A method of automatically detecting when the shielding effectiveness of an rf enclosure has been degraded permits corrective action. An FM modulated rf source and its associated antenna are placed inside an equipment rack for protection from interference. The source is crystal controlled to ensure stability of the signal. Modulation is provided by a continuous coded tone squelch (CCTS) encoder to reduce the possibility of an extraneous rf signal causing a false alarm. The field intensity of the radiated signal is closely controlled to maintain a constant level at the receiver. The rf receiver is located outside an enclosure for protection. The receiver is also crystal controlled for stability. The receiver incorporates a window detector and CCTS decoder to detect degradation of the shielding of the enclosure and/or loss of signal, indicating detector malfunctions.</t>
  </si>
  <si>
    <t>4969-4970</t>
  </si>
  <si>
    <t>AUTOMATIC SHIELDING DEGRADATION DETECTOR.</t>
  </si>
  <si>
    <t>2-s2.0-0022698894</t>
  </si>
  <si>
    <t>["suisei ,'", 'scientific observations', 'paper describes', 'lga ).', 'hga ),', 'gain antenna', 'astronautical science', 'antenna system']</t>
  </si>
  <si>
    <t>The Institute of Space and Astronautical Science, Japan, launched the first Japanese interplanetary spacecraft 'SAKIGAKE' and 'SUISEI,' for the purpose of scientific observations of Halley's Comet, in January and August, 1985, respectively. The antenna system for these spacecraft, consists of a high-gain antenna (HGA), a medium-gain antenna (MGA) and a low-gain antenna (LGA). This paper describes the antenna system of these spacecraft.</t>
  </si>
  <si>
    <t>44-49</t>
  </si>
  <si>
    <t>0547051X</t>
  </si>
  <si>
    <t>NEC Research and Development</t>
  </si>
  <si>
    <t>7007038960;35586085700;7005058854;7101912839;6603494066</t>
  </si>
  <si>
    <t>Hirosawa, Haruto;Ichikawa, Mitsuru;Kudoh, Masahiko;Yamawaki, Seiichi;Obuchi, Tomoki</t>
  </si>
  <si>
    <t>Hirosawa H.</t>
  </si>
  <si>
    <t>ANTENNA SYSTEM FOR SPACECRAFT 'SAKIGAKE' AND 'SUISEI'.</t>
  </si>
  <si>
    <t>2-s2.0-0022702171</t>
  </si>
  <si>
    <t>['selective grating', 'previously reported', 'loss polarization', 'frequency band', '655 less', '025 db']</t>
  </si>
  <si>
    <t>A low-loss polarization-selective grating with a symmetrical double structure is proposed for wider frequency band use. The theoretical transmission loss is smaller than 0. 025 db in the frequency band of 0. 655 less than f/f//0 less than 1. 185 which is twice as wide as previously reported.</t>
  </si>
  <si>
    <t>321-322</t>
  </si>
  <si>
    <t>7004757850;35495699200;7201747933</t>
  </si>
  <si>
    <t>Murota, Masao;Ando, Makoto;Goto, Naohisa</t>
  </si>
  <si>
    <t>Murota M.</t>
  </si>
  <si>
    <t>DESIGN OF A LOW-LOSS GRATING ON A DIELECTRIC SHEET.</t>
  </si>
  <si>
    <t>2-s2.0-0022703339</t>
  </si>
  <si>
    <t>['using powers', 'receiving antennas', 'performance achieved', 'maximum e', 'itu plan', 'brief summary', 'article summarizes']</t>
  </si>
  <si>
    <t>Following a brief summary of the provisions of the 1977 ITU Plan for DBS in the 12 GHz band, the article summarizes the performance achieved for various satellite powers (in terms of maximum e. i. r. p. ) in conjuction with various assumed sizes of receiving antennas. It discusses the limitations that result from using powers below those assigned in the ITU Plan.</t>
  </si>
  <si>
    <t>77-80</t>
  </si>
  <si>
    <t>EBU Technical Review</t>
  </si>
  <si>
    <t>Phillips, G. J.</t>
  </si>
  <si>
    <t>British Broadcasting Corporation</t>
  </si>
  <si>
    <t>Phillips G.</t>
  </si>
  <si>
    <t>SATELLITE TRANSMITTER POWERS FOR DBS.</t>
  </si>
  <si>
    <t>2-s2.0-0022704304</t>
  </si>
  <si>
    <t>['theoretical investigations', 'resonant cavities', 'proper choice', 'metallic walls', 'input impedance', 'high permittivity', 'geometrical boundaries', 'experimental results', 'exist beyond', 'electromagnetic fields', 'efficient antenna', 'dominant feature', 'dielectric cylinders']</t>
  </si>
  <si>
    <t>Dielectric cylinders of very high permittivity have been used in the past as resonant cavities, but since the structure is not enclosed by metallic walls, electromagnetic fields do exist beyond the geometrical boundaries of the structure and part of the power is radiated. Through the proper choice of geometry and permittivity this radiation can become the dominant feature of the structure and become an efficient antenna for use at millimeter wave frequencies. Both experimental and theoretical investigations of a variety of these dielectric resonator antennas have been undertaken. In particular, the input impedance of a probe-fed cylindrical structure was examined in detail and a comparison of theoretical and experimental results was made. ¬© 1986 Plenum Publishing Corporation.</t>
  </si>
  <si>
    <t>555-570</t>
  </si>
  <si>
    <t>60005837;60005837</t>
  </si>
  <si>
    <t>7402507033;7102448153</t>
  </si>
  <si>
    <t>Long, Stuart A.;McAllister, Mark W.</t>
  </si>
  <si>
    <t>Houston</t>
  </si>
  <si>
    <t>University of Houston</t>
  </si>
  <si>
    <t>Long S.</t>
  </si>
  <si>
    <t>The input impedance of the dielectric resonator antenna</t>
  </si>
  <si>
    <t>10.1007/BF01013277</t>
  </si>
  <si>
    <t>2-s2.0-0022705130</t>
  </si>
  <si>
    <t>['weakly regulated', 'vivo protein', 'transcription level', 'total mrnas', 'synthesis processes', 'standard conditions', 'significantly change', 'relative composition', 'reaction centers', 'psii light', 'protein synthesis', 'preferential synthesis', 'plastid proteins', 'plastid polysomes', 'photosystem ii', 'observations confirm', 'molecular weight', 'main 26', 'kda polypeptides', 'kda apoprotein', 'harvesting chlorophyll', 'harvesting antenna', 'greening system', 'gene expression', 'free systems', 'could correspond', 'chloroplastic fractions', 'chloroplastic compartments', 'chloroplast development', '28 kda']</t>
  </si>
  <si>
    <t>Chloroplast development | Euglena mRNA | Photosystem II | Polyribosome | Protein synthesis (regulation)</t>
  </si>
  <si>
    <t>Control of gene expression in Euglena was examined during light-induced chloroplast development. Greening was achieved under standard conditions which allowed the synthesis of all plastid proteins in both cytoplasmic and chloroplastic compartments, or under experimentally modified conditions inducing the preferential synthesis of the photosystem II (PSII) light-harvesting antenna or reaction centers. The relative composition of total mRNAs in cellular, cytoplasmic or chloroplastic fractions, as analyzed by their in-vitro translation products in cell-free systems did not significantly change during the in-vivo protein-synthesis processes which are specific to each greening system. By contrast, cytoplasmic polysomal mRNAs extracted during the selective recovery phase of PSII light-harvesting antennae provided a major in-vitro synthesis product of 28 kDa which could correspond to a precursor of the main 26-kDa apoprotein of the light-harvesting chlorophyll a/b protein complex. Similarly, the in-vivo selective synthesis of the 41-kDa and 51-kDa polypeptides of PSII reaction centers was concomitant with an enrichment of plastid polysomes in mRNA species coding for polypeptides of the same molecular weight. These observations confirm that protein synthesis during chloroplast development in Euglena is weakly regulated at the transcription level and they demonstrate that translational regulation occurs in both the cytoplasmic and the chloroplastic compartments. ¬© 1986 Springer-Verlag.</t>
  </si>
  <si>
    <t>511-520</t>
  </si>
  <si>
    <t>Planta</t>
  </si>
  <si>
    <t>60008134;60103368;60008134;60008134;60008134</t>
  </si>
  <si>
    <t>55596737200;7004135592;6603141799;7004749280;55960755300</t>
  </si>
  <si>
    <t>Bouet, C.;Schantz, R.;Dubertret, G.;Pineau, B.;Ledoigt, G.</t>
  </si>
  <si>
    <t>Strasbourg;Paris</t>
  </si>
  <si>
    <t>Universit√© de Strasbourg;CNRS Centre National de la Recherche Scientifique</t>
  </si>
  <si>
    <t>60103368;60008134</t>
  </si>
  <si>
    <t>Bouet C.</t>
  </si>
  <si>
    <t>Translational regulation of protein synthesis during light-induced chloroplast development in Euglena</t>
  </si>
  <si>
    <t>10.1007/BF00391227</t>
  </si>
  <si>
    <t>2-s2.0-34250126469</t>
  </si>
  <si>
    <t>['still governed', 'see eq', 'section 5', 'second moment', 'scatterer regime', 'scattered radiation', 'scattered intensity', 'random phases', 'random number', 'random amplitude', 'probability density', 'present paper', 'nonuniformly distributed', 'multipaths tends', 'limiting case', 'field measurements', 'density function', 'correlation areas', 'complex amplitude', 'average number', 'antennas propag', 'always greater', 'acta 28', '1981 )]', '1976 )]', '1 )].']</t>
  </si>
  <si>
    <t>The complex amplitude of scattered radiation at a point is modeled as a superposition of random amplitude, random phases, and random number of multipaths (or correlation areas) [see Eq. (2.1)]. When the phases have uniform probability density (strong-scatterer regime) and the multipaths are governed by a negative binomial distribution, then Jakeman and Pusey [ Phys. Rev. Lett. 40, 546 (1978); IEEE Trans. Antennas Propag. AP-24, 806 (1976)] and associates have shown that the probability density of the intensity of the scattered radiation becomes K distributed as the average number of multipaths tends to infinity. This density function has the property that its normalized second moment is always greater than two. However, field measurements by Parry [ Opt. Acta 28, 715 (1981)] and Phillips and Andrews [ J. Opt. Soc. Am. 71, 1440 (1981); J. Opt. Soc. Am. 72, 864 (1982)] show that the normalized second moment can lie below two but must be greater than or equal to unity. The present paper is devoted to a generalization in which the phases are nonuniformly distributed (weak-scatterer regime) but the multipaths are still governed by the negative binomial distribution. In the limiting case, in which the average number of multipaths tends to infinity, the probability density of the scattered intensity is shown to be a generalization of the K-density function. This density function has the property that its second moment is greater than or equal to unity. Section 5 is devoted to the fit between this model and the Phillips‚ÄìAndrews experimental data. Finally, the moments of the scattered intensity are evaluated when the average number of multipaths is finite. ¬© 1986 Optical Society of America.</t>
  </si>
  <si>
    <t>401-409</t>
  </si>
  <si>
    <t>Journal of the Optical Society of America A: Optics and Image Science, and Vision</t>
  </si>
  <si>
    <t>60009982-101780078</t>
  </si>
  <si>
    <t>Barakat, Richard</t>
  </si>
  <si>
    <t>Cambridge;Wayland</t>
  </si>
  <si>
    <t>Harvard University;RGB Associates Inc.</t>
  </si>
  <si>
    <t>60009982;101780078</t>
  </si>
  <si>
    <t>Barakat R.</t>
  </si>
  <si>
    <t>Weak-scatterer generalization of the K-density function with application to laser scattering in atmospheric turbulence</t>
  </si>
  <si>
    <t>10.1364/JOSAA.3.000401</t>
  </si>
  <si>
    <t>2-s2.0-84975564493</t>
  </si>
  <si>
    <t>['subsequent paper', 'spatial distribution', 'primary purpose', 'optimal processing', 'noise field', 'measurement process', 'latter considerations', 'gain error', 'array gain']</t>
  </si>
  <si>
    <t>The optimal processing of a signal by an antenna array requires that the noise covariance matrix be known. In the measurement process which determines this matrix, an error is incurred. When the ideal Wiener shading vector is chosen, so as to optimize the array gain, the choice depends upon the measured noise covariance matrix. Thus, the noise covariance matrix measurement error results in an error in the achieved optimal gain. The primary purpose of this paper is to estimate this gain error. It is shown that, for an error of order ‚àà in the noise covariance matrix, an error of order ‚àà2 is produced in the achieved optimal gain. The estimates obtained depend upon the norms of the noise covariance matrix and its inverse, which in turn depend upon the character and spatial distribution of the noise field. The effects of these latter considerations will be analyzed in a subsequent paper. ¬© 1986 Academic Press Inc. (London) Limited.</t>
  </si>
  <si>
    <t>45-51</t>
  </si>
  <si>
    <t>100424741;60022791</t>
  </si>
  <si>
    <t>57225390749;7201722843</t>
  </si>
  <si>
    <t>Byrnes, J. S.;Sullivan, E. J.</t>
  </si>
  <si>
    <t>Newport;Sharon</t>
  </si>
  <si>
    <t>Naval Undersea Warfare Center Division Newport;Prometheus Inc</t>
  </si>
  <si>
    <t>60022791;100424741</t>
  </si>
  <si>
    <t>Byrnes J.S.</t>
  </si>
  <si>
    <t>The error in the optimum gain of an antenna array arising from errors in the measured noise covariance matrix</t>
  </si>
  <si>
    <t>S0022-460X(86)80173-0</t>
  </si>
  <si>
    <t>10.1016/S0022-460X(86)80173-0</t>
  </si>
  <si>
    <t>2-s2.0-0023044626</t>
  </si>
  <si>
    <t>['œ ±', '¬© 1986', 'transition moments', 'polyacrylamide gel', 'long axis', 'linear dichroism', 'individual chromatophore', 'exact value', 'chlorosome pigments', '7 ¬∞.', '0 ¬∞,']</t>
  </si>
  <si>
    <t>Bacterial photosynthesis | Bacterioviridin orientation | Chromatophore | Green bacteria | Linear dichroism</t>
  </si>
  <si>
    <t>The direction of the transition moments of chlorosome pigments in chromatophores of the green photosynthetic bacterium Chlorobium limicola was studied by linear dichroism. Orientation of chromatophores was achieved by stretching a polyacrylamide gel in which they were packed. It was shown that in each individual chromatophore the Qy transition moment vectors of the whole chlorosome bacterioviridin are parallel to each other and are practically ideally oriented along the chlorosome long axis. The exact value of the angle Œ± between the bacterioviridin transition moments and the long axis of the chlorosome is calculated to be Œ± = 0¬∞, the mean square deviation being 7¬∞. ¬© 1986.</t>
  </si>
  <si>
    <t>234-236</t>
  </si>
  <si>
    <t>60007457;60007457;60110546</t>
  </si>
  <si>
    <t>7003830809;7005152303;8929548100</t>
  </si>
  <si>
    <t>Fetisova, Z. G.;Kharchenko, S. G.;Abdourakhmanov, I. A.</t>
  </si>
  <si>
    <t>Russian Federation;Russian Federation</t>
  </si>
  <si>
    <t>Pushchino;Moscow</t>
  </si>
  <si>
    <t>Institute of Fundamental Problems of Biology of the Russian Academy of Sciences;Lomonosov Moscow State University</t>
  </si>
  <si>
    <t>60110546;60007457</t>
  </si>
  <si>
    <t>Fetisova Z.</t>
  </si>
  <si>
    <t>Strong orientational ordering of the near-infrared transition moment vectors of light-harvesting antenna bacterioviridin in chromatophores of the green photosynthetic bacterium Chlorobium limicola</t>
  </si>
  <si>
    <t>10.1016/0014-5793(86)80486-0</t>
  </si>
  <si>
    <t>2-s2.0-0001024595</t>
  </si>
  <si>
    <t>['two species', 'north america', 'new species', 'minor differences', 'male genitalia', 'large part', 'important member', 'habitat distributions', 'deion pinto']</t>
  </si>
  <si>
    <t>biosystematics | new species | sympatric relationships | Trichogramma</t>
  </si>
  <si>
    <t>Trichogramma pretiosum Riley, the most widespread and important member of its genus in North America, occurs with a similar and previously undetected species over a large part of its range. This new species, T. deion Pinto &amp; Oatman, can be separated by the number of basiconic capitate peg sensilla on the antennae and by minor differences in male genitalia. Seasonal, geographic, host, and habitat distributions of the two species are compared.</t>
  </si>
  <si>
    <t>1019-1028</t>
  </si>
  <si>
    <t>Annals of the Entomological Society of America</t>
  </si>
  <si>
    <t>60029526;60029526;60029526</t>
  </si>
  <si>
    <t>7402584966;6602499022;6602222432</t>
  </si>
  <si>
    <t>Pinto, J. D.;Oatman, E. R.;Platner, G. R.</t>
  </si>
  <si>
    <t>Riverside</t>
  </si>
  <si>
    <t>University of California, Riverside</t>
  </si>
  <si>
    <t>Pinto J.</t>
  </si>
  <si>
    <t>Trichogramma pretiosum and a New Cryptic Species Occurring Sympatrically in Southwestern North America (Hymenoptera: Trichogrammatidae)</t>
  </si>
  <si>
    <t>10.1093/aesa/79.6.1019</t>
  </si>
  <si>
    <t>2-s2.0-0005571231</t>
  </si>
  <si>
    <t>['several cells', 'sensory pathway', 'possibly gaba', 'neuronal somata', 'lucifer yellow', 'lobe cells', 'limpet hemocyanin', 'like immunoreactivity', 'lateral protocerebmm', 'lateral group', 'immunoreactive neurites', 'immunoreactive fibers', 'immunoreactive cells', 'immunocytochemical staining', 'exhibit gaba', 'coupled covalently', 'central antennal', 'cell bodies', 'carry axons', 'axons directly', 'anterior groups', 'antennal lobes', 'antennal lobe']</t>
  </si>
  <si>
    <t>Antennal lobe | GABA-immunocytochemistry | Insect nervous system | Manduca sexta | Olfactory system</t>
  </si>
  <si>
    <t>We have prepared and characterized specific rabbit antisera against Œ≥-aminobutyric acid (GABA) coupled covalently to bovine serum albumin and keyhole-limpet hemocyanin. Using these antisera in immunocytochemical staining procedures, we have probed the antennal lobes and their afferent and efferent fiber tracts in the sphinx moth Manduca sexta for GABA-like immunoreactivity in order to map putatively GABAergic central neurons in the central antennal-sensory pathway. About 30% of the neuronal somata in the large lateral group of cell bodies in the antennal lobe are GABA-immunoreactive; cells in the medial and anterior groups of antennal-lobe cells did not exhibit GABA-like immunoreactivity. GABA-immunoreactive neurites had arborizations in all of the glomeruli in the antennal lobe. Double-labeling experiments involving tandem intracellular staining with Lucifer Yellow and immunocytochemical staining for GABA-like immunoreactivity demonstrated that at least some of the GABA-immunoreactive cells in the antennal lobe are amacrine local interneurons. Several fiber tracts that carry axons of antennal-lobe projection neurons exhibited GABA-immunoreactive fibers. Among the possibly GABA-containing projection neurons are several cells, with somata in the lateral group of the antennal lobe, that send their axons directly to the lateral protocerebmm. ¬© 1986 Springer-Verlag.</t>
  </si>
  <si>
    <t>243-252</t>
  </si>
  <si>
    <t>0302766X</t>
  </si>
  <si>
    <t>Cell and Tissue Research</t>
  </si>
  <si>
    <t>60030162;60030162;60030162;60030162;60030162</t>
  </si>
  <si>
    <t>6603879869;7003707070;7004167459;57213669759;7102653635</t>
  </si>
  <si>
    <t>Hoskins, Sally G.;Homberg, Uwe;Kingan, Timothy G.;Christensen, Thomas A.;Hildebrand, John G.</t>
  </si>
  <si>
    <t>Columbia University</t>
  </si>
  <si>
    <t>Hoskins S.</t>
  </si>
  <si>
    <t>Immunocytochemistry of GABA in the antennal lobes of the sphinx moth Manduca sexta</t>
  </si>
  <si>
    <t>10.1007/BF00219199</t>
  </si>
  <si>
    <t>2-s2.0-0022444003</t>
  </si>
  <si>
    <t>57215017847;57190896646</t>
  </si>
  <si>
    <t>Davydov, V. A.;Kolesov, V. V.</t>
  </si>
  <si>
    <t>Davydov V.A.</t>
  </si>
  <si>
    <t>Emission of sources of synchrotron and undulator types in media having a traveling parameter</t>
  </si>
  <si>
    <t>10.1007/BF01035140</t>
  </si>
  <si>
    <t>2-s2.0-0022708089</t>
  </si>
  <si>
    <t>['mirror images', 'mathematical model', 'integral representation', 'field excited', 'complete plane', 'aperture antenna']</t>
  </si>
  <si>
    <t>The problem of the radiation from an aperture antenna into a half-space containing scattering objects and inhomogeneities in the medium is examined. A mathematical model of the problem - an integral (aperture) representation of the field excited by the antenna - is constructed. This integral representation is compared with the radiation of an aperture, extended up to a complete plane with an ideally black screen. The principle of mirror images is generalized to derive the main integral formula.</t>
  </si>
  <si>
    <t>6508171847;8345717900</t>
  </si>
  <si>
    <t>Sukharevskiy, I. V.;Sukharevskiy, O. I.</t>
  </si>
  <si>
    <t>Sukharevskiy I.V.</t>
  </si>
  <si>
    <t>CALCULATION OF THE FIELD EXCITED BY A RADIATING APERTURE IN THE PRESENCE OF AN ARBITRARY SYSTEM OF SCATTERERS.</t>
  </si>
  <si>
    <t>2-s2.0-0022708193</t>
  </si>
  <si>
    <t>['wire antennas', 'wire antenna', 'given construction', 'dipoles making', 'approach developed']</t>
  </si>
  <si>
    <t>A method is presented for solving some problems of synthesis in which the current distribution along each of the dipoles making up an array are determined. The approach developed can be extended to other types of wire antennas and, in particular, enables the maximum attainable value of the gain for a wire antenna of given construction to be obtained.</t>
  </si>
  <si>
    <t>41-50</t>
  </si>
  <si>
    <t>Polishchuk, I. M.</t>
  </si>
  <si>
    <t>Polishchuk I.</t>
  </si>
  <si>
    <t>OPTIMUM CURRENT DISTRIBUTIONS ALONG DIPOLES IN ANTENNA ARRAYS.</t>
  </si>
  <si>
    <t>2-s2.0-0022710016</t>
  </si>
  <si>
    <t>['one frequency', 'designed using', 'bandwidth cannot', 'analysis problem']</t>
  </si>
  <si>
    <t>Antennas in the form of a resonator with a semitransparent thin wall (sheet) are designed using the method of synthesis at one frequency. The bandwidth cannot be calculated by this method, it can be obtained only by solving the analysis problem. The purpose of this paper is to analyze simple problems which enable the resonator transparency parameters and the Q-factor of such antennas to be obtained.</t>
  </si>
  <si>
    <t>50-55</t>
  </si>
  <si>
    <t>Fedyanovich, V. I.</t>
  </si>
  <si>
    <t>Fedyanovich V.</t>
  </si>
  <si>
    <t>BANDWIDTH OF ANTENNAS WITH SEMITRANSPARENT SHEETS.</t>
  </si>
  <si>
    <t>2-s2.0-0022710017</t>
  </si>
  <si>
    <t>409-413</t>
  </si>
  <si>
    <t>7102384283;7005730753;7004325414;6602783965</t>
  </si>
  <si>
    <t>Ermolaev, V. T.;Krasnov, B. A.;Solomatin, V. Ya;Flaksman, A. G.</t>
  </si>
  <si>
    <t>Ermolaev V.</t>
  </si>
  <si>
    <t>An analysis of the efficiency of partial adaptation in antenna arrays with adaptive beam-forming circuits</t>
  </si>
  <si>
    <t>10.1007/BF01035134</t>
  </si>
  <si>
    <t>2-s2.0-0022710247</t>
  </si>
  <si>
    <t>377-382</t>
  </si>
  <si>
    <t>7006173750;7004434939;6505569191</t>
  </si>
  <si>
    <t>Barabanov, A. P.;Reznik, A. N.;Stankyevich, K. S.</t>
  </si>
  <si>
    <t>Barabanov A.P.</t>
  </si>
  <si>
    <t>Radiometric method for measuring the sea state</t>
  </si>
  <si>
    <t>10.1007/BF01035128</t>
  </si>
  <si>
    <t>2-s2.0-0022711621</t>
  </si>
  <si>
    <t>Tsytovich, V. N.</t>
  </si>
  <si>
    <t>Tsytovich V.</t>
  </si>
  <si>
    <t>Vavilov-Cherenkov radiation of electric, magnetic, and toroidal dipole moments in thin channels in a medium</t>
  </si>
  <si>
    <t>10.1007/BF01035139</t>
  </si>
  <si>
    <t>2-s2.0-0022712096</t>
  </si>
  <si>
    <t>6505814869;6506143061</t>
  </si>
  <si>
    <t>Seryakov, Yu N.;Shabanov, R. I.</t>
  </si>
  <si>
    <t>Seryakov Y.</t>
  </si>
  <si>
    <t>Measurement of system parameters using calibrated rf-noise sources</t>
  </si>
  <si>
    <t>10.1007/BF00865961</t>
  </si>
  <si>
    <t>2-s2.0-0022713131</t>
  </si>
  <si>
    <t>['scattered field', 'perturbation introduced', 'particular attention', 'form corresponding', 'entire space', 'definite direction', 'boundary conditions', 'antenna surface', 'antenna form', 'absorb energy']</t>
  </si>
  <si>
    <t>A method of synthesizing receiving antennas which absorb energy for specified requirements concerning the scattered field structure is presented. Particular attention is given to the problem of reducing the perturbation introduced by the antenna. Gases are discussed when the scattered field distribution is specified in the entire space, or the level of field in a definite direction is given. The method is based on a representation of the scattered field in a form corresponding to a system of certain equivalent sources. The problem is reduced to determining the antenna form and the boundary conditions on the antenna surface.</t>
  </si>
  <si>
    <t>68-75</t>
  </si>
  <si>
    <t>Erokhin, G. A.</t>
  </si>
  <si>
    <t>Erokhin G.</t>
  </si>
  <si>
    <t>METHOD OF SYNTHESIZING RECEIVING ANTENNAS WITH SPECIFIED SCATTERING PROPERTIES.</t>
  </si>
  <si>
    <t>2-s2.0-0022715158</t>
  </si>
  <si>
    <t>['weakly affected', 'radiation characteristics', 'propagating power', 'mode structure', 'minimize reflections', 'exist adjustments', 'easily monitored', 'applicator based']</t>
  </si>
  <si>
    <t>An applicator based on an array of asymmetric troughguide antennas, which produces a controllable transversely polarized leaky wave, is proposed. As a bound-mode structure, the radiation characteristics are weakly affected by lossy tissue loading. There exist adjustments to minimize reflections, and propagating power is easily monitored. This applicator can be designed to closely simulate theoretically optimal cylindrical configuration.</t>
  </si>
  <si>
    <t>638-643</t>
  </si>
  <si>
    <t>60022195;60022195</t>
  </si>
  <si>
    <t>7004701432;23039501700</t>
  </si>
  <si>
    <t>Rappaport, Carey M.;Morgenthaler, Frederic R.</t>
  </si>
  <si>
    <t>Rappaport C.</t>
  </si>
  <si>
    <t>LOCALIZED HYPERTHERMIA WITH ELECTROMAGNETIC ARRAYS AND THE LEAKY-WAVE TROUGHGUIDE APPLICATOR.</t>
  </si>
  <si>
    <t>2-s2.0-0022717399</t>
  </si>
  <si>
    <t>['wave polarization', 'radar tracking', 'contribution deals', 'computer simulation', 'antenna pattern']</t>
  </si>
  <si>
    <t>The contribution deals with the reconstruction of planar wave parameters (angles of incidence, polarization) in view of radar tracking. The properties of a representative reconstruction algorithm are investigated with emphasis on wave polarization and antenna pattern. The theory is illustrated by results of a computer simulation.</t>
  </si>
  <si>
    <t>von Winterfeld, Christoph</t>
  </si>
  <si>
    <t>Forschungsinstitut fuer Hochfrequenzphysik</t>
  </si>
  <si>
    <t>von Winterfeld C.</t>
  </si>
  <si>
    <t>ON POLARIZATION EFFECTS IN THE RECONSTRUCTION OF WAVE-PARAMETERS.</t>
  </si>
  <si>
    <t>2-s2.0-0022719171</t>
  </si>
  <si>
    <t>['window detector', 'vast range', 'toy uses', 'switch capabale', 'power h', 'motorola mc33030', 'mc33030 contains', 'light trackers', 'ideally suited', 'error amp', 'direction memory', 'brake logic', 'bidirectional drive']</t>
  </si>
  <si>
    <t>A new monolithic dc servo motor controller/driver, the Motorola MC33030, contains all active functions necessary for a complete closed loop system. It is ideally suited for a vast range of applications where bidirectional drive of fractional horsepower dc motors with precise position sensing is required. These may include sophisticated robotic systems, air flow dampers and regulators, solar or light trackers, or simple antenna rotors, and hobbiest/toy uses. Internally, the MC33030 contains the following building blocks: an error amp and window detector that both feature a wide input common-mode voltage range, drive and brake logic with direction memory, a power H-switch capabale of 1. 0A, independently programmable overcurrent monitor and overcurrent shutdown delay, and a Monitor.</t>
  </si>
  <si>
    <t>Powerconversion and Intelligent Motion</t>
  </si>
  <si>
    <t>Alberkrack, Jade H.</t>
  </si>
  <si>
    <t>Schaumburg</t>
  </si>
  <si>
    <t>Motorola</t>
  </si>
  <si>
    <t>Alberkrack J.</t>
  </si>
  <si>
    <t>SERVO MOTOR CONTROLLER IC PROVIDES BIDIRECTIONAL DRIVE OF dc MOTORS.</t>
  </si>
  <si>
    <t>2-s2.0-0022720297</t>
  </si>
  <si>
    <t>['west station', 'west offset', 'three months', 'south station', 'simplified method', 'orbital inclination', 'minus 0', 'keeping tolerance', 'keeping maneuvers', 'despun antenna', 'cs antenna', 'became possible', 'attitude tolerance', 'attitude control', 'antenna exactly', '03 deg', '02 deg']</t>
  </si>
  <si>
    <t>Successful satellite control experiments on Japan's Sakura communications satellite (CS) are reported. A method of accurate orbit determination using tracking data obtained at a single Earth station was developed. The station-keeping tolerance was reduced to plus or minus 0. 03 deg and the maneuvers were performed for a few months. A simplified method of east-west station-keeping, which did not need any sophisticated orbit calculation program, was developed and was examined for three months. The attitude tolerance was reduced to 0. 02 deg in order to point the CS's antenna exactly to Jpaan by using the Sun and Earth sensor data. The pointing of the CS antenna, which was varied by orbital inclination, was compensated by attitude control and east-west offset of the despun antenna, and it became possible to continue communication experiments even after the termination of north-south station-keeping maneuvers. This is the third of a six part series.</t>
  </si>
  <si>
    <t>240-246</t>
  </si>
  <si>
    <t>60092258;60092258;60092258;60092258</t>
  </si>
  <si>
    <t>7005648161;7101608969;6507646822;7402580603</t>
  </si>
  <si>
    <t>Nishigaki, Takanori;Shiomi, Tadashi;Izumisawa, Tomoyuki;Nagai, Yutaka</t>
  </si>
  <si>
    <t>Nishigaki T.</t>
  </si>
  <si>
    <t>JAPAN'S CS (SAKURA) COMMUNICATIONS SATELLITE EXPERIMENTS - III: SATELLITE CONTROL EXPERIMENTS ON THE CS.</t>
  </si>
  <si>
    <t>2-s2.0-0022721177</t>
  </si>
  <si>
    <t>['wider angles', 'test range', 'radiation patterns', 'plate waveguide', 'measured results', 'f multiplied', 'coaxial cable', 'choke loading', 'bem solution', 'bem results', 'aperture field', '90 degrees', '5 mm', '478 mm', '3 mm', '20 mm', '12 ghz']</t>
  </si>
  <si>
    <t>In order to investigate the effects of choke loading on the radiation patterns in a parallel-plate waveguide, and to investigate the feasibility of the boundary element method (BEM) for unbounded radiation problems, measured results of an experimental box horn antenna with the aperture dimension 22. 9 mm multiplied by 478 mm, without and with chokes, are compared with numerical data obtained by BEM. In the experiment, both the aperture field and the far-field radiation patterns were measured. In the former, the aperture field was measured at f equals 12 GHz by a small dipole fed and supported by a thin (3 mm-outer-diameter) coaxial cable, and agreement between the measured and the BEM solution was obtained. For the latter, the far-field pattern measurement was done at f multiplied by 8, 10, and 12 GHz in a 30 m test range. The measured radiation patterns of a parallel-plate waveguide loaded with a choke (6. 5 mm in depth and 20 mm in width) agree with the BEM results at wider angles, even at 90 degrees from the antenna radiation axis.</t>
  </si>
  <si>
    <t>651-658</t>
  </si>
  <si>
    <t>60194543;60194543</t>
  </si>
  <si>
    <t>7201750560;55709894900</t>
  </si>
  <si>
    <t>Miyata, Katsumasa;Suzuki, Michio</t>
  </si>
  <si>
    <t>Akita</t>
  </si>
  <si>
    <t>National Institute of Technology, Akita College</t>
  </si>
  <si>
    <t>Miyata K.</t>
  </si>
  <si>
    <t>FIELD ANALYSIS OF AN OPEN-ENDED PARALLEL-PLATE WAVEGUIDE - BEM SOLUTION AND EXPERIMENT.</t>
  </si>
  <si>
    <t>2-s2.0-0022721383</t>
  </si>
  <si>
    <t>['sharp directivity', 'seated tumors', 'sar maximum', 'preliminary results', 'phase variation', 'phase control', 'peak value', 'heating deep', 'four pairs', 'field patterns', 'field pattern', 'excellent focusing', 'desired directivity', 'circular phased', 'array equipment']</t>
  </si>
  <si>
    <t>Preliminary results on the development of circular phased-array equipment for heating deep-seated tumors is presented. It is shown that radiators having sharp directivity are needed to realize excellent focusing of the specific absorption rate (SAR) maximum. Moment-method calculations indicate that linearly polarized helical radiators inversely wound with double wire possess the desired directivity and near-field pattern. Field patterns were measured in phantom (plastic cylinders containing saline water) with a circular array formed by four pairs of azimuthally positioned radiators. Excellent focusing of SAR was observed. The ratio of valley to peak value was 0. 74. Steering of the SAR maximum by phase control was observed and the distance moved coincided with that estimated from phase variation.</t>
  </si>
  <si>
    <t>521-525</t>
  </si>
  <si>
    <t>60002784;60002784;60002784;60002784;60002784;60002784</t>
  </si>
  <si>
    <t>7103403544;7006824786;24353784200;7202357416;6507778756;6506583136</t>
  </si>
  <si>
    <t>Sato, Gentei;Shibata, Chokichiro;Sekimukai, Shuichi;Wakabayashi, Hiroshi;Mitsuka, Kaoru;Giga, Kenjiro</t>
  </si>
  <si>
    <t>Sophia University</t>
  </si>
  <si>
    <t>Sato G.</t>
  </si>
  <si>
    <t>PHASE-CONTROLLED CIRCULAR ARRAY HEATING EQUIPMENT FOR DEEP-SEATED TUMORS: PRELIMINARY EXPERIMENTS.</t>
  </si>
  <si>
    <t>2-s2.0-0022721855</t>
  </si>
  <si>
    <t>['spin axis', 'solar interference', 'significantly influenced', 'seven years', 'prelaunch data', 'performance characteristics', 'particular change', 'observed since', 'measured characteristics', 'factors affecting', 'antenna pattern', 'also discussed']</t>
  </si>
  <si>
    <t>The performance characteristics of the Japanese Sakura communications satellite (CS) antenna pattern and long-term transponder characteristics are described on the basis of periodic measurement taken over seven years, with emphasis on the 30/20-GHz band performance. Methods of evaluating the two-dimensional antenna pattern and the nonlinear transponder characteristics are presented. Measured characteristics of the CS onboard communications equipment agree well with the prelaunch data, and no particular change has been observed since the CS was launched in 1979. Some factors affecting the (signal) carrier-to-noise power ratio (C/N//0 ) characteristics are also discussed. It is confirmed that C/N//0 is significantly influenced by fluctuation of the spin axis during orbit inclination maneuvers and by solar interference. This is the fourth of a six part series.</t>
  </si>
  <si>
    <t>246-255</t>
  </si>
  <si>
    <t>60025555;60025555;60025555;60025555;60025555;60025555</t>
  </si>
  <si>
    <t>57201434704;7003864682;55137874000;6504103516;35501540000;35452406400</t>
  </si>
  <si>
    <t>Tanaka, Masayoshi;Iso, Akio;Yoshikawa, Tatsuo;Iguichi, Masaaki;Wakana, Hiromitsu;Kosaka, Katsuhiko</t>
  </si>
  <si>
    <t>Tanaka M.</t>
  </si>
  <si>
    <t>JAPAN'S CS (SAKURA) COMMUNICATIONS SATELLITE EXPERIMENTS - IV: CHARACTERISTICS OF CS ON - BOARD COMMUNICATION EQUIPMENT AND THE SATELLITE LINK.</t>
  </si>
  <si>
    <t>2-s2.0-0022722965</t>
  </si>
  <si>
    <t>['¬© 1986', 'time constant', 'singlet annihilation', 'secondary acceptor', 'primary donor', 'prereduced chemically', 'excited states', 'electron transfer', 'chemical oxidation', 'charge separation', 'blue shift', 'acta 765', 'acceptor complex', '200 ps', '2 ns', '146 ).', '10 ns', '., mancino']</t>
  </si>
  <si>
    <t>(C. aurantiacus) | Bacterial photosynthesis | Bacteriochlorophyll | Carotenoid | Charge separation | Electron transfer</t>
  </si>
  <si>
    <t>The formation and decay of antenna-excited states and the primary charge separation in membranes of the green photosynthetic bacterium Chloroflexus aurantiacus were studied by means of picosecond absorbance difference spectroscopy. After chemical oxidation of the primary electron donor, a 35 ps excitation pulse at 532 nm produced singlet- and triplet-excited states of carotenoid and of bacteriochlorophyll a. Excitation of bacteriochlorophyll a caused a bleaching of its Qy absorption band and induced a blue shift of several neighboring bacteriochlorophyll molecules. The singlet-excited state decayed biphasically with lifetimes of about 200 ps and 1.2 ns. A decrease in the lifetime at increasing flash intensity was attributed to singlet-singlet annihilation. In the presence of active reaction centers also the primary-charge separation and secondary electron transfer were observed. The charge separation consisted of the transfer of an electron from the primary donor, P-865, to the primary-acceptor complex of bacteriopheophytin a and bacteriochlorophyll a. Electron transfer to a secondary acceptor occurred with a time constant of 400 ¬± 50 ps, which is about 30% longer than had been observed with isolated reaction centers (Kirmaier, C., Holten, D., Mancino, L.J. and Blankenship, R.E. (1984) Biochim. Biophys. Acta 765, 138-146). When this secondary acceptor was prereduced chemically, the lifetime of the primary radical pair increased to 10 ns or more. ¬© 1986.</t>
  </si>
  <si>
    <t>316-324</t>
  </si>
  <si>
    <t>60019816;60019816;60019816;60019816</t>
  </si>
  <si>
    <t>23373601600;6506168927;6603047878;7004456032</t>
  </si>
  <si>
    <t>Nuijs, Antonius M.;Vasmel, Henk;Duysens, Louis N.M.;Amesz, Jan</t>
  </si>
  <si>
    <t>Nuijs A.M.</t>
  </si>
  <si>
    <t>Antenna and reaction-center processes upon picosecond-flash excitation of membranes of the green photosynthetic bacterium Chloroflexus aurantiacus</t>
  </si>
  <si>
    <t>000527288690143X</t>
  </si>
  <si>
    <t>10.1016/0005-2728(86)90143-X</t>
  </si>
  <si>
    <t>2-s2.0-0022504632</t>
  </si>
  <si>
    <t>['water extract', 'untreated surfaces', 'treated substrates', 'treated leaves', 'tobacco plants', 'significant effect', 'significant difference', 'preferred host', 'oviposition substrate', 'moths without', 'metathoracic legs', 'mean number', 'laboratory bioassays', 'heliothis virescens', 'field cages', 'female moths', 'f .)', 'extracts prepared', 'elderberry leaf', 'either acetone', 'distilled water', '8 mg']</t>
  </si>
  <si>
    <t>chemoreceptors | Heliothis virescens | Lepidoptera | Noctuidae | oviposition behavior | oviposition deterrents | Sambucus simpsonii</t>
  </si>
  <si>
    <t>Extracts prepared from elderberry, Sambucus simpsonii Rehd., leaves with either acetone, dichloromethane, distilled water, ethanol, hexane, or methanol deterred oviposition by Heliothis virescens (F.) on treated substrates in the laboratory. Doses of the aqueous extract equivalent to as little as 0.8 mg of leaves/cm2 of oviposition substrate were effective in reducing egg deposition. There was no significant difference in the mean number of landings on extract-treated and untreated surfaces. When either the antennae, proboscis, or the metathoracic legs were removed from female moths, there was no significant effect on oviposition on paper towels treated with elderberry leaf-water extract in laboratory bioassays, but in field cages, moths without these appendages deposited significantly fewer eggs on treated leaves of tobacco plants, a preferred host. There was no evidence that elderberry leaf-water extract affected mating by H. virescens. ¬© 1986 Plenum Publishing Corporation.</t>
  </si>
  <si>
    <t>1523-1531</t>
  </si>
  <si>
    <t>60103678;60103678</t>
  </si>
  <si>
    <t>7801421263;7201803935</t>
  </si>
  <si>
    <t>Tingle, F. C.;Mitchell, E. R.</t>
  </si>
  <si>
    <t>Gainesville</t>
  </si>
  <si>
    <t>USDA Agricultural Research Service, Gainesville</t>
  </si>
  <si>
    <t>Tingle F.</t>
  </si>
  <si>
    <t>Behavior of Heliothis virescens (F.) in presence of oviposition deterrents from elderberry</t>
  </si>
  <si>
    <t>10.1007/BF01012369</t>
  </si>
  <si>
    <t>2-s2.0-0005286221</t>
  </si>
  <si>
    <t>['microwave beam', 'electromagnetic compatibility', 'different aspects', 'antenna system']</t>
  </si>
  <si>
    <t>Different aspects of the electromagnetic compatibility of solar electric power stations in space (SEPS) when the energy is transmitted by a microwave beam in the case of a loss of correlation of the operation of the amplifiers in the antenna system are studied.</t>
  </si>
  <si>
    <t>140-145</t>
  </si>
  <si>
    <t>57188827786;57193230450</t>
  </si>
  <si>
    <t>Dmitriyev, A. S.;Paramonov, B. M.</t>
  </si>
  <si>
    <t>Dmitriyev A.</t>
  </si>
  <si>
    <t>EFFECT OF EXTRANEOUS EMISSIONS OF SOLAR ELECTRIC-POWER STATIONS IN SPACE ON THE ELECTROMAGNETIC ENVIRONMENT IN THE FORWARD HEMISPHERE.</t>
  </si>
  <si>
    <t>2-s2.0-0022724876</t>
  </si>
  <si>
    <t>['time constant', 'relative measurements', 'radiation pattern', 'method provides', 'half power', '35 cm', '1 k']</t>
  </si>
  <si>
    <t>The method of relative measurements of the magnitude of the total vertical absorption of the atmosphere tau //0 using narrowly directed antennas at wavelengths of 0. 8 and 1. 35 cm is considered. It is shown that when tau //0 greater than 0. 1 and the width of the radiation pattern of the antenna at half power is of the order of a degree the method provides a relative measurement error delta // tau less than 5% with an easily achievable sensitivity of the receiving radiometric apparatus ( DELTA T//f approx. 0. 1 k with a time constant of 16 sec).</t>
  </si>
  <si>
    <t>52-59</t>
  </si>
  <si>
    <t>Khrulev, V. V.</t>
  </si>
  <si>
    <t>Khrulev V.</t>
  </si>
  <si>
    <t>METHOD OF MEASURING THE VERTICAL ABSORPTION OF THE CLEAN ATMOSPHERE AT WAVELENGTHS OF 0. 8 AND 1. 35 CM.</t>
  </si>
  <si>
    <t>2-s2.0-0022726333</t>
  </si>
  <si>
    <t>['transmitting antenna', 'square deviations', 'receiving end', 'receiving antennas', 'power transmission']</t>
  </si>
  <si>
    <t>A 10-stepped amplitude distribution of the field over the aperture of a solar space electric power station (SSEPS) transmitting antenna is discussed. The shape of the distribution in order to obtain maximum efficiency of power transmission for radii of the transmitting and receiving antennas of 500 and 5000 m, respectively, is optimized. It is shown that it is possible to obtain discrete amplitude distribution for which the level of all sidelobes at the receiving end does not exceed 5 mu W/cm**2 for tolerances of the mean-square deviations of the radii and amplitudes of the steps of 1% and 8%, respectively.</t>
  </si>
  <si>
    <t>59-65</t>
  </si>
  <si>
    <t>7004652700;6603472575;6507610480</t>
  </si>
  <si>
    <t>Vanke, V. A.;Lesota, S. K.;Rachnikov, A. V.</t>
  </si>
  <si>
    <t>Vanke V.</t>
  </si>
  <si>
    <t>OPTIMIZATION OF THE DISCRETE DISTRIBUTION FUNCTION OF THE FIELD OVER THE APERTURE OF AN SSEPS TRANSMITTING ANTENNA.</t>
  </si>
  <si>
    <t>2-s2.0-0022726365</t>
  </si>
  <si>
    <t>['trees may', 'natural aerials', 'moist leaves', 'may serve', 'leaves serve', 'hazardous near', 'electromagnetic properties', 'dry leaves', 'diamagnetic substances', 'copper aerial', 'aerial leaves']</t>
  </si>
  <si>
    <t>A study of electromagnetic properties of high tree leaves is made in the laboratory and some conclusions are drawn. The leaves are the natural aerials and may serve as the aerial for radios and televisions. The aerial leaves of bergad, ashok, eucalyptas, khaju, tesu, berra, neem and some other trees are analyzed for this purpose. The leaves serve as diamagnetic substances but are superior to the copper aerial. Moist leaves are more diamagnetic than the dry leaves. The inductance of the leaf is of the order of 10** minus **1**2 H and depends on thickness. The capacitance of the leaves is high. The dielectric constant epsilon //x equals 15 that of the earth or of the soil. The trees may be hazardous near the EHV lines due to the high capacitance contributed by the leaves.</t>
  </si>
  <si>
    <t>199-202</t>
  </si>
  <si>
    <t>Pt 6</t>
  </si>
  <si>
    <t>Journal of the Institution of Engineers (India): Electrical Engineering Division</t>
  </si>
  <si>
    <t>60069494;60069494;60069494</t>
  </si>
  <si>
    <t>7003913804;6602225184;6602144026</t>
  </si>
  <si>
    <t>Chhalotra, G. P.;Vani, A.;Gavai, A. N.</t>
  </si>
  <si>
    <t>Bilaspur</t>
  </si>
  <si>
    <t>Government Engineering College Bilaspur</t>
  </si>
  <si>
    <t>Chhalotra G.</t>
  </si>
  <si>
    <t>ELECTROMAGNETIC PROPERTIES OF HIGH TREE LEAVES AND THEIR AERIAL CHARACTERISTICS.</t>
  </si>
  <si>
    <t>2-s2.0-0022727423</t>
  </si>
  <si>
    <t>['reflector efficiency', 'present systems', 'new concept', 'design capabilities', 'available systems', '70 percent']</t>
  </si>
  <si>
    <t>A new concept in compact range antenna systems provides increased dynamic range and reflector efficiency of 50 to 70 percent. The technology is based on beam shaping concepts that have been applied to solve chamber coupling problems of present systems. The result is a substantial step forward in the test and design capabilities for ultra low radar cross-section (RCS) testing with available systems for targets up to 40 feet long.</t>
  </si>
  <si>
    <t>137-138, 140, 142</t>
  </si>
  <si>
    <t>Microwave journal</t>
  </si>
  <si>
    <t>Harrison, Terry</t>
  </si>
  <si>
    <t>Harris Corporation</t>
  </si>
  <si>
    <t>Harrison T.</t>
  </si>
  <si>
    <t>NEW APPROACH TO RADAR CROSS-SECTION COMPACT RANGE.</t>
  </si>
  <si>
    <t>2-s2.0-0022728088</t>
  </si>
  <si>
    <t>['specific sidelobes', 'radiation pattern', 'numerical calculations', 'integral equations', 'input impedance', 'frequency range', 'frequency dipoles', 'arrays affects', 'antenna arrays', 'aa characteristics']</t>
  </si>
  <si>
    <t>The method of integral equations is used to solve the problem of the excitation of a periodic combined antenna array (AA) whose cell represents a set of different-frequency dipoles with coinciding field polarization. The kernels of the integral equations are represented in the form of rapidly converging series. Relationships are obtained for the radiation pattern and the gain of a cell, the level of specific sidelobes and the input impedance of the dipoles for antenna arrays of this class. Results are presented of numerical calculations of the above characteristics for a two-frequency combined AA. It is shown that the combination of arrays affects most strongly the characteristics in the higher-frequency range, while in the lower-frequency range the effect of combination of the AA characteristics is of no importance.</t>
  </si>
  <si>
    <t>16-22</t>
  </si>
  <si>
    <t>6603699283;16437068800;6506931012;7006172632</t>
  </si>
  <si>
    <t>Il'inskiy, A. S.;Ponomarev, L. I.;Gordiyenko, L. V.;Shatalov, A. V.</t>
  </si>
  <si>
    <t>Il'inskiy A.</t>
  </si>
  <si>
    <t>ANALYSIS OF SCANNING MULTIFREQUENCY COMBINED DIPOLE ANTENNA ARRAYS.</t>
  </si>
  <si>
    <t>2-s2.0-0022728703</t>
  </si>
  <si>
    <t>['thermal losses', 'specified accuracy', 'sources ensuring', 'solved provided', 'rough information', 'required dependence', 'electrical dimensions', 'directional properties', 'dipole curtain', 'constructional implementation', 'attained depends', 'antenna gain', 'account solving']</t>
  </si>
  <si>
    <t>The problem of obtaining the electrical dimensions of an antenna from rough information on its directional properties with respect to power is discussed. It is shown that this problem can be solved provided the thermal losses in the antenna are taken into account solving the nonlinear synthesis problem which consists of determining the distribution of the sources ensuring that the required dependence of the antenna gain on direction is obtained (with a specified accuracy). In the case of a thin wire antenna the minimum electrical dimensions for which a specified accuracy can be attained depends on the constructional implementation of the dipole curtain and the conductance of the material of which the curtain is made.</t>
  </si>
  <si>
    <t>32-37</t>
  </si>
  <si>
    <t>PROBLEM OF SYNTHESIZING ANTENNAS TO GIVE A SPECIFIED DEPENDENCE OF THE ANTENNA GAIN ON THE DIRECTION TO THE POINT OF OBSERVATION.</t>
  </si>
  <si>
    <t>2-s2.0-0022728704</t>
  </si>
  <si>
    <t>['works associated', 'unconventional manner', 'paper reviews', 'engineering works']</t>
  </si>
  <si>
    <t>Special requirements governing the installation of CATV cable networks require the engineering works to be carried out in an unconventional manner. This paper reviews the approach Balfour Kilpatrick Ltd. developed and adopted for the works associated with the Croydon cable television project.</t>
  </si>
  <si>
    <t>205-208</t>
  </si>
  <si>
    <t>Gillitt, Paul John</t>
  </si>
  <si>
    <t>Kirkwall</t>
  </si>
  <si>
    <t>The Balfour</t>
  </si>
  <si>
    <t>Gillitt P.J.</t>
  </si>
  <si>
    <t>ENGINEERING WORKS ASSOCIATED WITH CABLE TELEVISION CONTRACTS.</t>
  </si>
  <si>
    <t>2-s2.0-0022730757</t>
  </si>
  <si>
    <t>['wire antennas', 'wave portion', 'smsw spectrum', 'smsw device', 'simple mockup', 'large change', 'frequency characteristics', 'ferrite powder', 'eliminating reflections', 'demonstrated experimentally', 'delay line', '3 refs']</t>
  </si>
  <si>
    <t>The large change in the amplitude-frequency characteristics of a device when surface magnetoacoustic wave (SMSW) absorbers are applied to the surface of a YIG film near its ends is demonstrated experimentally in this paper for the example of a very simple mockup of an SMSW device - a delay line with transducers in the form of wire antennas. It is shown that the SMSW absorbers investigated, employing magnetic tape and ferrite powder, are most effective for eliminating reflections in the short-wave portion of the SMSW spectrum. 3 refs.</t>
  </si>
  <si>
    <t>159-161</t>
  </si>
  <si>
    <t>6602749836;6602910690;6603335439</t>
  </si>
  <si>
    <t>Kryshtal', R. G.;Mal'tsev, O. A.;Medved', A. V.</t>
  </si>
  <si>
    <t>Kryshtal' R.</t>
  </si>
  <si>
    <t>INVESTIGATION OF SURFACE MAGNETOSTATIC WAVE ABSORBERS IN YTTRIUM-IRON GARNET FILMS.</t>
  </si>
  <si>
    <t>2-s2.0-0022730881</t>
  </si>
  <si>
    <t>['used currently', 'unknown geometry', 'suitable algorithm', 'strong degree', 'steering vectors', 'spectral matrix', 'spectral matrices', 'sources ),', 'situation occurs', 'problem presents', 'plane waves', 'linear array', 'good precision', 'general case', 'free parameters', 'formula omitted']</t>
  </si>
  <si>
    <t>The so-called signal subspace methods in spatial signal processing have been used up to now in the case of steering vectors depending upon very few parameters. For instance, they are used currently for steering vectors of the form [formula omitted] which occur in the case of plane waves and a linear array of N equispaced sensors. We show, by providing a suitable algorithm, that these methods can be extended to the general case of steering vectors of the form [formula omitted] where the phase angles Œ∏2, ‚Ä¶ , Œ∏N are treated as free parameters. This kind of situation occurs, for instance, in the case of randomly distorted wavefronts, andlor flexible antennas of unknown geometry, when the fluctuations of the wavefronts and of the antenna are very slow with respect to the time constants used for the estimation of the cross-spectral matrices. As usual in signal subspace methods, the proposed algorithm works very well when the problem presents a strong degree of overdetermination (many more sensors than sources), and the cross-spectral matrix is estimated with good precision. ¬© 1986 IEEE</t>
  </si>
  <si>
    <t>405-422</t>
  </si>
  <si>
    <t>Vezzosi, Georges</t>
  </si>
  <si>
    <t>Laboratoire Traitement du Signal et de l'Image</t>
  </si>
  <si>
    <t>Vezzosi G.</t>
  </si>
  <si>
    <t>Estimation of phase Angles from the Cross-Spectral Matrix</t>
  </si>
  <si>
    <t>10.1109/TASSP.1986.1164867</t>
  </si>
  <si>
    <t>2-s2.0-0022733741</t>
  </si>
  <si>
    <t>['mapping function', 'making use', 'main reflector', 'iterative process', 'given requirements', 'determined rapidly', 'complicated calculations']</t>
  </si>
  <si>
    <t>An expression of aperture field crosspolarization has been derived in this paper for dual shaped offset reflector antennas. The first-order partial differential equation has also been presented for the mapping function. The problem of making a search for the mapping function can be simplified as to solve a constant differential equation in terms of an iterative process. The geometric parameters meeting the given requirements and the mapping function can be determined rapidly by making use of these equations without repeatedly solving the second-order partial differential equation or a set of the first-order differential equations and doing complicated calculations for reconstructing the main reflector.</t>
  </si>
  <si>
    <t>662-672</t>
  </si>
  <si>
    <t>Scientia sinica. Series A. Mathematical, physical, astronomical and technical sciences</t>
  </si>
  <si>
    <t>100381148;100381148;100381148</t>
  </si>
  <si>
    <t>7409560016;7409539262;7409835803</t>
  </si>
  <si>
    <t xml:space="preserve">Zhang Rirong, ;Wang Hanli, ;Yang Kezhong, </t>
  </si>
  <si>
    <t>Shijiazhuang</t>
  </si>
  <si>
    <t>Shijiazhuang Communication Lab</t>
  </si>
  <si>
    <t>Zhang Rirong</t>
  </si>
  <si>
    <t>DUAL-SHAPED OFFSET REFLECTOR ANTENNAS WITH CIRCULAR APERTURE FOR REALIZING LOW CROSSPOLARIZATION.</t>
  </si>
  <si>
    <t>2-s2.0-0022734006</t>
  </si>
  <si>
    <t>['year ice', 'wider variety', 'transmitting signals', 'sar provides', 'remote sensor', 'radar systems', 'petroleum tankers', 'new applications', 'microwave spectrum', 'gather information', 'extract details', 'becoming available', 'allow scientists']</t>
  </si>
  <si>
    <t>With the advent of new applications and equipment, the benefits of synthetic aperture radar (SAR) imaging are becoming available to a wider variety of applications. SAR is the only remote sensor that is able to gather information. The name synthetic aperture radar (or SAR) is used because an antenna is called an aperture in radar systems. As examples, petroleum tankers and drilling vessels operating in northern latitudes use SAR images to track ice movements and distinguish old ice from first-year ice. Because SAR provides its own illumination by transmitting signals in the microwave spectrum, dense cloud cover can be penetrated, an attribute that will allow scientists to extract details of Venus's surface during the Magellan probe scheduled for 1989.</t>
  </si>
  <si>
    <t>119-120, 122, 124, 126</t>
  </si>
  <si>
    <t>Photonics Spectra</t>
  </si>
  <si>
    <t>Henwood, Timothy</t>
  </si>
  <si>
    <t>Portland</t>
  </si>
  <si>
    <t>Floating Point Systems Inc</t>
  </si>
  <si>
    <t>Henwood T.</t>
  </si>
  <si>
    <t>SAR: AN IMAGING TOOL FOR THE 80s AND BEYOND.</t>
  </si>
  <si>
    <t>2-s2.0-0022736932</t>
  </si>
  <si>
    <t>['useful amount', 'sum beamformer', 'simple delay', 'reduce sidelobes', 'random errors', 'problem considered', 'presented parametrically', 'obtained subject', 'modest oversteering', 'mainlobe sensitivity']</t>
  </si>
  <si>
    <t>The problem considered is that of designing endfire line array shadings which provide a useful amount of supergain without extreme sensitivity to random errors. Optimum shading weights are obtained subject to a constraint on the gain against uncorrelated white noise. The results of optimum array gain versus white noise gain constraint are presented parametrically for arrays of different interelement spacings, and different noise fields. Results are presented for spherically and cylindrically isotropic noise, and other wavenumber limited noise fields, used in modeling ocean ambient noise. It is found that nearly optimum performance can be obtained in a simple delay and sum beamformer by shading to reduce sidelobes and modest oversteering to reduce mainlobe width without too large a reduction in mainlobe sensitivity. ¬© 1986 IEEE</t>
  </si>
  <si>
    <t>393-398</t>
  </si>
  <si>
    <t>60011761;60011761;115567960</t>
  </si>
  <si>
    <t>7202634264;6602541257;6507393864</t>
  </si>
  <si>
    <t>Cox, Henry;Zeskind, Robert√Ç M.;Kooij, Theo</t>
  </si>
  <si>
    <t>Cambridge;Arlington</t>
  </si>
  <si>
    <t>BBN Technologies;Office of Naval Technology</t>
  </si>
  <si>
    <t>60011761;115567960</t>
  </si>
  <si>
    <t>Cox H.</t>
  </si>
  <si>
    <t>Practical Supergain</t>
  </si>
  <si>
    <t>10.1109/TASSP.1986.1164847</t>
  </si>
  <si>
    <t>2-s2.0-0022738930</t>
  </si>
  <si>
    <t>SFB 143</t>
  </si>
  <si>
    <t>['¬© 1986', 'upon standing', 'transformed simultaneously', 'spectral changes', 'rights reserved', 'reaction centers', 'proteinase k', 'photosynthetic bacteria', 'periplasmic side', 'longest wavelengths', 'halochloris thylakoids', 'generally isolated', 'cytoplasmic side', 'chromophores absorbing', 'b 800', 'also inducible', 'acta 807', 'absorption band', '960 nm', '960 ),', '9 polypeptides', '680 ).', '28 kda', '1983 ).', '1020 nm']</t>
  </si>
  <si>
    <t>Antenna Polypeptides | Bacterial Photosynthesis | Circular Dichroism | Ectothiorhodospira | Energy Transfer | Fluorescence | Membrane Topology</t>
  </si>
  <si>
    <t>E. halochloris thylakoids and spheroplasts were treated with trypsin, thermolysin or proteinase K to determine which proteins are exposed at the different membrane surfaces. Based on SDS polyacrylamide analysis, all 9 polypeptides are exposed on the cytoplasmic side. Only one (28 kDa) is accessible from the periplasmic side. This polypeptide is generally isolated as the H-subunit of the reaction centers of photosynthetic bacteria, but is in the case of E. halochloris rather isolated with the antenna (B 800/1020) (Steiner and Scheer, Biochim. Biophys. Acta 807, 278, 1983). Proteolysis is accompanied by a shift of the absorption band at longest wavelengths from 1020 to 960 nm (B 800/960), which upon standing is shifted further to 680 nm (‚ÄúB‚Äù 800/680). The spectral changes are similar to the ones reported earlier for treatment with acid, and are also inducible with urea. The correlation of SDS-PAGE and absorption spectroscopy shows, that the chromophores absorbing at 1020 nm are transformed simultaneously with the degradation of the 6.5 kDa (= Œ±) polypeptide. ¬© 1986, Walter de Gruyter. All rights reserved.</t>
  </si>
  <si>
    <t>571-578</t>
  </si>
  <si>
    <t>60028717;60028717;60015815</t>
  </si>
  <si>
    <t>7402618696;57216047370;6603789154</t>
  </si>
  <si>
    <t>Steiner, R.;Scheer, H.;Angerhofer, A.</t>
  </si>
  <si>
    <t>Munich;Stuttgart</t>
  </si>
  <si>
    <t>Ludwig-Maximilians-Universit√§t M√ºnchen;Universit√§t Stuttgart</t>
  </si>
  <si>
    <t>60028717;60015815</t>
  </si>
  <si>
    <t>Steiner R.</t>
  </si>
  <si>
    <t>The Photosynthetic Apparatus of Ectothiorhodospira halochloris 2. Accessibility of the Membrane Polypeptides to Partial Proteolysis and Antenna Polypeptide Assignments to Specific Chromophores</t>
  </si>
  <si>
    <t>10.1515/znc-1986-5-614</t>
  </si>
  <si>
    <t>2-s2.0-84914616650</t>
  </si>
  <si>
    <t>['¬© 1986', 'thylakoid membranes', 'term irradiance', 'red ratios', 'red ratio', 'red ).', 'quality sources', 'quality regimes', 'ps ii', 'phytochrome photoequilibrium', 'pea thylakoids', 'pea plants', 'linear relationship', 'light regime', 'light quantity', 'light quality', 'increasing levels', 'hence modulations', 'four light', 'factor activities', 'different red', 'curvilinear response', 'crucial factor', 'core photosystem', 'chlorophyll b', 'chl b', 'atp synthetase', 'atp formed', 'antenna chlorophyll']</t>
  </si>
  <si>
    <t>(Pea thylakoid) | Irradiance adaptation | Light quality | Membrane composition | Photoregulation</t>
  </si>
  <si>
    <t>The effect of light quality and light quantity during growth on the composition and function of pea thylakoids was investigated. Pea plants were grown at seven irradiance levels in four light-quality regimes with different red to far-red ratios (control, far-red-enriched, far-red-deficient and red). Both the chlorophyll a chlorophyll b ( Chl a Chl b) ratios and the coupling-factor activities increased with increasing levels of irradiance in a curvilinear response in each light regime. This results in a linear relationship between Chl a Chl b ratios, and hence modulations of chlorophyll-proteins and coupling-factor activities in each case, regardless of the red/far-red ratio of the four light-quality sources. Under conditions of long-term irradiance in peas, the modulations of the amounts of core Photosystem II (PS II) complex, core Photosystem I complex, cytochrome b f complex and ATP synthetase on the one hand vs. the antenna chlorophyll a b-proteins of PS II and PS I on the other do not appear to be influenced by the phytochrome photoequilibrium. We suggest that the levels of NADPH and ATP formed during photosynthesis are the crucial factor in promoting gene expression and regulating the composition, structure and function of thylakoid membranes. ¬© 1986.</t>
  </si>
  <si>
    <t>57-63</t>
  </si>
  <si>
    <t>60023392;60023392</t>
  </si>
  <si>
    <t>16473058300;7406781037</t>
  </si>
  <si>
    <t>Leong, Ta Yan;Anderson, Jan M.</t>
  </si>
  <si>
    <t>CSIRO Plant Industry</t>
  </si>
  <si>
    <t>Leong T.</t>
  </si>
  <si>
    <t>Light-quality and irradiance adaptation of the composition and function of pea-thylakoid membranes</t>
  </si>
  <si>
    <t>10.1016/0005-2728(86)90008-3</t>
  </si>
  <si>
    <t>2-s2.0-0002712087</t>
  </si>
  <si>
    <t>['strobl model', 'poorly described', 'pigment molecules', 'photosynthetic unit', 'photosynthetic antenna', 'excitonic motion', 'energy transfer', 'dipole interaction', 'calculations suggest', 'analyzed using', '1976 ),', '1 psec']</t>
  </si>
  <si>
    <t>The effect of the interactions between pigment molecules on energy transfer in the photosynthetic antenna is poorly described when taking into account only the two lowest orders of the dipole-dipole interaction. The widely accepted conclusion (Kenkre &amp; Knox, 1976), that excitonic motion in the photosynthetic unit (PSU) resembles an incoherent random walk is based on this approximation and we question its correctness. The properties of the excitonic motion in the PSU are analyzed using the Haken-Strobl model. Our calculations suggest that the excitonic motion in the antenna is coherent for more than 1 psec. ¬© 1986 Academic Press Inc. (London) Ltd.</t>
  </si>
  <si>
    <t>411-418</t>
  </si>
  <si>
    <t>Journal of Theoretical Biology</t>
  </si>
  <si>
    <t>60027611;60016605</t>
  </si>
  <si>
    <t>56028324700;6603850320</t>
  </si>
  <si>
    <t>Nedbal, L.;Sz√∂cs, V.</t>
  </si>
  <si>
    <t>Czech Republic;Czech Republic</t>
  </si>
  <si>
    <t>Prague;Prague Praha</t>
  </si>
  <si>
    <t>Institute of Microbiology of the Academy of Sciences of the Czech Republic;Charles University</t>
  </si>
  <si>
    <t>Nedbal L.</t>
  </si>
  <si>
    <t>How long does excitonic motion in the photosynthetic unit remain coherent?</t>
  </si>
  <si>
    <t>S0022519386800352</t>
  </si>
  <si>
    <t>10.1016/S0022-5193(86)80035-2</t>
  </si>
  <si>
    <t>2-s2.0-58149367535</t>
  </si>
  <si>
    <t>weighted matrix_7:3</t>
  </si>
  <si>
    <t>weighted matrix_5:5</t>
  </si>
  <si>
    <t>weighted matrix_3:7</t>
  </si>
  <si>
    <t>if</t>
  </si>
  <si>
    <t>fund_sponsor</t>
  </si>
  <si>
    <t>fund_no</t>
  </si>
  <si>
    <t>fund_acr</t>
  </si>
  <si>
    <t>openaccess</t>
  </si>
  <si>
    <t>max-min</t>
  </si>
  <si>
    <t>citation_norm</t>
  </si>
  <si>
    <t>average_citation</t>
  </si>
  <si>
    <t>citedby_count</t>
  </si>
  <si>
    <t>Rake Keyword</t>
  </si>
  <si>
    <t>authkeywords</t>
  </si>
  <si>
    <t>description</t>
  </si>
  <si>
    <t>pageRange</t>
  </si>
  <si>
    <t>article_number</t>
  </si>
  <si>
    <t>issueIdentifier</t>
  </si>
  <si>
    <t>volume</t>
  </si>
  <si>
    <t>aggregationType</t>
  </si>
  <si>
    <t>eIssn</t>
  </si>
  <si>
    <t>source_id</t>
  </si>
  <si>
    <t>issn</t>
  </si>
  <si>
    <t>sjr_norm</t>
  </si>
  <si>
    <t>sjr</t>
  </si>
  <si>
    <t>publicationName</t>
  </si>
  <si>
    <t>coverDisplayDate</t>
  </si>
  <si>
    <t>Year Gap</t>
  </si>
  <si>
    <t>Year</t>
  </si>
  <si>
    <t>coverDate</t>
  </si>
  <si>
    <t>author_afids</t>
  </si>
  <si>
    <t>author_ids</t>
  </si>
  <si>
    <t>author_names</t>
  </si>
  <si>
    <t>author_count</t>
  </si>
  <si>
    <t>affiliation_country</t>
  </si>
  <si>
    <t>affiliation_city</t>
  </si>
  <si>
    <t>affilname</t>
  </si>
  <si>
    <t>afid</t>
  </si>
  <si>
    <t>creator</t>
  </si>
  <si>
    <t>subtypeDescription</t>
  </si>
  <si>
    <t>subtype</t>
  </si>
  <si>
    <t>title</t>
  </si>
  <si>
    <t>pubmed_id</t>
  </si>
  <si>
    <t>pii</t>
  </si>
  <si>
    <t>doi</t>
  </si>
  <si>
    <t>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</si>
</sst>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sz val="12"/>
      <color rgb="FFFF0000"/>
      <name val="Calibri"/>
      <family val="2"/>
      <scheme val="minor"/>
    </font>
    <font>
      <b/>
      <sz val="12"/>
      <color theme="1"/>
      <name val="Calibri"/>
      <family val="2"/>
      <scheme val="minor"/>
    </font>
    <font>
      <b/>
      <sz val="12"/>
      <color rgb="FF3F3F76"/>
      <name val="Calibri"/>
      <family val="2"/>
      <scheme val="minor"/>
    </font>
    <font>
      <b/>
      <sz val="11"/>
      <color theme="1"/>
      <name val="Calibri"/>
      <family val="2"/>
      <scheme val="minor"/>
    </font>
    <font>
      <b/>
      <sz val="12"/>
      <color rgb="FF006100"/>
      <name val="Calibri"/>
      <family val="2"/>
      <scheme val="minor"/>
    </font>
    <font>
      <b/>
      <sz val="12"/>
      <color rgb="FF9C000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1">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6" fontId="0" fillId="0" borderId="0" xfId="0" applyNumberFormat="1"/>
    <xf numFmtId="17" fontId="0" fillId="0" borderId="0" xfId="0" applyNumberFormat="1"/>
    <xf numFmtId="0" fontId="4" fillId="0" borderId="0" xfId="0" applyFont="1"/>
    <xf numFmtId="0" fontId="0" fillId="7" borderId="0" xfId="0" applyFill="1"/>
    <xf numFmtId="0" fontId="6" fillId="0" borderId="1" xfId="3" applyFont="1" applyFill="1"/>
    <xf numFmtId="0" fontId="7" fillId="0" borderId="2" xfId="0" applyFont="1" applyBorder="1" applyAlignment="1">
      <alignment horizontal="center" vertical="top"/>
    </xf>
    <xf numFmtId="0" fontId="5" fillId="0" borderId="0" xfId="0" applyFont="1"/>
    <xf numFmtId="2" fontId="8" fillId="0" borderId="0" xfId="1" applyNumberFormat="1" applyFont="1" applyFill="1"/>
    <xf numFmtId="2" fontId="5" fillId="0" borderId="0" xfId="0" applyNumberFormat="1" applyFont="1"/>
    <xf numFmtId="0" fontId="7" fillId="0" borderId="0" xfId="0" applyFont="1" applyAlignment="1">
      <alignment horizontal="center" vertical="top"/>
    </xf>
    <xf numFmtId="0" fontId="9" fillId="0" borderId="0" xfId="2" applyFont="1" applyFill="1" applyBorder="1" applyAlignment="1">
      <alignment horizontal="center" vertical="top"/>
    </xf>
    <xf numFmtId="164" fontId="5" fillId="0" borderId="0" xfId="0" applyNumberFormat="1" applyFont="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1987"/>
      <sheetName val="1989"/>
      <sheetName val="1988"/>
      <sheetName val="1990"/>
      <sheetName val="1991"/>
      <sheetName val="1992"/>
      <sheetName val="1993"/>
      <sheetName val="1994"/>
      <sheetName val="199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04B7F-F18F-CA46-B572-694E3E3E0848}">
  <dimension ref="A1:AW676"/>
  <sheetViews>
    <sheetView tabSelected="1" topLeftCell="AK1" workbookViewId="0">
      <selection activeCell="AP17" sqref="AP17"/>
    </sheetView>
  </sheetViews>
  <sheetFormatPr baseColWidth="10" defaultRowHeight="16" x14ac:dyDescent="0.2"/>
  <sheetData>
    <row r="1" spans="1:49" s="12" customFormat="1" x14ac:dyDescent="0.2">
      <c r="A1" s="15"/>
      <c r="B1" s="15" t="s">
        <v>7361</v>
      </c>
      <c r="C1" s="15" t="s">
        <v>7360</v>
      </c>
      <c r="D1" s="15" t="s">
        <v>7359</v>
      </c>
      <c r="E1" s="15" t="s">
        <v>7358</v>
      </c>
      <c r="F1" s="15" t="s">
        <v>7357</v>
      </c>
      <c r="G1" s="15" t="s">
        <v>7356</v>
      </c>
      <c r="H1" s="15" t="s">
        <v>7355</v>
      </c>
      <c r="I1" s="15" t="s">
        <v>7354</v>
      </c>
      <c r="J1" s="15" t="s">
        <v>7353</v>
      </c>
      <c r="K1" s="15" t="s">
        <v>7352</v>
      </c>
      <c r="L1" s="15" t="s">
        <v>7351</v>
      </c>
      <c r="M1" s="15" t="s">
        <v>7350</v>
      </c>
      <c r="N1" s="15" t="s">
        <v>7349</v>
      </c>
      <c r="O1" s="15" t="s">
        <v>7348</v>
      </c>
      <c r="P1" s="15" t="s">
        <v>7347</v>
      </c>
      <c r="Q1" s="15" t="s">
        <v>7346</v>
      </c>
      <c r="R1" s="20" t="s">
        <v>7345</v>
      </c>
      <c r="S1" s="15" t="s">
        <v>7344</v>
      </c>
      <c r="T1" s="15" t="s">
        <v>7344</v>
      </c>
      <c r="U1" s="15" t="s">
        <v>7343</v>
      </c>
      <c r="V1" s="20" t="s">
        <v>7342</v>
      </c>
      <c r="W1" s="15" t="s">
        <v>7341</v>
      </c>
      <c r="X1" s="14" t="s">
        <v>7340</v>
      </c>
      <c r="Y1" s="19" t="s">
        <v>7339</v>
      </c>
      <c r="Z1" s="18" t="s">
        <v>7324</v>
      </c>
      <c r="AA1" s="15" t="s">
        <v>7338</v>
      </c>
      <c r="AB1" s="15" t="s">
        <v>7337</v>
      </c>
      <c r="AC1" s="15" t="s">
        <v>7336</v>
      </c>
      <c r="AD1" s="15" t="s">
        <v>7335</v>
      </c>
      <c r="AE1" s="15" t="s">
        <v>7334</v>
      </c>
      <c r="AF1" s="15" t="s">
        <v>7333</v>
      </c>
      <c r="AG1" s="15" t="s">
        <v>7332</v>
      </c>
      <c r="AH1" s="15" t="s">
        <v>7331</v>
      </c>
      <c r="AI1" s="15" t="s">
        <v>7330</v>
      </c>
      <c r="AJ1" s="15" t="s">
        <v>7329</v>
      </c>
      <c r="AK1" s="14" t="s">
        <v>7328</v>
      </c>
      <c r="AL1" s="15" t="s">
        <v>7327</v>
      </c>
      <c r="AM1" s="17" t="s">
        <v>7326</v>
      </c>
      <c r="AN1" s="16" t="s">
        <v>7325</v>
      </c>
      <c r="AO1" s="16" t="s">
        <v>7324</v>
      </c>
      <c r="AP1" s="15" t="s">
        <v>7323</v>
      </c>
      <c r="AQ1" s="15" t="s">
        <v>7322</v>
      </c>
      <c r="AR1" s="15" t="s">
        <v>7321</v>
      </c>
      <c r="AS1" s="15" t="s">
        <v>7320</v>
      </c>
      <c r="AT1" s="14" t="s">
        <v>7319</v>
      </c>
      <c r="AU1" s="13" t="s">
        <v>7318</v>
      </c>
      <c r="AV1" s="13" t="s">
        <v>7317</v>
      </c>
      <c r="AW1" s="13" t="s">
        <v>7316</v>
      </c>
    </row>
    <row r="2" spans="1:49" x14ac:dyDescent="0.2">
      <c r="A2">
        <v>0</v>
      </c>
      <c r="B2" t="s">
        <v>7315</v>
      </c>
      <c r="C2" t="s">
        <v>7314</v>
      </c>
      <c r="D2" t="s">
        <v>7313</v>
      </c>
      <c r="F2" t="s">
        <v>7312</v>
      </c>
      <c r="G2" t="s">
        <v>16</v>
      </c>
      <c r="H2" t="s">
        <v>15</v>
      </c>
      <c r="I2" t="s">
        <v>7311</v>
      </c>
      <c r="J2" t="s">
        <v>7305</v>
      </c>
      <c r="K2" t="s">
        <v>7310</v>
      </c>
      <c r="L2" t="s">
        <v>7309</v>
      </c>
      <c r="M2" t="s">
        <v>7308</v>
      </c>
      <c r="N2">
        <v>2</v>
      </c>
      <c r="O2" t="s">
        <v>7307</v>
      </c>
      <c r="P2" t="s">
        <v>7306</v>
      </c>
      <c r="Q2" t="s">
        <v>7305</v>
      </c>
      <c r="R2" s="7">
        <v>31584</v>
      </c>
      <c r="S2" s="8">
        <f t="shared" ref="S2:S18" si="0">YEAR(R2)</f>
        <v>1986</v>
      </c>
      <c r="T2" s="8">
        <v>1986</v>
      </c>
      <c r="U2" s="8">
        <f t="shared" ref="U2:U18" si="1">2022-T2</f>
        <v>36</v>
      </c>
      <c r="V2" s="7">
        <v>31584</v>
      </c>
      <c r="W2" t="s">
        <v>7304</v>
      </c>
      <c r="X2" s="2">
        <v>0.65700000000000003</v>
      </c>
      <c r="Y2" s="6">
        <f t="shared" ref="Y2:Y65" si="2">(X2-$Z$4)/($Z$3-$Z$4)</f>
        <v>1.7538239769360135E-2</v>
      </c>
      <c r="AA2">
        <v>225193</v>
      </c>
      <c r="AB2">
        <v>29663</v>
      </c>
      <c r="AC2">
        <v>10958541</v>
      </c>
      <c r="AD2" t="s">
        <v>5</v>
      </c>
      <c r="AE2">
        <v>120</v>
      </c>
      <c r="AF2">
        <v>4</v>
      </c>
      <c r="AH2" t="s">
        <v>7303</v>
      </c>
      <c r="AI2" t="s">
        <v>7302</v>
      </c>
      <c r="AK2" t="s">
        <v>7301</v>
      </c>
      <c r="AL2">
        <v>12</v>
      </c>
      <c r="AM2" s="5">
        <f t="shared" ref="AM2:AM18" si="3">AL2/U2</f>
        <v>0.33333333333333331</v>
      </c>
      <c r="AN2" s="4">
        <f t="shared" ref="AN2:AN65" si="4">(AM2-$AO$4)/($AO$3-$AO$4)</f>
        <v>5.048592704783541E-4</v>
      </c>
      <c r="AO2" s="3"/>
      <c r="AP2">
        <v>0</v>
      </c>
      <c r="AR2" t="s">
        <v>1</v>
      </c>
      <c r="AT2" s="2">
        <v>2.6909999999999998</v>
      </c>
      <c r="AU2" s="1">
        <f t="shared" ref="AU2:AU18" si="5">(Y2*0.7+AN2*0.3)*100</f>
        <v>1.2428225619695599</v>
      </c>
      <c r="AV2" s="1">
        <f t="shared" ref="AV2:AV18" si="6">(Y2*0.5+AN2*0.5)*100</f>
        <v>0.90215495199192453</v>
      </c>
      <c r="AW2" s="1">
        <f t="shared" ref="AW2:AW18" si="7">(Y2*0.3+AN2*0.7)*100</f>
        <v>0.56148734201428874</v>
      </c>
    </row>
    <row r="3" spans="1:49" x14ac:dyDescent="0.2">
      <c r="A3">
        <v>1</v>
      </c>
      <c r="B3" t="s">
        <v>7300</v>
      </c>
      <c r="C3" t="s">
        <v>7299</v>
      </c>
      <c r="D3">
        <v>5272886900083</v>
      </c>
      <c r="F3" t="s">
        <v>7298</v>
      </c>
      <c r="G3" t="s">
        <v>16</v>
      </c>
      <c r="H3" t="s">
        <v>15</v>
      </c>
      <c r="I3" t="s">
        <v>7297</v>
      </c>
      <c r="J3">
        <v>60023392</v>
      </c>
      <c r="K3" t="s">
        <v>7296</v>
      </c>
      <c r="L3" t="s">
        <v>3062</v>
      </c>
      <c r="M3" t="s">
        <v>1409</v>
      </c>
      <c r="N3">
        <v>2</v>
      </c>
      <c r="O3" t="s">
        <v>7295</v>
      </c>
      <c r="P3" t="s">
        <v>7294</v>
      </c>
      <c r="Q3" t="s">
        <v>7293</v>
      </c>
      <c r="R3" s="7">
        <v>31573</v>
      </c>
      <c r="S3" s="8">
        <f t="shared" si="0"/>
        <v>1986</v>
      </c>
      <c r="T3" s="8">
        <v>1986</v>
      </c>
      <c r="U3" s="8">
        <f t="shared" si="1"/>
        <v>36</v>
      </c>
      <c r="V3" s="7">
        <v>31573</v>
      </c>
      <c r="W3" t="s">
        <v>6324</v>
      </c>
      <c r="X3" s="2">
        <v>1.59</v>
      </c>
      <c r="Y3" s="6">
        <f t="shared" si="2"/>
        <v>4.2444141907583888E-2</v>
      </c>
      <c r="Z3">
        <v>37.460999999999999</v>
      </c>
      <c r="AA3">
        <v>52728</v>
      </c>
      <c r="AB3">
        <v>16791</v>
      </c>
      <c r="AD3" t="s">
        <v>5</v>
      </c>
      <c r="AE3">
        <v>850</v>
      </c>
      <c r="AF3">
        <v>1</v>
      </c>
      <c r="AH3" t="s">
        <v>7292</v>
      </c>
      <c r="AI3" t="s">
        <v>7291</v>
      </c>
      <c r="AJ3" t="s">
        <v>7290</v>
      </c>
      <c r="AK3" t="s">
        <v>7289</v>
      </c>
      <c r="AL3">
        <v>36</v>
      </c>
      <c r="AM3" s="5">
        <f t="shared" si="3"/>
        <v>1</v>
      </c>
      <c r="AN3" s="4">
        <f t="shared" si="4"/>
        <v>1.5145778114350624E-3</v>
      </c>
      <c r="AO3" s="3">
        <v>660.25</v>
      </c>
      <c r="AP3">
        <v>0</v>
      </c>
      <c r="AR3" t="s">
        <v>1</v>
      </c>
      <c r="AT3" s="2" t="s">
        <v>0</v>
      </c>
      <c r="AU3" s="1">
        <f t="shared" si="5"/>
        <v>3.0165272678739239</v>
      </c>
      <c r="AV3" s="1">
        <f t="shared" si="6"/>
        <v>2.1979359859509473</v>
      </c>
      <c r="AW3" s="1">
        <f t="shared" si="7"/>
        <v>1.3793447040279709</v>
      </c>
    </row>
    <row r="4" spans="1:49" x14ac:dyDescent="0.2">
      <c r="A4">
        <v>2</v>
      </c>
      <c r="B4" t="s">
        <v>7288</v>
      </c>
      <c r="C4" t="s">
        <v>7287</v>
      </c>
      <c r="F4" t="s">
        <v>7286</v>
      </c>
      <c r="G4" t="s">
        <v>16</v>
      </c>
      <c r="H4" t="s">
        <v>15</v>
      </c>
      <c r="I4" t="s">
        <v>7285</v>
      </c>
      <c r="J4" t="s">
        <v>7284</v>
      </c>
      <c r="K4" t="s">
        <v>7283</v>
      </c>
      <c r="L4" t="s">
        <v>7282</v>
      </c>
      <c r="M4" t="s">
        <v>10</v>
      </c>
      <c r="N4">
        <v>3</v>
      </c>
      <c r="O4" t="s">
        <v>7281</v>
      </c>
      <c r="P4" t="s">
        <v>7280</v>
      </c>
      <c r="Q4" t="s">
        <v>7279</v>
      </c>
      <c r="R4" s="7">
        <v>31564</v>
      </c>
      <c r="S4" s="8">
        <f t="shared" si="0"/>
        <v>1986</v>
      </c>
      <c r="T4" s="8">
        <v>1986</v>
      </c>
      <c r="U4" s="8">
        <f t="shared" si="1"/>
        <v>36</v>
      </c>
      <c r="V4" s="7">
        <v>31564</v>
      </c>
      <c r="W4" t="s">
        <v>5869</v>
      </c>
      <c r="X4" s="2">
        <v>0.30099999999999999</v>
      </c>
      <c r="Y4" s="6">
        <f t="shared" si="2"/>
        <v>8.0350230906809754E-3</v>
      </c>
      <c r="Z4">
        <v>0</v>
      </c>
      <c r="AA4">
        <v>9395075</v>
      </c>
      <c r="AB4">
        <v>14954</v>
      </c>
      <c r="AC4">
        <v>18657125</v>
      </c>
      <c r="AD4" t="s">
        <v>5</v>
      </c>
      <c r="AE4">
        <v>41</v>
      </c>
      <c r="AF4" s="9">
        <v>44352</v>
      </c>
      <c r="AH4" t="s">
        <v>7278</v>
      </c>
      <c r="AI4" t="s">
        <v>7277</v>
      </c>
      <c r="AJ4" t="s">
        <v>7276</v>
      </c>
      <c r="AK4" t="s">
        <v>7275</v>
      </c>
      <c r="AL4">
        <v>3</v>
      </c>
      <c r="AM4" s="5">
        <f t="shared" si="3"/>
        <v>8.3333333333333329E-2</v>
      </c>
      <c r="AN4" s="4">
        <f t="shared" si="4"/>
        <v>1.2621481761958852E-4</v>
      </c>
      <c r="AO4" s="3">
        <v>0</v>
      </c>
      <c r="AP4">
        <v>1</v>
      </c>
      <c r="AQ4" t="s">
        <v>5864</v>
      </c>
      <c r="AR4" t="s">
        <v>7274</v>
      </c>
      <c r="AS4" t="s">
        <v>5692</v>
      </c>
      <c r="AT4" s="2" t="s">
        <v>0</v>
      </c>
      <c r="AU4" s="1">
        <f t="shared" si="5"/>
        <v>0.56623806087625583</v>
      </c>
      <c r="AV4" s="1">
        <f t="shared" si="6"/>
        <v>0.40806189541502819</v>
      </c>
      <c r="AW4" s="1">
        <f t="shared" si="7"/>
        <v>0.24988572995380048</v>
      </c>
    </row>
    <row r="5" spans="1:49" x14ac:dyDescent="0.2">
      <c r="A5">
        <v>3</v>
      </c>
      <c r="B5" t="s">
        <v>7273</v>
      </c>
      <c r="C5" t="s">
        <v>7272</v>
      </c>
      <c r="F5" t="s">
        <v>7271</v>
      </c>
      <c r="G5" t="s">
        <v>16</v>
      </c>
      <c r="H5" t="s">
        <v>15</v>
      </c>
      <c r="I5" t="s">
        <v>7270</v>
      </c>
      <c r="J5" t="s">
        <v>7269</v>
      </c>
      <c r="K5" t="s">
        <v>7268</v>
      </c>
      <c r="L5" t="s">
        <v>7267</v>
      </c>
      <c r="M5" t="s">
        <v>783</v>
      </c>
      <c r="N5">
        <v>3</v>
      </c>
      <c r="O5" t="s">
        <v>7266</v>
      </c>
      <c r="P5" t="s">
        <v>7265</v>
      </c>
      <c r="Q5" t="s">
        <v>7264</v>
      </c>
      <c r="R5" s="7">
        <v>31564</v>
      </c>
      <c r="S5" s="8">
        <f t="shared" si="0"/>
        <v>1986</v>
      </c>
      <c r="T5" s="8">
        <v>1986</v>
      </c>
      <c r="U5" s="8">
        <f t="shared" si="1"/>
        <v>36</v>
      </c>
      <c r="V5" s="7">
        <v>31564</v>
      </c>
      <c r="W5" t="s">
        <v>4033</v>
      </c>
      <c r="X5" s="2">
        <v>1.6379999999999999</v>
      </c>
      <c r="Y5" s="6">
        <f t="shared" si="2"/>
        <v>4.3725474493473214E-2</v>
      </c>
      <c r="AA5">
        <v>963518</v>
      </c>
      <c r="AB5">
        <v>31560</v>
      </c>
      <c r="AD5" t="s">
        <v>5</v>
      </c>
      <c r="AE5">
        <v>34</v>
      </c>
      <c r="AF5">
        <v>3</v>
      </c>
      <c r="AH5" t="s">
        <v>7263</v>
      </c>
      <c r="AI5" t="s">
        <v>7262</v>
      </c>
      <c r="AK5" t="s">
        <v>7261</v>
      </c>
      <c r="AL5">
        <v>230</v>
      </c>
      <c r="AM5" s="5">
        <f t="shared" si="3"/>
        <v>6.3888888888888893</v>
      </c>
      <c r="AN5" s="4">
        <f t="shared" si="4"/>
        <v>9.6764693508351214E-3</v>
      </c>
      <c r="AO5" s="3"/>
      <c r="AP5">
        <v>0</v>
      </c>
      <c r="AR5" t="s">
        <v>1</v>
      </c>
      <c r="AT5" s="2" t="s">
        <v>0</v>
      </c>
      <c r="AU5" s="1">
        <f t="shared" si="5"/>
        <v>3.3510772950681784</v>
      </c>
      <c r="AV5" s="1">
        <f t="shared" si="6"/>
        <v>2.6700971922154171</v>
      </c>
      <c r="AW5" s="1">
        <f t="shared" si="7"/>
        <v>1.9891170893626549</v>
      </c>
    </row>
    <row r="6" spans="1:49" x14ac:dyDescent="0.2">
      <c r="A6">
        <v>4</v>
      </c>
      <c r="B6" t="s">
        <v>7260</v>
      </c>
      <c r="F6" t="s">
        <v>7259</v>
      </c>
      <c r="G6" t="s">
        <v>16</v>
      </c>
      <c r="H6" t="s">
        <v>15</v>
      </c>
      <c r="I6" t="s">
        <v>7258</v>
      </c>
      <c r="J6">
        <v>100348081</v>
      </c>
      <c r="K6" t="s">
        <v>7257</v>
      </c>
      <c r="L6" t="s">
        <v>7256</v>
      </c>
      <c r="M6" t="s">
        <v>114</v>
      </c>
      <c r="N6">
        <v>1</v>
      </c>
      <c r="O6" t="s">
        <v>7255</v>
      </c>
      <c r="P6">
        <v>6602266295</v>
      </c>
      <c r="Q6">
        <v>100348081</v>
      </c>
      <c r="R6" s="7">
        <v>31564</v>
      </c>
      <c r="S6" s="8">
        <f t="shared" si="0"/>
        <v>1986</v>
      </c>
      <c r="T6" s="8">
        <v>1986</v>
      </c>
      <c r="U6" s="8">
        <f t="shared" si="1"/>
        <v>36</v>
      </c>
      <c r="V6" s="7">
        <v>31564</v>
      </c>
      <c r="W6" t="s">
        <v>7254</v>
      </c>
      <c r="X6" s="2">
        <v>0.11600000000000001</v>
      </c>
      <c r="Y6" s="6">
        <f t="shared" si="2"/>
        <v>3.0965537492325355E-3</v>
      </c>
      <c r="AA6">
        <v>7311230</v>
      </c>
      <c r="AB6">
        <v>12865</v>
      </c>
      <c r="AD6" t="s">
        <v>5</v>
      </c>
      <c r="AE6">
        <v>20</v>
      </c>
      <c r="AF6">
        <v>6</v>
      </c>
      <c r="AH6" t="s">
        <v>7253</v>
      </c>
      <c r="AI6" t="s">
        <v>7252</v>
      </c>
      <c r="AK6" t="s">
        <v>7251</v>
      </c>
      <c r="AL6">
        <v>0</v>
      </c>
      <c r="AM6" s="5">
        <f t="shared" si="3"/>
        <v>0</v>
      </c>
      <c r="AN6" s="4">
        <f t="shared" si="4"/>
        <v>0</v>
      </c>
      <c r="AO6" s="3"/>
      <c r="AP6">
        <v>0</v>
      </c>
      <c r="AR6" t="s">
        <v>1</v>
      </c>
      <c r="AT6" s="2" t="s">
        <v>0</v>
      </c>
      <c r="AU6" s="1">
        <f t="shared" si="5"/>
        <v>0.21675876244627748</v>
      </c>
      <c r="AV6" s="1">
        <f t="shared" si="6"/>
        <v>0.15482768746162678</v>
      </c>
      <c r="AW6" s="1">
        <f t="shared" si="7"/>
        <v>9.2896612476976059E-2</v>
      </c>
    </row>
    <row r="7" spans="1:49" x14ac:dyDescent="0.2">
      <c r="A7">
        <v>5</v>
      </c>
      <c r="B7" t="s">
        <v>7250</v>
      </c>
      <c r="F7" t="s">
        <v>7249</v>
      </c>
      <c r="G7" t="s">
        <v>16</v>
      </c>
      <c r="H7" t="s">
        <v>15</v>
      </c>
      <c r="I7" t="s">
        <v>7248</v>
      </c>
      <c r="J7">
        <v>100381148</v>
      </c>
      <c r="K7" t="s">
        <v>7247</v>
      </c>
      <c r="L7" t="s">
        <v>7246</v>
      </c>
      <c r="M7" t="s">
        <v>460</v>
      </c>
      <c r="N7">
        <v>3</v>
      </c>
      <c r="O7" t="s">
        <v>7245</v>
      </c>
      <c r="P7" t="s">
        <v>7244</v>
      </c>
      <c r="Q7" t="s">
        <v>7243</v>
      </c>
      <c r="R7" s="7">
        <v>31564</v>
      </c>
      <c r="S7" s="8">
        <f t="shared" si="0"/>
        <v>1986</v>
      </c>
      <c r="T7" s="8">
        <v>1986</v>
      </c>
      <c r="U7" s="8">
        <f t="shared" si="1"/>
        <v>36</v>
      </c>
      <c r="V7" s="7">
        <v>31564</v>
      </c>
      <c r="W7" t="s">
        <v>7242</v>
      </c>
      <c r="X7" s="2" t="s">
        <v>0</v>
      </c>
      <c r="Y7" s="6" t="e">
        <f t="shared" si="2"/>
        <v>#VALUE!</v>
      </c>
      <c r="AA7">
        <v>2535831</v>
      </c>
      <c r="AB7">
        <v>33812</v>
      </c>
      <c r="AD7" t="s">
        <v>5</v>
      </c>
      <c r="AE7">
        <v>29</v>
      </c>
      <c r="AF7">
        <v>6</v>
      </c>
      <c r="AH7" t="s">
        <v>7241</v>
      </c>
      <c r="AI7" t="s">
        <v>7240</v>
      </c>
      <c r="AK7" t="s">
        <v>7239</v>
      </c>
      <c r="AL7">
        <v>0</v>
      </c>
      <c r="AM7" s="5">
        <f t="shared" si="3"/>
        <v>0</v>
      </c>
      <c r="AN7" s="4">
        <f t="shared" si="4"/>
        <v>0</v>
      </c>
      <c r="AO7" s="3"/>
      <c r="AP7">
        <v>0</v>
      </c>
      <c r="AR7" t="s">
        <v>1</v>
      </c>
      <c r="AT7" s="2" t="s">
        <v>0</v>
      </c>
      <c r="AU7" s="1" t="e">
        <f t="shared" si="5"/>
        <v>#VALUE!</v>
      </c>
      <c r="AV7" s="1" t="e">
        <f t="shared" si="6"/>
        <v>#VALUE!</v>
      </c>
      <c r="AW7" s="1" t="e">
        <f t="shared" si="7"/>
        <v>#VALUE!</v>
      </c>
    </row>
    <row r="8" spans="1:49" x14ac:dyDescent="0.2">
      <c r="A8">
        <v>6</v>
      </c>
      <c r="B8" t="s">
        <v>7238</v>
      </c>
      <c r="C8" t="s">
        <v>7237</v>
      </c>
      <c r="F8" t="s">
        <v>7236</v>
      </c>
      <c r="G8" t="s">
        <v>16</v>
      </c>
      <c r="H8" t="s">
        <v>15</v>
      </c>
      <c r="I8" t="s">
        <v>7235</v>
      </c>
      <c r="J8">
        <v>60105589</v>
      </c>
      <c r="K8" t="s">
        <v>7234</v>
      </c>
      <c r="L8" t="s">
        <v>1590</v>
      </c>
      <c r="M8" t="s">
        <v>59</v>
      </c>
      <c r="N8">
        <v>1</v>
      </c>
      <c r="O8" t="s">
        <v>7233</v>
      </c>
      <c r="P8">
        <v>6603813956</v>
      </c>
      <c r="Q8">
        <v>60105589</v>
      </c>
      <c r="R8" s="7">
        <v>31564</v>
      </c>
      <c r="S8" s="8">
        <f t="shared" si="0"/>
        <v>1986</v>
      </c>
      <c r="T8" s="8">
        <v>1986</v>
      </c>
      <c r="U8" s="8">
        <f t="shared" si="1"/>
        <v>36</v>
      </c>
      <c r="V8" s="7">
        <v>31564</v>
      </c>
      <c r="W8" t="s">
        <v>4033</v>
      </c>
      <c r="X8" s="2">
        <v>1.6379999999999999</v>
      </c>
      <c r="Y8" s="6">
        <f t="shared" si="2"/>
        <v>4.3725474493473214E-2</v>
      </c>
      <c r="AA8">
        <v>963518</v>
      </c>
      <c r="AB8">
        <v>31560</v>
      </c>
      <c r="AD8" t="s">
        <v>5</v>
      </c>
      <c r="AE8">
        <v>34</v>
      </c>
      <c r="AF8">
        <v>3</v>
      </c>
      <c r="AH8" t="s">
        <v>7232</v>
      </c>
      <c r="AI8" t="s">
        <v>7231</v>
      </c>
      <c r="AK8" t="s">
        <v>7230</v>
      </c>
      <c r="AL8">
        <v>17</v>
      </c>
      <c r="AM8" s="5">
        <f t="shared" si="3"/>
        <v>0.47222222222222221</v>
      </c>
      <c r="AN8" s="4">
        <f t="shared" si="4"/>
        <v>7.15217299844335E-4</v>
      </c>
      <c r="AO8" s="3"/>
      <c r="AP8">
        <v>0</v>
      </c>
      <c r="AR8" t="s">
        <v>1</v>
      </c>
      <c r="AT8" s="2" t="s">
        <v>0</v>
      </c>
      <c r="AU8" s="1">
        <f t="shared" si="5"/>
        <v>3.0822397335384548</v>
      </c>
      <c r="AV8" s="1">
        <f t="shared" si="6"/>
        <v>2.2220345896658773</v>
      </c>
      <c r="AW8" s="1">
        <f t="shared" si="7"/>
        <v>1.3618294457932998</v>
      </c>
    </row>
    <row r="9" spans="1:49" x14ac:dyDescent="0.2">
      <c r="A9">
        <v>7</v>
      </c>
      <c r="B9" t="s">
        <v>7229</v>
      </c>
      <c r="F9" t="s">
        <v>7228</v>
      </c>
      <c r="G9" t="s">
        <v>16</v>
      </c>
      <c r="H9" t="s">
        <v>15</v>
      </c>
      <c r="I9" t="s">
        <v>7227</v>
      </c>
      <c r="N9">
        <v>3</v>
      </c>
      <c r="O9" t="s">
        <v>7226</v>
      </c>
      <c r="P9" t="s">
        <v>7225</v>
      </c>
      <c r="Q9" t="s">
        <v>295</v>
      </c>
      <c r="R9" s="7">
        <v>31564</v>
      </c>
      <c r="S9" s="8">
        <f t="shared" si="0"/>
        <v>1986</v>
      </c>
      <c r="T9" s="8">
        <v>1986</v>
      </c>
      <c r="U9" s="8">
        <f t="shared" si="1"/>
        <v>36</v>
      </c>
      <c r="V9" s="7">
        <v>31564</v>
      </c>
      <c r="W9" t="s">
        <v>857</v>
      </c>
      <c r="X9" s="2" t="s">
        <v>0</v>
      </c>
      <c r="Y9" s="6" t="e">
        <f t="shared" si="2"/>
        <v>#VALUE!</v>
      </c>
      <c r="AA9">
        <v>87566648</v>
      </c>
      <c r="AB9">
        <v>74127</v>
      </c>
      <c r="AD9" t="s">
        <v>5</v>
      </c>
      <c r="AE9">
        <v>31</v>
      </c>
      <c r="AF9">
        <v>6</v>
      </c>
      <c r="AH9" t="s">
        <v>7224</v>
      </c>
      <c r="AI9" t="s">
        <v>7223</v>
      </c>
      <c r="AK9" t="s">
        <v>7222</v>
      </c>
      <c r="AL9">
        <v>0</v>
      </c>
      <c r="AM9" s="5">
        <f t="shared" si="3"/>
        <v>0</v>
      </c>
      <c r="AN9" s="4">
        <f t="shared" si="4"/>
        <v>0</v>
      </c>
      <c r="AO9" s="3"/>
      <c r="AP9">
        <v>0</v>
      </c>
      <c r="AR9" t="s">
        <v>1</v>
      </c>
      <c r="AT9" s="2" t="s">
        <v>0</v>
      </c>
      <c r="AU9" s="1" t="e">
        <f t="shared" si="5"/>
        <v>#VALUE!</v>
      </c>
      <c r="AV9" s="1" t="e">
        <f t="shared" si="6"/>
        <v>#VALUE!</v>
      </c>
      <c r="AW9" s="1" t="e">
        <f t="shared" si="7"/>
        <v>#VALUE!</v>
      </c>
    </row>
    <row r="10" spans="1:49" x14ac:dyDescent="0.2">
      <c r="A10">
        <v>8</v>
      </c>
      <c r="B10" t="s">
        <v>7221</v>
      </c>
      <c r="F10" t="s">
        <v>7220</v>
      </c>
      <c r="G10" t="s">
        <v>16</v>
      </c>
      <c r="H10" t="s">
        <v>15</v>
      </c>
      <c r="I10" t="s">
        <v>7219</v>
      </c>
      <c r="J10">
        <v>60189558</v>
      </c>
      <c r="K10" t="s">
        <v>7218</v>
      </c>
      <c r="L10" t="s">
        <v>7217</v>
      </c>
      <c r="M10" t="s">
        <v>665</v>
      </c>
      <c r="N10">
        <v>1</v>
      </c>
      <c r="O10" t="s">
        <v>7216</v>
      </c>
      <c r="P10">
        <v>6505921819</v>
      </c>
      <c r="Q10">
        <v>60189558</v>
      </c>
      <c r="R10" s="7">
        <v>31564</v>
      </c>
      <c r="S10" s="8">
        <f t="shared" si="0"/>
        <v>1986</v>
      </c>
      <c r="T10" s="8">
        <v>1986</v>
      </c>
      <c r="U10" s="8">
        <f t="shared" si="1"/>
        <v>36</v>
      </c>
      <c r="V10" s="7">
        <v>31564</v>
      </c>
      <c r="W10" t="s">
        <v>6566</v>
      </c>
      <c r="X10" s="2" t="s">
        <v>0</v>
      </c>
      <c r="Y10" s="6" t="e">
        <f t="shared" si="2"/>
        <v>#VALUE!</v>
      </c>
      <c r="AA10">
        <v>3084213</v>
      </c>
      <c r="AB10">
        <v>39048</v>
      </c>
      <c r="AD10" t="s">
        <v>5</v>
      </c>
      <c r="AE10">
        <v>13</v>
      </c>
      <c r="AF10">
        <v>5</v>
      </c>
      <c r="AH10" t="s">
        <v>7215</v>
      </c>
      <c r="AI10" t="s">
        <v>7214</v>
      </c>
      <c r="AK10" t="s">
        <v>7213</v>
      </c>
      <c r="AL10">
        <v>0</v>
      </c>
      <c r="AM10" s="5">
        <f t="shared" si="3"/>
        <v>0</v>
      </c>
      <c r="AN10" s="4">
        <f t="shared" si="4"/>
        <v>0</v>
      </c>
      <c r="AO10" s="3"/>
      <c r="AP10">
        <v>0</v>
      </c>
      <c r="AR10" t="s">
        <v>1</v>
      </c>
      <c r="AT10" s="2" t="s">
        <v>0</v>
      </c>
      <c r="AU10" s="1" t="e">
        <f t="shared" si="5"/>
        <v>#VALUE!</v>
      </c>
      <c r="AV10" s="1" t="e">
        <f t="shared" si="6"/>
        <v>#VALUE!</v>
      </c>
      <c r="AW10" s="1" t="e">
        <f t="shared" si="7"/>
        <v>#VALUE!</v>
      </c>
    </row>
    <row r="11" spans="1:49" x14ac:dyDescent="0.2">
      <c r="A11">
        <v>9</v>
      </c>
      <c r="B11" t="s">
        <v>7212</v>
      </c>
      <c r="F11" t="s">
        <v>7211</v>
      </c>
      <c r="G11" t="s">
        <v>16</v>
      </c>
      <c r="H11" t="s">
        <v>15</v>
      </c>
      <c r="I11" t="s">
        <v>7024</v>
      </c>
      <c r="N11">
        <v>1</v>
      </c>
      <c r="O11" t="s">
        <v>7023</v>
      </c>
      <c r="P11">
        <v>7006461984</v>
      </c>
      <c r="R11" s="7">
        <v>31564</v>
      </c>
      <c r="S11" s="8">
        <f t="shared" si="0"/>
        <v>1986</v>
      </c>
      <c r="T11" s="8">
        <v>1986</v>
      </c>
      <c r="U11" s="8">
        <f t="shared" si="1"/>
        <v>36</v>
      </c>
      <c r="V11" s="7">
        <v>31564</v>
      </c>
      <c r="W11" t="s">
        <v>857</v>
      </c>
      <c r="X11" s="2" t="s">
        <v>0</v>
      </c>
      <c r="Y11" s="6" t="e">
        <f t="shared" si="2"/>
        <v>#VALUE!</v>
      </c>
      <c r="AA11">
        <v>87566648</v>
      </c>
      <c r="AB11">
        <v>74127</v>
      </c>
      <c r="AD11" t="s">
        <v>5</v>
      </c>
      <c r="AE11">
        <v>31</v>
      </c>
      <c r="AF11">
        <v>6</v>
      </c>
      <c r="AH11" t="s">
        <v>7210</v>
      </c>
      <c r="AI11" t="s">
        <v>7209</v>
      </c>
      <c r="AK11" t="s">
        <v>7208</v>
      </c>
      <c r="AL11">
        <v>0</v>
      </c>
      <c r="AM11" s="5">
        <f t="shared" si="3"/>
        <v>0</v>
      </c>
      <c r="AN11" s="4">
        <f t="shared" si="4"/>
        <v>0</v>
      </c>
      <c r="AO11" s="3"/>
      <c r="AP11">
        <v>0</v>
      </c>
      <c r="AR11" t="s">
        <v>1</v>
      </c>
      <c r="AT11" s="2" t="s">
        <v>0</v>
      </c>
      <c r="AU11" s="1" t="e">
        <f t="shared" si="5"/>
        <v>#VALUE!</v>
      </c>
      <c r="AV11" s="1" t="e">
        <f t="shared" si="6"/>
        <v>#VALUE!</v>
      </c>
      <c r="AW11" s="1" t="e">
        <f t="shared" si="7"/>
        <v>#VALUE!</v>
      </c>
    </row>
    <row r="12" spans="1:49" x14ac:dyDescent="0.2">
      <c r="A12">
        <v>10</v>
      </c>
      <c r="B12" t="s">
        <v>7207</v>
      </c>
      <c r="F12" t="s">
        <v>7206</v>
      </c>
      <c r="G12" t="s">
        <v>16</v>
      </c>
      <c r="H12" t="s">
        <v>15</v>
      </c>
      <c r="I12" t="s">
        <v>7205</v>
      </c>
      <c r="N12">
        <v>4</v>
      </c>
      <c r="O12" t="s">
        <v>7204</v>
      </c>
      <c r="P12" t="s">
        <v>7203</v>
      </c>
      <c r="Q12" t="s">
        <v>1031</v>
      </c>
      <c r="R12" s="7">
        <v>31564</v>
      </c>
      <c r="S12" s="8">
        <f t="shared" si="0"/>
        <v>1986</v>
      </c>
      <c r="T12" s="8">
        <v>1986</v>
      </c>
      <c r="U12" s="8">
        <f t="shared" si="1"/>
        <v>36</v>
      </c>
      <c r="V12" s="7">
        <v>31564</v>
      </c>
      <c r="W12" t="s">
        <v>857</v>
      </c>
      <c r="X12" s="2" t="s">
        <v>0</v>
      </c>
      <c r="Y12" s="6" t="e">
        <f t="shared" si="2"/>
        <v>#VALUE!</v>
      </c>
      <c r="AA12">
        <v>87566648</v>
      </c>
      <c r="AB12">
        <v>74127</v>
      </c>
      <c r="AD12" t="s">
        <v>5</v>
      </c>
      <c r="AE12">
        <v>31</v>
      </c>
      <c r="AF12">
        <v>6</v>
      </c>
      <c r="AH12" t="s">
        <v>7202</v>
      </c>
      <c r="AI12" t="s">
        <v>7201</v>
      </c>
      <c r="AK12" t="s">
        <v>7200</v>
      </c>
      <c r="AL12">
        <v>0</v>
      </c>
      <c r="AM12" s="5">
        <f t="shared" si="3"/>
        <v>0</v>
      </c>
      <c r="AN12" s="4">
        <f t="shared" si="4"/>
        <v>0</v>
      </c>
      <c r="AO12" s="3"/>
      <c r="AP12">
        <v>0</v>
      </c>
      <c r="AR12" t="s">
        <v>1</v>
      </c>
      <c r="AT12" s="2" t="s">
        <v>0</v>
      </c>
      <c r="AU12" s="1" t="e">
        <f t="shared" si="5"/>
        <v>#VALUE!</v>
      </c>
      <c r="AV12" s="1" t="e">
        <f t="shared" si="6"/>
        <v>#VALUE!</v>
      </c>
      <c r="AW12" s="1" t="e">
        <f t="shared" si="7"/>
        <v>#VALUE!</v>
      </c>
    </row>
    <row r="13" spans="1:49" x14ac:dyDescent="0.2">
      <c r="A13">
        <v>11</v>
      </c>
      <c r="B13" t="s">
        <v>7199</v>
      </c>
      <c r="F13" t="s">
        <v>7198</v>
      </c>
      <c r="G13" t="s">
        <v>16</v>
      </c>
      <c r="H13" t="s">
        <v>15</v>
      </c>
      <c r="I13" t="s">
        <v>7197</v>
      </c>
      <c r="J13">
        <v>60025522</v>
      </c>
      <c r="K13" t="s">
        <v>7196</v>
      </c>
      <c r="L13" t="s">
        <v>3062</v>
      </c>
      <c r="M13" t="s">
        <v>114</v>
      </c>
      <c r="N13">
        <v>1</v>
      </c>
      <c r="O13" t="s">
        <v>7195</v>
      </c>
      <c r="P13">
        <v>37020782800</v>
      </c>
      <c r="Q13">
        <v>60025522</v>
      </c>
      <c r="R13" s="7">
        <v>31564</v>
      </c>
      <c r="S13" s="8">
        <f t="shared" si="0"/>
        <v>1986</v>
      </c>
      <c r="T13" s="8">
        <v>1986</v>
      </c>
      <c r="U13" s="8">
        <f t="shared" si="1"/>
        <v>36</v>
      </c>
      <c r="V13" s="7">
        <v>31564</v>
      </c>
      <c r="W13" t="s">
        <v>7194</v>
      </c>
      <c r="X13" s="2" t="s">
        <v>0</v>
      </c>
      <c r="Y13" s="6" t="e">
        <f t="shared" si="2"/>
        <v>#VALUE!</v>
      </c>
      <c r="AA13">
        <v>262897</v>
      </c>
      <c r="AB13">
        <v>18580</v>
      </c>
      <c r="AD13" t="s">
        <v>5</v>
      </c>
      <c r="AE13">
        <v>29</v>
      </c>
      <c r="AF13">
        <v>6</v>
      </c>
      <c r="AH13" t="s">
        <v>7193</v>
      </c>
      <c r="AI13" t="s">
        <v>7192</v>
      </c>
      <c r="AK13" t="s">
        <v>7191</v>
      </c>
      <c r="AL13">
        <v>3</v>
      </c>
      <c r="AM13" s="5">
        <f t="shared" si="3"/>
        <v>8.3333333333333329E-2</v>
      </c>
      <c r="AN13" s="4">
        <f t="shared" si="4"/>
        <v>1.2621481761958852E-4</v>
      </c>
      <c r="AO13" s="3"/>
      <c r="AP13">
        <v>0</v>
      </c>
      <c r="AR13" t="s">
        <v>1</v>
      </c>
      <c r="AT13" s="2">
        <v>0.30599999999999999</v>
      </c>
      <c r="AU13" s="1" t="e">
        <f t="shared" si="5"/>
        <v>#VALUE!</v>
      </c>
      <c r="AV13" s="1" t="e">
        <f t="shared" si="6"/>
        <v>#VALUE!</v>
      </c>
      <c r="AW13" s="1" t="e">
        <f t="shared" si="7"/>
        <v>#VALUE!</v>
      </c>
    </row>
    <row r="14" spans="1:49" x14ac:dyDescent="0.2">
      <c r="A14">
        <v>12</v>
      </c>
      <c r="B14" t="s">
        <v>7190</v>
      </c>
      <c r="F14" t="s">
        <v>7189</v>
      </c>
      <c r="G14" t="s">
        <v>16</v>
      </c>
      <c r="H14" t="s">
        <v>15</v>
      </c>
      <c r="I14" t="s">
        <v>7188</v>
      </c>
      <c r="J14">
        <v>60069494</v>
      </c>
      <c r="K14" t="s">
        <v>7187</v>
      </c>
      <c r="L14" t="s">
        <v>7186</v>
      </c>
      <c r="M14" t="s">
        <v>336</v>
      </c>
      <c r="N14">
        <v>3</v>
      </c>
      <c r="O14" t="s">
        <v>7185</v>
      </c>
      <c r="P14" t="s">
        <v>7184</v>
      </c>
      <c r="Q14" t="s">
        <v>7183</v>
      </c>
      <c r="R14" s="7">
        <v>31564</v>
      </c>
      <c r="S14" s="8">
        <f t="shared" si="0"/>
        <v>1986</v>
      </c>
      <c r="T14" s="8">
        <v>1986</v>
      </c>
      <c r="U14" s="8">
        <f t="shared" si="1"/>
        <v>36</v>
      </c>
      <c r="V14" s="7">
        <v>31564</v>
      </c>
      <c r="W14" t="s">
        <v>7182</v>
      </c>
      <c r="X14" s="2" t="s">
        <v>0</v>
      </c>
      <c r="Y14" s="6" t="e">
        <f t="shared" si="2"/>
        <v>#VALUE!</v>
      </c>
      <c r="AA14">
        <v>203386</v>
      </c>
      <c r="AB14">
        <v>17919</v>
      </c>
      <c r="AD14" t="s">
        <v>5</v>
      </c>
      <c r="AE14">
        <v>66</v>
      </c>
      <c r="AF14" t="s">
        <v>7181</v>
      </c>
      <c r="AH14" t="s">
        <v>7180</v>
      </c>
      <c r="AI14" t="s">
        <v>7179</v>
      </c>
      <c r="AK14" t="s">
        <v>7178</v>
      </c>
      <c r="AL14">
        <v>1</v>
      </c>
      <c r="AM14" s="5">
        <f t="shared" si="3"/>
        <v>2.7777777777777776E-2</v>
      </c>
      <c r="AN14" s="4">
        <f t="shared" si="4"/>
        <v>4.2071605873196175E-5</v>
      </c>
      <c r="AO14" s="3"/>
      <c r="AP14">
        <v>0</v>
      </c>
      <c r="AR14" t="s">
        <v>1</v>
      </c>
      <c r="AT14" s="2" t="s">
        <v>0</v>
      </c>
      <c r="AU14" s="1" t="e">
        <f t="shared" si="5"/>
        <v>#VALUE!</v>
      </c>
      <c r="AV14" s="1" t="e">
        <f t="shared" si="6"/>
        <v>#VALUE!</v>
      </c>
      <c r="AW14" s="1" t="e">
        <f t="shared" si="7"/>
        <v>#VALUE!</v>
      </c>
    </row>
    <row r="15" spans="1:49" x14ac:dyDescent="0.2">
      <c r="A15">
        <v>13</v>
      </c>
      <c r="B15" t="s">
        <v>7177</v>
      </c>
      <c r="F15" t="s">
        <v>7176</v>
      </c>
      <c r="G15" t="s">
        <v>16</v>
      </c>
      <c r="H15" t="s">
        <v>15</v>
      </c>
      <c r="I15" t="s">
        <v>7175</v>
      </c>
      <c r="N15">
        <v>3</v>
      </c>
      <c r="O15" t="s">
        <v>7174</v>
      </c>
      <c r="P15" t="s">
        <v>7173</v>
      </c>
      <c r="Q15" t="s">
        <v>295</v>
      </c>
      <c r="R15" s="7">
        <v>31564</v>
      </c>
      <c r="S15" s="8">
        <f t="shared" si="0"/>
        <v>1986</v>
      </c>
      <c r="T15" s="8">
        <v>1986</v>
      </c>
      <c r="U15" s="8">
        <f t="shared" si="1"/>
        <v>36</v>
      </c>
      <c r="V15" s="7">
        <v>31564</v>
      </c>
      <c r="W15" t="s">
        <v>857</v>
      </c>
      <c r="X15" s="2" t="s">
        <v>0</v>
      </c>
      <c r="Y15" s="6" t="e">
        <f t="shared" si="2"/>
        <v>#VALUE!</v>
      </c>
      <c r="AA15">
        <v>87566648</v>
      </c>
      <c r="AB15">
        <v>74127</v>
      </c>
      <c r="AD15" t="s">
        <v>5</v>
      </c>
      <c r="AE15">
        <v>31</v>
      </c>
      <c r="AF15">
        <v>6</v>
      </c>
      <c r="AH15" t="s">
        <v>7172</v>
      </c>
      <c r="AI15" t="s">
        <v>7171</v>
      </c>
      <c r="AK15" t="s">
        <v>7170</v>
      </c>
      <c r="AL15">
        <v>0</v>
      </c>
      <c r="AM15" s="5">
        <f t="shared" si="3"/>
        <v>0</v>
      </c>
      <c r="AN15" s="4">
        <f t="shared" si="4"/>
        <v>0</v>
      </c>
      <c r="AO15" s="3"/>
      <c r="AP15">
        <v>0</v>
      </c>
      <c r="AR15" t="s">
        <v>1</v>
      </c>
      <c r="AT15" s="2" t="s">
        <v>0</v>
      </c>
      <c r="AU15" s="1" t="e">
        <f t="shared" si="5"/>
        <v>#VALUE!</v>
      </c>
      <c r="AV15" s="1" t="e">
        <f t="shared" si="6"/>
        <v>#VALUE!</v>
      </c>
      <c r="AW15" s="1" t="e">
        <f t="shared" si="7"/>
        <v>#VALUE!</v>
      </c>
    </row>
    <row r="16" spans="1:49" x14ac:dyDescent="0.2">
      <c r="A16">
        <v>14</v>
      </c>
      <c r="B16" t="s">
        <v>7169</v>
      </c>
      <c r="F16" t="s">
        <v>7168</v>
      </c>
      <c r="G16" t="s">
        <v>16</v>
      </c>
      <c r="H16" t="s">
        <v>15</v>
      </c>
      <c r="I16" t="s">
        <v>7167</v>
      </c>
      <c r="N16">
        <v>1</v>
      </c>
      <c r="O16" t="s">
        <v>7166</v>
      </c>
      <c r="P16">
        <v>16524511700</v>
      </c>
      <c r="R16" s="7">
        <v>31564</v>
      </c>
      <c r="S16" s="8">
        <f t="shared" si="0"/>
        <v>1986</v>
      </c>
      <c r="T16" s="8">
        <v>1986</v>
      </c>
      <c r="U16" s="8">
        <f t="shared" si="1"/>
        <v>36</v>
      </c>
      <c r="V16" s="7">
        <v>31564</v>
      </c>
      <c r="W16" t="s">
        <v>857</v>
      </c>
      <c r="X16" s="2" t="s">
        <v>0</v>
      </c>
      <c r="Y16" s="6" t="e">
        <f t="shared" si="2"/>
        <v>#VALUE!</v>
      </c>
      <c r="AA16">
        <v>87566648</v>
      </c>
      <c r="AB16">
        <v>74127</v>
      </c>
      <c r="AD16" t="s">
        <v>5</v>
      </c>
      <c r="AE16">
        <v>31</v>
      </c>
      <c r="AF16">
        <v>6</v>
      </c>
      <c r="AH16" t="s">
        <v>7165</v>
      </c>
      <c r="AI16" t="s">
        <v>7164</v>
      </c>
      <c r="AK16" t="s">
        <v>7163</v>
      </c>
      <c r="AL16">
        <v>0</v>
      </c>
      <c r="AM16" s="5">
        <f t="shared" si="3"/>
        <v>0</v>
      </c>
      <c r="AN16" s="4">
        <f t="shared" si="4"/>
        <v>0</v>
      </c>
      <c r="AO16" s="3"/>
      <c r="AP16">
        <v>0</v>
      </c>
      <c r="AR16" t="s">
        <v>1</v>
      </c>
      <c r="AT16" s="2" t="s">
        <v>0</v>
      </c>
      <c r="AU16" s="1" t="e">
        <f t="shared" si="5"/>
        <v>#VALUE!</v>
      </c>
      <c r="AV16" s="1" t="e">
        <f t="shared" si="6"/>
        <v>#VALUE!</v>
      </c>
      <c r="AW16" s="1" t="e">
        <f t="shared" si="7"/>
        <v>#VALUE!</v>
      </c>
    </row>
    <row r="17" spans="1:49" x14ac:dyDescent="0.2">
      <c r="A17">
        <v>15</v>
      </c>
      <c r="B17" t="s">
        <v>7162</v>
      </c>
      <c r="F17" t="s">
        <v>7161</v>
      </c>
      <c r="G17" t="s">
        <v>16</v>
      </c>
      <c r="H17" t="s">
        <v>15</v>
      </c>
      <c r="I17" t="s">
        <v>7160</v>
      </c>
      <c r="N17">
        <v>2</v>
      </c>
      <c r="O17" t="s">
        <v>7159</v>
      </c>
      <c r="P17" t="s">
        <v>7158</v>
      </c>
      <c r="Q17" t="s">
        <v>313</v>
      </c>
      <c r="R17" s="7">
        <v>31564</v>
      </c>
      <c r="S17" s="8">
        <f t="shared" si="0"/>
        <v>1986</v>
      </c>
      <c r="T17" s="8">
        <v>1986</v>
      </c>
      <c r="U17" s="8">
        <f t="shared" si="1"/>
        <v>36</v>
      </c>
      <c r="V17" s="7">
        <v>31564</v>
      </c>
      <c r="W17" t="s">
        <v>857</v>
      </c>
      <c r="X17" s="2" t="s">
        <v>0</v>
      </c>
      <c r="Y17" s="6" t="e">
        <f t="shared" si="2"/>
        <v>#VALUE!</v>
      </c>
      <c r="AA17">
        <v>87566648</v>
      </c>
      <c r="AB17">
        <v>74127</v>
      </c>
      <c r="AD17" t="s">
        <v>5</v>
      </c>
      <c r="AE17">
        <v>31</v>
      </c>
      <c r="AF17">
        <v>6</v>
      </c>
      <c r="AH17" t="s">
        <v>7157</v>
      </c>
      <c r="AI17" t="s">
        <v>7156</v>
      </c>
      <c r="AK17" t="s">
        <v>7155</v>
      </c>
      <c r="AL17">
        <v>0</v>
      </c>
      <c r="AM17" s="5">
        <f t="shared" si="3"/>
        <v>0</v>
      </c>
      <c r="AN17" s="4">
        <f t="shared" si="4"/>
        <v>0</v>
      </c>
      <c r="AO17" s="3"/>
      <c r="AP17">
        <v>0</v>
      </c>
      <c r="AR17" t="s">
        <v>1</v>
      </c>
      <c r="AT17" s="2" t="s">
        <v>0</v>
      </c>
      <c r="AU17" s="1" t="e">
        <f t="shared" si="5"/>
        <v>#VALUE!</v>
      </c>
      <c r="AV17" s="1" t="e">
        <f t="shared" si="6"/>
        <v>#VALUE!</v>
      </c>
      <c r="AW17" s="1" t="e">
        <f t="shared" si="7"/>
        <v>#VALUE!</v>
      </c>
    </row>
    <row r="18" spans="1:49" x14ac:dyDescent="0.2">
      <c r="A18">
        <v>16</v>
      </c>
      <c r="B18" t="s">
        <v>7154</v>
      </c>
      <c r="C18" t="s">
        <v>7153</v>
      </c>
      <c r="F18" t="s">
        <v>7152</v>
      </c>
      <c r="G18" t="s">
        <v>16</v>
      </c>
      <c r="H18" t="s">
        <v>15</v>
      </c>
      <c r="I18" t="s">
        <v>7151</v>
      </c>
      <c r="J18">
        <v>60103678</v>
      </c>
      <c r="K18" t="s">
        <v>7150</v>
      </c>
      <c r="L18" t="s">
        <v>7149</v>
      </c>
      <c r="M18" t="s">
        <v>114</v>
      </c>
      <c r="N18">
        <v>2</v>
      </c>
      <c r="O18" t="s">
        <v>7148</v>
      </c>
      <c r="P18" t="s">
        <v>7147</v>
      </c>
      <c r="Q18" t="s">
        <v>7146</v>
      </c>
      <c r="R18" s="7">
        <v>31564</v>
      </c>
      <c r="S18" s="8">
        <f t="shared" si="0"/>
        <v>1986</v>
      </c>
      <c r="T18" s="8">
        <v>1986</v>
      </c>
      <c r="U18" s="8">
        <f t="shared" si="1"/>
        <v>36</v>
      </c>
      <c r="V18" s="7">
        <v>31564</v>
      </c>
      <c r="W18" t="s">
        <v>6337</v>
      </c>
      <c r="X18" s="2">
        <v>0.85499999999999998</v>
      </c>
      <c r="Y18" s="6">
        <f t="shared" si="2"/>
        <v>2.28237366861536E-2</v>
      </c>
      <c r="AA18">
        <v>980331</v>
      </c>
      <c r="AB18">
        <v>23342</v>
      </c>
      <c r="AC18">
        <v>15731561</v>
      </c>
      <c r="AD18" t="s">
        <v>5</v>
      </c>
      <c r="AE18">
        <v>12</v>
      </c>
      <c r="AF18">
        <v>6</v>
      </c>
      <c r="AH18" t="s">
        <v>7145</v>
      </c>
      <c r="AI18" t="s">
        <v>7144</v>
      </c>
      <c r="AJ18" t="s">
        <v>7143</v>
      </c>
      <c r="AK18" t="s">
        <v>7142</v>
      </c>
      <c r="AL18">
        <v>13</v>
      </c>
      <c r="AM18" s="5">
        <f t="shared" si="3"/>
        <v>0.3611111111111111</v>
      </c>
      <c r="AN18" s="4">
        <f t="shared" si="4"/>
        <v>5.469308763515503E-4</v>
      </c>
      <c r="AO18" s="3"/>
      <c r="AP18">
        <v>0</v>
      </c>
      <c r="AR18" t="s">
        <v>1</v>
      </c>
      <c r="AT18" s="2">
        <v>2.6259999999999999</v>
      </c>
      <c r="AU18" s="1">
        <f t="shared" si="5"/>
        <v>1.6140694943212983</v>
      </c>
      <c r="AV18" s="1">
        <f t="shared" si="6"/>
        <v>1.1685333781252576</v>
      </c>
      <c r="AW18" s="1">
        <f t="shared" si="7"/>
        <v>0.72299726192921654</v>
      </c>
    </row>
    <row r="19" spans="1:49" x14ac:dyDescent="0.2">
      <c r="A19">
        <v>17</v>
      </c>
      <c r="B19" t="s">
        <v>7141</v>
      </c>
      <c r="C19" t="s">
        <v>7140</v>
      </c>
      <c r="D19" t="s">
        <v>7139</v>
      </c>
      <c r="F19" t="s">
        <v>7138</v>
      </c>
      <c r="G19" t="s">
        <v>16</v>
      </c>
      <c r="H19" t="s">
        <v>15</v>
      </c>
      <c r="I19" t="s">
        <v>7137</v>
      </c>
      <c r="J19">
        <v>60019816</v>
      </c>
      <c r="K19" t="s">
        <v>5456</v>
      </c>
      <c r="L19" t="s">
        <v>213</v>
      </c>
      <c r="M19" t="s">
        <v>212</v>
      </c>
      <c r="N19">
        <v>4</v>
      </c>
      <c r="O19" t="s">
        <v>7136</v>
      </c>
      <c r="P19" t="s">
        <v>7135</v>
      </c>
      <c r="Q19" t="s">
        <v>7134</v>
      </c>
      <c r="R19" s="7">
        <v>31548</v>
      </c>
      <c r="S19" s="8">
        <f t="shared" ref="S19:S82" si="8">YEAR(R19)</f>
        <v>1986</v>
      </c>
      <c r="T19" s="8">
        <v>1986</v>
      </c>
      <c r="U19" s="8">
        <f t="shared" ref="U19:U82" si="9">2022-T19</f>
        <v>36</v>
      </c>
      <c r="V19" s="7">
        <v>31548</v>
      </c>
      <c r="W19" t="s">
        <v>6324</v>
      </c>
      <c r="X19" s="2">
        <v>1.59</v>
      </c>
      <c r="Y19" s="6">
        <f t="shared" si="2"/>
        <v>4.2444141907583888E-2</v>
      </c>
      <c r="AA19">
        <v>52728</v>
      </c>
      <c r="AB19">
        <v>16791</v>
      </c>
      <c r="AD19" t="s">
        <v>5</v>
      </c>
      <c r="AE19">
        <v>849</v>
      </c>
      <c r="AF19">
        <v>3</v>
      </c>
      <c r="AH19" t="s">
        <v>7133</v>
      </c>
      <c r="AI19" t="s">
        <v>7132</v>
      </c>
      <c r="AJ19" t="s">
        <v>7131</v>
      </c>
      <c r="AK19" t="s">
        <v>7130</v>
      </c>
      <c r="AL19">
        <v>17</v>
      </c>
      <c r="AM19" s="5">
        <f t="shared" ref="AM19:AM82" si="10">AL19/U19</f>
        <v>0.47222222222222221</v>
      </c>
      <c r="AN19" s="4">
        <f t="shared" si="4"/>
        <v>7.15217299844335E-4</v>
      </c>
      <c r="AO19" s="3"/>
      <c r="AP19">
        <v>0</v>
      </c>
      <c r="AR19" t="s">
        <v>1</v>
      </c>
      <c r="AT19" s="2" t="s">
        <v>0</v>
      </c>
      <c r="AU19" s="1">
        <f t="shared" ref="AU19:AU82" si="11">(Y19*0.7+AN19*0.3)*100</f>
        <v>2.9925464525262022</v>
      </c>
      <c r="AV19" s="1">
        <f t="shared" ref="AV19:AV82" si="12">(Y19*0.5+AN19*0.5)*100</f>
        <v>2.157967960371411</v>
      </c>
      <c r="AW19" s="1">
        <f t="shared" ref="AW19:AW82" si="13">(Y19*0.3+AN19*0.7)*100</f>
        <v>1.3233894682166201</v>
      </c>
    </row>
    <row r="20" spans="1:49" x14ac:dyDescent="0.2">
      <c r="A20">
        <v>18</v>
      </c>
      <c r="B20" t="s">
        <v>7129</v>
      </c>
      <c r="F20" t="s">
        <v>7128</v>
      </c>
      <c r="G20" t="s">
        <v>16</v>
      </c>
      <c r="H20" t="s">
        <v>15</v>
      </c>
      <c r="I20" t="s">
        <v>7127</v>
      </c>
      <c r="J20">
        <v>60025555</v>
      </c>
      <c r="K20" t="s">
        <v>4266</v>
      </c>
      <c r="L20" t="s">
        <v>886</v>
      </c>
      <c r="M20" t="s">
        <v>71</v>
      </c>
      <c r="N20">
        <v>6</v>
      </c>
      <c r="O20" t="s">
        <v>7126</v>
      </c>
      <c r="P20" t="s">
        <v>7125</v>
      </c>
      <c r="Q20" t="s">
        <v>7124</v>
      </c>
      <c r="R20" s="7">
        <v>31533</v>
      </c>
      <c r="S20" s="8">
        <f t="shared" si="8"/>
        <v>1986</v>
      </c>
      <c r="T20" s="8">
        <v>1986</v>
      </c>
      <c r="U20" s="8">
        <f t="shared" si="9"/>
        <v>36</v>
      </c>
      <c r="V20" s="7">
        <v>31533</v>
      </c>
      <c r="W20" t="s">
        <v>1815</v>
      </c>
      <c r="X20" s="2">
        <v>1.137</v>
      </c>
      <c r="Y20" s="6">
        <f t="shared" si="2"/>
        <v>3.0351565628253384E-2</v>
      </c>
      <c r="AA20">
        <v>189251</v>
      </c>
      <c r="AB20">
        <v>17336</v>
      </c>
      <c r="AD20" t="s">
        <v>5</v>
      </c>
      <c r="AE20" t="s">
        <v>1814</v>
      </c>
      <c r="AF20">
        <v>3</v>
      </c>
      <c r="AH20" t="s">
        <v>7123</v>
      </c>
      <c r="AI20" t="s">
        <v>7122</v>
      </c>
      <c r="AK20" t="s">
        <v>7121</v>
      </c>
      <c r="AL20">
        <v>1</v>
      </c>
      <c r="AM20" s="5">
        <f t="shared" si="10"/>
        <v>2.7777777777777776E-2</v>
      </c>
      <c r="AN20" s="4">
        <f t="shared" si="4"/>
        <v>4.2071605873196175E-5</v>
      </c>
      <c r="AO20" s="3"/>
      <c r="AP20">
        <v>0</v>
      </c>
      <c r="AR20" t="s">
        <v>1</v>
      </c>
      <c r="AT20" s="2" t="s">
        <v>0</v>
      </c>
      <c r="AU20" s="1">
        <f t="shared" si="11"/>
        <v>2.1258717421539326</v>
      </c>
      <c r="AV20" s="1">
        <f t="shared" si="12"/>
        <v>1.519681861706329</v>
      </c>
      <c r="AW20" s="1">
        <f t="shared" si="13"/>
        <v>0.91349198125872522</v>
      </c>
    </row>
    <row r="21" spans="1:49" x14ac:dyDescent="0.2">
      <c r="A21">
        <v>19</v>
      </c>
      <c r="B21" t="s">
        <v>7120</v>
      </c>
      <c r="F21" t="s">
        <v>7119</v>
      </c>
      <c r="G21" t="s">
        <v>16</v>
      </c>
      <c r="H21" t="s">
        <v>15</v>
      </c>
      <c r="I21" t="s">
        <v>7118</v>
      </c>
      <c r="J21">
        <v>60002784</v>
      </c>
      <c r="K21" t="s">
        <v>7117</v>
      </c>
      <c r="L21" t="s">
        <v>886</v>
      </c>
      <c r="M21" t="s">
        <v>71</v>
      </c>
      <c r="N21">
        <v>6</v>
      </c>
      <c r="O21" t="s">
        <v>7116</v>
      </c>
      <c r="P21" t="s">
        <v>7115</v>
      </c>
      <c r="Q21" t="s">
        <v>7114</v>
      </c>
      <c r="R21" s="7">
        <v>31533</v>
      </c>
      <c r="S21" s="8">
        <f t="shared" si="8"/>
        <v>1986</v>
      </c>
      <c r="T21" s="8">
        <v>1986</v>
      </c>
      <c r="U21" s="8">
        <f t="shared" si="9"/>
        <v>36</v>
      </c>
      <c r="V21" s="7">
        <v>31533</v>
      </c>
      <c r="W21" t="s">
        <v>6</v>
      </c>
      <c r="X21" s="2">
        <v>1.3720000000000001</v>
      </c>
      <c r="Y21" s="6">
        <f t="shared" si="2"/>
        <v>3.662475641333654E-2</v>
      </c>
      <c r="AA21">
        <v>189480</v>
      </c>
      <c r="AB21">
        <v>17366</v>
      </c>
      <c r="AD21" t="s">
        <v>5</v>
      </c>
      <c r="AE21" t="s">
        <v>2081</v>
      </c>
      <c r="AF21">
        <v>5</v>
      </c>
      <c r="AH21" t="s">
        <v>7113</v>
      </c>
      <c r="AI21" t="s">
        <v>7112</v>
      </c>
      <c r="AK21" t="s">
        <v>7111</v>
      </c>
      <c r="AL21">
        <v>4</v>
      </c>
      <c r="AM21" s="5">
        <f t="shared" si="10"/>
        <v>0.1111111111111111</v>
      </c>
      <c r="AN21" s="4">
        <f t="shared" si="4"/>
        <v>1.682864234927847E-4</v>
      </c>
      <c r="AO21" s="3"/>
      <c r="AP21">
        <v>0</v>
      </c>
      <c r="AR21" t="s">
        <v>1</v>
      </c>
      <c r="AT21" s="2" t="s">
        <v>0</v>
      </c>
      <c r="AU21" s="1">
        <f t="shared" si="11"/>
        <v>2.5687815416383408</v>
      </c>
      <c r="AV21" s="1">
        <f t="shared" si="12"/>
        <v>1.8396521418414662</v>
      </c>
      <c r="AW21" s="1">
        <f t="shared" si="13"/>
        <v>1.1105227420445911</v>
      </c>
    </row>
    <row r="22" spans="1:49" x14ac:dyDescent="0.2">
      <c r="A22">
        <v>20</v>
      </c>
      <c r="B22" t="s">
        <v>7110</v>
      </c>
      <c r="F22" t="s">
        <v>7109</v>
      </c>
      <c r="G22" t="s">
        <v>16</v>
      </c>
      <c r="H22" t="s">
        <v>15</v>
      </c>
      <c r="I22" t="s">
        <v>7108</v>
      </c>
      <c r="J22">
        <v>60194543</v>
      </c>
      <c r="K22" t="s">
        <v>7107</v>
      </c>
      <c r="L22" t="s">
        <v>7106</v>
      </c>
      <c r="M22" t="s">
        <v>71</v>
      </c>
      <c r="N22">
        <v>2</v>
      </c>
      <c r="O22" t="s">
        <v>7105</v>
      </c>
      <c r="P22" t="s">
        <v>7104</v>
      </c>
      <c r="Q22" t="s">
        <v>7103</v>
      </c>
      <c r="R22" s="7">
        <v>31533</v>
      </c>
      <c r="S22" s="8">
        <f t="shared" si="8"/>
        <v>1986</v>
      </c>
      <c r="T22" s="8">
        <v>1986</v>
      </c>
      <c r="U22" s="8">
        <f t="shared" si="9"/>
        <v>36</v>
      </c>
      <c r="V22" s="7">
        <v>31533</v>
      </c>
      <c r="W22" t="s">
        <v>6363</v>
      </c>
      <c r="X22" s="2" t="s">
        <v>0</v>
      </c>
      <c r="Y22" s="6" t="e">
        <f t="shared" si="2"/>
        <v>#VALUE!</v>
      </c>
      <c r="AA22" t="s">
        <v>6362</v>
      </c>
      <c r="AB22">
        <v>30906</v>
      </c>
      <c r="AD22" t="s">
        <v>5</v>
      </c>
      <c r="AE22" t="s">
        <v>6361</v>
      </c>
      <c r="AF22">
        <v>5</v>
      </c>
      <c r="AH22" t="s">
        <v>7102</v>
      </c>
      <c r="AI22" t="s">
        <v>7101</v>
      </c>
      <c r="AK22" t="s">
        <v>7100</v>
      </c>
      <c r="AL22">
        <v>0</v>
      </c>
      <c r="AM22" s="5">
        <f t="shared" si="10"/>
        <v>0</v>
      </c>
      <c r="AN22" s="4">
        <f t="shared" si="4"/>
        <v>0</v>
      </c>
      <c r="AO22" s="3"/>
      <c r="AP22">
        <v>0</v>
      </c>
      <c r="AR22" t="s">
        <v>1</v>
      </c>
      <c r="AT22" s="2" t="s">
        <v>0</v>
      </c>
      <c r="AU22" s="1" t="e">
        <f t="shared" si="11"/>
        <v>#VALUE!</v>
      </c>
      <c r="AV22" s="1" t="e">
        <f t="shared" si="12"/>
        <v>#VALUE!</v>
      </c>
      <c r="AW22" s="1" t="e">
        <f t="shared" si="13"/>
        <v>#VALUE!</v>
      </c>
    </row>
    <row r="23" spans="1:49" x14ac:dyDescent="0.2">
      <c r="A23">
        <v>21</v>
      </c>
      <c r="B23" t="s">
        <v>7099</v>
      </c>
      <c r="F23" t="s">
        <v>7098</v>
      </c>
      <c r="G23" t="s">
        <v>16</v>
      </c>
      <c r="H23" t="s">
        <v>15</v>
      </c>
      <c r="I23" t="s">
        <v>7097</v>
      </c>
      <c r="J23">
        <v>60092258</v>
      </c>
      <c r="K23" t="s">
        <v>969</v>
      </c>
      <c r="L23" t="s">
        <v>968</v>
      </c>
      <c r="M23" t="s">
        <v>71</v>
      </c>
      <c r="N23">
        <v>4</v>
      </c>
      <c r="O23" t="s">
        <v>7096</v>
      </c>
      <c r="P23" t="s">
        <v>7095</v>
      </c>
      <c r="Q23" t="s">
        <v>7094</v>
      </c>
      <c r="R23" s="7">
        <v>31533</v>
      </c>
      <c r="S23" s="8">
        <f t="shared" si="8"/>
        <v>1986</v>
      </c>
      <c r="T23" s="8">
        <v>1986</v>
      </c>
      <c r="U23" s="8">
        <f t="shared" si="9"/>
        <v>36</v>
      </c>
      <c r="V23" s="7">
        <v>31533</v>
      </c>
      <c r="W23" t="s">
        <v>1815</v>
      </c>
      <c r="X23" s="2">
        <v>1.137</v>
      </c>
      <c r="Y23" s="6">
        <f t="shared" si="2"/>
        <v>3.0351565628253384E-2</v>
      </c>
      <c r="AA23">
        <v>189251</v>
      </c>
      <c r="AB23">
        <v>17336</v>
      </c>
      <c r="AD23" t="s">
        <v>5</v>
      </c>
      <c r="AE23" t="s">
        <v>1814</v>
      </c>
      <c r="AF23">
        <v>3</v>
      </c>
      <c r="AH23" t="s">
        <v>7093</v>
      </c>
      <c r="AI23" t="s">
        <v>7092</v>
      </c>
      <c r="AK23" t="s">
        <v>7091</v>
      </c>
      <c r="AL23">
        <v>0</v>
      </c>
      <c r="AM23" s="5">
        <f t="shared" si="10"/>
        <v>0</v>
      </c>
      <c r="AN23" s="4">
        <f t="shared" si="4"/>
        <v>0</v>
      </c>
      <c r="AO23" s="3"/>
      <c r="AP23">
        <v>0</v>
      </c>
      <c r="AR23" t="s">
        <v>1</v>
      </c>
      <c r="AT23" s="2" t="s">
        <v>0</v>
      </c>
      <c r="AU23" s="1">
        <f t="shared" si="11"/>
        <v>2.1246095939777367</v>
      </c>
      <c r="AV23" s="1">
        <f t="shared" si="12"/>
        <v>1.5175782814126693</v>
      </c>
      <c r="AW23" s="1">
        <f t="shared" si="13"/>
        <v>0.91054696884760156</v>
      </c>
    </row>
    <row r="24" spans="1:49" x14ac:dyDescent="0.2">
      <c r="A24">
        <v>22</v>
      </c>
      <c r="B24" t="s">
        <v>7090</v>
      </c>
      <c r="F24" t="s">
        <v>7089</v>
      </c>
      <c r="G24" t="s">
        <v>16</v>
      </c>
      <c r="H24" t="s">
        <v>15</v>
      </c>
      <c r="I24" t="s">
        <v>7088</v>
      </c>
      <c r="J24">
        <v>60024590</v>
      </c>
      <c r="K24" t="s">
        <v>7087</v>
      </c>
      <c r="L24" t="s">
        <v>7086</v>
      </c>
      <c r="M24" t="s">
        <v>114</v>
      </c>
      <c r="N24">
        <v>1</v>
      </c>
      <c r="O24" t="s">
        <v>7085</v>
      </c>
      <c r="P24">
        <v>6603561257</v>
      </c>
      <c r="Q24">
        <v>60024590</v>
      </c>
      <c r="R24" s="7">
        <v>31533</v>
      </c>
      <c r="S24" s="8">
        <f t="shared" si="8"/>
        <v>1986</v>
      </c>
      <c r="T24" s="8">
        <v>1986</v>
      </c>
      <c r="U24" s="8">
        <f t="shared" si="9"/>
        <v>36</v>
      </c>
      <c r="V24" s="7">
        <v>31533</v>
      </c>
      <c r="W24" t="s">
        <v>7084</v>
      </c>
      <c r="X24" s="2" t="s">
        <v>0</v>
      </c>
      <c r="Y24" s="6" t="e">
        <f t="shared" si="2"/>
        <v>#VALUE!</v>
      </c>
      <c r="AA24">
        <v>8850259</v>
      </c>
      <c r="AB24">
        <v>88209</v>
      </c>
      <c r="AD24" t="s">
        <v>5</v>
      </c>
      <c r="AE24">
        <v>12</v>
      </c>
      <c r="AF24">
        <v>5</v>
      </c>
      <c r="AI24" t="s">
        <v>7083</v>
      </c>
      <c r="AK24" t="s">
        <v>7082</v>
      </c>
      <c r="AL24">
        <v>0</v>
      </c>
      <c r="AM24" s="5">
        <f t="shared" si="10"/>
        <v>0</v>
      </c>
      <c r="AN24" s="4">
        <f t="shared" si="4"/>
        <v>0</v>
      </c>
      <c r="AO24" s="3"/>
      <c r="AP24">
        <v>0</v>
      </c>
      <c r="AR24" t="s">
        <v>1</v>
      </c>
      <c r="AT24" s="2" t="s">
        <v>0</v>
      </c>
      <c r="AU24" s="1" t="e">
        <f t="shared" si="11"/>
        <v>#VALUE!</v>
      </c>
      <c r="AV24" s="1" t="e">
        <f t="shared" si="12"/>
        <v>#VALUE!</v>
      </c>
      <c r="AW24" s="1" t="e">
        <f t="shared" si="13"/>
        <v>#VALUE!</v>
      </c>
    </row>
    <row r="25" spans="1:49" x14ac:dyDescent="0.2">
      <c r="A25">
        <v>23</v>
      </c>
      <c r="B25" t="s">
        <v>7081</v>
      </c>
      <c r="F25" t="s">
        <v>7080</v>
      </c>
      <c r="G25" t="s">
        <v>16</v>
      </c>
      <c r="H25" t="s">
        <v>15</v>
      </c>
      <c r="I25" t="s">
        <v>7079</v>
      </c>
      <c r="J25">
        <v>100362202</v>
      </c>
      <c r="K25" t="s">
        <v>7078</v>
      </c>
      <c r="L25" t="s">
        <v>3298</v>
      </c>
      <c r="M25" t="s">
        <v>376</v>
      </c>
      <c r="N25">
        <v>1</v>
      </c>
      <c r="O25" t="s">
        <v>7077</v>
      </c>
      <c r="P25">
        <v>6602617296</v>
      </c>
      <c r="Q25">
        <v>100362202</v>
      </c>
      <c r="R25" s="7">
        <v>31533</v>
      </c>
      <c r="S25" s="8">
        <f t="shared" si="8"/>
        <v>1986</v>
      </c>
      <c r="T25" s="8">
        <v>1986</v>
      </c>
      <c r="U25" s="8">
        <f t="shared" si="9"/>
        <v>36</v>
      </c>
      <c r="V25" s="7">
        <v>31533</v>
      </c>
      <c r="W25" t="s">
        <v>323</v>
      </c>
      <c r="X25" s="2">
        <v>0.54700000000000004</v>
      </c>
      <c r="Y25" s="6">
        <f t="shared" si="2"/>
        <v>1.4601852593363766E-2</v>
      </c>
      <c r="AA25">
        <v>11096</v>
      </c>
      <c r="AB25">
        <v>31211</v>
      </c>
      <c r="AD25" t="s">
        <v>5</v>
      </c>
      <c r="AE25">
        <v>40</v>
      </c>
      <c r="AF25">
        <v>3</v>
      </c>
      <c r="AH25" t="s">
        <v>5743</v>
      </c>
      <c r="AI25" t="s">
        <v>7076</v>
      </c>
      <c r="AK25" t="s">
        <v>7075</v>
      </c>
      <c r="AL25">
        <v>2</v>
      </c>
      <c r="AM25" s="5">
        <f t="shared" si="10"/>
        <v>5.5555555555555552E-2</v>
      </c>
      <c r="AN25" s="4">
        <f t="shared" si="4"/>
        <v>8.4143211746392349E-5</v>
      </c>
      <c r="AO25" s="3"/>
      <c r="AP25">
        <v>0</v>
      </c>
      <c r="AR25" t="s">
        <v>1</v>
      </c>
      <c r="AT25" s="2" t="s">
        <v>0</v>
      </c>
      <c r="AU25" s="1">
        <f t="shared" si="11"/>
        <v>1.0246539778878552</v>
      </c>
      <c r="AV25" s="1">
        <f t="shared" si="12"/>
        <v>0.73429979025550796</v>
      </c>
      <c r="AW25" s="1">
        <f t="shared" si="13"/>
        <v>0.44394560262316041</v>
      </c>
    </row>
    <row r="26" spans="1:49" x14ac:dyDescent="0.2">
      <c r="A26">
        <v>24</v>
      </c>
      <c r="B26" t="s">
        <v>7074</v>
      </c>
      <c r="F26" t="s">
        <v>7073</v>
      </c>
      <c r="G26" t="s">
        <v>16</v>
      </c>
      <c r="H26" t="s">
        <v>15</v>
      </c>
      <c r="I26" t="s">
        <v>7072</v>
      </c>
      <c r="J26">
        <v>60022195</v>
      </c>
      <c r="K26" t="s">
        <v>1941</v>
      </c>
      <c r="L26" t="s">
        <v>1940</v>
      </c>
      <c r="M26" t="s">
        <v>114</v>
      </c>
      <c r="N26">
        <v>2</v>
      </c>
      <c r="O26" t="s">
        <v>7071</v>
      </c>
      <c r="P26" t="s">
        <v>7070</v>
      </c>
      <c r="Q26" t="s">
        <v>7069</v>
      </c>
      <c r="R26" s="7">
        <v>31533</v>
      </c>
      <c r="S26" s="8">
        <f t="shared" si="8"/>
        <v>1986</v>
      </c>
      <c r="T26" s="8">
        <v>1986</v>
      </c>
      <c r="U26" s="8">
        <f t="shared" si="9"/>
        <v>36</v>
      </c>
      <c r="V26" s="7">
        <v>31533</v>
      </c>
      <c r="W26" t="s">
        <v>6</v>
      </c>
      <c r="X26" s="2">
        <v>1.3720000000000001</v>
      </c>
      <c r="Y26" s="6">
        <f t="shared" si="2"/>
        <v>3.662475641333654E-2</v>
      </c>
      <c r="AA26">
        <v>189480</v>
      </c>
      <c r="AB26">
        <v>17366</v>
      </c>
      <c r="AD26" t="s">
        <v>5</v>
      </c>
      <c r="AE26" t="s">
        <v>2081</v>
      </c>
      <c r="AF26">
        <v>5</v>
      </c>
      <c r="AH26" t="s">
        <v>7068</v>
      </c>
      <c r="AI26" t="s">
        <v>7067</v>
      </c>
      <c r="AK26" t="s">
        <v>7066</v>
      </c>
      <c r="AL26">
        <v>12</v>
      </c>
      <c r="AM26" s="5">
        <f t="shared" si="10"/>
        <v>0.33333333333333331</v>
      </c>
      <c r="AN26" s="4">
        <f t="shared" si="4"/>
        <v>5.048592704783541E-4</v>
      </c>
      <c r="AO26" s="3"/>
      <c r="AP26">
        <v>0</v>
      </c>
      <c r="AR26" t="s">
        <v>1</v>
      </c>
      <c r="AT26" s="2" t="s">
        <v>0</v>
      </c>
      <c r="AU26" s="1">
        <f t="shared" si="11"/>
        <v>2.5788787270479081</v>
      </c>
      <c r="AV26" s="1">
        <f t="shared" si="12"/>
        <v>1.8564807841907445</v>
      </c>
      <c r="AW26" s="1">
        <f t="shared" si="13"/>
        <v>1.1340828413335811</v>
      </c>
    </row>
    <row r="27" spans="1:49" x14ac:dyDescent="0.2">
      <c r="A27">
        <v>25</v>
      </c>
      <c r="B27" t="s">
        <v>7065</v>
      </c>
      <c r="F27" t="s">
        <v>7064</v>
      </c>
      <c r="G27" t="s">
        <v>16</v>
      </c>
      <c r="H27" t="s">
        <v>15</v>
      </c>
      <c r="I27" t="s">
        <v>7063</v>
      </c>
      <c r="N27">
        <v>1</v>
      </c>
      <c r="O27" t="s">
        <v>7062</v>
      </c>
      <c r="P27">
        <v>6701816402</v>
      </c>
      <c r="R27" s="7">
        <v>31533</v>
      </c>
      <c r="S27" s="8">
        <f t="shared" si="8"/>
        <v>1986</v>
      </c>
      <c r="T27" s="8">
        <v>1986</v>
      </c>
      <c r="U27" s="8">
        <f t="shared" si="9"/>
        <v>36</v>
      </c>
      <c r="V27" s="7">
        <v>31533</v>
      </c>
      <c r="W27" t="s">
        <v>857</v>
      </c>
      <c r="X27" s="2" t="s">
        <v>0</v>
      </c>
      <c r="Y27" s="6" t="e">
        <f t="shared" si="2"/>
        <v>#VALUE!</v>
      </c>
      <c r="AA27">
        <v>87566648</v>
      </c>
      <c r="AB27">
        <v>74127</v>
      </c>
      <c r="AD27" t="s">
        <v>5</v>
      </c>
      <c r="AE27">
        <v>31</v>
      </c>
      <c r="AF27">
        <v>5</v>
      </c>
      <c r="AH27" t="s">
        <v>7061</v>
      </c>
      <c r="AI27" t="s">
        <v>7060</v>
      </c>
      <c r="AK27" t="s">
        <v>7059</v>
      </c>
      <c r="AL27">
        <v>0</v>
      </c>
      <c r="AM27" s="5">
        <f t="shared" si="10"/>
        <v>0</v>
      </c>
      <c r="AN27" s="4">
        <f t="shared" si="4"/>
        <v>0</v>
      </c>
      <c r="AO27" s="3"/>
      <c r="AP27">
        <v>0</v>
      </c>
      <c r="AR27" t="s">
        <v>1</v>
      </c>
      <c r="AT27" s="2" t="s">
        <v>0</v>
      </c>
      <c r="AU27" s="1" t="e">
        <f t="shared" si="11"/>
        <v>#VALUE!</v>
      </c>
      <c r="AV27" s="1" t="e">
        <f t="shared" si="12"/>
        <v>#VALUE!</v>
      </c>
      <c r="AW27" s="1" t="e">
        <f t="shared" si="13"/>
        <v>#VALUE!</v>
      </c>
    </row>
    <row r="28" spans="1:49" x14ac:dyDescent="0.2">
      <c r="A28">
        <v>26</v>
      </c>
      <c r="B28" t="s">
        <v>7058</v>
      </c>
      <c r="C28" t="s">
        <v>7057</v>
      </c>
      <c r="F28" t="s">
        <v>7056</v>
      </c>
      <c r="G28" t="s">
        <v>16</v>
      </c>
      <c r="H28" t="s">
        <v>15</v>
      </c>
      <c r="I28" t="s">
        <v>7055</v>
      </c>
      <c r="N28">
        <v>2</v>
      </c>
      <c r="O28" t="s">
        <v>7054</v>
      </c>
      <c r="P28" t="s">
        <v>7053</v>
      </c>
      <c r="Q28" t="s">
        <v>313</v>
      </c>
      <c r="R28" s="7">
        <v>31533</v>
      </c>
      <c r="S28" s="8">
        <f t="shared" si="8"/>
        <v>1986</v>
      </c>
      <c r="T28" s="8">
        <v>1986</v>
      </c>
      <c r="U28" s="8">
        <f t="shared" si="9"/>
        <v>36</v>
      </c>
      <c r="V28" s="7">
        <v>31533</v>
      </c>
      <c r="W28" t="s">
        <v>6556</v>
      </c>
      <c r="X28" s="2">
        <v>0.14899999999999999</v>
      </c>
      <c r="Y28" s="6">
        <f t="shared" si="2"/>
        <v>3.977469902031446E-3</v>
      </c>
      <c r="AA28">
        <v>5431972</v>
      </c>
      <c r="AB28">
        <v>15425</v>
      </c>
      <c r="AC28">
        <v>15738906</v>
      </c>
      <c r="AD28" t="s">
        <v>5</v>
      </c>
      <c r="AE28">
        <v>29</v>
      </c>
      <c r="AF28">
        <v>5</v>
      </c>
      <c r="AH28" t="s">
        <v>3296</v>
      </c>
      <c r="AL28">
        <v>0</v>
      </c>
      <c r="AM28" s="5">
        <f t="shared" si="10"/>
        <v>0</v>
      </c>
      <c r="AN28" s="4">
        <f t="shared" si="4"/>
        <v>0</v>
      </c>
      <c r="AO28" s="3"/>
      <c r="AP28">
        <v>0</v>
      </c>
      <c r="AR28" t="s">
        <v>1</v>
      </c>
      <c r="AT28" s="2" t="s">
        <v>0</v>
      </c>
      <c r="AU28" s="1">
        <f t="shared" si="11"/>
        <v>0.2784228931422012</v>
      </c>
      <c r="AV28" s="1">
        <f t="shared" si="12"/>
        <v>0.19887349510157229</v>
      </c>
      <c r="AW28" s="1">
        <f t="shared" si="13"/>
        <v>0.11932409706094337</v>
      </c>
    </row>
    <row r="29" spans="1:49" x14ac:dyDescent="0.2">
      <c r="A29">
        <v>27</v>
      </c>
      <c r="B29" t="s">
        <v>7052</v>
      </c>
      <c r="C29" t="s">
        <v>7051</v>
      </c>
      <c r="F29" t="s">
        <v>7050</v>
      </c>
      <c r="G29" t="s">
        <v>16</v>
      </c>
      <c r="H29" t="s">
        <v>15</v>
      </c>
      <c r="I29" t="s">
        <v>7049</v>
      </c>
      <c r="N29">
        <v>1</v>
      </c>
      <c r="O29" t="s">
        <v>7048</v>
      </c>
      <c r="P29">
        <v>7005650287</v>
      </c>
      <c r="R29" s="7">
        <v>31533</v>
      </c>
      <c r="S29" s="8">
        <f t="shared" si="8"/>
        <v>1986</v>
      </c>
      <c r="T29" s="8">
        <v>1986</v>
      </c>
      <c r="U29" s="8">
        <f t="shared" si="9"/>
        <v>36</v>
      </c>
      <c r="V29" s="7">
        <v>31533</v>
      </c>
      <c r="W29" t="s">
        <v>633</v>
      </c>
      <c r="X29" s="2">
        <v>0.318</v>
      </c>
      <c r="Y29" s="6">
        <f t="shared" si="2"/>
        <v>8.4888283815167786E-3</v>
      </c>
      <c r="AA29">
        <v>338443</v>
      </c>
      <c r="AB29">
        <v>27160</v>
      </c>
      <c r="AC29">
        <v>15739120</v>
      </c>
      <c r="AD29" t="s">
        <v>5</v>
      </c>
      <c r="AE29">
        <v>29</v>
      </c>
      <c r="AF29">
        <v>5</v>
      </c>
      <c r="AH29" t="s">
        <v>1774</v>
      </c>
      <c r="AL29">
        <v>2</v>
      </c>
      <c r="AM29" s="5">
        <f t="shared" si="10"/>
        <v>5.5555555555555552E-2</v>
      </c>
      <c r="AN29" s="4">
        <f t="shared" si="4"/>
        <v>8.4143211746392349E-5</v>
      </c>
      <c r="AO29" s="3"/>
      <c r="AP29">
        <v>0</v>
      </c>
      <c r="AR29" t="s">
        <v>1</v>
      </c>
      <c r="AT29" s="2">
        <v>0.77</v>
      </c>
      <c r="AU29" s="1">
        <f t="shared" si="11"/>
        <v>0.59674228305856625</v>
      </c>
      <c r="AV29" s="1">
        <f t="shared" si="12"/>
        <v>0.42864857966315856</v>
      </c>
      <c r="AW29" s="1">
        <f t="shared" si="13"/>
        <v>0.26055487626775081</v>
      </c>
    </row>
    <row r="30" spans="1:49" x14ac:dyDescent="0.2">
      <c r="A30">
        <v>28</v>
      </c>
      <c r="B30" t="s">
        <v>7047</v>
      </c>
      <c r="C30" t="s">
        <v>7046</v>
      </c>
      <c r="F30" t="s">
        <v>7045</v>
      </c>
      <c r="G30" t="s">
        <v>16</v>
      </c>
      <c r="H30" t="s">
        <v>15</v>
      </c>
      <c r="I30" t="s">
        <v>7044</v>
      </c>
      <c r="N30">
        <v>3</v>
      </c>
      <c r="O30" t="s">
        <v>7043</v>
      </c>
      <c r="P30" t="s">
        <v>7042</v>
      </c>
      <c r="Q30" t="s">
        <v>295</v>
      </c>
      <c r="R30" s="7">
        <v>31533</v>
      </c>
      <c r="S30" s="8">
        <f t="shared" si="8"/>
        <v>1986</v>
      </c>
      <c r="T30" s="8">
        <v>1986</v>
      </c>
      <c r="U30" s="8">
        <f t="shared" si="9"/>
        <v>36</v>
      </c>
      <c r="V30" s="7">
        <v>31533</v>
      </c>
      <c r="W30" t="s">
        <v>633</v>
      </c>
      <c r="X30" s="2">
        <v>0.318</v>
      </c>
      <c r="Y30" s="6">
        <f t="shared" si="2"/>
        <v>8.4888283815167786E-3</v>
      </c>
      <c r="AA30">
        <v>338443</v>
      </c>
      <c r="AB30">
        <v>27160</v>
      </c>
      <c r="AC30">
        <v>15739120</v>
      </c>
      <c r="AD30" t="s">
        <v>5</v>
      </c>
      <c r="AE30">
        <v>29</v>
      </c>
      <c r="AF30">
        <v>5</v>
      </c>
      <c r="AH30" t="s">
        <v>7041</v>
      </c>
      <c r="AL30">
        <v>0</v>
      </c>
      <c r="AM30" s="5">
        <f t="shared" si="10"/>
        <v>0</v>
      </c>
      <c r="AN30" s="4">
        <f t="shared" si="4"/>
        <v>0</v>
      </c>
      <c r="AO30" s="3"/>
      <c r="AP30">
        <v>0</v>
      </c>
      <c r="AR30" t="s">
        <v>1</v>
      </c>
      <c r="AT30" s="2">
        <v>0.77</v>
      </c>
      <c r="AU30" s="1">
        <f t="shared" si="11"/>
        <v>0.59421798670617454</v>
      </c>
      <c r="AV30" s="1">
        <f t="shared" si="12"/>
        <v>0.42444141907583893</v>
      </c>
      <c r="AW30" s="1">
        <f t="shared" si="13"/>
        <v>0.25466485144550338</v>
      </c>
    </row>
    <row r="31" spans="1:49" x14ac:dyDescent="0.2">
      <c r="A31">
        <v>29</v>
      </c>
      <c r="B31" t="s">
        <v>7040</v>
      </c>
      <c r="C31" t="s">
        <v>7039</v>
      </c>
      <c r="F31" t="s">
        <v>7038</v>
      </c>
      <c r="G31" t="s">
        <v>16</v>
      </c>
      <c r="H31" t="s">
        <v>15</v>
      </c>
      <c r="I31" t="s">
        <v>7037</v>
      </c>
      <c r="N31">
        <v>4</v>
      </c>
      <c r="O31" t="s">
        <v>7036</v>
      </c>
      <c r="P31" t="s">
        <v>7035</v>
      </c>
      <c r="Q31" t="s">
        <v>1031</v>
      </c>
      <c r="R31" s="7">
        <v>31533</v>
      </c>
      <c r="S31" s="8">
        <f t="shared" si="8"/>
        <v>1986</v>
      </c>
      <c r="T31" s="8">
        <v>1986</v>
      </c>
      <c r="U31" s="8">
        <f t="shared" si="9"/>
        <v>36</v>
      </c>
      <c r="V31" s="7">
        <v>31533</v>
      </c>
      <c r="W31" t="s">
        <v>633</v>
      </c>
      <c r="X31" s="2">
        <v>0.318</v>
      </c>
      <c r="Y31" s="6">
        <f t="shared" si="2"/>
        <v>8.4888283815167786E-3</v>
      </c>
      <c r="AA31">
        <v>338443</v>
      </c>
      <c r="AB31">
        <v>27160</v>
      </c>
      <c r="AC31">
        <v>15739120</v>
      </c>
      <c r="AD31" t="s">
        <v>5</v>
      </c>
      <c r="AE31">
        <v>29</v>
      </c>
      <c r="AF31">
        <v>5</v>
      </c>
      <c r="AH31" t="s">
        <v>7034</v>
      </c>
      <c r="AL31">
        <v>2</v>
      </c>
      <c r="AM31" s="5">
        <f t="shared" si="10"/>
        <v>5.5555555555555552E-2</v>
      </c>
      <c r="AN31" s="4">
        <f t="shared" si="4"/>
        <v>8.4143211746392349E-5</v>
      </c>
      <c r="AO31" s="3"/>
      <c r="AP31">
        <v>0</v>
      </c>
      <c r="AR31" t="s">
        <v>1</v>
      </c>
      <c r="AT31" s="2">
        <v>0.77</v>
      </c>
      <c r="AU31" s="1">
        <f t="shared" si="11"/>
        <v>0.59674228305856625</v>
      </c>
      <c r="AV31" s="1">
        <f t="shared" si="12"/>
        <v>0.42864857966315856</v>
      </c>
      <c r="AW31" s="1">
        <f t="shared" si="13"/>
        <v>0.26055487626775081</v>
      </c>
    </row>
    <row r="32" spans="1:49" x14ac:dyDescent="0.2">
      <c r="A32">
        <v>30</v>
      </c>
      <c r="B32" t="s">
        <v>7033</v>
      </c>
      <c r="F32" t="s">
        <v>7032</v>
      </c>
      <c r="G32" t="s">
        <v>16</v>
      </c>
      <c r="H32" t="s">
        <v>15</v>
      </c>
      <c r="I32" t="s">
        <v>7031</v>
      </c>
      <c r="N32">
        <v>1</v>
      </c>
      <c r="O32" t="s">
        <v>7030</v>
      </c>
      <c r="P32">
        <v>6603869177</v>
      </c>
      <c r="R32" s="7">
        <v>31533</v>
      </c>
      <c r="S32" s="8">
        <f t="shared" si="8"/>
        <v>1986</v>
      </c>
      <c r="T32" s="8">
        <v>1986</v>
      </c>
      <c r="U32" s="8">
        <f t="shared" si="9"/>
        <v>36</v>
      </c>
      <c r="V32" s="7">
        <v>31533</v>
      </c>
      <c r="W32" t="s">
        <v>857</v>
      </c>
      <c r="X32" s="2" t="s">
        <v>0</v>
      </c>
      <c r="Y32" s="6" t="e">
        <f t="shared" si="2"/>
        <v>#VALUE!</v>
      </c>
      <c r="AA32">
        <v>87566648</v>
      </c>
      <c r="AB32">
        <v>74127</v>
      </c>
      <c r="AD32" t="s">
        <v>5</v>
      </c>
      <c r="AE32">
        <v>31</v>
      </c>
      <c r="AF32">
        <v>5</v>
      </c>
      <c r="AH32" t="s">
        <v>7029</v>
      </c>
      <c r="AI32" t="s">
        <v>7028</v>
      </c>
      <c r="AK32" t="s">
        <v>7027</v>
      </c>
      <c r="AL32">
        <v>0</v>
      </c>
      <c r="AM32" s="5">
        <f t="shared" si="10"/>
        <v>0</v>
      </c>
      <c r="AN32" s="4">
        <f t="shared" si="4"/>
        <v>0</v>
      </c>
      <c r="AO32" s="3"/>
      <c r="AP32">
        <v>0</v>
      </c>
      <c r="AR32" t="s">
        <v>1</v>
      </c>
      <c r="AT32" s="2" t="s">
        <v>0</v>
      </c>
      <c r="AU32" s="1" t="e">
        <f t="shared" si="11"/>
        <v>#VALUE!</v>
      </c>
      <c r="AV32" s="1" t="e">
        <f t="shared" si="12"/>
        <v>#VALUE!</v>
      </c>
      <c r="AW32" s="1" t="e">
        <f t="shared" si="13"/>
        <v>#VALUE!</v>
      </c>
    </row>
    <row r="33" spans="1:49" x14ac:dyDescent="0.2">
      <c r="A33">
        <v>31</v>
      </c>
      <c r="B33" t="s">
        <v>7026</v>
      </c>
      <c r="F33" t="s">
        <v>7025</v>
      </c>
      <c r="G33" t="s">
        <v>16</v>
      </c>
      <c r="H33" t="s">
        <v>15</v>
      </c>
      <c r="I33" t="s">
        <v>7024</v>
      </c>
      <c r="N33">
        <v>1</v>
      </c>
      <c r="O33" t="s">
        <v>7023</v>
      </c>
      <c r="P33">
        <v>7006461984</v>
      </c>
      <c r="R33" s="7">
        <v>31533</v>
      </c>
      <c r="S33" s="8">
        <f t="shared" si="8"/>
        <v>1986</v>
      </c>
      <c r="T33" s="8">
        <v>1986</v>
      </c>
      <c r="U33" s="8">
        <f t="shared" si="9"/>
        <v>36</v>
      </c>
      <c r="V33" s="7">
        <v>31533</v>
      </c>
      <c r="W33" t="s">
        <v>857</v>
      </c>
      <c r="X33" s="2" t="s">
        <v>0</v>
      </c>
      <c r="Y33" s="6" t="e">
        <f t="shared" si="2"/>
        <v>#VALUE!</v>
      </c>
      <c r="AA33">
        <v>87566648</v>
      </c>
      <c r="AB33">
        <v>74127</v>
      </c>
      <c r="AD33" t="s">
        <v>5</v>
      </c>
      <c r="AE33">
        <v>31</v>
      </c>
      <c r="AF33">
        <v>5</v>
      </c>
      <c r="AH33" t="s">
        <v>7022</v>
      </c>
      <c r="AI33" t="s">
        <v>7021</v>
      </c>
      <c r="AK33" t="s">
        <v>7020</v>
      </c>
      <c r="AL33">
        <v>1</v>
      </c>
      <c r="AM33" s="5">
        <f t="shared" si="10"/>
        <v>2.7777777777777776E-2</v>
      </c>
      <c r="AN33" s="4">
        <f t="shared" si="4"/>
        <v>4.2071605873196175E-5</v>
      </c>
      <c r="AO33" s="3"/>
      <c r="AP33">
        <v>0</v>
      </c>
      <c r="AR33" t="s">
        <v>1</v>
      </c>
      <c r="AT33" s="2" t="s">
        <v>0</v>
      </c>
      <c r="AU33" s="1" t="e">
        <f t="shared" si="11"/>
        <v>#VALUE!</v>
      </c>
      <c r="AV33" s="1" t="e">
        <f t="shared" si="12"/>
        <v>#VALUE!</v>
      </c>
      <c r="AW33" s="1" t="e">
        <f t="shared" si="13"/>
        <v>#VALUE!</v>
      </c>
    </row>
    <row r="34" spans="1:49" x14ac:dyDescent="0.2">
      <c r="A34">
        <v>32</v>
      </c>
      <c r="B34" t="s">
        <v>7019</v>
      </c>
      <c r="F34" t="s">
        <v>7018</v>
      </c>
      <c r="G34" t="s">
        <v>16</v>
      </c>
      <c r="H34" t="s">
        <v>15</v>
      </c>
      <c r="I34" t="s">
        <v>7017</v>
      </c>
      <c r="N34">
        <v>2</v>
      </c>
      <c r="O34" t="s">
        <v>7016</v>
      </c>
      <c r="P34" t="s">
        <v>7015</v>
      </c>
      <c r="Q34" t="s">
        <v>313</v>
      </c>
      <c r="R34" s="7">
        <v>31533</v>
      </c>
      <c r="S34" s="8">
        <f t="shared" si="8"/>
        <v>1986</v>
      </c>
      <c r="T34" s="8">
        <v>1986</v>
      </c>
      <c r="U34" s="8">
        <f t="shared" si="9"/>
        <v>36</v>
      </c>
      <c r="V34" s="7">
        <v>31533</v>
      </c>
      <c r="W34" t="s">
        <v>857</v>
      </c>
      <c r="X34" s="2" t="s">
        <v>0</v>
      </c>
      <c r="Y34" s="6" t="e">
        <f t="shared" si="2"/>
        <v>#VALUE!</v>
      </c>
      <c r="AA34">
        <v>87566648</v>
      </c>
      <c r="AB34">
        <v>74127</v>
      </c>
      <c r="AD34" t="s">
        <v>5</v>
      </c>
      <c r="AE34">
        <v>31</v>
      </c>
      <c r="AF34">
        <v>5</v>
      </c>
      <c r="AH34" s="10">
        <v>41487</v>
      </c>
      <c r="AI34" t="s">
        <v>7014</v>
      </c>
      <c r="AK34" t="s">
        <v>7013</v>
      </c>
      <c r="AL34">
        <v>3</v>
      </c>
      <c r="AM34" s="5">
        <f t="shared" si="10"/>
        <v>8.3333333333333329E-2</v>
      </c>
      <c r="AN34" s="4">
        <f t="shared" si="4"/>
        <v>1.2621481761958852E-4</v>
      </c>
      <c r="AO34" s="3"/>
      <c r="AP34">
        <v>0</v>
      </c>
      <c r="AR34" t="s">
        <v>1</v>
      </c>
      <c r="AT34" s="2" t="s">
        <v>0</v>
      </c>
      <c r="AU34" s="1" t="e">
        <f t="shared" si="11"/>
        <v>#VALUE!</v>
      </c>
      <c r="AV34" s="1" t="e">
        <f t="shared" si="12"/>
        <v>#VALUE!</v>
      </c>
      <c r="AW34" s="1" t="e">
        <f t="shared" si="13"/>
        <v>#VALUE!</v>
      </c>
    </row>
    <row r="35" spans="1:49" x14ac:dyDescent="0.2">
      <c r="A35">
        <v>33</v>
      </c>
      <c r="B35" t="s">
        <v>7012</v>
      </c>
      <c r="C35" t="s">
        <v>7011</v>
      </c>
      <c r="F35" t="s">
        <v>7010</v>
      </c>
      <c r="G35" t="s">
        <v>16</v>
      </c>
      <c r="H35" t="s">
        <v>15</v>
      </c>
      <c r="I35" t="s">
        <v>7009</v>
      </c>
      <c r="N35">
        <v>2</v>
      </c>
      <c r="O35" t="s">
        <v>7008</v>
      </c>
      <c r="P35" t="s">
        <v>7007</v>
      </c>
      <c r="Q35" t="s">
        <v>313</v>
      </c>
      <c r="R35" s="7">
        <v>31533</v>
      </c>
      <c r="S35" s="8">
        <f t="shared" si="8"/>
        <v>1986</v>
      </c>
      <c r="T35" s="8">
        <v>1986</v>
      </c>
      <c r="U35" s="8">
        <f t="shared" si="9"/>
        <v>36</v>
      </c>
      <c r="V35" s="7">
        <v>31533</v>
      </c>
      <c r="W35" t="s">
        <v>633</v>
      </c>
      <c r="X35" s="2">
        <v>0.318</v>
      </c>
      <c r="Y35" s="6">
        <f t="shared" si="2"/>
        <v>8.4888283815167786E-3</v>
      </c>
      <c r="AA35">
        <v>338443</v>
      </c>
      <c r="AB35">
        <v>27160</v>
      </c>
      <c r="AC35">
        <v>15739120</v>
      </c>
      <c r="AD35" t="s">
        <v>5</v>
      </c>
      <c r="AE35">
        <v>29</v>
      </c>
      <c r="AF35">
        <v>5</v>
      </c>
      <c r="AH35" t="s">
        <v>1883</v>
      </c>
      <c r="AL35">
        <v>0</v>
      </c>
      <c r="AM35" s="5">
        <f t="shared" si="10"/>
        <v>0</v>
      </c>
      <c r="AN35" s="4">
        <f t="shared" si="4"/>
        <v>0</v>
      </c>
      <c r="AO35" s="3"/>
      <c r="AP35">
        <v>0</v>
      </c>
      <c r="AR35" t="s">
        <v>1</v>
      </c>
      <c r="AT35" s="2">
        <v>0.77</v>
      </c>
      <c r="AU35" s="1">
        <f t="shared" si="11"/>
        <v>0.59421798670617454</v>
      </c>
      <c r="AV35" s="1">
        <f t="shared" si="12"/>
        <v>0.42444141907583893</v>
      </c>
      <c r="AW35" s="1">
        <f t="shared" si="13"/>
        <v>0.25466485144550338</v>
      </c>
    </row>
    <row r="36" spans="1:49" x14ac:dyDescent="0.2">
      <c r="A36">
        <v>34</v>
      </c>
      <c r="B36" t="s">
        <v>7006</v>
      </c>
      <c r="C36" t="s">
        <v>7005</v>
      </c>
      <c r="E36">
        <v>3521878</v>
      </c>
      <c r="F36" t="s">
        <v>7004</v>
      </c>
      <c r="G36" t="s">
        <v>16</v>
      </c>
      <c r="H36" t="s">
        <v>15</v>
      </c>
      <c r="I36" t="s">
        <v>7003</v>
      </c>
      <c r="J36">
        <v>60030162</v>
      </c>
      <c r="K36" t="s">
        <v>7002</v>
      </c>
      <c r="L36" t="s">
        <v>553</v>
      </c>
      <c r="M36" t="s">
        <v>114</v>
      </c>
      <c r="N36">
        <v>5</v>
      </c>
      <c r="O36" t="s">
        <v>7001</v>
      </c>
      <c r="P36" t="s">
        <v>7000</v>
      </c>
      <c r="Q36" t="s">
        <v>6999</v>
      </c>
      <c r="R36" s="7">
        <v>31533</v>
      </c>
      <c r="S36" s="8">
        <f t="shared" si="8"/>
        <v>1986</v>
      </c>
      <c r="T36" s="8">
        <v>1986</v>
      </c>
      <c r="U36" s="8">
        <f t="shared" si="9"/>
        <v>36</v>
      </c>
      <c r="V36" s="7">
        <v>31533</v>
      </c>
      <c r="W36" t="s">
        <v>6998</v>
      </c>
      <c r="X36" s="2">
        <v>1.64</v>
      </c>
      <c r="Y36" s="6">
        <f t="shared" si="2"/>
        <v>4.3778863351218597E-2</v>
      </c>
      <c r="AA36" t="s">
        <v>6997</v>
      </c>
      <c r="AB36">
        <v>18446</v>
      </c>
      <c r="AC36">
        <v>14320878</v>
      </c>
      <c r="AD36" t="s">
        <v>5</v>
      </c>
      <c r="AE36">
        <v>244</v>
      </c>
      <c r="AF36">
        <v>2</v>
      </c>
      <c r="AH36" t="s">
        <v>6996</v>
      </c>
      <c r="AI36" t="s">
        <v>6995</v>
      </c>
      <c r="AJ36" t="s">
        <v>6994</v>
      </c>
      <c r="AK36" t="s">
        <v>6993</v>
      </c>
      <c r="AL36">
        <v>165</v>
      </c>
      <c r="AM36" s="5">
        <f t="shared" si="10"/>
        <v>4.583333333333333</v>
      </c>
      <c r="AN36" s="4">
        <f t="shared" si="4"/>
        <v>6.9418149690773688E-3</v>
      </c>
      <c r="AO36" s="3"/>
      <c r="AP36">
        <v>0</v>
      </c>
      <c r="AR36" t="s">
        <v>1</v>
      </c>
      <c r="AT36" s="2">
        <v>5.2489999999999997</v>
      </c>
      <c r="AU36" s="1">
        <f t="shared" si="11"/>
        <v>3.2727748836576227</v>
      </c>
      <c r="AV36" s="1">
        <f t="shared" si="12"/>
        <v>2.5360339160147984</v>
      </c>
      <c r="AW36" s="1">
        <f t="shared" si="13"/>
        <v>1.7992929483719735</v>
      </c>
    </row>
    <row r="37" spans="1:49" x14ac:dyDescent="0.2">
      <c r="A37">
        <v>35</v>
      </c>
      <c r="B37" t="s">
        <v>6992</v>
      </c>
      <c r="C37" t="s">
        <v>6991</v>
      </c>
      <c r="F37" t="s">
        <v>6990</v>
      </c>
      <c r="G37" t="s">
        <v>16</v>
      </c>
      <c r="H37" t="s">
        <v>15</v>
      </c>
      <c r="I37" t="s">
        <v>6989</v>
      </c>
      <c r="J37">
        <v>60029526</v>
      </c>
      <c r="K37" t="s">
        <v>6988</v>
      </c>
      <c r="L37" t="s">
        <v>6987</v>
      </c>
      <c r="M37" t="s">
        <v>114</v>
      </c>
      <c r="N37">
        <v>3</v>
      </c>
      <c r="O37" t="s">
        <v>6986</v>
      </c>
      <c r="P37" t="s">
        <v>6985</v>
      </c>
      <c r="Q37" t="s">
        <v>6984</v>
      </c>
      <c r="R37" s="7">
        <v>31533</v>
      </c>
      <c r="S37" s="8">
        <f t="shared" si="8"/>
        <v>1986</v>
      </c>
      <c r="T37" s="8">
        <v>1986</v>
      </c>
      <c r="U37" s="8">
        <f t="shared" si="9"/>
        <v>36</v>
      </c>
      <c r="V37" s="7">
        <v>31533</v>
      </c>
      <c r="W37" t="s">
        <v>6983</v>
      </c>
      <c r="X37" s="2">
        <v>0.67100000000000004</v>
      </c>
      <c r="Y37" s="6">
        <f t="shared" si="2"/>
        <v>1.7911961773577855E-2</v>
      </c>
      <c r="AA37">
        <v>138746</v>
      </c>
      <c r="AB37">
        <v>19811</v>
      </c>
      <c r="AD37" t="s">
        <v>5</v>
      </c>
      <c r="AE37">
        <v>79</v>
      </c>
      <c r="AF37">
        <v>3</v>
      </c>
      <c r="AH37" t="s">
        <v>6982</v>
      </c>
      <c r="AI37" t="s">
        <v>6981</v>
      </c>
      <c r="AJ37" t="s">
        <v>6980</v>
      </c>
      <c r="AK37" t="s">
        <v>6979</v>
      </c>
      <c r="AL37">
        <v>25</v>
      </c>
      <c r="AM37" s="5">
        <f t="shared" si="10"/>
        <v>0.69444444444444442</v>
      </c>
      <c r="AN37" s="4">
        <f t="shared" si="4"/>
        <v>1.0517901468299045E-3</v>
      </c>
      <c r="AO37" s="3"/>
      <c r="AP37">
        <v>0</v>
      </c>
      <c r="AQ37" t="s">
        <v>2442</v>
      </c>
      <c r="AR37" t="s">
        <v>1</v>
      </c>
      <c r="AS37" t="s">
        <v>2440</v>
      </c>
      <c r="AT37" s="2" t="s">
        <v>0</v>
      </c>
      <c r="AU37" s="1">
        <f t="shared" si="11"/>
        <v>1.2853910285553469</v>
      </c>
      <c r="AV37" s="1">
        <f t="shared" si="12"/>
        <v>0.94818759602038793</v>
      </c>
      <c r="AW37" s="1">
        <f t="shared" si="13"/>
        <v>0.61098416348542894</v>
      </c>
    </row>
    <row r="38" spans="1:49" x14ac:dyDescent="0.2">
      <c r="A38">
        <v>36</v>
      </c>
      <c r="B38" t="s">
        <v>6978</v>
      </c>
      <c r="C38" t="s">
        <v>6977</v>
      </c>
      <c r="D38">
        <v>14579386804860</v>
      </c>
      <c r="F38" t="s">
        <v>6976</v>
      </c>
      <c r="G38" t="s">
        <v>16</v>
      </c>
      <c r="H38" t="s">
        <v>15</v>
      </c>
      <c r="I38" t="s">
        <v>6975</v>
      </c>
      <c r="J38" t="s">
        <v>6974</v>
      </c>
      <c r="K38" t="s">
        <v>6973</v>
      </c>
      <c r="L38" t="s">
        <v>6972</v>
      </c>
      <c r="M38" t="s">
        <v>6971</v>
      </c>
      <c r="N38">
        <v>3</v>
      </c>
      <c r="O38" t="s">
        <v>6970</v>
      </c>
      <c r="P38" t="s">
        <v>6969</v>
      </c>
      <c r="Q38" t="s">
        <v>6968</v>
      </c>
      <c r="R38" s="7">
        <v>31523</v>
      </c>
      <c r="S38" s="8">
        <f t="shared" si="8"/>
        <v>1986</v>
      </c>
      <c r="T38" s="8">
        <v>1986</v>
      </c>
      <c r="U38" s="8">
        <f t="shared" si="9"/>
        <v>36</v>
      </c>
      <c r="V38" s="7">
        <v>31523</v>
      </c>
      <c r="W38" t="s">
        <v>6783</v>
      </c>
      <c r="X38" s="2">
        <v>1.593</v>
      </c>
      <c r="Y38" s="6">
        <f t="shared" si="2"/>
        <v>4.2524225194201973E-2</v>
      </c>
      <c r="AA38">
        <v>145793</v>
      </c>
      <c r="AB38">
        <v>17481</v>
      </c>
      <c r="AD38" t="s">
        <v>5</v>
      </c>
      <c r="AE38">
        <v>199</v>
      </c>
      <c r="AF38">
        <v>2</v>
      </c>
      <c r="AH38" t="s">
        <v>6967</v>
      </c>
      <c r="AI38" t="s">
        <v>6966</v>
      </c>
      <c r="AJ38" t="s">
        <v>6965</v>
      </c>
      <c r="AK38" t="s">
        <v>6964</v>
      </c>
      <c r="AL38">
        <v>41</v>
      </c>
      <c r="AM38" s="5">
        <f t="shared" si="10"/>
        <v>1.1388888888888888</v>
      </c>
      <c r="AN38" s="4">
        <f t="shared" si="4"/>
        <v>1.7249358408010433E-3</v>
      </c>
      <c r="AO38" s="3"/>
      <c r="AP38">
        <v>1</v>
      </c>
      <c r="AR38" t="s">
        <v>1</v>
      </c>
      <c r="AT38" s="2">
        <v>4.1239999999999997</v>
      </c>
      <c r="AU38" s="1">
        <f t="shared" si="11"/>
        <v>3.0284438388181694</v>
      </c>
      <c r="AV38" s="1">
        <f t="shared" si="12"/>
        <v>2.2124580517501506</v>
      </c>
      <c r="AW38" s="1">
        <f t="shared" si="13"/>
        <v>1.3964722646821321</v>
      </c>
    </row>
    <row r="39" spans="1:49" x14ac:dyDescent="0.2">
      <c r="A39">
        <v>37</v>
      </c>
      <c r="B39" t="s">
        <v>6963</v>
      </c>
      <c r="C39" t="s">
        <v>6962</v>
      </c>
      <c r="D39" t="s">
        <v>6961</v>
      </c>
      <c r="F39" t="s">
        <v>6960</v>
      </c>
      <c r="G39" t="s">
        <v>16</v>
      </c>
      <c r="H39" t="s">
        <v>15</v>
      </c>
      <c r="I39" t="s">
        <v>6959</v>
      </c>
      <c r="J39" t="s">
        <v>6958</v>
      </c>
      <c r="K39" t="s">
        <v>6957</v>
      </c>
      <c r="L39" t="s">
        <v>6956</v>
      </c>
      <c r="M39" t="s">
        <v>783</v>
      </c>
      <c r="N39">
        <v>2</v>
      </c>
      <c r="O39" t="s">
        <v>6955</v>
      </c>
      <c r="P39" t="s">
        <v>6954</v>
      </c>
      <c r="Q39" t="s">
        <v>6953</v>
      </c>
      <c r="R39" s="7">
        <v>31510</v>
      </c>
      <c r="S39" s="8">
        <f t="shared" si="8"/>
        <v>1986</v>
      </c>
      <c r="T39" s="8">
        <v>1986</v>
      </c>
      <c r="U39" s="8">
        <f t="shared" si="9"/>
        <v>36</v>
      </c>
      <c r="V39" s="7">
        <v>31510</v>
      </c>
      <c r="W39" t="s">
        <v>6800</v>
      </c>
      <c r="X39" s="2">
        <v>1.3149999999999999</v>
      </c>
      <c r="Y39" s="6">
        <f t="shared" si="2"/>
        <v>3.5103173967592965E-2</v>
      </c>
      <c r="AA39" t="s">
        <v>6799</v>
      </c>
      <c r="AB39">
        <v>13030</v>
      </c>
      <c r="AC39">
        <v>10958568</v>
      </c>
      <c r="AD39" t="s">
        <v>5</v>
      </c>
      <c r="AE39">
        <v>106</v>
      </c>
      <c r="AF39">
        <v>1</v>
      </c>
      <c r="AH39" t="s">
        <v>6952</v>
      </c>
      <c r="AI39" t="s">
        <v>6951</v>
      </c>
      <c r="AK39" t="s">
        <v>6950</v>
      </c>
      <c r="AL39">
        <v>1</v>
      </c>
      <c r="AM39" s="5">
        <f t="shared" si="10"/>
        <v>2.7777777777777776E-2</v>
      </c>
      <c r="AN39" s="4">
        <f t="shared" si="4"/>
        <v>4.2071605873196175E-5</v>
      </c>
      <c r="AO39" s="3"/>
      <c r="AP39">
        <v>0</v>
      </c>
      <c r="AR39" t="s">
        <v>1</v>
      </c>
      <c r="AT39" s="2">
        <v>3.6549999999999998</v>
      </c>
      <c r="AU39" s="1">
        <f t="shared" si="11"/>
        <v>2.4584843259077034</v>
      </c>
      <c r="AV39" s="1">
        <f t="shared" si="12"/>
        <v>1.7572622786733081</v>
      </c>
      <c r="AW39" s="1">
        <f t="shared" si="13"/>
        <v>1.0560402314389126</v>
      </c>
    </row>
    <row r="40" spans="1:49" x14ac:dyDescent="0.2">
      <c r="A40">
        <v>38</v>
      </c>
      <c r="B40" t="s">
        <v>6949</v>
      </c>
      <c r="C40" t="s">
        <v>6948</v>
      </c>
      <c r="F40" t="s">
        <v>6947</v>
      </c>
      <c r="G40" t="s">
        <v>16</v>
      </c>
      <c r="H40" t="s">
        <v>15</v>
      </c>
      <c r="I40" t="s">
        <v>6946</v>
      </c>
      <c r="J40" t="s">
        <v>6945</v>
      </c>
      <c r="K40" t="s">
        <v>6944</v>
      </c>
      <c r="L40" t="s">
        <v>6943</v>
      </c>
      <c r="M40" t="s">
        <v>783</v>
      </c>
      <c r="N40">
        <v>1</v>
      </c>
      <c r="O40" t="s">
        <v>6942</v>
      </c>
      <c r="P40">
        <v>7101854617</v>
      </c>
      <c r="Q40" t="s">
        <v>6941</v>
      </c>
      <c r="R40" s="7">
        <v>31503</v>
      </c>
      <c r="S40" s="8">
        <f t="shared" si="8"/>
        <v>1986</v>
      </c>
      <c r="T40" s="8">
        <v>1986</v>
      </c>
      <c r="U40" s="8">
        <f t="shared" si="9"/>
        <v>36</v>
      </c>
      <c r="V40" s="7">
        <v>31503</v>
      </c>
      <c r="W40" t="s">
        <v>6940</v>
      </c>
      <c r="X40" s="2">
        <v>0.80300000000000005</v>
      </c>
      <c r="Y40" s="6">
        <f t="shared" si="2"/>
        <v>2.1435626384773501E-2</v>
      </c>
      <c r="AA40">
        <v>10847529</v>
      </c>
      <c r="AB40">
        <v>12320</v>
      </c>
      <c r="AC40">
        <v>15208532</v>
      </c>
      <c r="AD40" t="s">
        <v>5</v>
      </c>
      <c r="AE40">
        <v>3</v>
      </c>
      <c r="AF40">
        <v>4</v>
      </c>
      <c r="AH40" t="s">
        <v>6939</v>
      </c>
      <c r="AI40" t="s">
        <v>6938</v>
      </c>
      <c r="AK40" t="s">
        <v>6937</v>
      </c>
      <c r="AL40">
        <v>72</v>
      </c>
      <c r="AM40" s="5">
        <f t="shared" si="10"/>
        <v>2</v>
      </c>
      <c r="AN40" s="4">
        <f t="shared" si="4"/>
        <v>3.0291556228701248E-3</v>
      </c>
      <c r="AO40" s="3"/>
      <c r="AP40">
        <v>0</v>
      </c>
      <c r="AR40" t="s">
        <v>1</v>
      </c>
      <c r="AT40" s="2" t="s">
        <v>0</v>
      </c>
      <c r="AU40" s="1">
        <f t="shared" si="11"/>
        <v>1.5913685156202488</v>
      </c>
      <c r="AV40" s="1">
        <f t="shared" si="12"/>
        <v>1.2232391003821812</v>
      </c>
      <c r="AW40" s="1">
        <f t="shared" si="13"/>
        <v>0.85510968514411378</v>
      </c>
    </row>
    <row r="41" spans="1:49" x14ac:dyDescent="0.2">
      <c r="A41">
        <v>39</v>
      </c>
      <c r="B41" t="s">
        <v>6936</v>
      </c>
      <c r="C41" t="s">
        <v>6935</v>
      </c>
      <c r="F41" t="s">
        <v>6934</v>
      </c>
      <c r="G41" t="s">
        <v>16</v>
      </c>
      <c r="H41" t="s">
        <v>15</v>
      </c>
      <c r="I41" t="s">
        <v>6933</v>
      </c>
      <c r="J41" t="s">
        <v>6932</v>
      </c>
      <c r="K41" t="s">
        <v>6931</v>
      </c>
      <c r="L41" t="s">
        <v>6930</v>
      </c>
      <c r="M41" t="s">
        <v>1667</v>
      </c>
      <c r="N41">
        <v>5</v>
      </c>
      <c r="O41" t="s">
        <v>6929</v>
      </c>
      <c r="P41" t="s">
        <v>6928</v>
      </c>
      <c r="Q41" t="s">
        <v>6927</v>
      </c>
      <c r="R41" s="7">
        <v>31503</v>
      </c>
      <c r="S41" s="8">
        <f t="shared" si="8"/>
        <v>1986</v>
      </c>
      <c r="T41" s="8">
        <v>1986</v>
      </c>
      <c r="U41" s="8">
        <f t="shared" si="9"/>
        <v>36</v>
      </c>
      <c r="V41" s="7">
        <v>31503</v>
      </c>
      <c r="W41" t="s">
        <v>6926</v>
      </c>
      <c r="X41" s="2">
        <v>1.2529999999999999</v>
      </c>
      <c r="Y41" s="6">
        <f t="shared" si="2"/>
        <v>3.3448119377485916E-2</v>
      </c>
      <c r="AA41">
        <v>320935</v>
      </c>
      <c r="AB41">
        <v>16646</v>
      </c>
      <c r="AC41">
        <v>14322048</v>
      </c>
      <c r="AD41" t="s">
        <v>5</v>
      </c>
      <c r="AE41">
        <v>167</v>
      </c>
      <c r="AF41">
        <v>4</v>
      </c>
      <c r="AH41" t="s">
        <v>6925</v>
      </c>
      <c r="AI41" t="s">
        <v>6924</v>
      </c>
      <c r="AJ41" t="s">
        <v>6923</v>
      </c>
      <c r="AK41" t="s">
        <v>6922</v>
      </c>
      <c r="AL41">
        <v>19</v>
      </c>
      <c r="AM41" s="5">
        <f t="shared" si="10"/>
        <v>0.52777777777777779</v>
      </c>
      <c r="AN41" s="4">
        <f t="shared" si="4"/>
        <v>7.993605115907274E-4</v>
      </c>
      <c r="AO41" s="3"/>
      <c r="AP41">
        <v>0</v>
      </c>
      <c r="AR41" t="s">
        <v>1</v>
      </c>
      <c r="AT41" s="2">
        <v>4.1159999999999997</v>
      </c>
      <c r="AU41" s="1">
        <f t="shared" si="11"/>
        <v>2.3653491717717356</v>
      </c>
      <c r="AV41" s="1">
        <f t="shared" si="12"/>
        <v>1.7123739944538321</v>
      </c>
      <c r="AW41" s="1">
        <f t="shared" si="13"/>
        <v>1.0593988171359283</v>
      </c>
    </row>
    <row r="42" spans="1:49" x14ac:dyDescent="0.2">
      <c r="A42">
        <v>40</v>
      </c>
      <c r="B42" t="s">
        <v>6921</v>
      </c>
      <c r="C42" t="s">
        <v>6920</v>
      </c>
      <c r="F42" t="s">
        <v>6919</v>
      </c>
      <c r="G42" t="s">
        <v>16</v>
      </c>
      <c r="H42" t="s">
        <v>15</v>
      </c>
      <c r="I42" t="s">
        <v>6918</v>
      </c>
      <c r="J42">
        <v>60005837</v>
      </c>
      <c r="K42" t="s">
        <v>6917</v>
      </c>
      <c r="L42" t="s">
        <v>6916</v>
      </c>
      <c r="M42" t="s">
        <v>114</v>
      </c>
      <c r="N42">
        <v>2</v>
      </c>
      <c r="O42" t="s">
        <v>6915</v>
      </c>
      <c r="P42" t="s">
        <v>6914</v>
      </c>
      <c r="Q42" t="s">
        <v>6913</v>
      </c>
      <c r="R42" s="7">
        <v>31503</v>
      </c>
      <c r="S42" s="8">
        <f t="shared" si="8"/>
        <v>1986</v>
      </c>
      <c r="T42" s="8">
        <v>1986</v>
      </c>
      <c r="U42" s="8">
        <f t="shared" si="9"/>
        <v>36</v>
      </c>
      <c r="V42" s="7">
        <v>31503</v>
      </c>
      <c r="W42" t="s">
        <v>624</v>
      </c>
      <c r="X42" s="2">
        <v>0.61499999999999999</v>
      </c>
      <c r="Y42" s="6">
        <f t="shared" si="2"/>
        <v>1.6417073756706976E-2</v>
      </c>
      <c r="AA42">
        <v>1959271</v>
      </c>
      <c r="AB42">
        <v>12141</v>
      </c>
      <c r="AC42">
        <v>15729559</v>
      </c>
      <c r="AD42" t="s">
        <v>5</v>
      </c>
      <c r="AE42">
        <v>7</v>
      </c>
      <c r="AF42">
        <v>4</v>
      </c>
      <c r="AH42" t="s">
        <v>6912</v>
      </c>
      <c r="AI42" t="s">
        <v>6911</v>
      </c>
      <c r="AK42" t="s">
        <v>6910</v>
      </c>
      <c r="AL42">
        <v>7</v>
      </c>
      <c r="AM42" s="5">
        <f t="shared" si="10"/>
        <v>0.19444444444444445</v>
      </c>
      <c r="AN42" s="4">
        <f t="shared" si="4"/>
        <v>2.9450124111237325E-4</v>
      </c>
      <c r="AO42" s="3"/>
      <c r="AP42">
        <v>0</v>
      </c>
      <c r="AR42" t="s">
        <v>1</v>
      </c>
      <c r="AT42" s="2" t="s">
        <v>0</v>
      </c>
      <c r="AU42" s="1">
        <f t="shared" si="11"/>
        <v>1.1580302002028593</v>
      </c>
      <c r="AV42" s="1">
        <f t="shared" si="12"/>
        <v>0.83557874989096736</v>
      </c>
      <c r="AW42" s="1">
        <f t="shared" si="13"/>
        <v>0.51312729957907532</v>
      </c>
    </row>
    <row r="43" spans="1:49" x14ac:dyDescent="0.2">
      <c r="A43">
        <v>41</v>
      </c>
      <c r="B43" t="s">
        <v>6909</v>
      </c>
      <c r="F43" t="s">
        <v>6908</v>
      </c>
      <c r="G43" t="s">
        <v>16</v>
      </c>
      <c r="H43" t="s">
        <v>15</v>
      </c>
      <c r="I43" t="s">
        <v>6907</v>
      </c>
      <c r="J43">
        <v>60091909</v>
      </c>
      <c r="K43" t="s">
        <v>6906</v>
      </c>
      <c r="L43" t="s">
        <v>1486</v>
      </c>
      <c r="M43" t="s">
        <v>665</v>
      </c>
      <c r="N43">
        <v>1</v>
      </c>
      <c r="O43" t="s">
        <v>6905</v>
      </c>
      <c r="P43">
        <v>7401621736</v>
      </c>
      <c r="Q43">
        <v>60091909</v>
      </c>
      <c r="R43" s="7">
        <v>31503</v>
      </c>
      <c r="S43" s="8">
        <f t="shared" si="8"/>
        <v>1986</v>
      </c>
      <c r="T43" s="8">
        <v>1986</v>
      </c>
      <c r="U43" s="8">
        <f t="shared" si="9"/>
        <v>36</v>
      </c>
      <c r="V43" s="7">
        <v>31503</v>
      </c>
      <c r="W43" t="s">
        <v>6904</v>
      </c>
      <c r="X43" s="2" t="s">
        <v>0</v>
      </c>
      <c r="Y43" s="6" t="e">
        <f t="shared" si="2"/>
        <v>#VALUE!</v>
      </c>
      <c r="AA43">
        <v>10196587</v>
      </c>
      <c r="AB43">
        <v>18354</v>
      </c>
      <c r="AD43" t="s">
        <v>5</v>
      </c>
      <c r="AF43">
        <v>216</v>
      </c>
      <c r="AH43" t="s">
        <v>6903</v>
      </c>
      <c r="AI43" t="s">
        <v>6902</v>
      </c>
      <c r="AK43" t="s">
        <v>6901</v>
      </c>
      <c r="AL43">
        <v>0</v>
      </c>
      <c r="AM43" s="5">
        <f t="shared" si="10"/>
        <v>0</v>
      </c>
      <c r="AN43" s="4">
        <f t="shared" si="4"/>
        <v>0</v>
      </c>
      <c r="AO43" s="3"/>
      <c r="AP43">
        <v>0</v>
      </c>
      <c r="AR43" t="s">
        <v>1</v>
      </c>
      <c r="AT43" s="2" t="s">
        <v>0</v>
      </c>
      <c r="AU43" s="1" t="e">
        <f t="shared" si="11"/>
        <v>#VALUE!</v>
      </c>
      <c r="AV43" s="1" t="e">
        <f t="shared" si="12"/>
        <v>#VALUE!</v>
      </c>
      <c r="AW43" s="1" t="e">
        <f t="shared" si="13"/>
        <v>#VALUE!</v>
      </c>
    </row>
    <row r="44" spans="1:49" x14ac:dyDescent="0.2">
      <c r="A44">
        <v>42</v>
      </c>
      <c r="B44" t="s">
        <v>6900</v>
      </c>
      <c r="F44" t="s">
        <v>6899</v>
      </c>
      <c r="G44" t="s">
        <v>16</v>
      </c>
      <c r="H44" t="s">
        <v>15</v>
      </c>
      <c r="I44" t="s">
        <v>6898</v>
      </c>
      <c r="J44">
        <v>60031126</v>
      </c>
      <c r="K44" t="s">
        <v>2435</v>
      </c>
      <c r="L44" t="s">
        <v>886</v>
      </c>
      <c r="M44" t="s">
        <v>71</v>
      </c>
      <c r="N44">
        <v>3</v>
      </c>
      <c r="O44" t="s">
        <v>6897</v>
      </c>
      <c r="P44" t="s">
        <v>6896</v>
      </c>
      <c r="Q44" t="s">
        <v>3115</v>
      </c>
      <c r="R44" s="7">
        <v>31503</v>
      </c>
      <c r="S44" s="8">
        <f t="shared" si="8"/>
        <v>1986</v>
      </c>
      <c r="T44" s="8">
        <v>1986</v>
      </c>
      <c r="U44" s="8">
        <f t="shared" si="9"/>
        <v>36</v>
      </c>
      <c r="V44" s="7">
        <v>31503</v>
      </c>
      <c r="W44" t="s">
        <v>6363</v>
      </c>
      <c r="X44" s="2" t="s">
        <v>0</v>
      </c>
      <c r="Y44" s="6" t="e">
        <f t="shared" si="2"/>
        <v>#VALUE!</v>
      </c>
      <c r="AA44" t="s">
        <v>6362</v>
      </c>
      <c r="AB44">
        <v>30906</v>
      </c>
      <c r="AD44" t="s">
        <v>5</v>
      </c>
      <c r="AE44" t="s">
        <v>6361</v>
      </c>
      <c r="AF44">
        <v>4</v>
      </c>
      <c r="AH44" t="s">
        <v>6895</v>
      </c>
      <c r="AI44" t="s">
        <v>6894</v>
      </c>
      <c r="AK44" t="s">
        <v>6893</v>
      </c>
      <c r="AL44">
        <v>4</v>
      </c>
      <c r="AM44" s="5">
        <f t="shared" si="10"/>
        <v>0.1111111111111111</v>
      </c>
      <c r="AN44" s="4">
        <f t="shared" si="4"/>
        <v>1.682864234927847E-4</v>
      </c>
      <c r="AO44" s="3"/>
      <c r="AP44">
        <v>0</v>
      </c>
      <c r="AR44" t="s">
        <v>1</v>
      </c>
      <c r="AT44" s="2" t="s">
        <v>0</v>
      </c>
      <c r="AU44" s="1" t="e">
        <f t="shared" si="11"/>
        <v>#VALUE!</v>
      </c>
      <c r="AV44" s="1" t="e">
        <f t="shared" si="12"/>
        <v>#VALUE!</v>
      </c>
      <c r="AW44" s="1" t="e">
        <f t="shared" si="13"/>
        <v>#VALUE!</v>
      </c>
    </row>
    <row r="45" spans="1:49" x14ac:dyDescent="0.2">
      <c r="A45">
        <v>43</v>
      </c>
      <c r="B45" t="s">
        <v>6892</v>
      </c>
      <c r="F45" t="s">
        <v>6891</v>
      </c>
      <c r="G45" t="s">
        <v>16</v>
      </c>
      <c r="H45" t="s">
        <v>15</v>
      </c>
      <c r="I45" t="s">
        <v>6890</v>
      </c>
      <c r="J45">
        <v>60000809</v>
      </c>
      <c r="K45" t="s">
        <v>1542</v>
      </c>
      <c r="L45" t="s">
        <v>1541</v>
      </c>
      <c r="M45" t="s">
        <v>71</v>
      </c>
      <c r="N45">
        <v>5</v>
      </c>
      <c r="O45" t="s">
        <v>6889</v>
      </c>
      <c r="P45" t="s">
        <v>6888</v>
      </c>
      <c r="Q45" t="s">
        <v>4839</v>
      </c>
      <c r="R45" s="7">
        <v>31503</v>
      </c>
      <c r="S45" s="8">
        <f t="shared" si="8"/>
        <v>1986</v>
      </c>
      <c r="T45" s="8">
        <v>1986</v>
      </c>
      <c r="U45" s="8">
        <f t="shared" si="9"/>
        <v>36</v>
      </c>
      <c r="V45" s="7">
        <v>31503</v>
      </c>
      <c r="W45" t="s">
        <v>6887</v>
      </c>
      <c r="X45" s="2" t="s">
        <v>0</v>
      </c>
      <c r="Y45" s="6" t="e">
        <f t="shared" si="2"/>
        <v>#VALUE!</v>
      </c>
      <c r="AA45" t="s">
        <v>6886</v>
      </c>
      <c r="AB45">
        <v>18614</v>
      </c>
      <c r="AD45" t="s">
        <v>5</v>
      </c>
      <c r="AF45">
        <v>81</v>
      </c>
      <c r="AH45" t="s">
        <v>6885</v>
      </c>
      <c r="AI45" t="s">
        <v>6884</v>
      </c>
      <c r="AK45" t="s">
        <v>6883</v>
      </c>
      <c r="AL45">
        <v>0</v>
      </c>
      <c r="AM45" s="5">
        <f t="shared" si="10"/>
        <v>0</v>
      </c>
      <c r="AN45" s="4">
        <f t="shared" si="4"/>
        <v>0</v>
      </c>
      <c r="AO45" s="3"/>
      <c r="AP45">
        <v>0</v>
      </c>
      <c r="AR45" t="s">
        <v>1</v>
      </c>
      <c r="AT45" s="2" t="s">
        <v>0</v>
      </c>
      <c r="AU45" s="1" t="e">
        <f t="shared" si="11"/>
        <v>#VALUE!</v>
      </c>
      <c r="AV45" s="1" t="e">
        <f t="shared" si="12"/>
        <v>#VALUE!</v>
      </c>
      <c r="AW45" s="1" t="e">
        <f t="shared" si="13"/>
        <v>#VALUE!</v>
      </c>
    </row>
    <row r="46" spans="1:49" x14ac:dyDescent="0.2">
      <c r="A46">
        <v>44</v>
      </c>
      <c r="B46" t="s">
        <v>6882</v>
      </c>
      <c r="F46" t="s">
        <v>6881</v>
      </c>
      <c r="G46" t="s">
        <v>16</v>
      </c>
      <c r="H46" t="s">
        <v>15</v>
      </c>
      <c r="I46" t="s">
        <v>6431</v>
      </c>
      <c r="N46">
        <v>1</v>
      </c>
      <c r="O46" t="s">
        <v>6430</v>
      </c>
      <c r="P46">
        <v>1</v>
      </c>
      <c r="R46" s="7">
        <v>31503</v>
      </c>
      <c r="S46" s="8">
        <f t="shared" si="8"/>
        <v>1986</v>
      </c>
      <c r="T46" s="8">
        <v>1986</v>
      </c>
      <c r="U46" s="8">
        <f t="shared" si="9"/>
        <v>36</v>
      </c>
      <c r="V46" s="7">
        <v>31503</v>
      </c>
      <c r="W46" t="s">
        <v>6429</v>
      </c>
      <c r="X46" s="2" t="s">
        <v>0</v>
      </c>
      <c r="Y46" s="6" t="e">
        <f t="shared" si="2"/>
        <v>#VALUE!</v>
      </c>
      <c r="AA46">
        <v>188689</v>
      </c>
      <c r="AB46">
        <v>99388</v>
      </c>
      <c r="AD46" t="s">
        <v>5</v>
      </c>
      <c r="AE46">
        <v>28</v>
      </c>
      <c r="AF46">
        <v>11</v>
      </c>
      <c r="AH46" t="s">
        <v>6880</v>
      </c>
      <c r="AI46" t="s">
        <v>6879</v>
      </c>
      <c r="AK46" t="s">
        <v>6878</v>
      </c>
      <c r="AL46">
        <v>1</v>
      </c>
      <c r="AM46" s="5">
        <f t="shared" si="10"/>
        <v>2.7777777777777776E-2</v>
      </c>
      <c r="AN46" s="4">
        <f t="shared" si="4"/>
        <v>4.2071605873196175E-5</v>
      </c>
      <c r="AO46" s="3"/>
      <c r="AP46">
        <v>0</v>
      </c>
      <c r="AR46" t="s">
        <v>1</v>
      </c>
      <c r="AT46" s="2" t="s">
        <v>0</v>
      </c>
      <c r="AU46" s="1" t="e">
        <f t="shared" si="11"/>
        <v>#VALUE!</v>
      </c>
      <c r="AV46" s="1" t="e">
        <f t="shared" si="12"/>
        <v>#VALUE!</v>
      </c>
      <c r="AW46" s="1" t="e">
        <f t="shared" si="13"/>
        <v>#VALUE!</v>
      </c>
    </row>
    <row r="47" spans="1:49" x14ac:dyDescent="0.2">
      <c r="A47">
        <v>45</v>
      </c>
      <c r="B47" t="s">
        <v>6877</v>
      </c>
      <c r="F47" t="s">
        <v>6876</v>
      </c>
      <c r="G47" t="s">
        <v>16</v>
      </c>
      <c r="H47" t="s">
        <v>15</v>
      </c>
      <c r="I47" t="s">
        <v>6875</v>
      </c>
      <c r="J47">
        <v>60071533</v>
      </c>
      <c r="K47" t="s">
        <v>6874</v>
      </c>
      <c r="L47" t="s">
        <v>6873</v>
      </c>
      <c r="M47" t="s">
        <v>6872</v>
      </c>
      <c r="N47">
        <v>1</v>
      </c>
      <c r="O47" t="s">
        <v>6871</v>
      </c>
      <c r="P47">
        <v>7409737422</v>
      </c>
      <c r="Q47">
        <v>60071533</v>
      </c>
      <c r="R47" s="7">
        <v>31503</v>
      </c>
      <c r="S47" s="8">
        <f t="shared" si="8"/>
        <v>1986</v>
      </c>
      <c r="T47" s="8">
        <v>1986</v>
      </c>
      <c r="U47" s="8">
        <f t="shared" si="9"/>
        <v>36</v>
      </c>
      <c r="V47" s="7">
        <v>31503</v>
      </c>
      <c r="W47" t="s">
        <v>6870</v>
      </c>
      <c r="X47" s="2" t="s">
        <v>0</v>
      </c>
      <c r="Y47" s="6" t="e">
        <f t="shared" si="2"/>
        <v>#VALUE!</v>
      </c>
      <c r="AA47">
        <v>9701664</v>
      </c>
      <c r="AB47">
        <v>59489</v>
      </c>
      <c r="AD47" t="s">
        <v>5</v>
      </c>
      <c r="AE47">
        <v>26</v>
      </c>
      <c r="AF47">
        <v>2</v>
      </c>
      <c r="AH47" t="s">
        <v>332</v>
      </c>
      <c r="AI47" t="s">
        <v>6869</v>
      </c>
      <c r="AK47" t="s">
        <v>6868</v>
      </c>
      <c r="AL47">
        <v>0</v>
      </c>
      <c r="AM47" s="5">
        <f t="shared" si="10"/>
        <v>0</v>
      </c>
      <c r="AN47" s="4">
        <f t="shared" si="4"/>
        <v>0</v>
      </c>
      <c r="AO47" s="3"/>
      <c r="AP47">
        <v>0</v>
      </c>
      <c r="AR47" t="s">
        <v>1</v>
      </c>
      <c r="AT47" s="2" t="s">
        <v>0</v>
      </c>
      <c r="AU47" s="1" t="e">
        <f t="shared" si="11"/>
        <v>#VALUE!</v>
      </c>
      <c r="AV47" s="1" t="e">
        <f t="shared" si="12"/>
        <v>#VALUE!</v>
      </c>
      <c r="AW47" s="1" t="e">
        <f t="shared" si="13"/>
        <v>#VALUE!</v>
      </c>
    </row>
    <row r="48" spans="1:49" x14ac:dyDescent="0.2">
      <c r="A48">
        <v>46</v>
      </c>
      <c r="B48" t="s">
        <v>6867</v>
      </c>
      <c r="F48" t="s">
        <v>6866</v>
      </c>
      <c r="G48" t="s">
        <v>16</v>
      </c>
      <c r="H48" t="s">
        <v>15</v>
      </c>
      <c r="I48" t="s">
        <v>6865</v>
      </c>
      <c r="J48">
        <v>60022476</v>
      </c>
      <c r="K48" t="s">
        <v>6864</v>
      </c>
      <c r="L48" t="s">
        <v>745</v>
      </c>
      <c r="M48" t="s">
        <v>114</v>
      </c>
      <c r="N48">
        <v>3</v>
      </c>
      <c r="O48" t="s">
        <v>6863</v>
      </c>
      <c r="P48" t="s">
        <v>6862</v>
      </c>
      <c r="Q48" t="s">
        <v>6861</v>
      </c>
      <c r="R48" s="7">
        <v>31503</v>
      </c>
      <c r="S48" s="8">
        <f t="shared" si="8"/>
        <v>1986</v>
      </c>
      <c r="T48" s="8">
        <v>1986</v>
      </c>
      <c r="U48" s="8">
        <f t="shared" si="9"/>
        <v>36</v>
      </c>
      <c r="V48" s="7">
        <v>31503</v>
      </c>
      <c r="W48" t="s">
        <v>768</v>
      </c>
      <c r="X48" s="2">
        <v>0.10100000000000001</v>
      </c>
      <c r="Y48" s="6">
        <f t="shared" si="2"/>
        <v>2.6961373161421215E-3</v>
      </c>
      <c r="AA48">
        <v>7452993</v>
      </c>
      <c r="AB48">
        <v>18563</v>
      </c>
      <c r="AD48" t="s">
        <v>5</v>
      </c>
      <c r="AE48">
        <v>25</v>
      </c>
      <c r="AF48">
        <v>4</v>
      </c>
      <c r="AH48" t="s">
        <v>6860</v>
      </c>
      <c r="AI48" t="s">
        <v>6859</v>
      </c>
      <c r="AK48" t="s">
        <v>6858</v>
      </c>
      <c r="AL48">
        <v>0</v>
      </c>
      <c r="AM48" s="5">
        <f t="shared" si="10"/>
        <v>0</v>
      </c>
      <c r="AN48" s="4">
        <f t="shared" si="4"/>
        <v>0</v>
      </c>
      <c r="AO48" s="3"/>
      <c r="AP48">
        <v>0</v>
      </c>
      <c r="AR48" t="s">
        <v>1</v>
      </c>
      <c r="AT48" s="2" t="s">
        <v>0</v>
      </c>
      <c r="AU48" s="1">
        <f t="shared" si="11"/>
        <v>0.18872961212994849</v>
      </c>
      <c r="AV48" s="1">
        <f t="shared" si="12"/>
        <v>0.13480686580710607</v>
      </c>
      <c r="AW48" s="1">
        <f t="shared" si="13"/>
        <v>8.0884119484263647E-2</v>
      </c>
    </row>
    <row r="49" spans="1:49" x14ac:dyDescent="0.2">
      <c r="A49">
        <v>47</v>
      </c>
      <c r="B49" t="s">
        <v>6857</v>
      </c>
      <c r="C49" t="s">
        <v>6856</v>
      </c>
      <c r="F49" t="s">
        <v>6855</v>
      </c>
      <c r="G49" t="s">
        <v>16</v>
      </c>
      <c r="H49" t="s">
        <v>15</v>
      </c>
      <c r="I49" t="s">
        <v>6854</v>
      </c>
      <c r="N49">
        <v>2</v>
      </c>
      <c r="O49" t="s">
        <v>6853</v>
      </c>
      <c r="P49" t="s">
        <v>6852</v>
      </c>
      <c r="Q49" t="s">
        <v>313</v>
      </c>
      <c r="R49" s="7">
        <v>31503</v>
      </c>
      <c r="S49" s="8">
        <f t="shared" si="8"/>
        <v>1986</v>
      </c>
      <c r="T49" s="8">
        <v>1986</v>
      </c>
      <c r="U49" s="8">
        <f t="shared" si="9"/>
        <v>36</v>
      </c>
      <c r="V49" s="7">
        <v>31503</v>
      </c>
      <c r="W49" t="s">
        <v>6556</v>
      </c>
      <c r="X49" s="2">
        <v>0.14899999999999999</v>
      </c>
      <c r="Y49" s="6">
        <f t="shared" si="2"/>
        <v>3.977469902031446E-3</v>
      </c>
      <c r="AA49">
        <v>5431972</v>
      </c>
      <c r="AB49">
        <v>15425</v>
      </c>
      <c r="AC49">
        <v>15738906</v>
      </c>
      <c r="AD49" t="s">
        <v>5</v>
      </c>
      <c r="AE49">
        <v>29</v>
      </c>
      <c r="AF49">
        <v>4</v>
      </c>
      <c r="AH49" t="s">
        <v>6851</v>
      </c>
      <c r="AL49">
        <v>0</v>
      </c>
      <c r="AM49" s="5">
        <f t="shared" si="10"/>
        <v>0</v>
      </c>
      <c r="AN49" s="4">
        <f t="shared" si="4"/>
        <v>0</v>
      </c>
      <c r="AO49" s="3"/>
      <c r="AP49">
        <v>0</v>
      </c>
      <c r="AR49" t="s">
        <v>1</v>
      </c>
      <c r="AT49" s="2" t="s">
        <v>0</v>
      </c>
      <c r="AU49" s="1">
        <f t="shared" si="11"/>
        <v>0.2784228931422012</v>
      </c>
      <c r="AV49" s="1">
        <f t="shared" si="12"/>
        <v>0.19887349510157229</v>
      </c>
      <c r="AW49" s="1">
        <f t="shared" si="13"/>
        <v>0.11932409706094337</v>
      </c>
    </row>
    <row r="50" spans="1:49" x14ac:dyDescent="0.2">
      <c r="A50">
        <v>48</v>
      </c>
      <c r="B50" t="s">
        <v>6850</v>
      </c>
      <c r="F50" t="s">
        <v>6849</v>
      </c>
      <c r="G50" t="s">
        <v>16</v>
      </c>
      <c r="H50" t="s">
        <v>15</v>
      </c>
      <c r="I50" t="s">
        <v>6848</v>
      </c>
      <c r="N50">
        <v>2</v>
      </c>
      <c r="O50" t="s">
        <v>6847</v>
      </c>
      <c r="P50" t="s">
        <v>6846</v>
      </c>
      <c r="Q50" t="s">
        <v>313</v>
      </c>
      <c r="R50" s="7">
        <v>31503</v>
      </c>
      <c r="S50" s="8">
        <f t="shared" si="8"/>
        <v>1986</v>
      </c>
      <c r="T50" s="8">
        <v>1986</v>
      </c>
      <c r="U50" s="8">
        <f t="shared" si="9"/>
        <v>36</v>
      </c>
      <c r="V50" s="7">
        <v>31503</v>
      </c>
      <c r="W50" t="s">
        <v>857</v>
      </c>
      <c r="X50" s="2" t="s">
        <v>0</v>
      </c>
      <c r="Y50" s="6" t="e">
        <f t="shared" si="2"/>
        <v>#VALUE!</v>
      </c>
      <c r="AA50">
        <v>87566648</v>
      </c>
      <c r="AB50">
        <v>74127</v>
      </c>
      <c r="AD50" t="s">
        <v>5</v>
      </c>
      <c r="AE50">
        <v>31</v>
      </c>
      <c r="AF50">
        <v>4</v>
      </c>
      <c r="AH50" t="s">
        <v>6845</v>
      </c>
      <c r="AI50" t="s">
        <v>6844</v>
      </c>
      <c r="AK50" t="s">
        <v>6843</v>
      </c>
      <c r="AL50">
        <v>0</v>
      </c>
      <c r="AM50" s="5">
        <f t="shared" si="10"/>
        <v>0</v>
      </c>
      <c r="AN50" s="4">
        <f t="shared" si="4"/>
        <v>0</v>
      </c>
      <c r="AO50" s="3"/>
      <c r="AP50">
        <v>0</v>
      </c>
      <c r="AR50" t="s">
        <v>1</v>
      </c>
      <c r="AT50" s="2" t="s">
        <v>0</v>
      </c>
      <c r="AU50" s="1" t="e">
        <f t="shared" si="11"/>
        <v>#VALUE!</v>
      </c>
      <c r="AV50" s="1" t="e">
        <f t="shared" si="12"/>
        <v>#VALUE!</v>
      </c>
      <c r="AW50" s="1" t="e">
        <f t="shared" si="13"/>
        <v>#VALUE!</v>
      </c>
    </row>
    <row r="51" spans="1:49" x14ac:dyDescent="0.2">
      <c r="A51">
        <v>49</v>
      </c>
      <c r="B51" t="s">
        <v>6842</v>
      </c>
      <c r="F51" t="s">
        <v>6841</v>
      </c>
      <c r="G51" t="s">
        <v>16</v>
      </c>
      <c r="H51" t="s">
        <v>15</v>
      </c>
      <c r="I51" t="s">
        <v>6840</v>
      </c>
      <c r="N51">
        <v>1</v>
      </c>
      <c r="O51" t="s">
        <v>6839</v>
      </c>
      <c r="P51">
        <v>7003655363</v>
      </c>
      <c r="R51" s="7">
        <v>31503</v>
      </c>
      <c r="S51" s="8">
        <f t="shared" si="8"/>
        <v>1986</v>
      </c>
      <c r="T51" s="8">
        <v>1986</v>
      </c>
      <c r="U51" s="8">
        <f t="shared" si="9"/>
        <v>36</v>
      </c>
      <c r="V51" s="7">
        <v>31503</v>
      </c>
      <c r="W51" t="s">
        <v>857</v>
      </c>
      <c r="X51" s="2" t="s">
        <v>0</v>
      </c>
      <c r="Y51" s="6" t="e">
        <f t="shared" si="2"/>
        <v>#VALUE!</v>
      </c>
      <c r="AA51">
        <v>87566648</v>
      </c>
      <c r="AB51">
        <v>74127</v>
      </c>
      <c r="AD51" t="s">
        <v>5</v>
      </c>
      <c r="AE51">
        <v>31</v>
      </c>
      <c r="AF51">
        <v>4</v>
      </c>
      <c r="AH51" s="9">
        <v>44508</v>
      </c>
      <c r="AI51" t="s">
        <v>6838</v>
      </c>
      <c r="AK51" t="s">
        <v>6837</v>
      </c>
      <c r="AL51">
        <v>0</v>
      </c>
      <c r="AM51" s="5">
        <f t="shared" si="10"/>
        <v>0</v>
      </c>
      <c r="AN51" s="4">
        <f t="shared" si="4"/>
        <v>0</v>
      </c>
      <c r="AO51" s="3"/>
      <c r="AP51">
        <v>0</v>
      </c>
      <c r="AR51" t="s">
        <v>1</v>
      </c>
      <c r="AT51" s="2" t="s">
        <v>0</v>
      </c>
      <c r="AU51" s="1" t="e">
        <f t="shared" si="11"/>
        <v>#VALUE!</v>
      </c>
      <c r="AV51" s="1" t="e">
        <f t="shared" si="12"/>
        <v>#VALUE!</v>
      </c>
      <c r="AW51" s="1" t="e">
        <f t="shared" si="13"/>
        <v>#VALUE!</v>
      </c>
    </row>
    <row r="52" spans="1:49" x14ac:dyDescent="0.2">
      <c r="A52">
        <v>50</v>
      </c>
      <c r="B52" t="s">
        <v>6836</v>
      </c>
      <c r="C52" t="s">
        <v>6835</v>
      </c>
      <c r="F52" t="s">
        <v>6834</v>
      </c>
      <c r="G52" t="s">
        <v>16</v>
      </c>
      <c r="H52" t="s">
        <v>15</v>
      </c>
      <c r="I52" t="s">
        <v>6833</v>
      </c>
      <c r="J52">
        <v>60001439</v>
      </c>
      <c r="K52" t="s">
        <v>6832</v>
      </c>
      <c r="L52" t="s">
        <v>6831</v>
      </c>
      <c r="M52" t="s">
        <v>114</v>
      </c>
      <c r="N52">
        <v>3</v>
      </c>
      <c r="O52" t="s">
        <v>6830</v>
      </c>
      <c r="P52" t="s">
        <v>6829</v>
      </c>
      <c r="Q52" t="s">
        <v>6828</v>
      </c>
      <c r="R52" s="7">
        <v>31486</v>
      </c>
      <c r="S52" s="8">
        <f t="shared" si="8"/>
        <v>1986</v>
      </c>
      <c r="T52" s="8">
        <v>1986</v>
      </c>
      <c r="U52" s="8">
        <f t="shared" si="9"/>
        <v>36</v>
      </c>
      <c r="V52" s="7">
        <v>31486</v>
      </c>
      <c r="W52" t="s">
        <v>5371</v>
      </c>
      <c r="X52" s="2">
        <v>0.66800000000000004</v>
      </c>
      <c r="Y52" s="6">
        <f t="shared" si="2"/>
        <v>1.7831878486959774E-2</v>
      </c>
      <c r="AA52" t="s">
        <v>5370</v>
      </c>
      <c r="AB52">
        <v>29593</v>
      </c>
      <c r="AC52">
        <v>21553165</v>
      </c>
      <c r="AD52" t="s">
        <v>5</v>
      </c>
      <c r="AE52">
        <v>25</v>
      </c>
      <c r="AF52">
        <v>6</v>
      </c>
      <c r="AH52" t="s">
        <v>6827</v>
      </c>
      <c r="AI52" t="s">
        <v>6826</v>
      </c>
      <c r="AK52" t="s">
        <v>6825</v>
      </c>
      <c r="AL52">
        <v>12</v>
      </c>
      <c r="AM52" s="5">
        <f t="shared" si="10"/>
        <v>0.33333333333333331</v>
      </c>
      <c r="AN52" s="4">
        <f t="shared" si="4"/>
        <v>5.048592704783541E-4</v>
      </c>
      <c r="AO52" s="3"/>
      <c r="AP52">
        <v>0</v>
      </c>
      <c r="AR52" t="s">
        <v>1</v>
      </c>
      <c r="AT52" s="2">
        <v>1.98</v>
      </c>
      <c r="AU52" s="1">
        <f t="shared" si="11"/>
        <v>1.2633772722015346</v>
      </c>
      <c r="AV52" s="1">
        <f t="shared" si="12"/>
        <v>0.91683688787190643</v>
      </c>
      <c r="AW52" s="1">
        <f t="shared" si="13"/>
        <v>0.5702965035422779</v>
      </c>
    </row>
    <row r="53" spans="1:49" x14ac:dyDescent="0.2">
      <c r="A53">
        <v>51</v>
      </c>
      <c r="B53" t="s">
        <v>6824</v>
      </c>
      <c r="C53" t="s">
        <v>6823</v>
      </c>
      <c r="D53">
        <v>5272886902082</v>
      </c>
      <c r="F53" t="s">
        <v>6822</v>
      </c>
      <c r="G53" t="s">
        <v>16</v>
      </c>
      <c r="H53" t="s">
        <v>15</v>
      </c>
      <c r="I53" t="s">
        <v>6821</v>
      </c>
      <c r="J53" t="s">
        <v>6820</v>
      </c>
      <c r="K53" t="s">
        <v>6819</v>
      </c>
      <c r="L53" t="s">
        <v>6818</v>
      </c>
      <c r="M53" t="s">
        <v>6817</v>
      </c>
      <c r="N53">
        <v>3</v>
      </c>
      <c r="O53" t="s">
        <v>6816</v>
      </c>
      <c r="P53" t="s">
        <v>6815</v>
      </c>
      <c r="Q53" t="s">
        <v>6814</v>
      </c>
      <c r="R53" s="7">
        <v>31483</v>
      </c>
      <c r="S53" s="8">
        <f t="shared" si="8"/>
        <v>1986</v>
      </c>
      <c r="T53" s="8">
        <v>1986</v>
      </c>
      <c r="U53" s="8">
        <f t="shared" si="9"/>
        <v>36</v>
      </c>
      <c r="V53" s="7">
        <v>31483</v>
      </c>
      <c r="W53" t="s">
        <v>6324</v>
      </c>
      <c r="X53" s="2">
        <v>1.59</v>
      </c>
      <c r="Y53" s="6">
        <f t="shared" si="2"/>
        <v>4.2444141907583888E-2</v>
      </c>
      <c r="AA53">
        <v>52728</v>
      </c>
      <c r="AB53">
        <v>16791</v>
      </c>
      <c r="AD53" t="s">
        <v>5</v>
      </c>
      <c r="AE53">
        <v>848</v>
      </c>
      <c r="AF53">
        <v>3</v>
      </c>
      <c r="AH53" t="s">
        <v>6813</v>
      </c>
      <c r="AI53" t="s">
        <v>6812</v>
      </c>
      <c r="AJ53" t="s">
        <v>6811</v>
      </c>
      <c r="AK53" t="s">
        <v>6810</v>
      </c>
      <c r="AL53">
        <v>61</v>
      </c>
      <c r="AM53" s="5">
        <f t="shared" si="10"/>
        <v>1.6944444444444444</v>
      </c>
      <c r="AN53" s="4">
        <f t="shared" si="4"/>
        <v>2.5663679582649669E-3</v>
      </c>
      <c r="AO53" s="3"/>
      <c r="AP53">
        <v>0</v>
      </c>
      <c r="AQ53" t="s">
        <v>6809</v>
      </c>
      <c r="AR53" t="s">
        <v>1</v>
      </c>
      <c r="AS53" t="s">
        <v>6808</v>
      </c>
      <c r="AT53" s="2" t="s">
        <v>0</v>
      </c>
      <c r="AU53" s="1">
        <f t="shared" si="11"/>
        <v>3.0480809722788211</v>
      </c>
      <c r="AV53" s="1">
        <f t="shared" si="12"/>
        <v>2.2505254932924426</v>
      </c>
      <c r="AW53" s="1">
        <f t="shared" si="13"/>
        <v>1.4529700143060642</v>
      </c>
    </row>
    <row r="54" spans="1:49" x14ac:dyDescent="0.2">
      <c r="A54">
        <v>52</v>
      </c>
      <c r="B54" t="s">
        <v>6807</v>
      </c>
      <c r="C54" t="s">
        <v>6806</v>
      </c>
      <c r="D54" t="s">
        <v>6805</v>
      </c>
      <c r="F54" t="s">
        <v>6804</v>
      </c>
      <c r="G54" t="s">
        <v>16</v>
      </c>
      <c r="H54" t="s">
        <v>15</v>
      </c>
      <c r="I54" t="s">
        <v>6803</v>
      </c>
      <c r="J54">
        <v>60002306</v>
      </c>
      <c r="K54" t="s">
        <v>6794</v>
      </c>
      <c r="L54" t="s">
        <v>6802</v>
      </c>
      <c r="M54" t="s">
        <v>616</v>
      </c>
      <c r="N54">
        <v>1</v>
      </c>
      <c r="O54" t="s">
        <v>6801</v>
      </c>
      <c r="P54">
        <v>7006613193</v>
      </c>
      <c r="Q54">
        <v>60002306</v>
      </c>
      <c r="R54" s="7">
        <v>31479</v>
      </c>
      <c r="S54" s="8">
        <f t="shared" si="8"/>
        <v>1986</v>
      </c>
      <c r="T54" s="8">
        <v>1986</v>
      </c>
      <c r="U54" s="8">
        <f t="shared" si="9"/>
        <v>36</v>
      </c>
      <c r="V54" s="7">
        <v>31479</v>
      </c>
      <c r="W54" t="s">
        <v>6800</v>
      </c>
      <c r="X54" s="2">
        <v>1.3149999999999999</v>
      </c>
      <c r="Y54" s="6">
        <f t="shared" si="2"/>
        <v>3.5103173967592965E-2</v>
      </c>
      <c r="AA54" t="s">
        <v>6799</v>
      </c>
      <c r="AB54">
        <v>13030</v>
      </c>
      <c r="AC54">
        <v>10958568</v>
      </c>
      <c r="AD54" t="s">
        <v>5</v>
      </c>
      <c r="AE54">
        <v>105</v>
      </c>
      <c r="AF54">
        <v>2</v>
      </c>
      <c r="AH54" t="s">
        <v>6798</v>
      </c>
      <c r="AI54" t="s">
        <v>6797</v>
      </c>
      <c r="AK54" t="s">
        <v>6796</v>
      </c>
      <c r="AL54">
        <v>23</v>
      </c>
      <c r="AM54" s="5">
        <f t="shared" si="10"/>
        <v>0.63888888888888884</v>
      </c>
      <c r="AN54" s="4">
        <f t="shared" si="4"/>
        <v>9.676469350835121E-4</v>
      </c>
      <c r="AO54" s="3"/>
      <c r="AP54">
        <v>0</v>
      </c>
      <c r="AQ54" t="s">
        <v>6795</v>
      </c>
      <c r="AR54" t="s">
        <v>1</v>
      </c>
      <c r="AS54" t="s">
        <v>6794</v>
      </c>
      <c r="AT54" s="2">
        <v>3.6549999999999998</v>
      </c>
      <c r="AU54" s="1">
        <f t="shared" si="11"/>
        <v>2.4862515857840126</v>
      </c>
      <c r="AV54" s="1">
        <f t="shared" si="12"/>
        <v>1.8035410451338239</v>
      </c>
      <c r="AW54" s="1">
        <f t="shared" si="13"/>
        <v>1.1208305044836346</v>
      </c>
    </row>
    <row r="55" spans="1:49" x14ac:dyDescent="0.2">
      <c r="A55">
        <v>53</v>
      </c>
      <c r="B55" t="s">
        <v>6793</v>
      </c>
      <c r="C55" t="s">
        <v>6792</v>
      </c>
      <c r="D55">
        <v>14579386803404</v>
      </c>
      <c r="F55" t="s">
        <v>6791</v>
      </c>
      <c r="G55" t="s">
        <v>16</v>
      </c>
      <c r="H55" t="s">
        <v>15</v>
      </c>
      <c r="I55" t="s">
        <v>6790</v>
      </c>
      <c r="J55" t="s">
        <v>6789</v>
      </c>
      <c r="K55" t="s">
        <v>6788</v>
      </c>
      <c r="L55" t="s">
        <v>6787</v>
      </c>
      <c r="M55" t="s">
        <v>10</v>
      </c>
      <c r="N55">
        <v>7</v>
      </c>
      <c r="O55" t="s">
        <v>6786</v>
      </c>
      <c r="P55" t="s">
        <v>6785</v>
      </c>
      <c r="Q55" t="s">
        <v>6784</v>
      </c>
      <c r="R55" s="7">
        <v>31474</v>
      </c>
      <c r="S55" s="8">
        <f t="shared" si="8"/>
        <v>1986</v>
      </c>
      <c r="T55" s="8">
        <v>1986</v>
      </c>
      <c r="U55" s="8">
        <f t="shared" si="9"/>
        <v>36</v>
      </c>
      <c r="V55" s="7">
        <v>31474</v>
      </c>
      <c r="W55" t="s">
        <v>6783</v>
      </c>
      <c r="X55" s="2">
        <v>1.593</v>
      </c>
      <c r="Y55" s="6">
        <f t="shared" si="2"/>
        <v>4.2524225194201973E-2</v>
      </c>
      <c r="AA55">
        <v>145793</v>
      </c>
      <c r="AB55">
        <v>17481</v>
      </c>
      <c r="AD55" t="s">
        <v>5</v>
      </c>
      <c r="AE55">
        <v>197</v>
      </c>
      <c r="AF55" s="9">
        <v>44228</v>
      </c>
      <c r="AH55" t="s">
        <v>6782</v>
      </c>
      <c r="AI55" t="s">
        <v>6781</v>
      </c>
      <c r="AJ55" t="s">
        <v>6780</v>
      </c>
      <c r="AK55" t="s">
        <v>6779</v>
      </c>
      <c r="AL55">
        <v>21</v>
      </c>
      <c r="AM55" s="5">
        <f t="shared" si="10"/>
        <v>0.58333333333333337</v>
      </c>
      <c r="AN55" s="4">
        <f t="shared" si="4"/>
        <v>8.835037233371198E-4</v>
      </c>
      <c r="AO55" s="3"/>
      <c r="AP55">
        <v>0</v>
      </c>
      <c r="AR55" t="s">
        <v>1</v>
      </c>
      <c r="AT55" s="2">
        <v>4.1239999999999997</v>
      </c>
      <c r="AU55" s="1">
        <f t="shared" si="11"/>
        <v>3.0032008752942518</v>
      </c>
      <c r="AV55" s="1">
        <f t="shared" si="12"/>
        <v>2.1703864458769546</v>
      </c>
      <c r="AW55" s="1">
        <f t="shared" si="13"/>
        <v>1.3375720164596574</v>
      </c>
    </row>
    <row r="56" spans="1:49" x14ac:dyDescent="0.2">
      <c r="A56">
        <v>54</v>
      </c>
      <c r="B56" t="s">
        <v>6778</v>
      </c>
      <c r="C56" t="s">
        <v>6777</v>
      </c>
      <c r="F56" t="s">
        <v>6776</v>
      </c>
      <c r="G56" t="s">
        <v>16</v>
      </c>
      <c r="H56" t="s">
        <v>15</v>
      </c>
      <c r="I56" t="s">
        <v>6775</v>
      </c>
      <c r="J56">
        <v>60013372</v>
      </c>
      <c r="K56" t="s">
        <v>6774</v>
      </c>
      <c r="L56" t="s">
        <v>6773</v>
      </c>
      <c r="M56" t="s">
        <v>114</v>
      </c>
      <c r="N56">
        <v>2</v>
      </c>
      <c r="O56" t="s">
        <v>6772</v>
      </c>
      <c r="P56" t="s">
        <v>6771</v>
      </c>
      <c r="Q56" t="s">
        <v>6770</v>
      </c>
      <c r="R56" s="7">
        <v>31472</v>
      </c>
      <c r="S56" s="8">
        <f t="shared" si="8"/>
        <v>1986</v>
      </c>
      <c r="T56" s="8">
        <v>1986</v>
      </c>
      <c r="U56" s="8">
        <f t="shared" si="9"/>
        <v>36</v>
      </c>
      <c r="V56" s="7">
        <v>31472</v>
      </c>
      <c r="W56" t="s">
        <v>6769</v>
      </c>
      <c r="X56" s="2">
        <v>1.1879999999999999</v>
      </c>
      <c r="Y56" s="6">
        <f t="shared" si="2"/>
        <v>3.1712981500760788E-2</v>
      </c>
      <c r="AA56">
        <v>10706631</v>
      </c>
      <c r="AB56">
        <v>29210</v>
      </c>
      <c r="AC56">
        <v>10897666</v>
      </c>
      <c r="AD56" t="s">
        <v>5</v>
      </c>
      <c r="AE56">
        <v>29</v>
      </c>
      <c r="AF56">
        <v>3</v>
      </c>
      <c r="AH56" t="s">
        <v>6768</v>
      </c>
      <c r="AI56" t="s">
        <v>6767</v>
      </c>
      <c r="AK56" t="s">
        <v>6766</v>
      </c>
      <c r="AL56">
        <v>8</v>
      </c>
      <c r="AM56" s="5">
        <f t="shared" si="10"/>
        <v>0.22222222222222221</v>
      </c>
      <c r="AN56" s="4">
        <f t="shared" si="4"/>
        <v>3.365728469855694E-4</v>
      </c>
      <c r="AO56" s="3"/>
      <c r="AP56">
        <v>0</v>
      </c>
      <c r="AR56" t="s">
        <v>1</v>
      </c>
      <c r="AT56" s="2">
        <v>3.5209999999999999</v>
      </c>
      <c r="AU56" s="1">
        <f t="shared" si="11"/>
        <v>2.2300058904628219</v>
      </c>
      <c r="AV56" s="1">
        <f t="shared" si="12"/>
        <v>1.6024777173873179</v>
      </c>
      <c r="AW56" s="1">
        <f t="shared" si="13"/>
        <v>0.97494954431181347</v>
      </c>
    </row>
    <row r="57" spans="1:49" x14ac:dyDescent="0.2">
      <c r="A57">
        <v>55</v>
      </c>
      <c r="B57" t="s">
        <v>6765</v>
      </c>
      <c r="C57" t="s">
        <v>6764</v>
      </c>
      <c r="F57" t="s">
        <v>6763</v>
      </c>
      <c r="G57" t="s">
        <v>16</v>
      </c>
      <c r="H57" t="s">
        <v>15</v>
      </c>
      <c r="I57" t="s">
        <v>6762</v>
      </c>
      <c r="J57" t="s">
        <v>6761</v>
      </c>
      <c r="K57" t="s">
        <v>6760</v>
      </c>
      <c r="L57" t="s">
        <v>6759</v>
      </c>
      <c r="M57" t="s">
        <v>2777</v>
      </c>
      <c r="N57">
        <v>2</v>
      </c>
      <c r="O57" t="s">
        <v>6758</v>
      </c>
      <c r="P57" t="s">
        <v>6757</v>
      </c>
      <c r="Q57" t="s">
        <v>6756</v>
      </c>
      <c r="R57" s="7">
        <v>31472</v>
      </c>
      <c r="S57" s="8">
        <f t="shared" si="8"/>
        <v>1986</v>
      </c>
      <c r="T57" s="8">
        <v>1986</v>
      </c>
      <c r="U57" s="8">
        <f t="shared" si="9"/>
        <v>36</v>
      </c>
      <c r="V57" s="7">
        <v>31472</v>
      </c>
      <c r="W57" t="s">
        <v>5789</v>
      </c>
      <c r="X57" s="2" t="s">
        <v>0</v>
      </c>
      <c r="Y57" s="6" t="e">
        <f t="shared" si="2"/>
        <v>#VALUE!</v>
      </c>
      <c r="AA57">
        <v>3905551</v>
      </c>
      <c r="AB57">
        <v>15400155600</v>
      </c>
      <c r="AD57" t="s">
        <v>5</v>
      </c>
      <c r="AE57">
        <v>9</v>
      </c>
      <c r="AF57">
        <v>2</v>
      </c>
      <c r="AH57" t="s">
        <v>6755</v>
      </c>
      <c r="AI57" t="s">
        <v>6754</v>
      </c>
      <c r="AJ57" t="s">
        <v>6753</v>
      </c>
      <c r="AK57" t="s">
        <v>6752</v>
      </c>
      <c r="AL57">
        <v>0</v>
      </c>
      <c r="AM57" s="5">
        <f t="shared" si="10"/>
        <v>0</v>
      </c>
      <c r="AN57" s="4">
        <f t="shared" si="4"/>
        <v>0</v>
      </c>
      <c r="AO57" s="3"/>
      <c r="AP57">
        <v>0</v>
      </c>
      <c r="AR57" t="s">
        <v>1</v>
      </c>
      <c r="AT57" s="2" t="s">
        <v>0</v>
      </c>
      <c r="AU57" s="1" t="e">
        <f t="shared" si="11"/>
        <v>#VALUE!</v>
      </c>
      <c r="AV57" s="1" t="e">
        <f t="shared" si="12"/>
        <v>#VALUE!</v>
      </c>
      <c r="AW57" s="1" t="e">
        <f t="shared" si="13"/>
        <v>#VALUE!</v>
      </c>
    </row>
    <row r="58" spans="1:49" x14ac:dyDescent="0.2">
      <c r="A58">
        <v>56</v>
      </c>
      <c r="B58" t="s">
        <v>6751</v>
      </c>
      <c r="C58" t="s">
        <v>6750</v>
      </c>
      <c r="F58" t="s">
        <v>6749</v>
      </c>
      <c r="G58" t="s">
        <v>16</v>
      </c>
      <c r="H58" t="s">
        <v>15</v>
      </c>
      <c r="I58" t="s">
        <v>5797</v>
      </c>
      <c r="J58" t="s">
        <v>6748</v>
      </c>
      <c r="K58" t="s">
        <v>6747</v>
      </c>
      <c r="L58" t="s">
        <v>2778</v>
      </c>
      <c r="M58" t="s">
        <v>2777</v>
      </c>
      <c r="N58">
        <v>2</v>
      </c>
      <c r="O58" t="s">
        <v>6746</v>
      </c>
      <c r="P58" t="s">
        <v>6745</v>
      </c>
      <c r="Q58" t="s">
        <v>6744</v>
      </c>
      <c r="R58" s="7">
        <v>31472</v>
      </c>
      <c r="S58" s="8">
        <f t="shared" si="8"/>
        <v>1986</v>
      </c>
      <c r="T58" s="8">
        <v>1986</v>
      </c>
      <c r="U58" s="8">
        <f t="shared" si="9"/>
        <v>36</v>
      </c>
      <c r="V58" s="7">
        <v>31472</v>
      </c>
      <c r="W58" t="s">
        <v>5789</v>
      </c>
      <c r="X58" s="2" t="s">
        <v>0</v>
      </c>
      <c r="Y58" s="6" t="e">
        <f t="shared" si="2"/>
        <v>#VALUE!</v>
      </c>
      <c r="AA58">
        <v>3905551</v>
      </c>
      <c r="AB58">
        <v>15400155600</v>
      </c>
      <c r="AD58" t="s">
        <v>5</v>
      </c>
      <c r="AE58">
        <v>9</v>
      </c>
      <c r="AF58">
        <v>2</v>
      </c>
      <c r="AH58" t="s">
        <v>6743</v>
      </c>
      <c r="AI58" t="s">
        <v>6742</v>
      </c>
      <c r="AJ58" t="s">
        <v>6741</v>
      </c>
      <c r="AK58" t="s">
        <v>6740</v>
      </c>
      <c r="AL58">
        <v>28</v>
      </c>
      <c r="AM58" s="5">
        <f t="shared" si="10"/>
        <v>0.77777777777777779</v>
      </c>
      <c r="AN58" s="4">
        <f t="shared" si="4"/>
        <v>1.178004964449493E-3</v>
      </c>
      <c r="AO58" s="3"/>
      <c r="AP58">
        <v>0</v>
      </c>
      <c r="AR58" t="s">
        <v>1</v>
      </c>
      <c r="AT58" s="2" t="s">
        <v>0</v>
      </c>
      <c r="AU58" s="1" t="e">
        <f t="shared" si="11"/>
        <v>#VALUE!</v>
      </c>
      <c r="AV58" s="1" t="e">
        <f t="shared" si="12"/>
        <v>#VALUE!</v>
      </c>
      <c r="AW58" s="1" t="e">
        <f t="shared" si="13"/>
        <v>#VALUE!</v>
      </c>
    </row>
    <row r="59" spans="1:49" x14ac:dyDescent="0.2">
      <c r="A59">
        <v>57</v>
      </c>
      <c r="B59" t="s">
        <v>6739</v>
      </c>
      <c r="F59" t="s">
        <v>6738</v>
      </c>
      <c r="G59" t="s">
        <v>16</v>
      </c>
      <c r="H59" t="s">
        <v>15</v>
      </c>
      <c r="I59" t="s">
        <v>6737</v>
      </c>
      <c r="J59">
        <v>60003480</v>
      </c>
      <c r="K59" t="s">
        <v>6736</v>
      </c>
      <c r="L59" t="s">
        <v>5339</v>
      </c>
      <c r="M59" t="s">
        <v>1409</v>
      </c>
      <c r="N59">
        <v>2</v>
      </c>
      <c r="O59" t="s">
        <v>6735</v>
      </c>
      <c r="P59" t="s">
        <v>6734</v>
      </c>
      <c r="Q59" t="s">
        <v>6733</v>
      </c>
      <c r="R59" s="7">
        <v>31472</v>
      </c>
      <c r="S59" s="8">
        <f t="shared" si="8"/>
        <v>1986</v>
      </c>
      <c r="T59" s="8">
        <v>1986</v>
      </c>
      <c r="U59" s="8">
        <f t="shared" si="9"/>
        <v>36</v>
      </c>
      <c r="V59" s="7">
        <v>31472</v>
      </c>
      <c r="W59" t="s">
        <v>6704</v>
      </c>
      <c r="X59" s="2">
        <v>0.14099999999999999</v>
      </c>
      <c r="Y59" s="6">
        <f t="shared" si="2"/>
        <v>3.7639144710498915E-3</v>
      </c>
      <c r="AA59">
        <v>7252986</v>
      </c>
      <c r="AB59">
        <v>18037</v>
      </c>
      <c r="AD59" t="s">
        <v>5</v>
      </c>
      <c r="AE59">
        <v>6</v>
      </c>
      <c r="AF59">
        <v>1</v>
      </c>
      <c r="AH59" t="s">
        <v>6732</v>
      </c>
      <c r="AI59" t="s">
        <v>6731</v>
      </c>
      <c r="AK59" t="s">
        <v>6730</v>
      </c>
      <c r="AL59">
        <v>2</v>
      </c>
      <c r="AM59" s="5">
        <f t="shared" si="10"/>
        <v>5.5555555555555552E-2</v>
      </c>
      <c r="AN59" s="4">
        <f t="shared" si="4"/>
        <v>8.4143211746392349E-5</v>
      </c>
      <c r="AO59" s="3"/>
      <c r="AP59">
        <v>0</v>
      </c>
      <c r="AR59" t="s">
        <v>1</v>
      </c>
      <c r="AT59" s="2" t="s">
        <v>0</v>
      </c>
      <c r="AU59" s="1">
        <f t="shared" si="11"/>
        <v>0.26599830932588414</v>
      </c>
      <c r="AV59" s="1">
        <f t="shared" si="12"/>
        <v>0.19240288413981418</v>
      </c>
      <c r="AW59" s="1">
        <f t="shared" si="13"/>
        <v>0.1188074589537442</v>
      </c>
    </row>
    <row r="60" spans="1:49" x14ac:dyDescent="0.2">
      <c r="A60">
        <v>58</v>
      </c>
      <c r="B60" t="s">
        <v>6729</v>
      </c>
      <c r="F60" t="s">
        <v>6728</v>
      </c>
      <c r="G60" t="s">
        <v>16</v>
      </c>
      <c r="H60" t="s">
        <v>15</v>
      </c>
      <c r="I60" t="s">
        <v>6727</v>
      </c>
      <c r="J60">
        <v>60082676</v>
      </c>
      <c r="K60" t="s">
        <v>6726</v>
      </c>
      <c r="L60" t="s">
        <v>2375</v>
      </c>
      <c r="M60" t="s">
        <v>665</v>
      </c>
      <c r="N60">
        <v>3</v>
      </c>
      <c r="O60" t="s">
        <v>6725</v>
      </c>
      <c r="P60" t="s">
        <v>6724</v>
      </c>
      <c r="Q60" t="s">
        <v>6723</v>
      </c>
      <c r="R60" s="7">
        <v>31472</v>
      </c>
      <c r="S60" s="8">
        <f t="shared" si="8"/>
        <v>1986</v>
      </c>
      <c r="T60" s="8">
        <v>1986</v>
      </c>
      <c r="U60" s="8">
        <f t="shared" si="9"/>
        <v>36</v>
      </c>
      <c r="V60" s="7">
        <v>31472</v>
      </c>
      <c r="W60" t="s">
        <v>153</v>
      </c>
      <c r="X60" s="2">
        <v>1.6519999999999999</v>
      </c>
      <c r="Y60" s="6">
        <f t="shared" si="2"/>
        <v>4.409919649769093E-2</v>
      </c>
      <c r="AA60" t="s">
        <v>152</v>
      </c>
      <c r="AB60">
        <v>17337</v>
      </c>
      <c r="AD60" t="s">
        <v>5</v>
      </c>
      <c r="AE60" t="s">
        <v>1375</v>
      </c>
      <c r="AF60">
        <v>3</v>
      </c>
      <c r="AH60" t="s">
        <v>6722</v>
      </c>
      <c r="AI60" t="s">
        <v>6721</v>
      </c>
      <c r="AK60" t="s">
        <v>6720</v>
      </c>
      <c r="AL60">
        <v>89</v>
      </c>
      <c r="AM60" s="5">
        <f t="shared" si="10"/>
        <v>2.4722222222222223</v>
      </c>
      <c r="AN60" s="4">
        <f t="shared" si="4"/>
        <v>3.7443729227144601E-3</v>
      </c>
      <c r="AO60" s="3"/>
      <c r="AP60">
        <v>0</v>
      </c>
      <c r="AR60" t="s">
        <v>1</v>
      </c>
      <c r="AT60" s="2" t="s">
        <v>0</v>
      </c>
      <c r="AU60" s="1">
        <f t="shared" si="11"/>
        <v>3.199274942519799</v>
      </c>
      <c r="AV60" s="1">
        <f t="shared" si="12"/>
        <v>2.3921784710202698</v>
      </c>
      <c r="AW60" s="1">
        <f t="shared" si="13"/>
        <v>1.5850819995207401</v>
      </c>
    </row>
    <row r="61" spans="1:49" x14ac:dyDescent="0.2">
      <c r="A61">
        <v>59</v>
      </c>
      <c r="B61" t="s">
        <v>6719</v>
      </c>
      <c r="F61" t="s">
        <v>6718</v>
      </c>
      <c r="G61" t="s">
        <v>16</v>
      </c>
      <c r="H61" t="s">
        <v>15</v>
      </c>
      <c r="I61" t="s">
        <v>6717</v>
      </c>
      <c r="J61">
        <v>60010571</v>
      </c>
      <c r="K61" t="s">
        <v>6716</v>
      </c>
      <c r="L61" t="s">
        <v>6715</v>
      </c>
      <c r="M61" t="s">
        <v>1409</v>
      </c>
      <c r="N61">
        <v>2</v>
      </c>
      <c r="O61" t="s">
        <v>4611</v>
      </c>
      <c r="P61" t="s">
        <v>3135</v>
      </c>
      <c r="Q61" t="s">
        <v>6714</v>
      </c>
      <c r="R61" s="7">
        <v>31472</v>
      </c>
      <c r="S61" s="8">
        <f t="shared" si="8"/>
        <v>1986</v>
      </c>
      <c r="T61" s="8">
        <v>1986</v>
      </c>
      <c r="U61" s="8">
        <f t="shared" si="9"/>
        <v>36</v>
      </c>
      <c r="V61" s="7">
        <v>31472</v>
      </c>
      <c r="W61" t="s">
        <v>153</v>
      </c>
      <c r="X61" s="2">
        <v>1.6519999999999999</v>
      </c>
      <c r="Y61" s="6">
        <f t="shared" si="2"/>
        <v>4.409919649769093E-2</v>
      </c>
      <c r="AA61" t="s">
        <v>152</v>
      </c>
      <c r="AB61">
        <v>17337</v>
      </c>
      <c r="AD61" t="s">
        <v>5</v>
      </c>
      <c r="AE61" t="s">
        <v>1375</v>
      </c>
      <c r="AF61">
        <v>3</v>
      </c>
      <c r="AH61" t="s">
        <v>6713</v>
      </c>
      <c r="AI61" t="s">
        <v>6712</v>
      </c>
      <c r="AK61" t="s">
        <v>6711</v>
      </c>
      <c r="AL61">
        <v>53</v>
      </c>
      <c r="AM61" s="5">
        <f t="shared" si="10"/>
        <v>1.4722222222222223</v>
      </c>
      <c r="AN61" s="4">
        <f t="shared" si="4"/>
        <v>2.2297951112793977E-3</v>
      </c>
      <c r="AO61" s="3"/>
      <c r="AP61">
        <v>0</v>
      </c>
      <c r="AR61" t="s">
        <v>1</v>
      </c>
      <c r="AT61" s="2" t="s">
        <v>0</v>
      </c>
      <c r="AU61" s="1">
        <f t="shared" si="11"/>
        <v>3.153837608176747</v>
      </c>
      <c r="AV61" s="1">
        <f t="shared" si="12"/>
        <v>2.3164495804485163</v>
      </c>
      <c r="AW61" s="1">
        <f t="shared" si="13"/>
        <v>1.4790615527202855</v>
      </c>
    </row>
    <row r="62" spans="1:49" x14ac:dyDescent="0.2">
      <c r="A62">
        <v>60</v>
      </c>
      <c r="B62" t="s">
        <v>6710</v>
      </c>
      <c r="F62" t="s">
        <v>6709</v>
      </c>
      <c r="G62" t="s">
        <v>16</v>
      </c>
      <c r="H62" t="s">
        <v>15</v>
      </c>
      <c r="I62" t="s">
        <v>6708</v>
      </c>
      <c r="J62">
        <v>60029470</v>
      </c>
      <c r="K62" t="s">
        <v>3063</v>
      </c>
      <c r="L62" t="s">
        <v>3062</v>
      </c>
      <c r="M62" t="s">
        <v>1409</v>
      </c>
      <c r="N62">
        <v>4</v>
      </c>
      <c r="O62" t="s">
        <v>6707</v>
      </c>
      <c r="P62" t="s">
        <v>6706</v>
      </c>
      <c r="Q62" t="s">
        <v>6705</v>
      </c>
      <c r="R62" s="7">
        <v>31472</v>
      </c>
      <c r="S62" s="8">
        <f t="shared" si="8"/>
        <v>1986</v>
      </c>
      <c r="T62" s="8">
        <v>1986</v>
      </c>
      <c r="U62" s="8">
        <f t="shared" si="9"/>
        <v>36</v>
      </c>
      <c r="V62" s="7">
        <v>31472</v>
      </c>
      <c r="W62" t="s">
        <v>6704</v>
      </c>
      <c r="X62" s="2">
        <v>0.14099999999999999</v>
      </c>
      <c r="Y62" s="6">
        <f t="shared" si="2"/>
        <v>3.7639144710498915E-3</v>
      </c>
      <c r="AA62">
        <v>7252986</v>
      </c>
      <c r="AB62">
        <v>18037</v>
      </c>
      <c r="AD62" t="s">
        <v>5</v>
      </c>
      <c r="AE62">
        <v>6</v>
      </c>
      <c r="AF62">
        <v>1</v>
      </c>
      <c r="AH62" s="10">
        <v>41426</v>
      </c>
      <c r="AI62" t="s">
        <v>6703</v>
      </c>
      <c r="AK62" t="s">
        <v>6702</v>
      </c>
      <c r="AL62">
        <v>0</v>
      </c>
      <c r="AM62" s="5">
        <f t="shared" si="10"/>
        <v>0</v>
      </c>
      <c r="AN62" s="4">
        <f t="shared" si="4"/>
        <v>0</v>
      </c>
      <c r="AO62" s="3"/>
      <c r="AP62">
        <v>0</v>
      </c>
      <c r="AR62" t="s">
        <v>1</v>
      </c>
      <c r="AT62" s="2" t="s">
        <v>0</v>
      </c>
      <c r="AU62" s="1">
        <f t="shared" si="11"/>
        <v>0.26347401297349238</v>
      </c>
      <c r="AV62" s="1">
        <f t="shared" si="12"/>
        <v>0.18819572355249459</v>
      </c>
      <c r="AW62" s="1">
        <f t="shared" si="13"/>
        <v>0.11291743413149673</v>
      </c>
    </row>
    <row r="63" spans="1:49" x14ac:dyDescent="0.2">
      <c r="A63">
        <v>61</v>
      </c>
      <c r="B63" t="s">
        <v>6701</v>
      </c>
      <c r="F63" t="s">
        <v>6700</v>
      </c>
      <c r="G63" t="s">
        <v>16</v>
      </c>
      <c r="H63" t="s">
        <v>15</v>
      </c>
      <c r="I63" t="s">
        <v>6699</v>
      </c>
      <c r="J63">
        <v>60021080</v>
      </c>
      <c r="K63" t="s">
        <v>6698</v>
      </c>
      <c r="L63" t="s">
        <v>6697</v>
      </c>
      <c r="M63" t="s">
        <v>114</v>
      </c>
      <c r="N63">
        <v>1</v>
      </c>
      <c r="O63" t="s">
        <v>6696</v>
      </c>
      <c r="P63">
        <v>7004504343</v>
      </c>
      <c r="Q63">
        <v>60021080</v>
      </c>
      <c r="R63" s="7">
        <v>31472</v>
      </c>
      <c r="S63" s="8">
        <f t="shared" si="8"/>
        <v>1986</v>
      </c>
      <c r="T63" s="8">
        <v>1986</v>
      </c>
      <c r="U63" s="8">
        <f t="shared" si="9"/>
        <v>36</v>
      </c>
      <c r="V63" s="7">
        <v>31472</v>
      </c>
      <c r="W63" t="s">
        <v>153</v>
      </c>
      <c r="X63" s="2">
        <v>1.6519999999999999</v>
      </c>
      <c r="Y63" s="6">
        <f t="shared" si="2"/>
        <v>4.409919649769093E-2</v>
      </c>
      <c r="AA63" t="s">
        <v>152</v>
      </c>
      <c r="AB63">
        <v>17337</v>
      </c>
      <c r="AD63" t="s">
        <v>5</v>
      </c>
      <c r="AE63" t="s">
        <v>1375</v>
      </c>
      <c r="AF63">
        <v>3</v>
      </c>
      <c r="AH63" t="s">
        <v>6695</v>
      </c>
      <c r="AI63" t="s">
        <v>6694</v>
      </c>
      <c r="AK63" t="s">
        <v>6693</v>
      </c>
      <c r="AL63">
        <v>33</v>
      </c>
      <c r="AM63" s="5">
        <f t="shared" si="10"/>
        <v>0.91666666666666663</v>
      </c>
      <c r="AN63" s="4">
        <f t="shared" si="4"/>
        <v>1.3883629938154739E-3</v>
      </c>
      <c r="AO63" s="3"/>
      <c r="AP63">
        <v>0</v>
      </c>
      <c r="AR63" t="s">
        <v>1</v>
      </c>
      <c r="AT63" s="2" t="s">
        <v>0</v>
      </c>
      <c r="AU63" s="1">
        <f t="shared" si="11"/>
        <v>3.1285946446528294</v>
      </c>
      <c r="AV63" s="1">
        <f t="shared" si="12"/>
        <v>2.2743779745753203</v>
      </c>
      <c r="AW63" s="1">
        <f t="shared" si="13"/>
        <v>1.420161304497811</v>
      </c>
    </row>
    <row r="64" spans="1:49" x14ac:dyDescent="0.2">
      <c r="A64">
        <v>62</v>
      </c>
      <c r="B64" t="s">
        <v>6692</v>
      </c>
      <c r="C64" t="s">
        <v>6691</v>
      </c>
      <c r="F64" t="s">
        <v>6690</v>
      </c>
      <c r="G64" t="s">
        <v>16</v>
      </c>
      <c r="H64" t="s">
        <v>15</v>
      </c>
      <c r="I64" t="s">
        <v>6689</v>
      </c>
      <c r="J64">
        <v>60032361</v>
      </c>
      <c r="K64" t="s">
        <v>6688</v>
      </c>
      <c r="L64" t="s">
        <v>6687</v>
      </c>
      <c r="M64" t="s">
        <v>6686</v>
      </c>
      <c r="N64">
        <v>1</v>
      </c>
      <c r="O64" t="s">
        <v>6685</v>
      </c>
      <c r="P64">
        <v>37013154300</v>
      </c>
      <c r="Q64">
        <v>60032361</v>
      </c>
      <c r="R64" s="7">
        <v>31472</v>
      </c>
      <c r="S64" s="8">
        <f t="shared" si="8"/>
        <v>1986</v>
      </c>
      <c r="T64" s="8">
        <v>1986</v>
      </c>
      <c r="U64" s="8">
        <f t="shared" si="9"/>
        <v>36</v>
      </c>
      <c r="V64" s="7">
        <v>31472</v>
      </c>
      <c r="W64" t="s">
        <v>6684</v>
      </c>
      <c r="X64" s="2">
        <v>0.33800000000000002</v>
      </c>
      <c r="Y64" s="6">
        <f t="shared" si="2"/>
        <v>9.0227169589706634E-3</v>
      </c>
      <c r="AA64">
        <v>34347</v>
      </c>
      <c r="AB64">
        <v>17722</v>
      </c>
      <c r="AC64">
        <v>19589395</v>
      </c>
      <c r="AD64" t="s">
        <v>5</v>
      </c>
      <c r="AE64">
        <v>41</v>
      </c>
      <c r="AF64" s="9">
        <v>44289</v>
      </c>
      <c r="AH64" t="s">
        <v>6683</v>
      </c>
      <c r="AI64" t="s">
        <v>6682</v>
      </c>
      <c r="AJ64" t="s">
        <v>6681</v>
      </c>
      <c r="AK64" t="s">
        <v>6680</v>
      </c>
      <c r="AL64">
        <v>4</v>
      </c>
      <c r="AM64" s="5">
        <f t="shared" si="10"/>
        <v>0.1111111111111111</v>
      </c>
      <c r="AN64" s="4">
        <f t="shared" si="4"/>
        <v>1.682864234927847E-4</v>
      </c>
      <c r="AO64" s="3"/>
      <c r="AP64">
        <v>0</v>
      </c>
      <c r="AR64" t="s">
        <v>1</v>
      </c>
      <c r="AT64" s="2" t="s">
        <v>0</v>
      </c>
      <c r="AU64" s="1">
        <f t="shared" si="11"/>
        <v>0.63663877983272998</v>
      </c>
      <c r="AV64" s="1">
        <f t="shared" si="12"/>
        <v>0.45955016912317237</v>
      </c>
      <c r="AW64" s="1">
        <f t="shared" si="13"/>
        <v>0.28246155841361481</v>
      </c>
    </row>
    <row r="65" spans="1:49" x14ac:dyDescent="0.2">
      <c r="A65">
        <v>63</v>
      </c>
      <c r="B65" t="s">
        <v>6679</v>
      </c>
      <c r="F65" t="s">
        <v>6678</v>
      </c>
      <c r="G65" t="s">
        <v>16</v>
      </c>
      <c r="H65" t="s">
        <v>15</v>
      </c>
      <c r="I65" t="s">
        <v>6677</v>
      </c>
      <c r="J65">
        <v>60012708</v>
      </c>
      <c r="K65" t="s">
        <v>1920</v>
      </c>
      <c r="L65" t="s">
        <v>441</v>
      </c>
      <c r="M65" t="s">
        <v>114</v>
      </c>
      <c r="N65">
        <v>3</v>
      </c>
      <c r="O65" t="s">
        <v>6676</v>
      </c>
      <c r="P65" t="s">
        <v>6675</v>
      </c>
      <c r="Q65" t="s">
        <v>3449</v>
      </c>
      <c r="R65" s="7">
        <v>31472</v>
      </c>
      <c r="S65" s="8">
        <f t="shared" si="8"/>
        <v>1986</v>
      </c>
      <c r="T65" s="8">
        <v>1986</v>
      </c>
      <c r="U65" s="8">
        <f t="shared" si="9"/>
        <v>36</v>
      </c>
      <c r="V65" s="7">
        <v>31472</v>
      </c>
      <c r="W65" t="s">
        <v>153</v>
      </c>
      <c r="X65" s="2">
        <v>1.6519999999999999</v>
      </c>
      <c r="Y65" s="6">
        <f t="shared" si="2"/>
        <v>4.409919649769093E-2</v>
      </c>
      <c r="AA65" t="s">
        <v>152</v>
      </c>
      <c r="AB65">
        <v>17337</v>
      </c>
      <c r="AD65" t="s">
        <v>5</v>
      </c>
      <c r="AE65" t="s">
        <v>1375</v>
      </c>
      <c r="AF65">
        <v>3</v>
      </c>
      <c r="AH65" t="s">
        <v>6674</v>
      </c>
      <c r="AI65" t="s">
        <v>6673</v>
      </c>
      <c r="AK65" t="s">
        <v>6672</v>
      </c>
      <c r="AL65">
        <v>31</v>
      </c>
      <c r="AM65" s="5">
        <f t="shared" si="10"/>
        <v>0.86111111111111116</v>
      </c>
      <c r="AN65" s="4">
        <f t="shared" si="4"/>
        <v>1.3042197820690817E-3</v>
      </c>
      <c r="AO65" s="3"/>
      <c r="AP65">
        <v>0</v>
      </c>
      <c r="AR65" t="s">
        <v>1</v>
      </c>
      <c r="AT65" s="2" t="s">
        <v>0</v>
      </c>
      <c r="AU65" s="1">
        <f t="shared" si="11"/>
        <v>3.1260703483004373</v>
      </c>
      <c r="AV65" s="1">
        <f t="shared" si="12"/>
        <v>2.2701708139880004</v>
      </c>
      <c r="AW65" s="1">
        <f t="shared" si="13"/>
        <v>1.4142712796755634</v>
      </c>
    </row>
    <row r="66" spans="1:49" x14ac:dyDescent="0.2">
      <c r="A66">
        <v>64</v>
      </c>
      <c r="B66" t="s">
        <v>6671</v>
      </c>
      <c r="F66" t="s">
        <v>6670</v>
      </c>
      <c r="G66" t="s">
        <v>16</v>
      </c>
      <c r="H66" t="s">
        <v>15</v>
      </c>
      <c r="I66" t="s">
        <v>6669</v>
      </c>
      <c r="J66">
        <v>60028654</v>
      </c>
      <c r="K66" t="s">
        <v>6668</v>
      </c>
      <c r="L66" t="s">
        <v>6667</v>
      </c>
      <c r="M66" t="s">
        <v>114</v>
      </c>
      <c r="N66">
        <v>3</v>
      </c>
      <c r="O66" t="s">
        <v>6666</v>
      </c>
      <c r="P66" t="s">
        <v>6665</v>
      </c>
      <c r="Q66" t="s">
        <v>6664</v>
      </c>
      <c r="R66" s="7">
        <v>31472</v>
      </c>
      <c r="S66" s="8">
        <f t="shared" si="8"/>
        <v>1986</v>
      </c>
      <c r="T66" s="8">
        <v>1986</v>
      </c>
      <c r="U66" s="8">
        <f t="shared" si="9"/>
        <v>36</v>
      </c>
      <c r="V66" s="7">
        <v>31472</v>
      </c>
      <c r="W66" t="s">
        <v>153</v>
      </c>
      <c r="X66" s="2">
        <v>1.6519999999999999</v>
      </c>
      <c r="Y66" s="6">
        <f t="shared" ref="Y66:Y129" si="14">(X66-$Z$4)/($Z$3-$Z$4)</f>
        <v>4.409919649769093E-2</v>
      </c>
      <c r="AA66" t="s">
        <v>152</v>
      </c>
      <c r="AB66">
        <v>17337</v>
      </c>
      <c r="AD66" t="s">
        <v>5</v>
      </c>
      <c r="AE66" t="s">
        <v>1375</v>
      </c>
      <c r="AF66">
        <v>3</v>
      </c>
      <c r="AH66" t="s">
        <v>6663</v>
      </c>
      <c r="AI66" t="s">
        <v>6662</v>
      </c>
      <c r="AK66" t="s">
        <v>6661</v>
      </c>
      <c r="AL66">
        <v>20</v>
      </c>
      <c r="AM66" s="5">
        <f t="shared" si="10"/>
        <v>0.55555555555555558</v>
      </c>
      <c r="AN66" s="4">
        <f t="shared" ref="AN66:AN129" si="15">(AM66-$AO$4)/($AO$3-$AO$4)</f>
        <v>8.414321174639236E-4</v>
      </c>
      <c r="AO66" s="3"/>
      <c r="AP66">
        <v>0</v>
      </c>
      <c r="AR66" t="s">
        <v>1</v>
      </c>
      <c r="AT66" s="2" t="s">
        <v>0</v>
      </c>
      <c r="AU66" s="1">
        <f t="shared" si="11"/>
        <v>3.1121867183622824</v>
      </c>
      <c r="AV66" s="1">
        <f t="shared" si="12"/>
        <v>2.2470314307577426</v>
      </c>
      <c r="AW66" s="1">
        <f t="shared" si="13"/>
        <v>1.3818761431532025</v>
      </c>
    </row>
    <row r="67" spans="1:49" x14ac:dyDescent="0.2">
      <c r="A67">
        <v>65</v>
      </c>
      <c r="B67" t="s">
        <v>6660</v>
      </c>
      <c r="F67" t="s">
        <v>6659</v>
      </c>
      <c r="G67" t="s">
        <v>16</v>
      </c>
      <c r="H67" t="s">
        <v>15</v>
      </c>
      <c r="I67" t="s">
        <v>6658</v>
      </c>
      <c r="J67">
        <v>60028673</v>
      </c>
      <c r="K67" t="s">
        <v>4076</v>
      </c>
      <c r="L67" t="s">
        <v>4075</v>
      </c>
      <c r="M67" t="s">
        <v>376</v>
      </c>
      <c r="N67">
        <v>2</v>
      </c>
      <c r="O67" t="s">
        <v>6657</v>
      </c>
      <c r="P67" t="s">
        <v>6656</v>
      </c>
      <c r="Q67" t="s">
        <v>4072</v>
      </c>
      <c r="R67" s="7">
        <v>31472</v>
      </c>
      <c r="S67" s="8">
        <f t="shared" si="8"/>
        <v>1986</v>
      </c>
      <c r="T67" s="8">
        <v>1986</v>
      </c>
      <c r="U67" s="8">
        <f t="shared" si="9"/>
        <v>36</v>
      </c>
      <c r="V67" s="7">
        <v>31472</v>
      </c>
      <c r="W67" t="s">
        <v>6655</v>
      </c>
      <c r="X67" s="2" t="s">
        <v>0</v>
      </c>
      <c r="Y67" s="6" t="e">
        <f t="shared" si="14"/>
        <v>#VALUE!</v>
      </c>
      <c r="AA67">
        <v>3444880</v>
      </c>
      <c r="AB67">
        <v>38773</v>
      </c>
      <c r="AD67" t="s">
        <v>5</v>
      </c>
      <c r="AE67">
        <v>9</v>
      </c>
      <c r="AF67">
        <v>2</v>
      </c>
      <c r="AH67" t="s">
        <v>6654</v>
      </c>
      <c r="AI67" t="s">
        <v>6653</v>
      </c>
      <c r="AK67" t="s">
        <v>6652</v>
      </c>
      <c r="AL67">
        <v>0</v>
      </c>
      <c r="AM67" s="5">
        <f t="shared" si="10"/>
        <v>0</v>
      </c>
      <c r="AN67" s="4">
        <f t="shared" si="15"/>
        <v>0</v>
      </c>
      <c r="AO67" s="3"/>
      <c r="AP67">
        <v>0</v>
      </c>
      <c r="AR67" t="s">
        <v>1</v>
      </c>
      <c r="AT67" s="2" t="s">
        <v>0</v>
      </c>
      <c r="AU67" s="1" t="e">
        <f t="shared" si="11"/>
        <v>#VALUE!</v>
      </c>
      <c r="AV67" s="1" t="e">
        <f t="shared" si="12"/>
        <v>#VALUE!</v>
      </c>
      <c r="AW67" s="1" t="e">
        <f t="shared" si="13"/>
        <v>#VALUE!</v>
      </c>
    </row>
    <row r="68" spans="1:49" x14ac:dyDescent="0.2">
      <c r="A68">
        <v>66</v>
      </c>
      <c r="B68" t="s">
        <v>6651</v>
      </c>
      <c r="F68" t="s">
        <v>6650</v>
      </c>
      <c r="G68" t="s">
        <v>16</v>
      </c>
      <c r="H68" t="s">
        <v>15</v>
      </c>
      <c r="I68" t="s">
        <v>6649</v>
      </c>
      <c r="J68">
        <v>60079323</v>
      </c>
      <c r="K68" t="s">
        <v>6648</v>
      </c>
      <c r="L68" t="s">
        <v>3878</v>
      </c>
      <c r="M68" t="s">
        <v>616</v>
      </c>
      <c r="N68">
        <v>1</v>
      </c>
      <c r="O68" t="s">
        <v>6647</v>
      </c>
      <c r="P68">
        <v>6602683962</v>
      </c>
      <c r="Q68">
        <v>60079323</v>
      </c>
      <c r="R68" s="7">
        <v>31472</v>
      </c>
      <c r="S68" s="8">
        <f t="shared" si="8"/>
        <v>1986</v>
      </c>
      <c r="T68" s="8">
        <v>1986</v>
      </c>
      <c r="U68" s="8">
        <f t="shared" si="9"/>
        <v>36</v>
      </c>
      <c r="V68" s="7">
        <v>31472</v>
      </c>
      <c r="W68" t="s">
        <v>153</v>
      </c>
      <c r="X68" s="2">
        <v>1.6519999999999999</v>
      </c>
      <c r="Y68" s="6">
        <f t="shared" si="14"/>
        <v>4.409919649769093E-2</v>
      </c>
      <c r="AA68" t="s">
        <v>152</v>
      </c>
      <c r="AB68">
        <v>17337</v>
      </c>
      <c r="AD68" t="s">
        <v>5</v>
      </c>
      <c r="AE68" t="s">
        <v>1375</v>
      </c>
      <c r="AF68">
        <v>3</v>
      </c>
      <c r="AH68" t="s">
        <v>6646</v>
      </c>
      <c r="AI68" t="s">
        <v>6645</v>
      </c>
      <c r="AK68" t="s">
        <v>6644</v>
      </c>
      <c r="AL68">
        <v>7</v>
      </c>
      <c r="AM68" s="5">
        <f t="shared" si="10"/>
        <v>0.19444444444444445</v>
      </c>
      <c r="AN68" s="4">
        <f t="shared" si="15"/>
        <v>2.9450124111237325E-4</v>
      </c>
      <c r="AO68" s="3"/>
      <c r="AP68">
        <v>0</v>
      </c>
      <c r="AR68" t="s">
        <v>1</v>
      </c>
      <c r="AT68" s="2" t="s">
        <v>0</v>
      </c>
      <c r="AU68" s="1">
        <f t="shared" si="11"/>
        <v>3.0957787920717363</v>
      </c>
      <c r="AV68" s="1">
        <f t="shared" si="12"/>
        <v>2.2196848869401653</v>
      </c>
      <c r="AW68" s="1">
        <f t="shared" si="13"/>
        <v>1.3435909818085938</v>
      </c>
    </row>
    <row r="69" spans="1:49" x14ac:dyDescent="0.2">
      <c r="A69">
        <v>67</v>
      </c>
      <c r="B69" t="s">
        <v>6643</v>
      </c>
      <c r="F69" t="s">
        <v>6642</v>
      </c>
      <c r="G69" t="s">
        <v>16</v>
      </c>
      <c r="H69" t="s">
        <v>15</v>
      </c>
      <c r="I69" t="s">
        <v>6641</v>
      </c>
      <c r="N69">
        <v>3</v>
      </c>
      <c r="O69" t="s">
        <v>6640</v>
      </c>
      <c r="P69" t="s">
        <v>6639</v>
      </c>
      <c r="Q69" t="s">
        <v>295</v>
      </c>
      <c r="R69" s="7">
        <v>31472</v>
      </c>
      <c r="S69" s="8">
        <f t="shared" si="8"/>
        <v>1986</v>
      </c>
      <c r="T69" s="8">
        <v>1986</v>
      </c>
      <c r="U69" s="8">
        <f t="shared" si="9"/>
        <v>36</v>
      </c>
      <c r="V69" s="7">
        <v>31472</v>
      </c>
      <c r="W69" t="s">
        <v>857</v>
      </c>
      <c r="X69" s="2" t="s">
        <v>0</v>
      </c>
      <c r="Y69" s="6" t="e">
        <f t="shared" si="14"/>
        <v>#VALUE!</v>
      </c>
      <c r="AA69">
        <v>87566648</v>
      </c>
      <c r="AB69">
        <v>74127</v>
      </c>
      <c r="AD69" t="s">
        <v>5</v>
      </c>
      <c r="AE69">
        <v>31</v>
      </c>
      <c r="AF69">
        <v>3</v>
      </c>
      <c r="AH69" t="s">
        <v>6638</v>
      </c>
      <c r="AI69" t="s">
        <v>6637</v>
      </c>
      <c r="AK69" t="s">
        <v>6636</v>
      </c>
      <c r="AL69">
        <v>0</v>
      </c>
      <c r="AM69" s="5">
        <f t="shared" si="10"/>
        <v>0</v>
      </c>
      <c r="AN69" s="4">
        <f t="shared" si="15"/>
        <v>0</v>
      </c>
      <c r="AO69" s="3"/>
      <c r="AP69">
        <v>0</v>
      </c>
      <c r="AR69" t="s">
        <v>1</v>
      </c>
      <c r="AT69" s="2" t="s">
        <v>0</v>
      </c>
      <c r="AU69" s="1" t="e">
        <f t="shared" si="11"/>
        <v>#VALUE!</v>
      </c>
      <c r="AV69" s="1" t="e">
        <f t="shared" si="12"/>
        <v>#VALUE!</v>
      </c>
      <c r="AW69" s="1" t="e">
        <f t="shared" si="13"/>
        <v>#VALUE!</v>
      </c>
    </row>
    <row r="70" spans="1:49" x14ac:dyDescent="0.2">
      <c r="A70">
        <v>68</v>
      </c>
      <c r="B70" t="s">
        <v>6635</v>
      </c>
      <c r="F70" t="s">
        <v>6634</v>
      </c>
      <c r="G70" t="s">
        <v>16</v>
      </c>
      <c r="H70" t="s">
        <v>15</v>
      </c>
      <c r="I70" t="s">
        <v>6633</v>
      </c>
      <c r="N70">
        <v>2</v>
      </c>
      <c r="O70" t="s">
        <v>6632</v>
      </c>
      <c r="P70" t="s">
        <v>6631</v>
      </c>
      <c r="Q70" t="s">
        <v>313</v>
      </c>
      <c r="R70" s="7">
        <v>31472</v>
      </c>
      <c r="S70" s="8">
        <f t="shared" si="8"/>
        <v>1986</v>
      </c>
      <c r="T70" s="8">
        <v>1986</v>
      </c>
      <c r="U70" s="8">
        <f t="shared" si="9"/>
        <v>36</v>
      </c>
      <c r="V70" s="7">
        <v>31472</v>
      </c>
      <c r="W70" t="s">
        <v>857</v>
      </c>
      <c r="X70" s="2" t="s">
        <v>0</v>
      </c>
      <c r="Y70" s="6" t="e">
        <f t="shared" si="14"/>
        <v>#VALUE!</v>
      </c>
      <c r="AA70">
        <v>87566648</v>
      </c>
      <c r="AB70">
        <v>74127</v>
      </c>
      <c r="AD70" t="s">
        <v>5</v>
      </c>
      <c r="AE70">
        <v>31</v>
      </c>
      <c r="AF70">
        <v>3</v>
      </c>
      <c r="AH70" t="s">
        <v>6630</v>
      </c>
      <c r="AI70" t="s">
        <v>6629</v>
      </c>
      <c r="AK70" t="s">
        <v>6628</v>
      </c>
      <c r="AL70">
        <v>0</v>
      </c>
      <c r="AM70" s="5">
        <f t="shared" si="10"/>
        <v>0</v>
      </c>
      <c r="AN70" s="4">
        <f t="shared" si="15"/>
        <v>0</v>
      </c>
      <c r="AO70" s="3"/>
      <c r="AP70">
        <v>0</v>
      </c>
      <c r="AR70" t="s">
        <v>1</v>
      </c>
      <c r="AT70" s="2" t="s">
        <v>0</v>
      </c>
      <c r="AU70" s="1" t="e">
        <f t="shared" si="11"/>
        <v>#VALUE!</v>
      </c>
      <c r="AV70" s="1" t="e">
        <f t="shared" si="12"/>
        <v>#VALUE!</v>
      </c>
      <c r="AW70" s="1" t="e">
        <f t="shared" si="13"/>
        <v>#VALUE!</v>
      </c>
    </row>
    <row r="71" spans="1:49" x14ac:dyDescent="0.2">
      <c r="A71">
        <v>69</v>
      </c>
      <c r="B71" t="s">
        <v>6627</v>
      </c>
      <c r="F71" t="s">
        <v>6626</v>
      </c>
      <c r="G71" t="s">
        <v>16</v>
      </c>
      <c r="H71" t="s">
        <v>15</v>
      </c>
      <c r="I71" t="s">
        <v>6625</v>
      </c>
      <c r="N71">
        <v>2</v>
      </c>
      <c r="O71" t="s">
        <v>6624</v>
      </c>
      <c r="P71" t="s">
        <v>6623</v>
      </c>
      <c r="Q71" t="s">
        <v>313</v>
      </c>
      <c r="R71" s="7">
        <v>31472</v>
      </c>
      <c r="S71" s="8">
        <f t="shared" si="8"/>
        <v>1986</v>
      </c>
      <c r="T71" s="8">
        <v>1986</v>
      </c>
      <c r="U71" s="8">
        <f t="shared" si="9"/>
        <v>36</v>
      </c>
      <c r="V71" s="7">
        <v>31472</v>
      </c>
      <c r="W71" t="s">
        <v>857</v>
      </c>
      <c r="X71" s="2" t="s">
        <v>0</v>
      </c>
      <c r="Y71" s="6" t="e">
        <f t="shared" si="14"/>
        <v>#VALUE!</v>
      </c>
      <c r="AA71">
        <v>87566648</v>
      </c>
      <c r="AB71">
        <v>74127</v>
      </c>
      <c r="AD71" t="s">
        <v>5</v>
      </c>
      <c r="AE71">
        <v>31</v>
      </c>
      <c r="AF71">
        <v>3</v>
      </c>
      <c r="AH71" t="s">
        <v>6622</v>
      </c>
      <c r="AI71" t="s">
        <v>6621</v>
      </c>
      <c r="AK71" t="s">
        <v>6620</v>
      </c>
      <c r="AL71">
        <v>0</v>
      </c>
      <c r="AM71" s="5">
        <f t="shared" si="10"/>
        <v>0</v>
      </c>
      <c r="AN71" s="4">
        <f t="shared" si="15"/>
        <v>0</v>
      </c>
      <c r="AO71" s="3"/>
      <c r="AP71">
        <v>0</v>
      </c>
      <c r="AR71" t="s">
        <v>1</v>
      </c>
      <c r="AT71" s="2" t="s">
        <v>0</v>
      </c>
      <c r="AU71" s="1" t="e">
        <f t="shared" si="11"/>
        <v>#VALUE!</v>
      </c>
      <c r="AV71" s="1" t="e">
        <f t="shared" si="12"/>
        <v>#VALUE!</v>
      </c>
      <c r="AW71" s="1" t="e">
        <f t="shared" si="13"/>
        <v>#VALUE!</v>
      </c>
    </row>
    <row r="72" spans="1:49" x14ac:dyDescent="0.2">
      <c r="A72">
        <v>70</v>
      </c>
      <c r="B72" t="s">
        <v>6619</v>
      </c>
      <c r="C72" t="s">
        <v>6618</v>
      </c>
      <c r="F72" t="s">
        <v>6617</v>
      </c>
      <c r="G72" t="s">
        <v>16</v>
      </c>
      <c r="H72" t="s">
        <v>15</v>
      </c>
      <c r="I72" t="s">
        <v>6616</v>
      </c>
      <c r="N72">
        <v>1</v>
      </c>
      <c r="O72" t="s">
        <v>6615</v>
      </c>
      <c r="P72">
        <v>6602495658</v>
      </c>
      <c r="R72" s="7">
        <v>31472</v>
      </c>
      <c r="S72" s="8">
        <f t="shared" si="8"/>
        <v>1986</v>
      </c>
      <c r="T72" s="8">
        <v>1986</v>
      </c>
      <c r="U72" s="8">
        <f t="shared" si="9"/>
        <v>36</v>
      </c>
      <c r="V72" s="7">
        <v>31472</v>
      </c>
      <c r="W72" t="s">
        <v>633</v>
      </c>
      <c r="X72" s="2">
        <v>0.318</v>
      </c>
      <c r="Y72" s="6">
        <f t="shared" si="14"/>
        <v>8.4888283815167786E-3</v>
      </c>
      <c r="AA72">
        <v>338443</v>
      </c>
      <c r="AB72">
        <v>27160</v>
      </c>
      <c r="AC72">
        <v>15739120</v>
      </c>
      <c r="AD72" t="s">
        <v>5</v>
      </c>
      <c r="AE72">
        <v>29</v>
      </c>
      <c r="AF72">
        <v>3</v>
      </c>
      <c r="AH72" t="s">
        <v>6614</v>
      </c>
      <c r="AL72">
        <v>0</v>
      </c>
      <c r="AM72" s="5">
        <f t="shared" si="10"/>
        <v>0</v>
      </c>
      <c r="AN72" s="4">
        <f t="shared" si="15"/>
        <v>0</v>
      </c>
      <c r="AO72" s="3"/>
      <c r="AP72">
        <v>0</v>
      </c>
      <c r="AR72" t="s">
        <v>1</v>
      </c>
      <c r="AT72" s="2">
        <v>0.77</v>
      </c>
      <c r="AU72" s="1">
        <f t="shared" si="11"/>
        <v>0.59421798670617454</v>
      </c>
      <c r="AV72" s="1">
        <f t="shared" si="12"/>
        <v>0.42444141907583893</v>
      </c>
      <c r="AW72" s="1">
        <f t="shared" si="13"/>
        <v>0.25466485144550338</v>
      </c>
    </row>
    <row r="73" spans="1:49" x14ac:dyDescent="0.2">
      <c r="A73">
        <v>71</v>
      </c>
      <c r="B73" t="s">
        <v>6613</v>
      </c>
      <c r="D73">
        <v>277377586901096</v>
      </c>
      <c r="F73" t="s">
        <v>6612</v>
      </c>
      <c r="G73" t="s">
        <v>16</v>
      </c>
      <c r="H73" t="s">
        <v>15</v>
      </c>
      <c r="I73" t="s">
        <v>6611</v>
      </c>
      <c r="J73">
        <v>60012468</v>
      </c>
      <c r="K73" t="s">
        <v>6610</v>
      </c>
      <c r="L73" t="s">
        <v>6609</v>
      </c>
      <c r="M73" t="s">
        <v>616</v>
      </c>
      <c r="N73">
        <v>1</v>
      </c>
      <c r="O73" t="s">
        <v>6608</v>
      </c>
      <c r="P73">
        <v>7003987216</v>
      </c>
      <c r="Q73">
        <v>60012468</v>
      </c>
      <c r="R73" s="7">
        <v>31472</v>
      </c>
      <c r="S73" s="8">
        <f t="shared" si="8"/>
        <v>1986</v>
      </c>
      <c r="T73" s="8">
        <v>1986</v>
      </c>
      <c r="U73" s="8">
        <f t="shared" si="9"/>
        <v>36</v>
      </c>
      <c r="V73" s="7">
        <v>31472</v>
      </c>
      <c r="W73" t="s">
        <v>6607</v>
      </c>
      <c r="X73" s="2" t="s">
        <v>0</v>
      </c>
      <c r="Y73" s="6" t="e">
        <f t="shared" si="14"/>
        <v>#VALUE!</v>
      </c>
      <c r="AA73">
        <v>2773775</v>
      </c>
      <c r="AB73">
        <v>32690</v>
      </c>
      <c r="AD73" t="s">
        <v>5</v>
      </c>
      <c r="AE73">
        <v>5</v>
      </c>
      <c r="AF73">
        <v>3</v>
      </c>
      <c r="AH73" t="s">
        <v>6606</v>
      </c>
      <c r="AI73" t="s">
        <v>6605</v>
      </c>
      <c r="AK73" t="s">
        <v>6604</v>
      </c>
      <c r="AL73">
        <v>0</v>
      </c>
      <c r="AM73" s="5">
        <f t="shared" si="10"/>
        <v>0</v>
      </c>
      <c r="AN73" s="4">
        <f t="shared" si="15"/>
        <v>0</v>
      </c>
      <c r="AO73" s="3"/>
      <c r="AP73">
        <v>0</v>
      </c>
      <c r="AR73" t="s">
        <v>1</v>
      </c>
      <c r="AT73" s="2" t="s">
        <v>0</v>
      </c>
      <c r="AU73" s="1" t="e">
        <f t="shared" si="11"/>
        <v>#VALUE!</v>
      </c>
      <c r="AV73" s="1" t="e">
        <f t="shared" si="12"/>
        <v>#VALUE!</v>
      </c>
      <c r="AW73" s="1" t="e">
        <f t="shared" si="13"/>
        <v>#VALUE!</v>
      </c>
    </row>
    <row r="74" spans="1:49" x14ac:dyDescent="0.2">
      <c r="A74">
        <v>72</v>
      </c>
      <c r="B74" t="s">
        <v>6603</v>
      </c>
      <c r="F74" t="s">
        <v>6602</v>
      </c>
      <c r="G74" t="s">
        <v>16</v>
      </c>
      <c r="H74" t="s">
        <v>15</v>
      </c>
      <c r="I74" t="s">
        <v>5469</v>
      </c>
      <c r="N74">
        <v>3</v>
      </c>
      <c r="O74" t="s">
        <v>6601</v>
      </c>
      <c r="P74" t="s">
        <v>6600</v>
      </c>
      <c r="Q74" t="s">
        <v>295</v>
      </c>
      <c r="R74" s="7">
        <v>31472</v>
      </c>
      <c r="S74" s="8">
        <f t="shared" si="8"/>
        <v>1986</v>
      </c>
      <c r="T74" s="8">
        <v>1986</v>
      </c>
      <c r="U74" s="8">
        <f t="shared" si="9"/>
        <v>36</v>
      </c>
      <c r="V74" s="7">
        <v>31472</v>
      </c>
      <c r="W74" t="s">
        <v>6599</v>
      </c>
      <c r="X74" s="2" t="s">
        <v>0</v>
      </c>
      <c r="Y74" s="6" t="e">
        <f t="shared" si="14"/>
        <v>#VALUE!</v>
      </c>
      <c r="AA74">
        <v>338001</v>
      </c>
      <c r="AB74">
        <v>32587</v>
      </c>
      <c r="AD74" t="s">
        <v>5</v>
      </c>
      <c r="AE74">
        <v>33</v>
      </c>
      <c r="AF74">
        <v>1</v>
      </c>
      <c r="AH74" t="s">
        <v>6598</v>
      </c>
      <c r="AI74" t="s">
        <v>6597</v>
      </c>
      <c r="AK74" t="s">
        <v>6596</v>
      </c>
      <c r="AL74">
        <v>0</v>
      </c>
      <c r="AM74" s="5">
        <f t="shared" si="10"/>
        <v>0</v>
      </c>
      <c r="AN74" s="4">
        <f t="shared" si="15"/>
        <v>0</v>
      </c>
      <c r="AO74" s="3"/>
      <c r="AP74">
        <v>0</v>
      </c>
      <c r="AR74" t="s">
        <v>1</v>
      </c>
      <c r="AT74" s="2" t="s">
        <v>0</v>
      </c>
      <c r="AU74" s="1" t="e">
        <f t="shared" si="11"/>
        <v>#VALUE!</v>
      </c>
      <c r="AV74" s="1" t="e">
        <f t="shared" si="12"/>
        <v>#VALUE!</v>
      </c>
      <c r="AW74" s="1" t="e">
        <f t="shared" si="13"/>
        <v>#VALUE!</v>
      </c>
    </row>
    <row r="75" spans="1:49" x14ac:dyDescent="0.2">
      <c r="A75">
        <v>73</v>
      </c>
      <c r="B75" t="s">
        <v>6595</v>
      </c>
      <c r="C75" t="s">
        <v>6594</v>
      </c>
      <c r="F75" t="s">
        <v>6593</v>
      </c>
      <c r="G75" t="s">
        <v>16</v>
      </c>
      <c r="H75" t="s">
        <v>15</v>
      </c>
      <c r="I75" t="s">
        <v>6592</v>
      </c>
      <c r="N75">
        <v>2</v>
      </c>
      <c r="O75" t="s">
        <v>6591</v>
      </c>
      <c r="P75" t="s">
        <v>6590</v>
      </c>
      <c r="Q75" t="s">
        <v>313</v>
      </c>
      <c r="R75" s="7">
        <v>31472</v>
      </c>
      <c r="S75" s="8">
        <f t="shared" si="8"/>
        <v>1986</v>
      </c>
      <c r="T75" s="8">
        <v>1986</v>
      </c>
      <c r="U75" s="8">
        <f t="shared" si="9"/>
        <v>36</v>
      </c>
      <c r="V75" s="7">
        <v>31472</v>
      </c>
      <c r="W75" t="s">
        <v>633</v>
      </c>
      <c r="X75" s="2">
        <v>0.318</v>
      </c>
      <c r="Y75" s="6">
        <f t="shared" si="14"/>
        <v>8.4888283815167786E-3</v>
      </c>
      <c r="AA75">
        <v>338443</v>
      </c>
      <c r="AB75">
        <v>27160</v>
      </c>
      <c r="AC75">
        <v>15739120</v>
      </c>
      <c r="AD75" t="s">
        <v>5</v>
      </c>
      <c r="AE75">
        <v>29</v>
      </c>
      <c r="AF75">
        <v>3</v>
      </c>
      <c r="AH75" t="s">
        <v>6589</v>
      </c>
      <c r="AL75">
        <v>0</v>
      </c>
      <c r="AM75" s="5">
        <f t="shared" si="10"/>
        <v>0</v>
      </c>
      <c r="AN75" s="4">
        <f t="shared" si="15"/>
        <v>0</v>
      </c>
      <c r="AO75" s="3"/>
      <c r="AP75">
        <v>0</v>
      </c>
      <c r="AR75" t="s">
        <v>1</v>
      </c>
      <c r="AT75" s="2">
        <v>0.77</v>
      </c>
      <c r="AU75" s="1">
        <f t="shared" si="11"/>
        <v>0.59421798670617454</v>
      </c>
      <c r="AV75" s="1">
        <f t="shared" si="12"/>
        <v>0.42444141907583893</v>
      </c>
      <c r="AW75" s="1">
        <f t="shared" si="13"/>
        <v>0.25466485144550338</v>
      </c>
    </row>
    <row r="76" spans="1:49" x14ac:dyDescent="0.2">
      <c r="A76">
        <v>74</v>
      </c>
      <c r="B76" t="s">
        <v>6588</v>
      </c>
      <c r="C76" t="s">
        <v>6587</v>
      </c>
      <c r="F76" t="s">
        <v>6586</v>
      </c>
      <c r="G76" t="s">
        <v>16</v>
      </c>
      <c r="H76" t="s">
        <v>15</v>
      </c>
      <c r="I76" t="s">
        <v>6585</v>
      </c>
      <c r="N76">
        <v>1</v>
      </c>
      <c r="O76" t="s">
        <v>6584</v>
      </c>
      <c r="P76">
        <v>55973232200</v>
      </c>
      <c r="R76" s="7">
        <v>31472</v>
      </c>
      <c r="S76" s="8">
        <f t="shared" si="8"/>
        <v>1986</v>
      </c>
      <c r="T76" s="8">
        <v>1986</v>
      </c>
      <c r="U76" s="8">
        <f t="shared" si="9"/>
        <v>36</v>
      </c>
      <c r="V76" s="7">
        <v>31472</v>
      </c>
      <c r="W76" t="s">
        <v>633</v>
      </c>
      <c r="X76" s="2">
        <v>0.318</v>
      </c>
      <c r="Y76" s="6">
        <f t="shared" si="14"/>
        <v>8.4888283815167786E-3</v>
      </c>
      <c r="AA76">
        <v>338443</v>
      </c>
      <c r="AB76">
        <v>27160</v>
      </c>
      <c r="AC76">
        <v>15739120</v>
      </c>
      <c r="AD76" t="s">
        <v>5</v>
      </c>
      <c r="AE76">
        <v>29</v>
      </c>
      <c r="AF76">
        <v>3</v>
      </c>
      <c r="AH76" t="s">
        <v>6583</v>
      </c>
      <c r="AL76">
        <v>0</v>
      </c>
      <c r="AM76" s="5">
        <f t="shared" si="10"/>
        <v>0</v>
      </c>
      <c r="AN76" s="4">
        <f t="shared" si="15"/>
        <v>0</v>
      </c>
      <c r="AO76" s="3"/>
      <c r="AP76">
        <v>0</v>
      </c>
      <c r="AR76" t="s">
        <v>1</v>
      </c>
      <c r="AT76" s="2">
        <v>0.77</v>
      </c>
      <c r="AU76" s="1">
        <f t="shared" si="11"/>
        <v>0.59421798670617454</v>
      </c>
      <c r="AV76" s="1">
        <f t="shared" si="12"/>
        <v>0.42444141907583893</v>
      </c>
      <c r="AW76" s="1">
        <f t="shared" si="13"/>
        <v>0.25466485144550338</v>
      </c>
    </row>
    <row r="77" spans="1:49" x14ac:dyDescent="0.2">
      <c r="A77">
        <v>75</v>
      </c>
      <c r="B77" t="s">
        <v>6582</v>
      </c>
      <c r="F77" t="s">
        <v>6581</v>
      </c>
      <c r="G77" t="s">
        <v>16</v>
      </c>
      <c r="H77" t="s">
        <v>15</v>
      </c>
      <c r="I77" t="s">
        <v>6580</v>
      </c>
      <c r="J77">
        <v>60023643</v>
      </c>
      <c r="K77" t="s">
        <v>6579</v>
      </c>
      <c r="L77" t="s">
        <v>6578</v>
      </c>
      <c r="M77" t="s">
        <v>665</v>
      </c>
      <c r="N77">
        <v>2</v>
      </c>
      <c r="O77" t="s">
        <v>6577</v>
      </c>
      <c r="P77" t="s">
        <v>6576</v>
      </c>
      <c r="Q77" t="s">
        <v>6575</v>
      </c>
      <c r="R77" s="7">
        <v>31472</v>
      </c>
      <c r="S77" s="8">
        <f t="shared" si="8"/>
        <v>1986</v>
      </c>
      <c r="T77" s="8">
        <v>1986</v>
      </c>
      <c r="U77" s="8">
        <f t="shared" si="9"/>
        <v>36</v>
      </c>
      <c r="V77" s="7">
        <v>31472</v>
      </c>
      <c r="W77" t="s">
        <v>768</v>
      </c>
      <c r="X77" s="2">
        <v>0.10100000000000001</v>
      </c>
      <c r="Y77" s="6">
        <f t="shared" si="14"/>
        <v>2.6961373161421215E-3</v>
      </c>
      <c r="AA77">
        <v>7452993</v>
      </c>
      <c r="AB77">
        <v>18563</v>
      </c>
      <c r="AD77" t="s">
        <v>5</v>
      </c>
      <c r="AE77">
        <v>25</v>
      </c>
      <c r="AF77">
        <v>3</v>
      </c>
      <c r="AH77" t="s">
        <v>6574</v>
      </c>
      <c r="AI77" t="s">
        <v>6573</v>
      </c>
      <c r="AK77" t="s">
        <v>6572</v>
      </c>
      <c r="AL77">
        <v>0</v>
      </c>
      <c r="AM77" s="5">
        <f t="shared" si="10"/>
        <v>0</v>
      </c>
      <c r="AN77" s="4">
        <f t="shared" si="15"/>
        <v>0</v>
      </c>
      <c r="AO77" s="3"/>
      <c r="AP77">
        <v>0</v>
      </c>
      <c r="AR77" t="s">
        <v>1</v>
      </c>
      <c r="AT77" s="2" t="s">
        <v>0</v>
      </c>
      <c r="AU77" s="1">
        <f t="shared" si="11"/>
        <v>0.18872961212994849</v>
      </c>
      <c r="AV77" s="1">
        <f t="shared" si="12"/>
        <v>0.13480686580710607</v>
      </c>
      <c r="AW77" s="1">
        <f t="shared" si="13"/>
        <v>8.0884119484263647E-2</v>
      </c>
    </row>
    <row r="78" spans="1:49" x14ac:dyDescent="0.2">
      <c r="A78">
        <v>76</v>
      </c>
      <c r="B78" t="s">
        <v>6571</v>
      </c>
      <c r="F78" t="s">
        <v>6570</v>
      </c>
      <c r="G78" t="s">
        <v>16</v>
      </c>
      <c r="H78" t="s">
        <v>15</v>
      </c>
      <c r="I78" t="s">
        <v>6569</v>
      </c>
      <c r="J78">
        <v>101337195</v>
      </c>
      <c r="K78" t="s">
        <v>6568</v>
      </c>
      <c r="L78" t="s">
        <v>1486</v>
      </c>
      <c r="M78" t="s">
        <v>616</v>
      </c>
      <c r="N78">
        <v>1</v>
      </c>
      <c r="O78" t="s">
        <v>6567</v>
      </c>
      <c r="P78">
        <v>6506568092</v>
      </c>
      <c r="Q78">
        <v>101337195</v>
      </c>
      <c r="R78" s="7">
        <v>31472</v>
      </c>
      <c r="S78" s="8">
        <f t="shared" si="8"/>
        <v>1986</v>
      </c>
      <c r="T78" s="8">
        <v>1986</v>
      </c>
      <c r="U78" s="8">
        <f t="shared" si="9"/>
        <v>36</v>
      </c>
      <c r="V78" s="7">
        <v>31472</v>
      </c>
      <c r="W78" t="s">
        <v>6566</v>
      </c>
      <c r="X78" s="2" t="s">
        <v>0</v>
      </c>
      <c r="Y78" s="6" t="e">
        <f t="shared" si="14"/>
        <v>#VALUE!</v>
      </c>
      <c r="AA78">
        <v>3084213</v>
      </c>
      <c r="AB78">
        <v>39048</v>
      </c>
      <c r="AD78" t="s">
        <v>5</v>
      </c>
      <c r="AE78">
        <v>13</v>
      </c>
      <c r="AF78">
        <v>4</v>
      </c>
      <c r="AH78" t="s">
        <v>6565</v>
      </c>
      <c r="AI78" t="s">
        <v>6564</v>
      </c>
      <c r="AK78" t="s">
        <v>6563</v>
      </c>
      <c r="AL78">
        <v>0</v>
      </c>
      <c r="AM78" s="5">
        <f t="shared" si="10"/>
        <v>0</v>
      </c>
      <c r="AN78" s="4">
        <f t="shared" si="15"/>
        <v>0</v>
      </c>
      <c r="AO78" s="3"/>
      <c r="AP78">
        <v>0</v>
      </c>
      <c r="AR78" t="s">
        <v>1</v>
      </c>
      <c r="AT78" s="2" t="s">
        <v>0</v>
      </c>
      <c r="AU78" s="1" t="e">
        <f t="shared" si="11"/>
        <v>#VALUE!</v>
      </c>
      <c r="AV78" s="1" t="e">
        <f t="shared" si="12"/>
        <v>#VALUE!</v>
      </c>
      <c r="AW78" s="1" t="e">
        <f t="shared" si="13"/>
        <v>#VALUE!</v>
      </c>
    </row>
    <row r="79" spans="1:49" x14ac:dyDescent="0.2">
      <c r="A79">
        <v>77</v>
      </c>
      <c r="B79" t="s">
        <v>6562</v>
      </c>
      <c r="C79" t="s">
        <v>6561</v>
      </c>
      <c r="F79" t="s">
        <v>6560</v>
      </c>
      <c r="G79" t="s">
        <v>16</v>
      </c>
      <c r="H79" t="s">
        <v>15</v>
      </c>
      <c r="I79" t="s">
        <v>6559</v>
      </c>
      <c r="N79">
        <v>2</v>
      </c>
      <c r="O79" t="s">
        <v>6558</v>
      </c>
      <c r="P79" t="s">
        <v>6557</v>
      </c>
      <c r="Q79" t="s">
        <v>313</v>
      </c>
      <c r="R79" s="7">
        <v>31472</v>
      </c>
      <c r="S79" s="8">
        <f t="shared" si="8"/>
        <v>1986</v>
      </c>
      <c r="T79" s="8">
        <v>1986</v>
      </c>
      <c r="U79" s="8">
        <f t="shared" si="9"/>
        <v>36</v>
      </c>
      <c r="V79" s="7">
        <v>31472</v>
      </c>
      <c r="W79" t="s">
        <v>6556</v>
      </c>
      <c r="X79" s="2">
        <v>0.14899999999999999</v>
      </c>
      <c r="Y79" s="6">
        <f t="shared" si="14"/>
        <v>3.977469902031446E-3</v>
      </c>
      <c r="AA79">
        <v>5431972</v>
      </c>
      <c r="AB79">
        <v>15425</v>
      </c>
      <c r="AC79">
        <v>15738906</v>
      </c>
      <c r="AD79" t="s">
        <v>5</v>
      </c>
      <c r="AE79">
        <v>29</v>
      </c>
      <c r="AF79">
        <v>3</v>
      </c>
      <c r="AH79" t="s">
        <v>6555</v>
      </c>
      <c r="AL79">
        <v>0</v>
      </c>
      <c r="AM79" s="5">
        <f t="shared" si="10"/>
        <v>0</v>
      </c>
      <c r="AN79" s="4">
        <f t="shared" si="15"/>
        <v>0</v>
      </c>
      <c r="AO79" s="3"/>
      <c r="AP79">
        <v>0</v>
      </c>
      <c r="AR79" t="s">
        <v>1</v>
      </c>
      <c r="AT79" s="2" t="s">
        <v>0</v>
      </c>
      <c r="AU79" s="1">
        <f t="shared" si="11"/>
        <v>0.2784228931422012</v>
      </c>
      <c r="AV79" s="1">
        <f t="shared" si="12"/>
        <v>0.19887349510157229</v>
      </c>
      <c r="AW79" s="1">
        <f t="shared" si="13"/>
        <v>0.11932409706094337</v>
      </c>
    </row>
    <row r="80" spans="1:49" x14ac:dyDescent="0.2">
      <c r="A80">
        <v>78</v>
      </c>
      <c r="B80" t="s">
        <v>6554</v>
      </c>
      <c r="F80" t="s">
        <v>6553</v>
      </c>
      <c r="G80" t="s">
        <v>16</v>
      </c>
      <c r="H80" t="s">
        <v>15</v>
      </c>
      <c r="I80" t="s">
        <v>6552</v>
      </c>
      <c r="N80">
        <v>1</v>
      </c>
      <c r="O80" t="s">
        <v>6551</v>
      </c>
      <c r="P80">
        <v>6507446459</v>
      </c>
      <c r="R80" s="7">
        <v>31472</v>
      </c>
      <c r="S80" s="8">
        <f t="shared" si="8"/>
        <v>1986</v>
      </c>
      <c r="T80" s="8">
        <v>1986</v>
      </c>
      <c r="U80" s="8">
        <f t="shared" si="9"/>
        <v>36</v>
      </c>
      <c r="V80" s="7">
        <v>31472</v>
      </c>
      <c r="W80" t="s">
        <v>857</v>
      </c>
      <c r="X80" s="2" t="s">
        <v>0</v>
      </c>
      <c r="Y80" s="6" t="e">
        <f t="shared" si="14"/>
        <v>#VALUE!</v>
      </c>
      <c r="AA80">
        <v>87566648</v>
      </c>
      <c r="AB80">
        <v>74127</v>
      </c>
      <c r="AD80" t="s">
        <v>5</v>
      </c>
      <c r="AE80">
        <v>31</v>
      </c>
      <c r="AF80">
        <v>3</v>
      </c>
      <c r="AH80" t="s">
        <v>6550</v>
      </c>
      <c r="AI80" t="s">
        <v>6549</v>
      </c>
      <c r="AK80" t="s">
        <v>6548</v>
      </c>
      <c r="AL80">
        <v>0</v>
      </c>
      <c r="AM80" s="5">
        <f t="shared" si="10"/>
        <v>0</v>
      </c>
      <c r="AN80" s="4">
        <f t="shared" si="15"/>
        <v>0</v>
      </c>
      <c r="AO80" s="3"/>
      <c r="AP80">
        <v>0</v>
      </c>
      <c r="AR80" t="s">
        <v>1</v>
      </c>
      <c r="AT80" s="2" t="s">
        <v>0</v>
      </c>
      <c r="AU80" s="1" t="e">
        <f t="shared" si="11"/>
        <v>#VALUE!</v>
      </c>
      <c r="AV80" s="1" t="e">
        <f t="shared" si="12"/>
        <v>#VALUE!</v>
      </c>
      <c r="AW80" s="1" t="e">
        <f t="shared" si="13"/>
        <v>#VALUE!</v>
      </c>
    </row>
    <row r="81" spans="1:49" x14ac:dyDescent="0.2">
      <c r="A81">
        <v>79</v>
      </c>
      <c r="B81" t="s">
        <v>6547</v>
      </c>
      <c r="C81" t="s">
        <v>6546</v>
      </c>
      <c r="F81" t="s">
        <v>6545</v>
      </c>
      <c r="G81" t="s">
        <v>16</v>
      </c>
      <c r="H81" t="s">
        <v>15</v>
      </c>
      <c r="I81" t="s">
        <v>6544</v>
      </c>
      <c r="J81">
        <v>60000745</v>
      </c>
      <c r="K81" t="s">
        <v>2821</v>
      </c>
      <c r="L81" t="s">
        <v>2820</v>
      </c>
      <c r="M81" t="s">
        <v>114</v>
      </c>
      <c r="N81">
        <v>2</v>
      </c>
      <c r="O81" t="s">
        <v>6543</v>
      </c>
      <c r="P81" t="s">
        <v>6542</v>
      </c>
      <c r="Q81" t="s">
        <v>3280</v>
      </c>
      <c r="R81" s="7">
        <v>31472</v>
      </c>
      <c r="S81" s="8">
        <f t="shared" si="8"/>
        <v>1986</v>
      </c>
      <c r="T81" s="8">
        <v>1986</v>
      </c>
      <c r="U81" s="8">
        <f t="shared" si="9"/>
        <v>36</v>
      </c>
      <c r="V81" s="7">
        <v>31472</v>
      </c>
      <c r="W81" t="s">
        <v>6337</v>
      </c>
      <c r="X81" s="2">
        <v>0.85499999999999998</v>
      </c>
      <c r="Y81" s="6">
        <f t="shared" si="14"/>
        <v>2.28237366861536E-2</v>
      </c>
      <c r="AA81">
        <v>980331</v>
      </c>
      <c r="AB81">
        <v>23342</v>
      </c>
      <c r="AC81">
        <v>15731561</v>
      </c>
      <c r="AD81" t="s">
        <v>5</v>
      </c>
      <c r="AE81">
        <v>12</v>
      </c>
      <c r="AF81">
        <v>3</v>
      </c>
      <c r="AH81" t="s">
        <v>6541</v>
      </c>
      <c r="AI81" t="s">
        <v>6540</v>
      </c>
      <c r="AJ81" t="s">
        <v>6539</v>
      </c>
      <c r="AK81" t="s">
        <v>6538</v>
      </c>
      <c r="AL81">
        <v>70</v>
      </c>
      <c r="AM81" s="5">
        <f t="shared" si="10"/>
        <v>1.9444444444444444</v>
      </c>
      <c r="AN81" s="4">
        <f t="shared" si="15"/>
        <v>2.9450124111237326E-3</v>
      </c>
      <c r="AO81" s="3"/>
      <c r="AP81">
        <v>0</v>
      </c>
      <c r="AR81" t="s">
        <v>1</v>
      </c>
      <c r="AT81" s="2">
        <v>2.6259999999999999</v>
      </c>
      <c r="AU81" s="1">
        <f t="shared" si="11"/>
        <v>1.6860119403644638</v>
      </c>
      <c r="AV81" s="1">
        <f t="shared" si="12"/>
        <v>1.2884374548638666</v>
      </c>
      <c r="AW81" s="1">
        <f t="shared" si="13"/>
        <v>0.89086296936326925</v>
      </c>
    </row>
    <row r="82" spans="1:49" x14ac:dyDescent="0.2">
      <c r="A82">
        <v>80</v>
      </c>
      <c r="B82" t="s">
        <v>6537</v>
      </c>
      <c r="C82" t="s">
        <v>6536</v>
      </c>
      <c r="F82" t="s">
        <v>6535</v>
      </c>
      <c r="G82" t="s">
        <v>16</v>
      </c>
      <c r="H82" t="s">
        <v>15</v>
      </c>
      <c r="I82" t="s">
        <v>6534</v>
      </c>
      <c r="J82">
        <v>60026415</v>
      </c>
      <c r="K82" t="s">
        <v>6533</v>
      </c>
      <c r="L82" t="s">
        <v>6532</v>
      </c>
      <c r="M82" t="s">
        <v>114</v>
      </c>
      <c r="N82">
        <v>4</v>
      </c>
      <c r="O82" t="s">
        <v>6531</v>
      </c>
      <c r="P82" t="s">
        <v>6530</v>
      </c>
      <c r="Q82" t="s">
        <v>6529</v>
      </c>
      <c r="R82" s="7">
        <v>31472</v>
      </c>
      <c r="S82" s="8">
        <f t="shared" si="8"/>
        <v>1986</v>
      </c>
      <c r="T82" s="8">
        <v>1986</v>
      </c>
      <c r="U82" s="8">
        <f t="shared" si="9"/>
        <v>36</v>
      </c>
      <c r="V82" s="7">
        <v>31472</v>
      </c>
      <c r="W82" t="s">
        <v>6528</v>
      </c>
      <c r="X82" s="2">
        <v>0.93</v>
      </c>
      <c r="Y82" s="6">
        <f t="shared" si="14"/>
        <v>2.4825818851605671E-2</v>
      </c>
      <c r="AA82">
        <v>253162</v>
      </c>
      <c r="AB82">
        <v>12165</v>
      </c>
      <c r="AC82">
        <v>14321793</v>
      </c>
      <c r="AD82" t="s">
        <v>5</v>
      </c>
      <c r="AE82">
        <v>90</v>
      </c>
      <c r="AF82">
        <v>4</v>
      </c>
      <c r="AH82" t="s">
        <v>6527</v>
      </c>
      <c r="AI82" t="s">
        <v>6526</v>
      </c>
      <c r="AK82" t="s">
        <v>6525</v>
      </c>
      <c r="AL82">
        <v>42</v>
      </c>
      <c r="AM82" s="5">
        <f t="shared" si="10"/>
        <v>1.1666666666666667</v>
      </c>
      <c r="AN82" s="4">
        <f t="shared" si="15"/>
        <v>1.7670074466742396E-3</v>
      </c>
      <c r="AO82" s="3"/>
      <c r="AP82">
        <v>0</v>
      </c>
      <c r="AR82" t="s">
        <v>1</v>
      </c>
      <c r="AT82" s="2">
        <v>2.573</v>
      </c>
      <c r="AU82" s="1">
        <f t="shared" si="11"/>
        <v>1.7908175430126243</v>
      </c>
      <c r="AV82" s="1">
        <f t="shared" si="12"/>
        <v>1.3296413149139956</v>
      </c>
      <c r="AW82" s="1">
        <f t="shared" si="13"/>
        <v>0.86846508681536694</v>
      </c>
    </row>
    <row r="83" spans="1:49" x14ac:dyDescent="0.2">
      <c r="A83">
        <v>81</v>
      </c>
      <c r="B83" t="s">
        <v>6524</v>
      </c>
      <c r="C83" t="s">
        <v>6523</v>
      </c>
      <c r="D83">
        <v>5272886900381</v>
      </c>
      <c r="F83" t="s">
        <v>6522</v>
      </c>
      <c r="G83" t="s">
        <v>16</v>
      </c>
      <c r="H83" t="s">
        <v>15</v>
      </c>
      <c r="I83" t="s">
        <v>6521</v>
      </c>
      <c r="J83">
        <v>60003878</v>
      </c>
      <c r="K83" t="s">
        <v>214</v>
      </c>
      <c r="L83" t="s">
        <v>213</v>
      </c>
      <c r="M83" t="s">
        <v>212</v>
      </c>
      <c r="N83">
        <v>4</v>
      </c>
      <c r="O83" t="s">
        <v>6520</v>
      </c>
      <c r="P83" t="s">
        <v>6519</v>
      </c>
      <c r="Q83" t="s">
        <v>209</v>
      </c>
      <c r="R83" s="7">
        <v>31463</v>
      </c>
      <c r="S83" s="8">
        <f t="shared" ref="S83:S146" si="16">YEAR(R83)</f>
        <v>1986</v>
      </c>
      <c r="T83" s="8">
        <v>1986</v>
      </c>
      <c r="U83" s="8">
        <f t="shared" ref="U83:U146" si="17">2022-T83</f>
        <v>36</v>
      </c>
      <c r="V83" s="7">
        <v>31463</v>
      </c>
      <c r="W83" t="s">
        <v>6324</v>
      </c>
      <c r="X83" s="2">
        <v>1.59</v>
      </c>
      <c r="Y83" s="6">
        <f t="shared" si="14"/>
        <v>4.2444141907583888E-2</v>
      </c>
      <c r="AA83">
        <v>52728</v>
      </c>
      <c r="AB83">
        <v>16791</v>
      </c>
      <c r="AD83" t="s">
        <v>5</v>
      </c>
      <c r="AE83">
        <v>848</v>
      </c>
      <c r="AF83">
        <v>2</v>
      </c>
      <c r="AH83" t="s">
        <v>6518</v>
      </c>
      <c r="AI83" t="s">
        <v>6517</v>
      </c>
      <c r="AJ83" t="s">
        <v>6516</v>
      </c>
      <c r="AK83" t="s">
        <v>6515</v>
      </c>
      <c r="AL83">
        <v>100</v>
      </c>
      <c r="AM83" s="5">
        <f t="shared" ref="AM83:AM146" si="18">AL83/U83</f>
        <v>2.7777777777777777</v>
      </c>
      <c r="AN83" s="4">
        <f t="shared" si="15"/>
        <v>4.207160587319618E-3</v>
      </c>
      <c r="AO83" s="3"/>
      <c r="AP83">
        <v>0</v>
      </c>
      <c r="AR83" t="s">
        <v>1</v>
      </c>
      <c r="AT83" s="2" t="s">
        <v>0</v>
      </c>
      <c r="AU83" s="1">
        <f t="shared" ref="AU83:AU146" si="19">(Y83*0.7+AN83*0.3)*100</f>
        <v>3.0973047511504608</v>
      </c>
      <c r="AV83" s="1">
        <f t="shared" ref="AV83:AV146" si="20">(Y83*0.5+AN83*0.5)*100</f>
        <v>2.3325651247451753</v>
      </c>
      <c r="AW83" s="1">
        <f t="shared" ref="AW83:AW146" si="21">(Y83*0.3+AN83*0.7)*100</f>
        <v>1.56782549833989</v>
      </c>
    </row>
    <row r="84" spans="1:49" x14ac:dyDescent="0.2">
      <c r="A84">
        <v>82</v>
      </c>
      <c r="B84" t="s">
        <v>6514</v>
      </c>
      <c r="C84" t="s">
        <v>6513</v>
      </c>
      <c r="D84" t="s">
        <v>6512</v>
      </c>
      <c r="F84" t="s">
        <v>6511</v>
      </c>
      <c r="G84" t="s">
        <v>16</v>
      </c>
      <c r="H84" t="s">
        <v>15</v>
      </c>
      <c r="I84" t="s">
        <v>6510</v>
      </c>
      <c r="J84">
        <v>60025272</v>
      </c>
      <c r="K84" t="s">
        <v>887</v>
      </c>
      <c r="L84" t="s">
        <v>886</v>
      </c>
      <c r="M84" t="s">
        <v>71</v>
      </c>
      <c r="N84">
        <v>2</v>
      </c>
      <c r="O84" t="s">
        <v>6509</v>
      </c>
      <c r="P84" t="s">
        <v>6508</v>
      </c>
      <c r="Q84" t="s">
        <v>883</v>
      </c>
      <c r="R84" s="7">
        <v>31463</v>
      </c>
      <c r="S84" s="8">
        <f t="shared" si="16"/>
        <v>1986</v>
      </c>
      <c r="T84" s="8">
        <v>1986</v>
      </c>
      <c r="U84" s="8">
        <f t="shared" si="17"/>
        <v>36</v>
      </c>
      <c r="V84" s="7">
        <v>31463</v>
      </c>
      <c r="W84" t="s">
        <v>6324</v>
      </c>
      <c r="X84" s="2">
        <v>1.59</v>
      </c>
      <c r="Y84" s="6">
        <f t="shared" si="14"/>
        <v>4.2444141907583888E-2</v>
      </c>
      <c r="AA84">
        <v>52728</v>
      </c>
      <c r="AB84">
        <v>16791</v>
      </c>
      <c r="AD84" t="s">
        <v>5</v>
      </c>
      <c r="AE84">
        <v>848</v>
      </c>
      <c r="AF84">
        <v>2</v>
      </c>
      <c r="AH84" t="s">
        <v>6507</v>
      </c>
      <c r="AI84" t="s">
        <v>6506</v>
      </c>
      <c r="AJ84" t="s">
        <v>6505</v>
      </c>
      <c r="AK84" t="s">
        <v>6504</v>
      </c>
      <c r="AL84">
        <v>40</v>
      </c>
      <c r="AM84" s="5">
        <f t="shared" si="18"/>
        <v>1.1111111111111112</v>
      </c>
      <c r="AN84" s="4">
        <f t="shared" si="15"/>
        <v>1.6828642349278472E-3</v>
      </c>
      <c r="AO84" s="3"/>
      <c r="AP84">
        <v>0</v>
      </c>
      <c r="AQ84" t="s">
        <v>878</v>
      </c>
      <c r="AR84" t="s">
        <v>1</v>
      </c>
      <c r="AS84" t="s">
        <v>877</v>
      </c>
      <c r="AT84" s="2" t="s">
        <v>0</v>
      </c>
      <c r="AU84" s="1">
        <f t="shared" si="19"/>
        <v>3.0215758605787078</v>
      </c>
      <c r="AV84" s="1">
        <f t="shared" si="20"/>
        <v>2.2063503071255868</v>
      </c>
      <c r="AW84" s="1">
        <f t="shared" si="21"/>
        <v>1.3911247536724658</v>
      </c>
    </row>
    <row r="85" spans="1:49" x14ac:dyDescent="0.2">
      <c r="A85">
        <v>83</v>
      </c>
      <c r="B85" t="s">
        <v>6503</v>
      </c>
      <c r="C85" t="s">
        <v>6502</v>
      </c>
      <c r="F85" t="s">
        <v>6501</v>
      </c>
      <c r="G85" t="s">
        <v>16</v>
      </c>
      <c r="H85" t="s">
        <v>15</v>
      </c>
      <c r="I85" t="s">
        <v>6500</v>
      </c>
      <c r="N85">
        <v>2</v>
      </c>
      <c r="O85" t="s">
        <v>6499</v>
      </c>
      <c r="P85" t="s">
        <v>6498</v>
      </c>
      <c r="Q85" t="s">
        <v>313</v>
      </c>
      <c r="R85" s="7">
        <v>31444</v>
      </c>
      <c r="S85" s="8">
        <f t="shared" si="16"/>
        <v>1986</v>
      </c>
      <c r="T85" s="8">
        <v>1986</v>
      </c>
      <c r="U85" s="8">
        <f t="shared" si="17"/>
        <v>36</v>
      </c>
      <c r="V85" s="7">
        <v>31444</v>
      </c>
      <c r="W85" t="s">
        <v>633</v>
      </c>
      <c r="X85" s="2">
        <v>0.318</v>
      </c>
      <c r="Y85" s="6">
        <f t="shared" si="14"/>
        <v>8.4888283815167786E-3</v>
      </c>
      <c r="AA85">
        <v>338443</v>
      </c>
      <c r="AB85">
        <v>27160</v>
      </c>
      <c r="AC85">
        <v>15739120</v>
      </c>
      <c r="AD85" t="s">
        <v>5</v>
      </c>
      <c r="AE85">
        <v>29</v>
      </c>
      <c r="AF85">
        <v>2</v>
      </c>
      <c r="AH85" t="s">
        <v>6497</v>
      </c>
      <c r="AL85">
        <v>0</v>
      </c>
      <c r="AM85" s="5">
        <f t="shared" si="18"/>
        <v>0</v>
      </c>
      <c r="AN85" s="4">
        <f t="shared" si="15"/>
        <v>0</v>
      </c>
      <c r="AO85" s="3"/>
      <c r="AP85">
        <v>0</v>
      </c>
      <c r="AR85" t="s">
        <v>1</v>
      </c>
      <c r="AT85" s="2">
        <v>0.77</v>
      </c>
      <c r="AU85" s="1">
        <f t="shared" si="19"/>
        <v>0.59421798670617454</v>
      </c>
      <c r="AV85" s="1">
        <f t="shared" si="20"/>
        <v>0.42444141907583893</v>
      </c>
      <c r="AW85" s="1">
        <f t="shared" si="21"/>
        <v>0.25466485144550338</v>
      </c>
    </row>
    <row r="86" spans="1:49" x14ac:dyDescent="0.2">
      <c r="A86">
        <v>84</v>
      </c>
      <c r="B86" t="s">
        <v>6496</v>
      </c>
      <c r="C86" t="s">
        <v>6495</v>
      </c>
      <c r="F86" t="s">
        <v>6494</v>
      </c>
      <c r="G86" t="s">
        <v>16</v>
      </c>
      <c r="H86" t="s">
        <v>15</v>
      </c>
      <c r="I86" t="s">
        <v>6493</v>
      </c>
      <c r="J86">
        <v>60016983</v>
      </c>
      <c r="K86" t="s">
        <v>2928</v>
      </c>
      <c r="L86" t="s">
        <v>2927</v>
      </c>
      <c r="M86" t="s">
        <v>616</v>
      </c>
      <c r="N86">
        <v>1</v>
      </c>
      <c r="O86" t="s">
        <v>6492</v>
      </c>
      <c r="P86">
        <v>7006439939</v>
      </c>
      <c r="Q86">
        <v>60016983</v>
      </c>
      <c r="R86" s="7">
        <v>31444</v>
      </c>
      <c r="S86" s="8">
        <f t="shared" si="16"/>
        <v>1986</v>
      </c>
      <c r="T86" s="8">
        <v>1986</v>
      </c>
      <c r="U86" s="8">
        <f t="shared" si="17"/>
        <v>36</v>
      </c>
      <c r="V86" s="7">
        <v>31444</v>
      </c>
      <c r="W86" t="s">
        <v>6337</v>
      </c>
      <c r="X86" s="2">
        <v>0.85499999999999998</v>
      </c>
      <c r="Y86" s="6">
        <f t="shared" si="14"/>
        <v>2.28237366861536E-2</v>
      </c>
      <c r="AA86">
        <v>980331</v>
      </c>
      <c r="AB86">
        <v>23342</v>
      </c>
      <c r="AC86">
        <v>15731561</v>
      </c>
      <c r="AD86" t="s">
        <v>5</v>
      </c>
      <c r="AE86">
        <v>12</v>
      </c>
      <c r="AF86">
        <v>2</v>
      </c>
      <c r="AH86" t="s">
        <v>6491</v>
      </c>
      <c r="AI86" t="s">
        <v>6490</v>
      </c>
      <c r="AJ86" t="s">
        <v>6489</v>
      </c>
      <c r="AK86" t="s">
        <v>6488</v>
      </c>
      <c r="AL86">
        <v>12</v>
      </c>
      <c r="AM86" s="5">
        <f t="shared" si="18"/>
        <v>0.33333333333333331</v>
      </c>
      <c r="AN86" s="4">
        <f t="shared" si="15"/>
        <v>5.048592704783541E-4</v>
      </c>
      <c r="AO86" s="3"/>
      <c r="AP86">
        <v>0</v>
      </c>
      <c r="AR86" t="s">
        <v>1</v>
      </c>
      <c r="AT86" s="2">
        <v>2.6259999999999999</v>
      </c>
      <c r="AU86" s="1">
        <f t="shared" si="19"/>
        <v>1.6128073461451022</v>
      </c>
      <c r="AV86" s="1">
        <f t="shared" si="20"/>
        <v>1.1664297978315978</v>
      </c>
      <c r="AW86" s="1">
        <f t="shared" si="21"/>
        <v>0.72005224951809277</v>
      </c>
    </row>
    <row r="87" spans="1:49" x14ac:dyDescent="0.2">
      <c r="A87">
        <v>85</v>
      </c>
      <c r="B87" t="s">
        <v>6487</v>
      </c>
      <c r="C87" t="s">
        <v>6486</v>
      </c>
      <c r="F87" t="s">
        <v>6485</v>
      </c>
      <c r="G87" t="s">
        <v>16</v>
      </c>
      <c r="H87" t="s">
        <v>15</v>
      </c>
      <c r="I87" t="s">
        <v>6484</v>
      </c>
      <c r="J87" t="s">
        <v>6483</v>
      </c>
      <c r="K87" t="s">
        <v>6482</v>
      </c>
      <c r="L87" t="s">
        <v>6481</v>
      </c>
      <c r="M87" t="s">
        <v>783</v>
      </c>
      <c r="N87">
        <v>3</v>
      </c>
      <c r="O87" t="s">
        <v>6480</v>
      </c>
      <c r="P87" t="s">
        <v>6479</v>
      </c>
      <c r="Q87" t="s">
        <v>6478</v>
      </c>
      <c r="R87" s="7">
        <v>31444</v>
      </c>
      <c r="S87" s="8">
        <f t="shared" si="16"/>
        <v>1986</v>
      </c>
      <c r="T87" s="8">
        <v>1986</v>
      </c>
      <c r="U87" s="8">
        <f t="shared" si="17"/>
        <v>36</v>
      </c>
      <c r="V87" s="7">
        <v>31444</v>
      </c>
      <c r="W87" t="s">
        <v>6337</v>
      </c>
      <c r="X87" s="2">
        <v>0.85499999999999998</v>
      </c>
      <c r="Y87" s="6">
        <f t="shared" si="14"/>
        <v>2.28237366861536E-2</v>
      </c>
      <c r="AA87">
        <v>980331</v>
      </c>
      <c r="AB87">
        <v>23342</v>
      </c>
      <c r="AC87">
        <v>15731561</v>
      </c>
      <c r="AD87" t="s">
        <v>5</v>
      </c>
      <c r="AE87">
        <v>12</v>
      </c>
      <c r="AF87">
        <v>2</v>
      </c>
      <c r="AH87" t="s">
        <v>6477</v>
      </c>
      <c r="AI87" t="s">
        <v>6476</v>
      </c>
      <c r="AJ87" t="s">
        <v>6475</v>
      </c>
      <c r="AK87" t="s">
        <v>6474</v>
      </c>
      <c r="AL87">
        <v>23</v>
      </c>
      <c r="AM87" s="5">
        <f t="shared" si="18"/>
        <v>0.63888888888888884</v>
      </c>
      <c r="AN87" s="4">
        <f t="shared" si="15"/>
        <v>9.676469350835121E-4</v>
      </c>
      <c r="AO87" s="3"/>
      <c r="AP87">
        <v>0</v>
      </c>
      <c r="AR87" t="s">
        <v>1</v>
      </c>
      <c r="AT87" s="2">
        <v>2.6259999999999999</v>
      </c>
      <c r="AU87" s="1">
        <f t="shared" si="19"/>
        <v>1.6266909760832573</v>
      </c>
      <c r="AV87" s="1">
        <f t="shared" si="20"/>
        <v>1.1895691810618556</v>
      </c>
      <c r="AW87" s="1">
        <f t="shared" si="21"/>
        <v>0.75244738604045391</v>
      </c>
    </row>
    <row r="88" spans="1:49" x14ac:dyDescent="0.2">
      <c r="A88">
        <v>86</v>
      </c>
      <c r="B88" t="s">
        <v>6473</v>
      </c>
      <c r="F88" t="s">
        <v>6472</v>
      </c>
      <c r="G88" t="s">
        <v>16</v>
      </c>
      <c r="H88" t="s">
        <v>15</v>
      </c>
      <c r="I88" t="s">
        <v>1010</v>
      </c>
      <c r="N88">
        <v>2</v>
      </c>
      <c r="O88" t="s">
        <v>1009</v>
      </c>
      <c r="P88" t="s">
        <v>1008</v>
      </c>
      <c r="Q88" t="s">
        <v>313</v>
      </c>
      <c r="R88" s="7">
        <v>31444</v>
      </c>
      <c r="S88" s="8">
        <f t="shared" si="16"/>
        <v>1986</v>
      </c>
      <c r="T88" s="8">
        <v>1986</v>
      </c>
      <c r="U88" s="8">
        <f t="shared" si="17"/>
        <v>36</v>
      </c>
      <c r="V88" s="7">
        <v>31444</v>
      </c>
      <c r="W88" t="s">
        <v>857</v>
      </c>
      <c r="X88" s="2" t="s">
        <v>0</v>
      </c>
      <c r="Y88" s="6" t="e">
        <f t="shared" si="14"/>
        <v>#VALUE!</v>
      </c>
      <c r="AA88">
        <v>87566648</v>
      </c>
      <c r="AB88">
        <v>74127</v>
      </c>
      <c r="AD88" t="s">
        <v>5</v>
      </c>
      <c r="AE88">
        <v>31</v>
      </c>
      <c r="AF88">
        <v>2</v>
      </c>
      <c r="AH88" t="s">
        <v>6471</v>
      </c>
      <c r="AI88" t="s">
        <v>6470</v>
      </c>
      <c r="AK88" t="s">
        <v>6469</v>
      </c>
      <c r="AL88">
        <v>0</v>
      </c>
      <c r="AM88" s="5">
        <f t="shared" si="18"/>
        <v>0</v>
      </c>
      <c r="AN88" s="4">
        <f t="shared" si="15"/>
        <v>0</v>
      </c>
      <c r="AO88" s="3"/>
      <c r="AP88">
        <v>0</v>
      </c>
      <c r="AR88" t="s">
        <v>1</v>
      </c>
      <c r="AT88" s="2" t="s">
        <v>0</v>
      </c>
      <c r="AU88" s="1" t="e">
        <f t="shared" si="19"/>
        <v>#VALUE!</v>
      </c>
      <c r="AV88" s="1" t="e">
        <f t="shared" si="20"/>
        <v>#VALUE!</v>
      </c>
      <c r="AW88" s="1" t="e">
        <f t="shared" si="21"/>
        <v>#VALUE!</v>
      </c>
    </row>
    <row r="89" spans="1:49" x14ac:dyDescent="0.2">
      <c r="A89">
        <v>87</v>
      </c>
      <c r="B89" t="s">
        <v>6468</v>
      </c>
      <c r="F89" t="s">
        <v>6467</v>
      </c>
      <c r="G89" t="s">
        <v>16</v>
      </c>
      <c r="H89" t="s">
        <v>15</v>
      </c>
      <c r="I89" t="s">
        <v>6466</v>
      </c>
      <c r="N89">
        <v>1</v>
      </c>
      <c r="O89" t="s">
        <v>6465</v>
      </c>
      <c r="P89">
        <v>6701804171</v>
      </c>
      <c r="R89" s="7">
        <v>31444</v>
      </c>
      <c r="S89" s="8">
        <f t="shared" si="16"/>
        <v>1986</v>
      </c>
      <c r="T89" s="8">
        <v>1986</v>
      </c>
      <c r="U89" s="8">
        <f t="shared" si="17"/>
        <v>36</v>
      </c>
      <c r="V89" s="7">
        <v>31444</v>
      </c>
      <c r="W89" t="s">
        <v>857</v>
      </c>
      <c r="X89" s="2" t="s">
        <v>0</v>
      </c>
      <c r="Y89" s="6" t="e">
        <f t="shared" si="14"/>
        <v>#VALUE!</v>
      </c>
      <c r="AA89">
        <v>87566648</v>
      </c>
      <c r="AB89">
        <v>74127</v>
      </c>
      <c r="AD89" t="s">
        <v>5</v>
      </c>
      <c r="AE89">
        <v>31</v>
      </c>
      <c r="AF89">
        <v>2</v>
      </c>
      <c r="AH89" t="s">
        <v>6464</v>
      </c>
      <c r="AI89" t="s">
        <v>6463</v>
      </c>
      <c r="AK89" t="s">
        <v>6462</v>
      </c>
      <c r="AL89">
        <v>0</v>
      </c>
      <c r="AM89" s="5">
        <f t="shared" si="18"/>
        <v>0</v>
      </c>
      <c r="AN89" s="4">
        <f t="shared" si="15"/>
        <v>0</v>
      </c>
      <c r="AO89" s="3"/>
      <c r="AP89">
        <v>0</v>
      </c>
      <c r="AR89" t="s">
        <v>1</v>
      </c>
      <c r="AT89" s="2" t="s">
        <v>0</v>
      </c>
      <c r="AU89" s="1" t="e">
        <f t="shared" si="19"/>
        <v>#VALUE!</v>
      </c>
      <c r="AV89" s="1" t="e">
        <f t="shared" si="20"/>
        <v>#VALUE!</v>
      </c>
      <c r="AW89" s="1" t="e">
        <f t="shared" si="21"/>
        <v>#VALUE!</v>
      </c>
    </row>
    <row r="90" spans="1:49" x14ac:dyDescent="0.2">
      <c r="A90">
        <v>88</v>
      </c>
      <c r="B90" t="s">
        <v>6461</v>
      </c>
      <c r="F90" t="s">
        <v>6460</v>
      </c>
      <c r="G90" t="s">
        <v>16</v>
      </c>
      <c r="H90" t="s">
        <v>15</v>
      </c>
      <c r="I90" t="s">
        <v>6459</v>
      </c>
      <c r="N90">
        <v>3</v>
      </c>
      <c r="O90" t="s">
        <v>6458</v>
      </c>
      <c r="P90" t="s">
        <v>6457</v>
      </c>
      <c r="Q90" t="s">
        <v>295</v>
      </c>
      <c r="R90" s="7">
        <v>31444</v>
      </c>
      <c r="S90" s="8">
        <f t="shared" si="16"/>
        <v>1986</v>
      </c>
      <c r="T90" s="8">
        <v>1986</v>
      </c>
      <c r="U90" s="8">
        <f t="shared" si="17"/>
        <v>36</v>
      </c>
      <c r="V90" s="7">
        <v>31444</v>
      </c>
      <c r="W90" t="s">
        <v>857</v>
      </c>
      <c r="X90" s="2" t="s">
        <v>0</v>
      </c>
      <c r="Y90" s="6" t="e">
        <f t="shared" si="14"/>
        <v>#VALUE!</v>
      </c>
      <c r="AA90">
        <v>87566648</v>
      </c>
      <c r="AB90">
        <v>74127</v>
      </c>
      <c r="AD90" t="s">
        <v>5</v>
      </c>
      <c r="AE90">
        <v>31</v>
      </c>
      <c r="AF90">
        <v>2</v>
      </c>
      <c r="AH90" t="s">
        <v>6456</v>
      </c>
      <c r="AI90" t="s">
        <v>6455</v>
      </c>
      <c r="AK90" t="s">
        <v>6454</v>
      </c>
      <c r="AL90">
        <v>0</v>
      </c>
      <c r="AM90" s="5">
        <f t="shared" si="18"/>
        <v>0</v>
      </c>
      <c r="AN90" s="4">
        <f t="shared" si="15"/>
        <v>0</v>
      </c>
      <c r="AO90" s="3"/>
      <c r="AP90">
        <v>0</v>
      </c>
      <c r="AR90" t="s">
        <v>1</v>
      </c>
      <c r="AT90" s="2" t="s">
        <v>0</v>
      </c>
      <c r="AU90" s="1" t="e">
        <f t="shared" si="19"/>
        <v>#VALUE!</v>
      </c>
      <c r="AV90" s="1" t="e">
        <f t="shared" si="20"/>
        <v>#VALUE!</v>
      </c>
      <c r="AW90" s="1" t="e">
        <f t="shared" si="21"/>
        <v>#VALUE!</v>
      </c>
    </row>
    <row r="91" spans="1:49" x14ac:dyDescent="0.2">
      <c r="A91">
        <v>89</v>
      </c>
      <c r="B91" t="s">
        <v>6453</v>
      </c>
      <c r="F91" t="s">
        <v>6452</v>
      </c>
      <c r="G91" t="s">
        <v>16</v>
      </c>
      <c r="H91" t="s">
        <v>15</v>
      </c>
      <c r="I91" t="s">
        <v>6451</v>
      </c>
      <c r="N91">
        <v>1</v>
      </c>
      <c r="O91" t="s">
        <v>6450</v>
      </c>
      <c r="P91">
        <v>7102133433</v>
      </c>
      <c r="R91" s="7">
        <v>31444</v>
      </c>
      <c r="S91" s="8">
        <f t="shared" si="16"/>
        <v>1986</v>
      </c>
      <c r="T91" s="8">
        <v>1986</v>
      </c>
      <c r="U91" s="8">
        <f t="shared" si="17"/>
        <v>36</v>
      </c>
      <c r="V91" s="7">
        <v>31444</v>
      </c>
      <c r="W91" t="s">
        <v>857</v>
      </c>
      <c r="X91" s="2" t="s">
        <v>0</v>
      </c>
      <c r="Y91" s="6" t="e">
        <f t="shared" si="14"/>
        <v>#VALUE!</v>
      </c>
      <c r="AA91">
        <v>87566648</v>
      </c>
      <c r="AB91">
        <v>74127</v>
      </c>
      <c r="AD91" t="s">
        <v>5</v>
      </c>
      <c r="AE91">
        <v>31</v>
      </c>
      <c r="AF91">
        <v>2</v>
      </c>
      <c r="AH91" t="s">
        <v>6449</v>
      </c>
      <c r="AI91" t="s">
        <v>6448</v>
      </c>
      <c r="AK91" t="s">
        <v>6447</v>
      </c>
      <c r="AL91">
        <v>0</v>
      </c>
      <c r="AM91" s="5">
        <f t="shared" si="18"/>
        <v>0</v>
      </c>
      <c r="AN91" s="4">
        <f t="shared" si="15"/>
        <v>0</v>
      </c>
      <c r="AO91" s="3"/>
      <c r="AP91">
        <v>0</v>
      </c>
      <c r="AR91" t="s">
        <v>1</v>
      </c>
      <c r="AT91" s="2" t="s">
        <v>0</v>
      </c>
      <c r="AU91" s="1" t="e">
        <f t="shared" si="19"/>
        <v>#VALUE!</v>
      </c>
      <c r="AV91" s="1" t="e">
        <f t="shared" si="20"/>
        <v>#VALUE!</v>
      </c>
      <c r="AW91" s="1" t="e">
        <f t="shared" si="21"/>
        <v>#VALUE!</v>
      </c>
    </row>
    <row r="92" spans="1:49" x14ac:dyDescent="0.2">
      <c r="A92">
        <v>90</v>
      </c>
      <c r="B92" t="s">
        <v>6446</v>
      </c>
      <c r="F92" t="s">
        <v>6445</v>
      </c>
      <c r="G92" t="s">
        <v>16</v>
      </c>
      <c r="H92" t="s">
        <v>15</v>
      </c>
      <c r="I92" t="s">
        <v>6444</v>
      </c>
      <c r="N92">
        <v>1</v>
      </c>
      <c r="O92" t="s">
        <v>6443</v>
      </c>
      <c r="P92">
        <v>7003274067</v>
      </c>
      <c r="R92" s="7">
        <v>31444</v>
      </c>
      <c r="S92" s="8">
        <f t="shared" si="16"/>
        <v>1986</v>
      </c>
      <c r="T92" s="8">
        <v>1986</v>
      </c>
      <c r="U92" s="8">
        <f t="shared" si="17"/>
        <v>36</v>
      </c>
      <c r="V92" s="7">
        <v>31444</v>
      </c>
      <c r="W92" t="s">
        <v>857</v>
      </c>
      <c r="X92" s="2" t="s">
        <v>0</v>
      </c>
      <c r="Y92" s="6" t="e">
        <f t="shared" si="14"/>
        <v>#VALUE!</v>
      </c>
      <c r="AA92">
        <v>87566648</v>
      </c>
      <c r="AB92">
        <v>74127</v>
      </c>
      <c r="AD92" t="s">
        <v>5</v>
      </c>
      <c r="AE92">
        <v>31</v>
      </c>
      <c r="AF92">
        <v>2</v>
      </c>
      <c r="AH92" s="10">
        <v>42309</v>
      </c>
      <c r="AI92" t="s">
        <v>6442</v>
      </c>
      <c r="AK92" t="s">
        <v>6441</v>
      </c>
      <c r="AL92">
        <v>0</v>
      </c>
      <c r="AM92" s="5">
        <f t="shared" si="18"/>
        <v>0</v>
      </c>
      <c r="AN92" s="4">
        <f t="shared" si="15"/>
        <v>0</v>
      </c>
      <c r="AO92" s="3"/>
      <c r="AP92">
        <v>0</v>
      </c>
      <c r="AR92" t="s">
        <v>1</v>
      </c>
      <c r="AT92" s="2" t="s">
        <v>0</v>
      </c>
      <c r="AU92" s="1" t="e">
        <f t="shared" si="19"/>
        <v>#VALUE!</v>
      </c>
      <c r="AV92" s="1" t="e">
        <f t="shared" si="20"/>
        <v>#VALUE!</v>
      </c>
      <c r="AW92" s="1" t="e">
        <f t="shared" si="21"/>
        <v>#VALUE!</v>
      </c>
    </row>
    <row r="93" spans="1:49" x14ac:dyDescent="0.2">
      <c r="A93">
        <v>91</v>
      </c>
      <c r="B93" t="s">
        <v>6440</v>
      </c>
      <c r="F93" t="s">
        <v>6439</v>
      </c>
      <c r="G93" t="s">
        <v>16</v>
      </c>
      <c r="H93" t="s">
        <v>15</v>
      </c>
      <c r="I93" t="s">
        <v>6438</v>
      </c>
      <c r="N93">
        <v>4</v>
      </c>
      <c r="O93" t="s">
        <v>6437</v>
      </c>
      <c r="P93" t="s">
        <v>6436</v>
      </c>
      <c r="Q93" t="s">
        <v>1031</v>
      </c>
      <c r="R93" s="7">
        <v>31444</v>
      </c>
      <c r="S93" s="8">
        <f t="shared" si="16"/>
        <v>1986</v>
      </c>
      <c r="T93" s="8">
        <v>1986</v>
      </c>
      <c r="U93" s="8">
        <f t="shared" si="17"/>
        <v>36</v>
      </c>
      <c r="V93" s="7">
        <v>31444</v>
      </c>
      <c r="W93" t="s">
        <v>857</v>
      </c>
      <c r="X93" s="2" t="s">
        <v>0</v>
      </c>
      <c r="Y93" s="6" t="e">
        <f t="shared" si="14"/>
        <v>#VALUE!</v>
      </c>
      <c r="AA93">
        <v>87566648</v>
      </c>
      <c r="AB93">
        <v>74127</v>
      </c>
      <c r="AD93" t="s">
        <v>5</v>
      </c>
      <c r="AE93">
        <v>31</v>
      </c>
      <c r="AF93">
        <v>2</v>
      </c>
      <c r="AH93" s="9">
        <v>44506</v>
      </c>
      <c r="AI93" t="s">
        <v>6435</v>
      </c>
      <c r="AK93" t="s">
        <v>6434</v>
      </c>
      <c r="AL93">
        <v>1</v>
      </c>
      <c r="AM93" s="5">
        <f t="shared" si="18"/>
        <v>2.7777777777777776E-2</v>
      </c>
      <c r="AN93" s="4">
        <f t="shared" si="15"/>
        <v>4.2071605873196175E-5</v>
      </c>
      <c r="AO93" s="3"/>
      <c r="AP93">
        <v>0</v>
      </c>
      <c r="AR93" t="s">
        <v>1</v>
      </c>
      <c r="AT93" s="2" t="s">
        <v>0</v>
      </c>
      <c r="AU93" s="1" t="e">
        <f t="shared" si="19"/>
        <v>#VALUE!</v>
      </c>
      <c r="AV93" s="1" t="e">
        <f t="shared" si="20"/>
        <v>#VALUE!</v>
      </c>
      <c r="AW93" s="1" t="e">
        <f t="shared" si="21"/>
        <v>#VALUE!</v>
      </c>
    </row>
    <row r="94" spans="1:49" x14ac:dyDescent="0.2">
      <c r="A94">
        <v>92</v>
      </c>
      <c r="B94" t="s">
        <v>6433</v>
      </c>
      <c r="F94" t="s">
        <v>6432</v>
      </c>
      <c r="G94" t="s">
        <v>16</v>
      </c>
      <c r="H94" t="s">
        <v>15</v>
      </c>
      <c r="I94" t="s">
        <v>6431</v>
      </c>
      <c r="N94">
        <v>1</v>
      </c>
      <c r="O94" t="s">
        <v>6430</v>
      </c>
      <c r="P94">
        <v>1</v>
      </c>
      <c r="R94" s="7">
        <v>31444</v>
      </c>
      <c r="S94" s="8">
        <f t="shared" si="16"/>
        <v>1986</v>
      </c>
      <c r="T94" s="8">
        <v>1986</v>
      </c>
      <c r="U94" s="8">
        <f t="shared" si="17"/>
        <v>36</v>
      </c>
      <c r="V94" s="7">
        <v>31444</v>
      </c>
      <c r="W94" t="s">
        <v>6429</v>
      </c>
      <c r="X94" s="2" t="s">
        <v>0</v>
      </c>
      <c r="Y94" s="6" t="e">
        <f t="shared" si="14"/>
        <v>#VALUE!</v>
      </c>
      <c r="AA94">
        <v>188689</v>
      </c>
      <c r="AB94">
        <v>99388</v>
      </c>
      <c r="AD94" t="s">
        <v>5</v>
      </c>
      <c r="AE94">
        <v>28</v>
      </c>
      <c r="AF94">
        <v>9</v>
      </c>
      <c r="AH94" t="s">
        <v>6428</v>
      </c>
      <c r="AI94" t="s">
        <v>6427</v>
      </c>
      <c r="AK94" t="s">
        <v>6426</v>
      </c>
      <c r="AL94">
        <v>0</v>
      </c>
      <c r="AM94" s="5">
        <f t="shared" si="18"/>
        <v>0</v>
      </c>
      <c r="AN94" s="4">
        <f t="shared" si="15"/>
        <v>0</v>
      </c>
      <c r="AO94" s="3"/>
      <c r="AP94">
        <v>0</v>
      </c>
      <c r="AR94" t="s">
        <v>1</v>
      </c>
      <c r="AT94" s="2" t="s">
        <v>0</v>
      </c>
      <c r="AU94" s="1" t="e">
        <f t="shared" si="19"/>
        <v>#VALUE!</v>
      </c>
      <c r="AV94" s="1" t="e">
        <f t="shared" si="20"/>
        <v>#VALUE!</v>
      </c>
      <c r="AW94" s="1" t="e">
        <f t="shared" si="21"/>
        <v>#VALUE!</v>
      </c>
    </row>
    <row r="95" spans="1:49" x14ac:dyDescent="0.2">
      <c r="A95">
        <v>93</v>
      </c>
      <c r="B95" t="s">
        <v>6425</v>
      </c>
      <c r="F95" t="s">
        <v>6424</v>
      </c>
      <c r="G95" t="s">
        <v>16</v>
      </c>
      <c r="H95" t="s">
        <v>15</v>
      </c>
      <c r="I95" t="s">
        <v>6423</v>
      </c>
      <c r="J95">
        <v>100561233</v>
      </c>
      <c r="K95" t="s">
        <v>6422</v>
      </c>
      <c r="L95" t="s">
        <v>6421</v>
      </c>
      <c r="M95" t="s">
        <v>114</v>
      </c>
      <c r="N95">
        <v>1</v>
      </c>
      <c r="O95" t="s">
        <v>6420</v>
      </c>
      <c r="P95">
        <v>6603311325</v>
      </c>
      <c r="Q95">
        <v>100561233</v>
      </c>
      <c r="R95" s="7">
        <v>31444</v>
      </c>
      <c r="S95" s="8">
        <f t="shared" si="16"/>
        <v>1986</v>
      </c>
      <c r="T95" s="8">
        <v>1986</v>
      </c>
      <c r="U95" s="8">
        <f t="shared" si="17"/>
        <v>36</v>
      </c>
      <c r="V95" s="7">
        <v>31444</v>
      </c>
      <c r="W95" t="s">
        <v>768</v>
      </c>
      <c r="X95" s="2">
        <v>0.10100000000000001</v>
      </c>
      <c r="Y95" s="6">
        <f t="shared" si="14"/>
        <v>2.6961373161421215E-3</v>
      </c>
      <c r="AA95">
        <v>7452993</v>
      </c>
      <c r="AB95">
        <v>18563</v>
      </c>
      <c r="AD95" t="s">
        <v>5</v>
      </c>
      <c r="AE95">
        <v>25</v>
      </c>
      <c r="AF95">
        <v>2</v>
      </c>
      <c r="AH95" t="s">
        <v>6419</v>
      </c>
      <c r="AI95" t="s">
        <v>6418</v>
      </c>
      <c r="AK95" t="s">
        <v>6417</v>
      </c>
      <c r="AL95">
        <v>0</v>
      </c>
      <c r="AM95" s="5">
        <f t="shared" si="18"/>
        <v>0</v>
      </c>
      <c r="AN95" s="4">
        <f t="shared" si="15"/>
        <v>0</v>
      </c>
      <c r="AO95" s="3"/>
      <c r="AP95">
        <v>0</v>
      </c>
      <c r="AR95" t="s">
        <v>1</v>
      </c>
      <c r="AT95" s="2" t="s">
        <v>0</v>
      </c>
      <c r="AU95" s="1">
        <f t="shared" si="19"/>
        <v>0.18872961212994849</v>
      </c>
      <c r="AV95" s="1">
        <f t="shared" si="20"/>
        <v>0.13480686580710607</v>
      </c>
      <c r="AW95" s="1">
        <f t="shared" si="21"/>
        <v>8.0884119484263647E-2</v>
      </c>
    </row>
    <row r="96" spans="1:49" x14ac:dyDescent="0.2">
      <c r="A96">
        <v>94</v>
      </c>
      <c r="B96" t="s">
        <v>6416</v>
      </c>
      <c r="F96" t="s">
        <v>6415</v>
      </c>
      <c r="G96" t="s">
        <v>16</v>
      </c>
      <c r="H96" t="s">
        <v>15</v>
      </c>
      <c r="I96" t="s">
        <v>6414</v>
      </c>
      <c r="J96">
        <v>101039875</v>
      </c>
      <c r="K96" t="s">
        <v>6413</v>
      </c>
      <c r="L96" t="s">
        <v>6412</v>
      </c>
      <c r="M96" t="s">
        <v>1706</v>
      </c>
      <c r="N96">
        <v>1</v>
      </c>
      <c r="O96" t="s">
        <v>6411</v>
      </c>
      <c r="P96">
        <v>57225226502</v>
      </c>
      <c r="Q96">
        <v>101039875</v>
      </c>
      <c r="R96" s="7">
        <v>31444</v>
      </c>
      <c r="S96" s="8">
        <f t="shared" si="16"/>
        <v>1986</v>
      </c>
      <c r="T96" s="8">
        <v>1986</v>
      </c>
      <c r="U96" s="8">
        <f t="shared" si="17"/>
        <v>36</v>
      </c>
      <c r="V96" s="7">
        <v>31444</v>
      </c>
      <c r="W96" t="s">
        <v>6410</v>
      </c>
      <c r="X96" s="2" t="s">
        <v>0</v>
      </c>
      <c r="Y96" s="6" t="e">
        <f t="shared" si="14"/>
        <v>#VALUE!</v>
      </c>
      <c r="AA96" t="s">
        <v>6409</v>
      </c>
      <c r="AB96">
        <v>33832</v>
      </c>
      <c r="AD96" t="s">
        <v>5</v>
      </c>
      <c r="AE96">
        <v>20</v>
      </c>
      <c r="AF96">
        <v>2</v>
      </c>
      <c r="AH96" t="s">
        <v>6408</v>
      </c>
      <c r="AI96" t="s">
        <v>6407</v>
      </c>
      <c r="AK96" t="s">
        <v>6406</v>
      </c>
      <c r="AL96">
        <v>0</v>
      </c>
      <c r="AM96" s="5">
        <f t="shared" si="18"/>
        <v>0</v>
      </c>
      <c r="AN96" s="4">
        <f t="shared" si="15"/>
        <v>0</v>
      </c>
      <c r="AO96" s="3"/>
      <c r="AP96">
        <v>0</v>
      </c>
      <c r="AR96" t="s">
        <v>1</v>
      </c>
      <c r="AT96" s="2" t="s">
        <v>0</v>
      </c>
      <c r="AU96" s="1" t="e">
        <f t="shared" si="19"/>
        <v>#VALUE!</v>
      </c>
      <c r="AV96" s="1" t="e">
        <f t="shared" si="20"/>
        <v>#VALUE!</v>
      </c>
      <c r="AW96" s="1" t="e">
        <f t="shared" si="21"/>
        <v>#VALUE!</v>
      </c>
    </row>
    <row r="97" spans="1:49" x14ac:dyDescent="0.2">
      <c r="A97">
        <v>95</v>
      </c>
      <c r="B97" t="s">
        <v>6405</v>
      </c>
      <c r="F97" t="s">
        <v>6404</v>
      </c>
      <c r="G97" t="s">
        <v>16</v>
      </c>
      <c r="H97" t="s">
        <v>15</v>
      </c>
      <c r="I97" t="s">
        <v>6403</v>
      </c>
      <c r="J97">
        <v>60007716</v>
      </c>
      <c r="K97" t="s">
        <v>1615</v>
      </c>
      <c r="L97" t="s">
        <v>1614</v>
      </c>
      <c r="M97" t="s">
        <v>59</v>
      </c>
      <c r="N97">
        <v>3</v>
      </c>
      <c r="O97" t="s">
        <v>6402</v>
      </c>
      <c r="P97" t="s">
        <v>6401</v>
      </c>
      <c r="Q97" t="s">
        <v>6400</v>
      </c>
      <c r="R97" s="7">
        <v>31444</v>
      </c>
      <c r="S97" s="8">
        <f t="shared" si="16"/>
        <v>1986</v>
      </c>
      <c r="T97" s="8">
        <v>1986</v>
      </c>
      <c r="U97" s="8">
        <f t="shared" si="17"/>
        <v>36</v>
      </c>
      <c r="V97" s="7">
        <v>31444</v>
      </c>
      <c r="W97" t="s">
        <v>768</v>
      </c>
      <c r="X97" s="2">
        <v>0.10100000000000001</v>
      </c>
      <c r="Y97" s="6">
        <f t="shared" si="14"/>
        <v>2.6961373161421215E-3</v>
      </c>
      <c r="AA97">
        <v>7452993</v>
      </c>
      <c r="AB97">
        <v>18563</v>
      </c>
      <c r="AD97" t="s">
        <v>5</v>
      </c>
      <c r="AE97">
        <v>25</v>
      </c>
      <c r="AF97">
        <v>2</v>
      </c>
      <c r="AH97" t="s">
        <v>6399</v>
      </c>
      <c r="AI97" t="s">
        <v>6398</v>
      </c>
      <c r="AK97" t="s">
        <v>6397</v>
      </c>
      <c r="AL97">
        <v>0</v>
      </c>
      <c r="AM97" s="5">
        <f t="shared" si="18"/>
        <v>0</v>
      </c>
      <c r="AN97" s="4">
        <f t="shared" si="15"/>
        <v>0</v>
      </c>
      <c r="AO97" s="3"/>
      <c r="AP97">
        <v>0</v>
      </c>
      <c r="AR97" t="s">
        <v>1</v>
      </c>
      <c r="AT97" s="2" t="s">
        <v>0</v>
      </c>
      <c r="AU97" s="1">
        <f t="shared" si="19"/>
        <v>0.18872961212994849</v>
      </c>
      <c r="AV97" s="1">
        <f t="shared" si="20"/>
        <v>0.13480686580710607</v>
      </c>
      <c r="AW97" s="1">
        <f t="shared" si="21"/>
        <v>8.0884119484263647E-2</v>
      </c>
    </row>
    <row r="98" spans="1:49" x14ac:dyDescent="0.2">
      <c r="A98">
        <v>96</v>
      </c>
      <c r="B98" t="s">
        <v>6396</v>
      </c>
      <c r="F98" t="s">
        <v>6395</v>
      </c>
      <c r="G98" t="s">
        <v>16</v>
      </c>
      <c r="H98" t="s">
        <v>15</v>
      </c>
      <c r="I98" t="s">
        <v>6394</v>
      </c>
      <c r="N98">
        <v>1</v>
      </c>
      <c r="O98" t="s">
        <v>6393</v>
      </c>
      <c r="P98">
        <v>6506089325</v>
      </c>
      <c r="R98" s="7">
        <v>31444</v>
      </c>
      <c r="S98" s="8">
        <f t="shared" si="16"/>
        <v>1986</v>
      </c>
      <c r="T98" s="8">
        <v>1986</v>
      </c>
      <c r="U98" s="8">
        <f t="shared" si="17"/>
        <v>36</v>
      </c>
      <c r="V98" s="7">
        <v>31444</v>
      </c>
      <c r="W98" t="s">
        <v>543</v>
      </c>
      <c r="X98" s="2" t="s">
        <v>0</v>
      </c>
      <c r="Y98" s="6" t="e">
        <f t="shared" si="14"/>
        <v>#VALUE!</v>
      </c>
      <c r="AA98">
        <v>2663244</v>
      </c>
      <c r="AB98">
        <v>35055</v>
      </c>
      <c r="AD98" t="s">
        <v>5</v>
      </c>
      <c r="AE98">
        <v>93</v>
      </c>
      <c r="AF98">
        <v>1600</v>
      </c>
      <c r="AH98" t="s">
        <v>6392</v>
      </c>
      <c r="AI98" t="s">
        <v>6391</v>
      </c>
      <c r="AK98" t="s">
        <v>6390</v>
      </c>
      <c r="AL98">
        <v>1</v>
      </c>
      <c r="AM98" s="5">
        <f t="shared" si="18"/>
        <v>2.7777777777777776E-2</v>
      </c>
      <c r="AN98" s="4">
        <f t="shared" si="15"/>
        <v>4.2071605873196175E-5</v>
      </c>
      <c r="AO98" s="3"/>
      <c r="AP98">
        <v>0</v>
      </c>
      <c r="AR98" t="s">
        <v>1</v>
      </c>
      <c r="AT98" s="2" t="s">
        <v>0</v>
      </c>
      <c r="AU98" s="1" t="e">
        <f t="shared" si="19"/>
        <v>#VALUE!</v>
      </c>
      <c r="AV98" s="1" t="e">
        <f t="shared" si="20"/>
        <v>#VALUE!</v>
      </c>
      <c r="AW98" s="1" t="e">
        <f t="shared" si="21"/>
        <v>#VALUE!</v>
      </c>
    </row>
    <row r="99" spans="1:49" x14ac:dyDescent="0.2">
      <c r="A99">
        <v>97</v>
      </c>
      <c r="B99" t="s">
        <v>6389</v>
      </c>
      <c r="F99" t="s">
        <v>6388</v>
      </c>
      <c r="G99" t="s">
        <v>16</v>
      </c>
      <c r="H99" t="s">
        <v>15</v>
      </c>
      <c r="I99" t="s">
        <v>6387</v>
      </c>
      <c r="J99">
        <v>100384980</v>
      </c>
      <c r="K99" t="s">
        <v>6386</v>
      </c>
      <c r="L99" t="s">
        <v>6385</v>
      </c>
      <c r="M99" t="s">
        <v>114</v>
      </c>
      <c r="N99">
        <v>4</v>
      </c>
      <c r="O99" t="s">
        <v>6384</v>
      </c>
      <c r="P99" t="s">
        <v>6383</v>
      </c>
      <c r="Q99" t="s">
        <v>6382</v>
      </c>
      <c r="R99" s="7">
        <v>31444</v>
      </c>
      <c r="S99" s="8">
        <f t="shared" si="16"/>
        <v>1986</v>
      </c>
      <c r="T99" s="8">
        <v>1986</v>
      </c>
      <c r="U99" s="8">
        <f t="shared" si="17"/>
        <v>36</v>
      </c>
      <c r="V99" s="7">
        <v>31444</v>
      </c>
      <c r="W99" t="s">
        <v>768</v>
      </c>
      <c r="X99" s="2">
        <v>0.10100000000000001</v>
      </c>
      <c r="Y99" s="6">
        <f t="shared" si="14"/>
        <v>2.6961373161421215E-3</v>
      </c>
      <c r="AA99">
        <v>7452993</v>
      </c>
      <c r="AB99">
        <v>18563</v>
      </c>
      <c r="AD99" t="s">
        <v>5</v>
      </c>
      <c r="AE99">
        <v>25</v>
      </c>
      <c r="AF99">
        <v>2</v>
      </c>
      <c r="AH99" t="s">
        <v>6381</v>
      </c>
      <c r="AI99" t="s">
        <v>6380</v>
      </c>
      <c r="AK99" t="s">
        <v>6379</v>
      </c>
      <c r="AL99">
        <v>0</v>
      </c>
      <c r="AM99" s="5">
        <f t="shared" si="18"/>
        <v>0</v>
      </c>
      <c r="AN99" s="4">
        <f t="shared" si="15"/>
        <v>0</v>
      </c>
      <c r="AO99" s="3"/>
      <c r="AP99">
        <v>0</v>
      </c>
      <c r="AR99" t="s">
        <v>1</v>
      </c>
      <c r="AT99" s="2" t="s">
        <v>0</v>
      </c>
      <c r="AU99" s="1">
        <f t="shared" si="19"/>
        <v>0.18872961212994849</v>
      </c>
      <c r="AV99" s="1">
        <f t="shared" si="20"/>
        <v>0.13480686580710607</v>
      </c>
      <c r="AW99" s="1">
        <f t="shared" si="21"/>
        <v>8.0884119484263647E-2</v>
      </c>
    </row>
    <row r="100" spans="1:49" x14ac:dyDescent="0.2">
      <c r="A100">
        <v>98</v>
      </c>
      <c r="B100" t="s">
        <v>6378</v>
      </c>
      <c r="C100" t="s">
        <v>6377</v>
      </c>
      <c r="F100" t="s">
        <v>6376</v>
      </c>
      <c r="G100" t="s">
        <v>16</v>
      </c>
      <c r="H100" t="s">
        <v>15</v>
      </c>
      <c r="I100" t="s">
        <v>6375</v>
      </c>
      <c r="J100">
        <v>60029575</v>
      </c>
      <c r="K100" t="s">
        <v>1953</v>
      </c>
      <c r="L100" t="s">
        <v>1952</v>
      </c>
      <c r="M100" t="s">
        <v>114</v>
      </c>
      <c r="N100">
        <v>1</v>
      </c>
      <c r="O100" t="s">
        <v>6374</v>
      </c>
      <c r="P100">
        <v>7005489234</v>
      </c>
      <c r="Q100">
        <v>60029575</v>
      </c>
      <c r="R100" s="7">
        <v>31444</v>
      </c>
      <c r="S100" s="8">
        <f t="shared" si="16"/>
        <v>1986</v>
      </c>
      <c r="T100" s="8">
        <v>1986</v>
      </c>
      <c r="U100" s="8">
        <f t="shared" si="17"/>
        <v>36</v>
      </c>
      <c r="V100" s="7">
        <v>31444</v>
      </c>
      <c r="W100" t="s">
        <v>624</v>
      </c>
      <c r="X100" s="2">
        <v>0.61499999999999999</v>
      </c>
      <c r="Y100" s="6">
        <f t="shared" si="14"/>
        <v>1.6417073756706976E-2</v>
      </c>
      <c r="AA100">
        <v>1959271</v>
      </c>
      <c r="AB100">
        <v>12141</v>
      </c>
      <c r="AC100">
        <v>15729559</v>
      </c>
      <c r="AD100" t="s">
        <v>5</v>
      </c>
      <c r="AE100">
        <v>7</v>
      </c>
      <c r="AF100">
        <v>2</v>
      </c>
      <c r="AH100" t="s">
        <v>6373</v>
      </c>
      <c r="AI100" t="s">
        <v>6372</v>
      </c>
      <c r="AK100" t="s">
        <v>6371</v>
      </c>
      <c r="AL100">
        <v>0</v>
      </c>
      <c r="AM100" s="5">
        <f t="shared" si="18"/>
        <v>0</v>
      </c>
      <c r="AN100" s="4">
        <f t="shared" si="15"/>
        <v>0</v>
      </c>
      <c r="AO100" s="3"/>
      <c r="AP100">
        <v>0</v>
      </c>
      <c r="AR100" t="s">
        <v>1</v>
      </c>
      <c r="AT100" s="2" t="s">
        <v>0</v>
      </c>
      <c r="AU100" s="1">
        <f t="shared" si="19"/>
        <v>1.1491951629694881</v>
      </c>
      <c r="AV100" s="1">
        <f t="shared" si="20"/>
        <v>0.82085368783534873</v>
      </c>
      <c r="AW100" s="1">
        <f t="shared" si="21"/>
        <v>0.49251221270120926</v>
      </c>
    </row>
    <row r="101" spans="1:49" x14ac:dyDescent="0.2">
      <c r="A101">
        <v>99</v>
      </c>
      <c r="B101" t="s">
        <v>6370</v>
      </c>
      <c r="F101" t="s">
        <v>6369</v>
      </c>
      <c r="G101" t="s">
        <v>16</v>
      </c>
      <c r="H101" t="s">
        <v>15</v>
      </c>
      <c r="I101" t="s">
        <v>6368</v>
      </c>
      <c r="J101">
        <v>60021208</v>
      </c>
      <c r="K101" t="s">
        <v>6367</v>
      </c>
      <c r="L101" t="s">
        <v>886</v>
      </c>
      <c r="M101" t="s">
        <v>71</v>
      </c>
      <c r="N101">
        <v>3</v>
      </c>
      <c r="O101" t="s">
        <v>6366</v>
      </c>
      <c r="P101" t="s">
        <v>6365</v>
      </c>
      <c r="Q101" t="s">
        <v>6364</v>
      </c>
      <c r="R101" s="7">
        <v>31444</v>
      </c>
      <c r="S101" s="8">
        <f t="shared" si="16"/>
        <v>1986</v>
      </c>
      <c r="T101" s="8">
        <v>1986</v>
      </c>
      <c r="U101" s="8">
        <f t="shared" si="17"/>
        <v>36</v>
      </c>
      <c r="V101" s="7">
        <v>31444</v>
      </c>
      <c r="W101" t="s">
        <v>6363</v>
      </c>
      <c r="X101" s="2" t="s">
        <v>0</v>
      </c>
      <c r="Y101" s="6" t="e">
        <f t="shared" si="14"/>
        <v>#VALUE!</v>
      </c>
      <c r="AA101" t="s">
        <v>6362</v>
      </c>
      <c r="AB101">
        <v>30906</v>
      </c>
      <c r="AD101" t="s">
        <v>5</v>
      </c>
      <c r="AE101" t="s">
        <v>6361</v>
      </c>
      <c r="AF101">
        <v>2</v>
      </c>
      <c r="AH101" t="s">
        <v>6360</v>
      </c>
      <c r="AI101" t="s">
        <v>6359</v>
      </c>
      <c r="AK101" t="s">
        <v>6358</v>
      </c>
      <c r="AL101">
        <v>1</v>
      </c>
      <c r="AM101" s="5">
        <f t="shared" si="18"/>
        <v>2.7777777777777776E-2</v>
      </c>
      <c r="AN101" s="4">
        <f t="shared" si="15"/>
        <v>4.2071605873196175E-5</v>
      </c>
      <c r="AO101" s="3"/>
      <c r="AP101">
        <v>0</v>
      </c>
      <c r="AR101" t="s">
        <v>1</v>
      </c>
      <c r="AT101" s="2" t="s">
        <v>0</v>
      </c>
      <c r="AU101" s="1" t="e">
        <f t="shared" si="19"/>
        <v>#VALUE!</v>
      </c>
      <c r="AV101" s="1" t="e">
        <f t="shared" si="20"/>
        <v>#VALUE!</v>
      </c>
      <c r="AW101" s="1" t="e">
        <f t="shared" si="21"/>
        <v>#VALUE!</v>
      </c>
    </row>
    <row r="102" spans="1:49" x14ac:dyDescent="0.2">
      <c r="A102">
        <v>100</v>
      </c>
      <c r="B102" t="s">
        <v>6357</v>
      </c>
      <c r="C102" t="s">
        <v>6356</v>
      </c>
      <c r="F102" t="s">
        <v>6355</v>
      </c>
      <c r="G102" t="s">
        <v>16</v>
      </c>
      <c r="H102" t="s">
        <v>15</v>
      </c>
      <c r="I102" t="s">
        <v>6354</v>
      </c>
      <c r="J102" t="s">
        <v>6353</v>
      </c>
      <c r="K102" t="s">
        <v>4696</v>
      </c>
      <c r="L102" t="s">
        <v>6352</v>
      </c>
      <c r="M102" t="s">
        <v>783</v>
      </c>
      <c r="N102">
        <v>2</v>
      </c>
      <c r="O102" t="s">
        <v>6351</v>
      </c>
      <c r="P102" t="s">
        <v>6350</v>
      </c>
      <c r="Q102" t="s">
        <v>6349</v>
      </c>
      <c r="R102" s="7">
        <v>31444</v>
      </c>
      <c r="S102" s="8">
        <f t="shared" si="16"/>
        <v>1986</v>
      </c>
      <c r="T102" s="8">
        <v>1986</v>
      </c>
      <c r="U102" s="8">
        <f t="shared" si="17"/>
        <v>36</v>
      </c>
      <c r="V102" s="7">
        <v>31444</v>
      </c>
      <c r="W102" t="s">
        <v>624</v>
      </c>
      <c r="X102" s="2">
        <v>0.61499999999999999</v>
      </c>
      <c r="Y102" s="6">
        <f t="shared" si="14"/>
        <v>1.6417073756706976E-2</v>
      </c>
      <c r="AA102">
        <v>1959271</v>
      </c>
      <c r="AB102">
        <v>12141</v>
      </c>
      <c r="AC102">
        <v>15729559</v>
      </c>
      <c r="AD102" t="s">
        <v>5</v>
      </c>
      <c r="AE102">
        <v>7</v>
      </c>
      <c r="AF102">
        <v>2</v>
      </c>
      <c r="AH102" t="s">
        <v>6348</v>
      </c>
      <c r="AI102" t="s">
        <v>6347</v>
      </c>
      <c r="AJ102" t="s">
        <v>6346</v>
      </c>
      <c r="AK102" t="s">
        <v>6345</v>
      </c>
      <c r="AL102">
        <v>5</v>
      </c>
      <c r="AM102" s="5">
        <f t="shared" si="18"/>
        <v>0.1388888888888889</v>
      </c>
      <c r="AN102" s="4">
        <f t="shared" si="15"/>
        <v>2.103580293659809E-4</v>
      </c>
      <c r="AO102" s="3"/>
      <c r="AP102">
        <v>0</v>
      </c>
      <c r="AR102" t="s">
        <v>1</v>
      </c>
      <c r="AT102" s="2" t="s">
        <v>0</v>
      </c>
      <c r="AU102" s="1">
        <f t="shared" si="19"/>
        <v>1.1555059038504676</v>
      </c>
      <c r="AV102" s="1">
        <f t="shared" si="20"/>
        <v>0.83137158930364774</v>
      </c>
      <c r="AW102" s="1">
        <f t="shared" si="21"/>
        <v>0.50723727475682789</v>
      </c>
    </row>
    <row r="103" spans="1:49" x14ac:dyDescent="0.2">
      <c r="A103">
        <v>101</v>
      </c>
      <c r="B103" t="s">
        <v>6344</v>
      </c>
      <c r="C103" t="s">
        <v>6343</v>
      </c>
      <c r="F103" t="s">
        <v>6342</v>
      </c>
      <c r="G103" t="s">
        <v>16</v>
      </c>
      <c r="H103" t="s">
        <v>15</v>
      </c>
      <c r="I103" t="s">
        <v>6341</v>
      </c>
      <c r="J103">
        <v>60000986</v>
      </c>
      <c r="K103" t="s">
        <v>5686</v>
      </c>
      <c r="L103" t="s">
        <v>5685</v>
      </c>
      <c r="M103" t="s">
        <v>114</v>
      </c>
      <c r="N103">
        <v>3</v>
      </c>
      <c r="O103" t="s">
        <v>6340</v>
      </c>
      <c r="P103" t="s">
        <v>6339</v>
      </c>
      <c r="Q103" t="s">
        <v>6338</v>
      </c>
      <c r="R103" s="7">
        <v>31444</v>
      </c>
      <c r="S103" s="8">
        <f t="shared" si="16"/>
        <v>1986</v>
      </c>
      <c r="T103" s="8">
        <v>1986</v>
      </c>
      <c r="U103" s="8">
        <f t="shared" si="17"/>
        <v>36</v>
      </c>
      <c r="V103" s="7">
        <v>31444</v>
      </c>
      <c r="W103" t="s">
        <v>6337</v>
      </c>
      <c r="X103" s="2">
        <v>0.85499999999999998</v>
      </c>
      <c r="Y103" s="6">
        <f t="shared" si="14"/>
        <v>2.28237366861536E-2</v>
      </c>
      <c r="AA103">
        <v>980331</v>
      </c>
      <c r="AB103">
        <v>23342</v>
      </c>
      <c r="AC103">
        <v>15731561</v>
      </c>
      <c r="AD103" t="s">
        <v>5</v>
      </c>
      <c r="AE103">
        <v>12</v>
      </c>
      <c r="AF103">
        <v>2</v>
      </c>
      <c r="AH103" t="s">
        <v>6336</v>
      </c>
      <c r="AI103" t="s">
        <v>6335</v>
      </c>
      <c r="AJ103" t="s">
        <v>6334</v>
      </c>
      <c r="AK103" t="s">
        <v>6333</v>
      </c>
      <c r="AL103">
        <v>21</v>
      </c>
      <c r="AM103" s="5">
        <f t="shared" si="18"/>
        <v>0.58333333333333337</v>
      </c>
      <c r="AN103" s="4">
        <f t="shared" si="15"/>
        <v>8.835037233371198E-4</v>
      </c>
      <c r="AO103" s="3"/>
      <c r="AP103">
        <v>0</v>
      </c>
      <c r="AR103" t="s">
        <v>1</v>
      </c>
      <c r="AT103" s="2">
        <v>2.6259999999999999</v>
      </c>
      <c r="AU103" s="1">
        <f t="shared" si="19"/>
        <v>1.6241666797308656</v>
      </c>
      <c r="AV103" s="1">
        <f t="shared" si="20"/>
        <v>1.1853620204745361</v>
      </c>
      <c r="AW103" s="1">
        <f t="shared" si="21"/>
        <v>0.74655736121820637</v>
      </c>
    </row>
    <row r="104" spans="1:49" x14ac:dyDescent="0.2">
      <c r="A104">
        <v>102</v>
      </c>
      <c r="B104" t="s">
        <v>6332</v>
      </c>
      <c r="C104" t="s">
        <v>6331</v>
      </c>
      <c r="D104">
        <v>5272886901696</v>
      </c>
      <c r="F104" t="s">
        <v>6330</v>
      </c>
      <c r="G104" t="s">
        <v>16</v>
      </c>
      <c r="H104" t="s">
        <v>15</v>
      </c>
      <c r="I104" t="s">
        <v>6329</v>
      </c>
      <c r="J104">
        <v>60007457</v>
      </c>
      <c r="K104" t="s">
        <v>6328</v>
      </c>
      <c r="L104" t="s">
        <v>5434</v>
      </c>
      <c r="M104" t="s">
        <v>2336</v>
      </c>
      <c r="N104">
        <v>8</v>
      </c>
      <c r="O104" t="s">
        <v>6327</v>
      </c>
      <c r="P104" t="s">
        <v>6326</v>
      </c>
      <c r="Q104" t="s">
        <v>6325</v>
      </c>
      <c r="R104" s="7">
        <v>31440</v>
      </c>
      <c r="S104" s="8">
        <f t="shared" si="16"/>
        <v>1986</v>
      </c>
      <c r="T104" s="8">
        <v>1986</v>
      </c>
      <c r="U104" s="8">
        <f t="shared" si="17"/>
        <v>36</v>
      </c>
      <c r="V104" s="7">
        <v>31440</v>
      </c>
      <c r="W104" t="s">
        <v>6324</v>
      </c>
      <c r="X104" s="2">
        <v>1.59</v>
      </c>
      <c r="Y104" s="6">
        <f t="shared" si="14"/>
        <v>4.2444141907583888E-2</v>
      </c>
      <c r="AA104">
        <v>52728</v>
      </c>
      <c r="AB104">
        <v>16791</v>
      </c>
      <c r="AD104" t="s">
        <v>5</v>
      </c>
      <c r="AE104">
        <v>848</v>
      </c>
      <c r="AF104">
        <v>1</v>
      </c>
      <c r="AH104" t="s">
        <v>6323</v>
      </c>
      <c r="AI104" t="s">
        <v>6322</v>
      </c>
      <c r="AJ104" t="s">
        <v>6321</v>
      </c>
      <c r="AK104" t="s">
        <v>6320</v>
      </c>
      <c r="AL104">
        <v>14</v>
      </c>
      <c r="AM104" s="5">
        <f t="shared" si="18"/>
        <v>0.3888888888888889</v>
      </c>
      <c r="AN104" s="4">
        <f t="shared" si="15"/>
        <v>5.890024822247465E-4</v>
      </c>
      <c r="AO104" s="3"/>
      <c r="AP104">
        <v>0</v>
      </c>
      <c r="AR104" t="s">
        <v>1</v>
      </c>
      <c r="AT104" s="2" t="s">
        <v>0</v>
      </c>
      <c r="AU104" s="1">
        <f t="shared" si="19"/>
        <v>2.9887600079976142</v>
      </c>
      <c r="AV104" s="1">
        <f t="shared" si="20"/>
        <v>2.1516572194904318</v>
      </c>
      <c r="AW104" s="1">
        <f t="shared" si="21"/>
        <v>1.3145544309832489</v>
      </c>
    </row>
    <row r="105" spans="1:49" x14ac:dyDescent="0.2">
      <c r="A105">
        <v>103</v>
      </c>
      <c r="B105" t="s">
        <v>6319</v>
      </c>
      <c r="C105" t="s">
        <v>6318</v>
      </c>
      <c r="F105" t="s">
        <v>6317</v>
      </c>
      <c r="G105" t="s">
        <v>16</v>
      </c>
      <c r="H105" t="s">
        <v>15</v>
      </c>
      <c r="I105" t="s">
        <v>5503</v>
      </c>
      <c r="J105">
        <v>60026717</v>
      </c>
      <c r="K105" t="s">
        <v>5502</v>
      </c>
      <c r="L105" t="s">
        <v>1496</v>
      </c>
      <c r="M105" t="s">
        <v>114</v>
      </c>
      <c r="N105">
        <v>4</v>
      </c>
      <c r="O105" t="s">
        <v>6316</v>
      </c>
      <c r="P105" t="s">
        <v>6315</v>
      </c>
      <c r="Q105" t="s">
        <v>6314</v>
      </c>
      <c r="R105" s="7">
        <v>31413</v>
      </c>
      <c r="S105" s="8">
        <f t="shared" si="16"/>
        <v>1986</v>
      </c>
      <c r="T105" s="8">
        <v>1986</v>
      </c>
      <c r="U105" s="8">
        <f t="shared" si="17"/>
        <v>36</v>
      </c>
      <c r="V105" s="7">
        <v>1986</v>
      </c>
      <c r="W105" t="s">
        <v>6313</v>
      </c>
      <c r="X105" s="2" t="s">
        <v>0</v>
      </c>
      <c r="Y105" s="6" t="e">
        <f t="shared" si="14"/>
        <v>#VALUE!</v>
      </c>
      <c r="AA105">
        <v>4999320</v>
      </c>
      <c r="AB105">
        <v>13083</v>
      </c>
      <c r="AD105" t="s">
        <v>5</v>
      </c>
      <c r="AL105">
        <v>0</v>
      </c>
      <c r="AM105" s="5">
        <f t="shared" si="18"/>
        <v>0</v>
      </c>
      <c r="AN105" s="4">
        <f t="shared" si="15"/>
        <v>0</v>
      </c>
      <c r="AO105" s="3"/>
      <c r="AP105">
        <v>0</v>
      </c>
      <c r="AR105" t="s">
        <v>1</v>
      </c>
      <c r="AT105" s="2" t="s">
        <v>0</v>
      </c>
      <c r="AU105" s="1" t="e">
        <f t="shared" si="19"/>
        <v>#VALUE!</v>
      </c>
      <c r="AV105" s="1" t="e">
        <f t="shared" si="20"/>
        <v>#VALUE!</v>
      </c>
      <c r="AW105" s="1" t="e">
        <f t="shared" si="21"/>
        <v>#VALUE!</v>
      </c>
    </row>
    <row r="106" spans="1:49" x14ac:dyDescent="0.2">
      <c r="A106">
        <v>104</v>
      </c>
      <c r="B106" t="s">
        <v>6312</v>
      </c>
      <c r="C106" t="s">
        <v>6311</v>
      </c>
      <c r="F106" t="s">
        <v>6310</v>
      </c>
      <c r="G106" t="s">
        <v>16</v>
      </c>
      <c r="H106" t="s">
        <v>15</v>
      </c>
      <c r="I106" t="s">
        <v>6309</v>
      </c>
      <c r="J106" t="s">
        <v>6304</v>
      </c>
      <c r="K106" t="s">
        <v>6308</v>
      </c>
      <c r="L106" t="s">
        <v>6307</v>
      </c>
      <c r="M106" t="s">
        <v>2609</v>
      </c>
      <c r="N106">
        <v>2</v>
      </c>
      <c r="O106" t="s">
        <v>6306</v>
      </c>
      <c r="P106" t="s">
        <v>6305</v>
      </c>
      <c r="Q106" t="s">
        <v>6304</v>
      </c>
      <c r="R106" s="7">
        <v>31413</v>
      </c>
      <c r="S106" s="8">
        <f t="shared" si="16"/>
        <v>1986</v>
      </c>
      <c r="T106" s="8">
        <v>1986</v>
      </c>
      <c r="U106" s="8">
        <f t="shared" si="17"/>
        <v>36</v>
      </c>
      <c r="V106" s="7">
        <v>1986</v>
      </c>
      <c r="W106" t="s">
        <v>580</v>
      </c>
      <c r="X106" s="2">
        <v>0.375</v>
      </c>
      <c r="Y106" s="6">
        <f t="shared" si="14"/>
        <v>1.0010410827260351E-2</v>
      </c>
      <c r="AA106">
        <v>135194</v>
      </c>
      <c r="AB106">
        <v>24918</v>
      </c>
      <c r="AD106" t="s">
        <v>5</v>
      </c>
      <c r="AE106">
        <v>22</v>
      </c>
      <c r="AF106">
        <v>18</v>
      </c>
      <c r="AH106" t="s">
        <v>6303</v>
      </c>
      <c r="AI106" t="s">
        <v>6302</v>
      </c>
      <c r="AJ106" t="s">
        <v>6301</v>
      </c>
      <c r="AK106" t="s">
        <v>6300</v>
      </c>
      <c r="AL106">
        <v>1</v>
      </c>
      <c r="AM106" s="5">
        <f t="shared" si="18"/>
        <v>2.7777777777777776E-2</v>
      </c>
      <c r="AN106" s="4">
        <f t="shared" si="15"/>
        <v>4.2071605873196175E-5</v>
      </c>
      <c r="AO106" s="3"/>
      <c r="AP106">
        <v>0</v>
      </c>
      <c r="AR106" t="s">
        <v>1</v>
      </c>
      <c r="AT106" s="2">
        <v>1.3140000000000001</v>
      </c>
      <c r="AU106" s="1">
        <f t="shared" si="19"/>
        <v>0.70199090608442039</v>
      </c>
      <c r="AV106" s="1">
        <f t="shared" si="20"/>
        <v>0.50262412165667736</v>
      </c>
      <c r="AW106" s="1">
        <f t="shared" si="21"/>
        <v>0.30325733722893422</v>
      </c>
    </row>
    <row r="107" spans="1:49" x14ac:dyDescent="0.2">
      <c r="A107">
        <v>105</v>
      </c>
      <c r="B107" t="s">
        <v>6299</v>
      </c>
      <c r="C107" t="s">
        <v>6298</v>
      </c>
      <c r="F107" t="s">
        <v>6297</v>
      </c>
      <c r="G107" t="s">
        <v>16</v>
      </c>
      <c r="H107" t="s">
        <v>15</v>
      </c>
      <c r="I107" t="s">
        <v>6296</v>
      </c>
      <c r="J107">
        <v>60028717</v>
      </c>
      <c r="K107" t="s">
        <v>5873</v>
      </c>
      <c r="L107" t="s">
        <v>4075</v>
      </c>
      <c r="M107" t="s">
        <v>376</v>
      </c>
      <c r="N107">
        <v>1</v>
      </c>
      <c r="O107" t="s">
        <v>6295</v>
      </c>
      <c r="P107">
        <v>57195046646</v>
      </c>
      <c r="Q107">
        <v>60028717</v>
      </c>
      <c r="R107" s="7">
        <v>31413</v>
      </c>
      <c r="S107" s="8">
        <f t="shared" si="16"/>
        <v>1986</v>
      </c>
      <c r="T107" s="8">
        <v>1986</v>
      </c>
      <c r="U107" s="8">
        <f t="shared" si="17"/>
        <v>36</v>
      </c>
      <c r="V107" s="7">
        <v>31472</v>
      </c>
      <c r="W107" t="s">
        <v>6294</v>
      </c>
      <c r="X107" s="2">
        <v>0.76900000000000002</v>
      </c>
      <c r="Y107" s="6">
        <f t="shared" si="14"/>
        <v>2.0528015803101894E-2</v>
      </c>
      <c r="AA107">
        <v>9475745</v>
      </c>
      <c r="AB107">
        <v>22605</v>
      </c>
      <c r="AC107">
        <v>14390469</v>
      </c>
      <c r="AD107" t="s">
        <v>5</v>
      </c>
      <c r="AE107">
        <v>24</v>
      </c>
      <c r="AF107">
        <v>1</v>
      </c>
      <c r="AH107" t="s">
        <v>6293</v>
      </c>
      <c r="AI107" t="s">
        <v>6292</v>
      </c>
      <c r="AK107" t="s">
        <v>6291</v>
      </c>
      <c r="AL107">
        <v>17</v>
      </c>
      <c r="AM107" s="5">
        <f t="shared" si="18"/>
        <v>0.47222222222222221</v>
      </c>
      <c r="AN107" s="4">
        <f t="shared" si="15"/>
        <v>7.15217299844335E-4</v>
      </c>
      <c r="AO107" s="3"/>
      <c r="AP107">
        <v>0</v>
      </c>
      <c r="AR107" t="s">
        <v>1</v>
      </c>
      <c r="AT107" s="2" t="s">
        <v>0</v>
      </c>
      <c r="AU107" s="1">
        <f t="shared" si="19"/>
        <v>1.4584176252124625</v>
      </c>
      <c r="AV107" s="1">
        <f t="shared" si="20"/>
        <v>1.0621616551473114</v>
      </c>
      <c r="AW107" s="1">
        <f t="shared" si="21"/>
        <v>0.66590568508216019</v>
      </c>
    </row>
    <row r="108" spans="1:49" x14ac:dyDescent="0.2">
      <c r="A108">
        <v>106</v>
      </c>
      <c r="B108" t="s">
        <v>6290</v>
      </c>
      <c r="C108" t="s">
        <v>6289</v>
      </c>
      <c r="F108" t="s">
        <v>6288</v>
      </c>
      <c r="G108" t="s">
        <v>16</v>
      </c>
      <c r="H108" t="s">
        <v>15</v>
      </c>
      <c r="I108" t="s">
        <v>6287</v>
      </c>
      <c r="J108">
        <v>60031514</v>
      </c>
      <c r="K108" t="s">
        <v>6286</v>
      </c>
      <c r="L108" t="s">
        <v>6285</v>
      </c>
      <c r="M108" t="s">
        <v>376</v>
      </c>
      <c r="N108">
        <v>1</v>
      </c>
      <c r="O108" t="s">
        <v>6284</v>
      </c>
      <c r="P108">
        <v>57207746560</v>
      </c>
      <c r="Q108">
        <v>60031514</v>
      </c>
      <c r="R108" s="7">
        <v>31413</v>
      </c>
      <c r="S108" s="8">
        <f t="shared" si="16"/>
        <v>1986</v>
      </c>
      <c r="T108" s="8">
        <v>1986</v>
      </c>
      <c r="U108" s="8">
        <f t="shared" si="17"/>
        <v>36</v>
      </c>
      <c r="V108" s="7" t="s">
        <v>6283</v>
      </c>
      <c r="W108" t="s">
        <v>6282</v>
      </c>
      <c r="X108" s="2">
        <v>0.79500000000000004</v>
      </c>
      <c r="Y108" s="6">
        <f t="shared" si="14"/>
        <v>2.1222070953791944E-2</v>
      </c>
      <c r="AA108">
        <v>9312048</v>
      </c>
      <c r="AB108">
        <v>20459</v>
      </c>
      <c r="AC108">
        <v>14390418</v>
      </c>
      <c r="AD108" t="s">
        <v>5</v>
      </c>
      <c r="AE108">
        <v>102</v>
      </c>
      <c r="AF108" s="9">
        <v>44317</v>
      </c>
      <c r="AH108" t="s">
        <v>6281</v>
      </c>
      <c r="AI108" t="s">
        <v>6280</v>
      </c>
      <c r="AK108" t="s">
        <v>6279</v>
      </c>
      <c r="AL108">
        <v>8</v>
      </c>
      <c r="AM108" s="5">
        <f t="shared" si="18"/>
        <v>0.22222222222222221</v>
      </c>
      <c r="AN108" s="4">
        <f t="shared" si="15"/>
        <v>3.365728469855694E-4</v>
      </c>
      <c r="AO108" s="3"/>
      <c r="AP108">
        <v>0</v>
      </c>
      <c r="AR108" t="s">
        <v>1</v>
      </c>
      <c r="AT108" s="2">
        <v>2.6030000000000002</v>
      </c>
      <c r="AU108" s="1">
        <f t="shared" si="19"/>
        <v>1.4956421521750032</v>
      </c>
      <c r="AV108" s="1">
        <f t="shared" si="20"/>
        <v>1.0779321900388756</v>
      </c>
      <c r="AW108" s="1">
        <f t="shared" si="21"/>
        <v>0.66022222790274809</v>
      </c>
    </row>
    <row r="109" spans="1:49" x14ac:dyDescent="0.2">
      <c r="A109">
        <v>107</v>
      </c>
      <c r="B109" t="s">
        <v>6278</v>
      </c>
      <c r="C109" t="s">
        <v>6277</v>
      </c>
      <c r="F109" t="s">
        <v>6276</v>
      </c>
      <c r="G109" t="s">
        <v>16</v>
      </c>
      <c r="H109" t="s">
        <v>15</v>
      </c>
      <c r="I109" t="s">
        <v>6275</v>
      </c>
      <c r="J109">
        <v>60028717</v>
      </c>
      <c r="K109" t="s">
        <v>5873</v>
      </c>
      <c r="L109" t="s">
        <v>4075</v>
      </c>
      <c r="M109" t="s">
        <v>376</v>
      </c>
      <c r="N109">
        <v>1</v>
      </c>
      <c r="O109" t="s">
        <v>6274</v>
      </c>
      <c r="P109">
        <v>6508341238</v>
      </c>
      <c r="Q109">
        <v>60028717</v>
      </c>
      <c r="R109" s="7">
        <v>31413</v>
      </c>
      <c r="S109" s="8">
        <f t="shared" si="16"/>
        <v>1986</v>
      </c>
      <c r="T109" s="8">
        <v>1986</v>
      </c>
      <c r="U109" s="8">
        <f t="shared" si="17"/>
        <v>36</v>
      </c>
      <c r="V109" s="7" t="s">
        <v>6273</v>
      </c>
      <c r="W109" t="s">
        <v>6272</v>
      </c>
      <c r="X109" s="2">
        <v>0.73899999999999999</v>
      </c>
      <c r="Y109" s="6">
        <f t="shared" si="14"/>
        <v>1.9727182936921064E-2</v>
      </c>
      <c r="AA109">
        <v>1791613</v>
      </c>
      <c r="AB109">
        <v>21489</v>
      </c>
      <c r="AC109">
        <v>14390310</v>
      </c>
      <c r="AD109" t="s">
        <v>5</v>
      </c>
      <c r="AE109">
        <v>73</v>
      </c>
      <c r="AF109">
        <v>1</v>
      </c>
      <c r="AH109" t="s">
        <v>6271</v>
      </c>
      <c r="AI109" t="s">
        <v>6270</v>
      </c>
      <c r="AK109" t="s">
        <v>6269</v>
      </c>
      <c r="AL109">
        <v>1</v>
      </c>
      <c r="AM109" s="5">
        <f t="shared" si="18"/>
        <v>2.7777777777777776E-2</v>
      </c>
      <c r="AN109" s="4">
        <f t="shared" si="15"/>
        <v>4.2071605873196175E-5</v>
      </c>
      <c r="AO109" s="3"/>
      <c r="AP109">
        <v>0</v>
      </c>
      <c r="AR109" t="s">
        <v>1</v>
      </c>
      <c r="AT109" s="2">
        <v>1.897</v>
      </c>
      <c r="AU109" s="1">
        <f t="shared" si="19"/>
        <v>1.3821649537606704</v>
      </c>
      <c r="AV109" s="1">
        <f t="shared" si="20"/>
        <v>0.98846272713971306</v>
      </c>
      <c r="AW109" s="1">
        <f t="shared" si="21"/>
        <v>0.59476050051875562</v>
      </c>
    </row>
    <row r="110" spans="1:49" x14ac:dyDescent="0.2">
      <c r="A110">
        <v>108</v>
      </c>
      <c r="B110" t="s">
        <v>6268</v>
      </c>
      <c r="C110" t="s">
        <v>6267</v>
      </c>
      <c r="F110" t="s">
        <v>6266</v>
      </c>
      <c r="G110" t="s">
        <v>16</v>
      </c>
      <c r="H110" t="s">
        <v>15</v>
      </c>
      <c r="I110" t="s">
        <v>6265</v>
      </c>
      <c r="J110">
        <v>60009784</v>
      </c>
      <c r="K110" t="s">
        <v>6264</v>
      </c>
      <c r="L110" t="s">
        <v>886</v>
      </c>
      <c r="M110" t="s">
        <v>71</v>
      </c>
      <c r="N110">
        <v>4</v>
      </c>
      <c r="O110" t="s">
        <v>6263</v>
      </c>
      <c r="P110" t="s">
        <v>6262</v>
      </c>
      <c r="Q110" t="s">
        <v>6261</v>
      </c>
      <c r="R110" s="7">
        <v>31413</v>
      </c>
      <c r="S110" s="8">
        <f t="shared" si="16"/>
        <v>1986</v>
      </c>
      <c r="T110" s="8">
        <v>1986</v>
      </c>
      <c r="U110" s="8">
        <f t="shared" si="17"/>
        <v>36</v>
      </c>
      <c r="V110" s="7">
        <v>1986</v>
      </c>
      <c r="W110" t="s">
        <v>6242</v>
      </c>
      <c r="X110" s="2">
        <v>0.46300000000000002</v>
      </c>
      <c r="Y110" s="6">
        <f t="shared" si="14"/>
        <v>1.2359520568057447E-2</v>
      </c>
      <c r="AA110">
        <v>36862</v>
      </c>
      <c r="AB110">
        <v>19141</v>
      </c>
      <c r="AC110" t="s">
        <v>6241</v>
      </c>
      <c r="AD110" t="s">
        <v>5</v>
      </c>
      <c r="AE110">
        <v>21</v>
      </c>
      <c r="AF110">
        <v>1</v>
      </c>
      <c r="AH110" t="s">
        <v>6260</v>
      </c>
      <c r="AI110" t="s">
        <v>6259</v>
      </c>
      <c r="AK110" t="s">
        <v>6258</v>
      </c>
      <c r="AL110">
        <v>12</v>
      </c>
      <c r="AM110" s="5">
        <f t="shared" si="18"/>
        <v>0.33333333333333331</v>
      </c>
      <c r="AN110" s="4">
        <f t="shared" si="15"/>
        <v>5.048592704783541E-4</v>
      </c>
      <c r="AO110" s="3"/>
      <c r="AP110">
        <v>1</v>
      </c>
      <c r="AR110" t="s">
        <v>1</v>
      </c>
      <c r="AT110" s="2">
        <v>1.403</v>
      </c>
      <c r="AU110" s="1">
        <f t="shared" si="19"/>
        <v>0.88031221787837188</v>
      </c>
      <c r="AV110" s="1">
        <f t="shared" si="20"/>
        <v>0.64321899192679011</v>
      </c>
      <c r="AW110" s="1">
        <f t="shared" si="21"/>
        <v>0.40612576597520816</v>
      </c>
    </row>
    <row r="111" spans="1:49" x14ac:dyDescent="0.2">
      <c r="A111">
        <v>109</v>
      </c>
      <c r="B111" t="s">
        <v>6257</v>
      </c>
      <c r="C111" t="s">
        <v>6256</v>
      </c>
      <c r="F111" t="s">
        <v>6255</v>
      </c>
      <c r="G111" t="s">
        <v>16</v>
      </c>
      <c r="H111" t="s">
        <v>15</v>
      </c>
      <c r="I111" t="s">
        <v>6254</v>
      </c>
      <c r="J111">
        <v>100317892</v>
      </c>
      <c r="K111" t="s">
        <v>6253</v>
      </c>
      <c r="L111" t="s">
        <v>3478</v>
      </c>
      <c r="M111" t="s">
        <v>71</v>
      </c>
      <c r="N111">
        <v>1</v>
      </c>
      <c r="O111" t="s">
        <v>6252</v>
      </c>
      <c r="P111">
        <v>56179799000</v>
      </c>
      <c r="Q111">
        <v>100317892</v>
      </c>
      <c r="R111" s="7">
        <v>31413</v>
      </c>
      <c r="S111" s="8">
        <f t="shared" si="16"/>
        <v>1986</v>
      </c>
      <c r="T111" s="8">
        <v>1986</v>
      </c>
      <c r="U111" s="8">
        <f t="shared" si="17"/>
        <v>36</v>
      </c>
      <c r="V111" s="7">
        <v>1986</v>
      </c>
      <c r="W111" t="s">
        <v>6242</v>
      </c>
      <c r="X111" s="2">
        <v>0.46300000000000002</v>
      </c>
      <c r="Y111" s="6">
        <f t="shared" si="14"/>
        <v>1.2359520568057447E-2</v>
      </c>
      <c r="AA111">
        <v>36862</v>
      </c>
      <c r="AB111">
        <v>19141</v>
      </c>
      <c r="AC111" t="s">
        <v>6241</v>
      </c>
      <c r="AD111" t="s">
        <v>5</v>
      </c>
      <c r="AE111">
        <v>21</v>
      </c>
      <c r="AF111">
        <v>1</v>
      </c>
      <c r="AH111" t="s">
        <v>6251</v>
      </c>
      <c r="AI111" t="s">
        <v>6250</v>
      </c>
      <c r="AK111" t="s">
        <v>6249</v>
      </c>
      <c r="AL111">
        <v>7</v>
      </c>
      <c r="AM111" s="5">
        <f t="shared" si="18"/>
        <v>0.19444444444444445</v>
      </c>
      <c r="AN111" s="4">
        <f t="shared" si="15"/>
        <v>2.9450124111237325E-4</v>
      </c>
      <c r="AO111" s="3"/>
      <c r="AP111">
        <v>1</v>
      </c>
      <c r="AR111" t="s">
        <v>1</v>
      </c>
      <c r="AT111" s="2">
        <v>1.403</v>
      </c>
      <c r="AU111" s="1">
        <f t="shared" si="19"/>
        <v>0.87400147699739239</v>
      </c>
      <c r="AV111" s="1">
        <f t="shared" si="20"/>
        <v>0.6327010904584911</v>
      </c>
      <c r="AW111" s="1">
        <f t="shared" si="21"/>
        <v>0.39140070391958953</v>
      </c>
    </row>
    <row r="112" spans="1:49" x14ac:dyDescent="0.2">
      <c r="A112">
        <v>110</v>
      </c>
      <c r="B112" t="s">
        <v>6248</v>
      </c>
      <c r="C112" t="s">
        <v>6247</v>
      </c>
      <c r="F112" t="s">
        <v>6246</v>
      </c>
      <c r="G112" t="s">
        <v>16</v>
      </c>
      <c r="H112" t="s">
        <v>15</v>
      </c>
      <c r="I112" t="s">
        <v>6245</v>
      </c>
      <c r="J112">
        <v>60025272</v>
      </c>
      <c r="K112" t="s">
        <v>887</v>
      </c>
      <c r="L112" t="s">
        <v>886</v>
      </c>
      <c r="M112" t="s">
        <v>71</v>
      </c>
      <c r="N112">
        <v>3</v>
      </c>
      <c r="O112" t="s">
        <v>6244</v>
      </c>
      <c r="P112" t="s">
        <v>6243</v>
      </c>
      <c r="Q112" t="s">
        <v>2309</v>
      </c>
      <c r="R112" s="7">
        <v>31413</v>
      </c>
      <c r="S112" s="8">
        <f t="shared" si="16"/>
        <v>1986</v>
      </c>
      <c r="T112" s="8">
        <v>1986</v>
      </c>
      <c r="U112" s="8">
        <f t="shared" si="17"/>
        <v>36</v>
      </c>
      <c r="V112" s="7">
        <v>1986</v>
      </c>
      <c r="W112" t="s">
        <v>6242</v>
      </c>
      <c r="X112" s="2">
        <v>0.46300000000000002</v>
      </c>
      <c r="Y112" s="6">
        <f t="shared" si="14"/>
        <v>1.2359520568057447E-2</v>
      </c>
      <c r="AA112">
        <v>36862</v>
      </c>
      <c r="AB112">
        <v>19141</v>
      </c>
      <c r="AC112" t="s">
        <v>6241</v>
      </c>
      <c r="AD112" t="s">
        <v>5</v>
      </c>
      <c r="AE112">
        <v>21</v>
      </c>
      <c r="AF112">
        <v>1</v>
      </c>
      <c r="AH112" t="s">
        <v>6240</v>
      </c>
      <c r="AI112" t="s">
        <v>6239</v>
      </c>
      <c r="AK112" t="s">
        <v>6238</v>
      </c>
      <c r="AL112">
        <v>14</v>
      </c>
      <c r="AM112" s="5">
        <f t="shared" si="18"/>
        <v>0.3888888888888889</v>
      </c>
      <c r="AN112" s="4">
        <f t="shared" si="15"/>
        <v>5.890024822247465E-4</v>
      </c>
      <c r="AO112" s="3"/>
      <c r="AP112">
        <v>1</v>
      </c>
      <c r="AR112" t="s">
        <v>1</v>
      </c>
      <c r="AT112" s="2">
        <v>1.403</v>
      </c>
      <c r="AU112" s="1">
        <f t="shared" si="19"/>
        <v>0.88283651423076359</v>
      </c>
      <c r="AV112" s="1">
        <f t="shared" si="20"/>
        <v>0.64742615251410962</v>
      </c>
      <c r="AW112" s="1">
        <f t="shared" si="21"/>
        <v>0.41201579079745571</v>
      </c>
    </row>
    <row r="113" spans="1:49" x14ac:dyDescent="0.2">
      <c r="A113">
        <v>111</v>
      </c>
      <c r="B113" t="s">
        <v>6237</v>
      </c>
      <c r="C113" t="s">
        <v>6236</v>
      </c>
      <c r="F113" t="s">
        <v>6235</v>
      </c>
      <c r="G113" t="s">
        <v>16</v>
      </c>
      <c r="H113" t="s">
        <v>15</v>
      </c>
      <c r="I113" t="s">
        <v>6234</v>
      </c>
      <c r="J113">
        <v>60010742</v>
      </c>
      <c r="K113" t="s">
        <v>6233</v>
      </c>
      <c r="L113" t="s">
        <v>6232</v>
      </c>
      <c r="M113" t="s">
        <v>71</v>
      </c>
      <c r="N113">
        <v>1</v>
      </c>
      <c r="O113" t="s">
        <v>6231</v>
      </c>
      <c r="P113">
        <v>7801542273</v>
      </c>
      <c r="Q113">
        <v>60010742</v>
      </c>
      <c r="R113" s="7">
        <v>31413</v>
      </c>
      <c r="S113" s="8">
        <f t="shared" si="16"/>
        <v>1986</v>
      </c>
      <c r="T113" s="8">
        <v>1986</v>
      </c>
      <c r="U113" s="8">
        <f t="shared" si="17"/>
        <v>36</v>
      </c>
      <c r="V113" s="7">
        <v>1986</v>
      </c>
      <c r="W113" t="s">
        <v>6230</v>
      </c>
      <c r="X113" s="2">
        <v>0.36299999999999999</v>
      </c>
      <c r="Y113" s="6">
        <f t="shared" si="14"/>
        <v>9.6900776807880198E-3</v>
      </c>
      <c r="AA113">
        <v>214914</v>
      </c>
      <c r="AB113">
        <v>21042</v>
      </c>
      <c r="AC113">
        <v>13476068</v>
      </c>
      <c r="AD113" t="s">
        <v>5</v>
      </c>
      <c r="AE113">
        <v>30</v>
      </c>
      <c r="AF113">
        <v>1</v>
      </c>
      <c r="AH113" t="s">
        <v>1482</v>
      </c>
      <c r="AI113" t="s">
        <v>6229</v>
      </c>
      <c r="AK113" t="s">
        <v>6228</v>
      </c>
      <c r="AL113">
        <v>1</v>
      </c>
      <c r="AM113" s="5">
        <f t="shared" si="18"/>
        <v>2.7777777777777776E-2</v>
      </c>
      <c r="AN113" s="4">
        <f t="shared" si="15"/>
        <v>4.2071605873196175E-5</v>
      </c>
      <c r="AO113" s="3"/>
      <c r="AP113">
        <v>1</v>
      </c>
      <c r="AR113" t="s">
        <v>1</v>
      </c>
      <c r="AT113" s="2" t="s">
        <v>0</v>
      </c>
      <c r="AU113" s="1">
        <f t="shared" si="19"/>
        <v>0.67956758583135723</v>
      </c>
      <c r="AV113" s="1">
        <f t="shared" si="20"/>
        <v>0.48660746433306079</v>
      </c>
      <c r="AW113" s="1">
        <f t="shared" si="21"/>
        <v>0.29364734283476429</v>
      </c>
    </row>
    <row r="114" spans="1:49" x14ac:dyDescent="0.2">
      <c r="A114">
        <v>112</v>
      </c>
      <c r="B114" t="s">
        <v>6227</v>
      </c>
      <c r="C114" t="s">
        <v>6226</v>
      </c>
      <c r="F114" t="s">
        <v>6225</v>
      </c>
      <c r="G114" t="s">
        <v>16</v>
      </c>
      <c r="H114" t="s">
        <v>15</v>
      </c>
      <c r="I114" t="s">
        <v>6224</v>
      </c>
      <c r="J114" t="s">
        <v>6223</v>
      </c>
      <c r="K114" t="s">
        <v>6222</v>
      </c>
      <c r="L114" t="s">
        <v>6221</v>
      </c>
      <c r="M114" t="s">
        <v>5077</v>
      </c>
      <c r="N114">
        <v>4</v>
      </c>
      <c r="O114" t="s">
        <v>6220</v>
      </c>
      <c r="P114" t="s">
        <v>6219</v>
      </c>
      <c r="Q114" t="s">
        <v>6218</v>
      </c>
      <c r="R114" s="7">
        <v>31413</v>
      </c>
      <c r="S114" s="8">
        <f t="shared" si="16"/>
        <v>1986</v>
      </c>
      <c r="T114" s="8">
        <v>1986</v>
      </c>
      <c r="U114" s="8">
        <f t="shared" si="17"/>
        <v>36</v>
      </c>
      <c r="V114" s="7">
        <v>31686</v>
      </c>
      <c r="W114" t="s">
        <v>895</v>
      </c>
      <c r="X114" s="2">
        <v>0.81799999999999995</v>
      </c>
      <c r="Y114" s="6">
        <f t="shared" si="14"/>
        <v>2.1836042817863912E-2</v>
      </c>
      <c r="AA114">
        <v>318655</v>
      </c>
      <c r="AB114">
        <v>27010</v>
      </c>
      <c r="AC114">
        <v>17511097</v>
      </c>
      <c r="AD114" t="s">
        <v>5</v>
      </c>
      <c r="AE114">
        <v>44</v>
      </c>
      <c r="AF114">
        <v>4</v>
      </c>
      <c r="AH114" t="s">
        <v>6217</v>
      </c>
      <c r="AI114" t="s">
        <v>6216</v>
      </c>
      <c r="AK114" t="s">
        <v>6215</v>
      </c>
      <c r="AL114">
        <v>20</v>
      </c>
      <c r="AM114" s="5">
        <f t="shared" si="18"/>
        <v>0.55555555555555558</v>
      </c>
      <c r="AN114" s="4">
        <f t="shared" si="15"/>
        <v>8.414321174639236E-4</v>
      </c>
      <c r="AO114" s="3"/>
      <c r="AP114">
        <v>0</v>
      </c>
      <c r="AR114" t="s">
        <v>1</v>
      </c>
      <c r="AT114" s="2">
        <v>3.4209999999999998</v>
      </c>
      <c r="AU114" s="1">
        <f t="shared" si="19"/>
        <v>1.5537659607743914</v>
      </c>
      <c r="AV114" s="1">
        <f t="shared" si="20"/>
        <v>1.1338737467663917</v>
      </c>
      <c r="AW114" s="1">
        <f t="shared" si="21"/>
        <v>0.71398153275839205</v>
      </c>
    </row>
    <row r="115" spans="1:49" x14ac:dyDescent="0.2">
      <c r="A115">
        <v>113</v>
      </c>
      <c r="B115" t="s">
        <v>6214</v>
      </c>
      <c r="C115" t="s">
        <v>6213</v>
      </c>
      <c r="F115" t="s">
        <v>6212</v>
      </c>
      <c r="G115" t="s">
        <v>16</v>
      </c>
      <c r="H115" t="s">
        <v>15</v>
      </c>
      <c r="I115" t="s">
        <v>6211</v>
      </c>
      <c r="J115">
        <v>60007776</v>
      </c>
      <c r="K115" t="s">
        <v>6210</v>
      </c>
      <c r="L115" t="s">
        <v>2161</v>
      </c>
      <c r="M115" t="s">
        <v>114</v>
      </c>
      <c r="N115">
        <v>1</v>
      </c>
      <c r="O115" t="s">
        <v>6209</v>
      </c>
      <c r="P115">
        <v>57213437301</v>
      </c>
      <c r="Q115">
        <v>60007776</v>
      </c>
      <c r="R115" s="7">
        <v>31413</v>
      </c>
      <c r="S115" s="8">
        <f t="shared" si="16"/>
        <v>1986</v>
      </c>
      <c r="T115" s="8">
        <v>1986</v>
      </c>
      <c r="U115" s="8">
        <f t="shared" si="17"/>
        <v>36</v>
      </c>
      <c r="V115" s="7">
        <v>31533</v>
      </c>
      <c r="W115" t="s">
        <v>895</v>
      </c>
      <c r="X115" s="2">
        <v>0.81799999999999995</v>
      </c>
      <c r="Y115" s="6">
        <f t="shared" si="14"/>
        <v>2.1836042817863912E-2</v>
      </c>
      <c r="AA115">
        <v>318655</v>
      </c>
      <c r="AB115">
        <v>27010</v>
      </c>
      <c r="AC115">
        <v>17511097</v>
      </c>
      <c r="AD115" t="s">
        <v>5</v>
      </c>
      <c r="AE115">
        <v>43</v>
      </c>
      <c r="AF115">
        <v>5</v>
      </c>
      <c r="AH115" t="s">
        <v>6208</v>
      </c>
      <c r="AI115" t="s">
        <v>6207</v>
      </c>
      <c r="AK115" t="s">
        <v>6206</v>
      </c>
      <c r="AL115">
        <v>13</v>
      </c>
      <c r="AM115" s="5">
        <f t="shared" si="18"/>
        <v>0.3611111111111111</v>
      </c>
      <c r="AN115" s="4">
        <f t="shared" si="15"/>
        <v>5.469308763515503E-4</v>
      </c>
      <c r="AO115" s="3"/>
      <c r="AP115">
        <v>0</v>
      </c>
      <c r="AR115" t="s">
        <v>1</v>
      </c>
      <c r="AT115" s="2">
        <v>3.4209999999999998</v>
      </c>
      <c r="AU115" s="1">
        <f t="shared" si="19"/>
        <v>1.5449309235410202</v>
      </c>
      <c r="AV115" s="1">
        <f t="shared" si="20"/>
        <v>1.1191486847107732</v>
      </c>
      <c r="AW115" s="1">
        <f t="shared" si="21"/>
        <v>0.69336644588052587</v>
      </c>
    </row>
    <row r="116" spans="1:49" x14ac:dyDescent="0.2">
      <c r="A116">
        <v>114</v>
      </c>
      <c r="B116" t="s">
        <v>6205</v>
      </c>
      <c r="C116" t="s">
        <v>6204</v>
      </c>
      <c r="F116" t="s">
        <v>6203</v>
      </c>
      <c r="G116" t="s">
        <v>16</v>
      </c>
      <c r="H116" t="s">
        <v>15</v>
      </c>
      <c r="I116" t="s">
        <v>6202</v>
      </c>
      <c r="J116">
        <v>60025038</v>
      </c>
      <c r="K116" t="s">
        <v>4696</v>
      </c>
      <c r="L116" t="s">
        <v>4695</v>
      </c>
      <c r="M116" t="s">
        <v>114</v>
      </c>
      <c r="N116">
        <v>2</v>
      </c>
      <c r="O116" t="s">
        <v>6201</v>
      </c>
      <c r="P116" t="s">
        <v>6200</v>
      </c>
      <c r="Q116" t="s">
        <v>5104</v>
      </c>
      <c r="R116" s="7">
        <v>31413</v>
      </c>
      <c r="S116" s="8">
        <f t="shared" si="16"/>
        <v>1986</v>
      </c>
      <c r="T116" s="8">
        <v>1986</v>
      </c>
      <c r="U116" s="8">
        <f t="shared" si="17"/>
        <v>36</v>
      </c>
      <c r="V116" s="7">
        <v>31747</v>
      </c>
      <c r="W116" t="s">
        <v>6199</v>
      </c>
      <c r="X116" s="2">
        <v>0.85</v>
      </c>
      <c r="Y116" s="6">
        <f t="shared" si="14"/>
        <v>2.2690264541790128E-2</v>
      </c>
      <c r="AA116">
        <v>223646</v>
      </c>
      <c r="AB116">
        <v>19225</v>
      </c>
      <c r="AC116">
        <v>15298817</v>
      </c>
      <c r="AD116" t="s">
        <v>5</v>
      </c>
      <c r="AE116">
        <v>22</v>
      </c>
      <c r="AF116">
        <v>4</v>
      </c>
      <c r="AH116" t="s">
        <v>6198</v>
      </c>
      <c r="AI116" t="s">
        <v>6197</v>
      </c>
      <c r="AJ116" t="s">
        <v>6196</v>
      </c>
      <c r="AK116" t="s">
        <v>6195</v>
      </c>
      <c r="AL116">
        <v>70</v>
      </c>
      <c r="AM116" s="5">
        <f t="shared" si="18"/>
        <v>1.9444444444444444</v>
      </c>
      <c r="AN116" s="4">
        <f t="shared" si="15"/>
        <v>2.9450124111237326E-3</v>
      </c>
      <c r="AO116" s="3"/>
      <c r="AP116">
        <v>0</v>
      </c>
      <c r="AR116" t="s">
        <v>1</v>
      </c>
      <c r="AT116" s="2">
        <v>2.923</v>
      </c>
      <c r="AU116" s="1">
        <f t="shared" si="19"/>
        <v>1.676668890259021</v>
      </c>
      <c r="AV116" s="1">
        <f t="shared" si="20"/>
        <v>1.281763847645693</v>
      </c>
      <c r="AW116" s="1">
        <f t="shared" si="21"/>
        <v>0.88685880503236514</v>
      </c>
    </row>
    <row r="117" spans="1:49" x14ac:dyDescent="0.2">
      <c r="A117">
        <v>115</v>
      </c>
      <c r="B117" t="s">
        <v>6194</v>
      </c>
      <c r="C117" t="s">
        <v>6193</v>
      </c>
      <c r="F117" t="s">
        <v>6192</v>
      </c>
      <c r="G117" t="s">
        <v>16</v>
      </c>
      <c r="H117" t="s">
        <v>15</v>
      </c>
      <c r="I117" t="s">
        <v>6191</v>
      </c>
      <c r="J117">
        <v>60002092</v>
      </c>
      <c r="K117" t="s">
        <v>6190</v>
      </c>
      <c r="L117" t="s">
        <v>6189</v>
      </c>
      <c r="M117" t="s">
        <v>114</v>
      </c>
      <c r="N117">
        <v>2</v>
      </c>
      <c r="O117" t="s">
        <v>6188</v>
      </c>
      <c r="P117" t="s">
        <v>6187</v>
      </c>
      <c r="Q117" t="s">
        <v>6186</v>
      </c>
      <c r="R117" s="7">
        <v>31413</v>
      </c>
      <c r="S117" s="8">
        <f t="shared" si="16"/>
        <v>1986</v>
      </c>
      <c r="T117" s="8">
        <v>1986</v>
      </c>
      <c r="U117" s="8">
        <f t="shared" si="17"/>
        <v>36</v>
      </c>
      <c r="V117" s="7">
        <v>31564</v>
      </c>
      <c r="W117" t="s">
        <v>6176</v>
      </c>
      <c r="X117" s="2">
        <v>0.91500000000000004</v>
      </c>
      <c r="Y117" s="6">
        <f t="shared" si="14"/>
        <v>2.4425402418515259E-2</v>
      </c>
      <c r="AA117">
        <v>9528369</v>
      </c>
      <c r="AB117">
        <v>22608</v>
      </c>
      <c r="AC117">
        <v>14697998</v>
      </c>
      <c r="AD117" t="s">
        <v>5</v>
      </c>
      <c r="AE117">
        <v>209</v>
      </c>
      <c r="AF117">
        <v>2</v>
      </c>
      <c r="AH117" t="s">
        <v>6185</v>
      </c>
      <c r="AI117" t="s">
        <v>6184</v>
      </c>
      <c r="AK117" t="s">
        <v>6183</v>
      </c>
      <c r="AL117">
        <v>35</v>
      </c>
      <c r="AM117" s="5">
        <f t="shared" si="18"/>
        <v>0.97222222222222221</v>
      </c>
      <c r="AN117" s="4">
        <f t="shared" si="15"/>
        <v>1.4725062055618663E-3</v>
      </c>
      <c r="AO117" s="3"/>
      <c r="AP117">
        <v>0</v>
      </c>
      <c r="AR117" t="s">
        <v>1</v>
      </c>
      <c r="AT117" s="2">
        <v>2.3220000000000001</v>
      </c>
      <c r="AU117" s="1">
        <f t="shared" si="19"/>
        <v>1.7539533554629241</v>
      </c>
      <c r="AV117" s="1">
        <f t="shared" si="20"/>
        <v>1.2948954312038563</v>
      </c>
      <c r="AW117" s="1">
        <f t="shared" si="21"/>
        <v>0.83583750694478831</v>
      </c>
    </row>
    <row r="118" spans="1:49" x14ac:dyDescent="0.2">
      <c r="A118">
        <v>116</v>
      </c>
      <c r="B118" t="s">
        <v>6182</v>
      </c>
      <c r="C118" t="s">
        <v>6181</v>
      </c>
      <c r="F118" t="s">
        <v>6180</v>
      </c>
      <c r="G118" t="s">
        <v>16</v>
      </c>
      <c r="H118" t="s">
        <v>15</v>
      </c>
      <c r="I118" t="s">
        <v>6179</v>
      </c>
      <c r="J118">
        <v>60030807</v>
      </c>
      <c r="K118" t="s">
        <v>5702</v>
      </c>
      <c r="L118" t="s">
        <v>5701</v>
      </c>
      <c r="M118" t="s">
        <v>376</v>
      </c>
      <c r="N118">
        <v>2</v>
      </c>
      <c r="O118" t="s">
        <v>6178</v>
      </c>
      <c r="P118" t="s">
        <v>6177</v>
      </c>
      <c r="Q118" t="s">
        <v>5698</v>
      </c>
      <c r="R118" s="7">
        <v>31413</v>
      </c>
      <c r="S118" s="8">
        <f t="shared" si="16"/>
        <v>1986</v>
      </c>
      <c r="T118" s="8">
        <v>1986</v>
      </c>
      <c r="U118" s="8">
        <f t="shared" si="17"/>
        <v>36</v>
      </c>
      <c r="V118" s="7">
        <v>31503</v>
      </c>
      <c r="W118" t="s">
        <v>6176</v>
      </c>
      <c r="X118" s="2">
        <v>0.91500000000000004</v>
      </c>
      <c r="Y118" s="6">
        <f t="shared" si="14"/>
        <v>2.4425402418515259E-2</v>
      </c>
      <c r="AA118">
        <v>9528369</v>
      </c>
      <c r="AB118">
        <v>22608</v>
      </c>
      <c r="AC118">
        <v>14697998</v>
      </c>
      <c r="AD118" t="s">
        <v>5</v>
      </c>
      <c r="AE118">
        <v>208</v>
      </c>
      <c r="AF118">
        <v>4</v>
      </c>
      <c r="AH118" t="s">
        <v>6175</v>
      </c>
      <c r="AI118" t="s">
        <v>6174</v>
      </c>
      <c r="AK118" t="s">
        <v>6173</v>
      </c>
      <c r="AL118">
        <v>18</v>
      </c>
      <c r="AM118" s="5">
        <f t="shared" si="18"/>
        <v>0.5</v>
      </c>
      <c r="AN118" s="4">
        <f t="shared" si="15"/>
        <v>7.572889057175312E-4</v>
      </c>
      <c r="AO118" s="3"/>
      <c r="AP118">
        <v>0</v>
      </c>
      <c r="AR118" t="s">
        <v>1</v>
      </c>
      <c r="AT118" s="2">
        <v>2.3220000000000001</v>
      </c>
      <c r="AU118" s="1">
        <f t="shared" si="19"/>
        <v>1.7324968364675941</v>
      </c>
      <c r="AV118" s="1">
        <f t="shared" si="20"/>
        <v>1.2591345662116395</v>
      </c>
      <c r="AW118" s="1">
        <f t="shared" si="21"/>
        <v>0.78577229595568499</v>
      </c>
    </row>
    <row r="119" spans="1:49" x14ac:dyDescent="0.2">
      <c r="A119">
        <v>117</v>
      </c>
      <c r="B119" t="s">
        <v>6172</v>
      </c>
      <c r="C119" t="s">
        <v>6171</v>
      </c>
      <c r="F119" t="s">
        <v>6170</v>
      </c>
      <c r="G119" t="s">
        <v>16</v>
      </c>
      <c r="H119" t="s">
        <v>15</v>
      </c>
      <c r="I119" t="s">
        <v>6169</v>
      </c>
      <c r="J119">
        <v>60031720</v>
      </c>
      <c r="K119" t="s">
        <v>6168</v>
      </c>
      <c r="L119" t="s">
        <v>6167</v>
      </c>
      <c r="M119" t="s">
        <v>71</v>
      </c>
      <c r="N119">
        <v>2</v>
      </c>
      <c r="O119" t="s">
        <v>6166</v>
      </c>
      <c r="P119" t="s">
        <v>6165</v>
      </c>
      <c r="Q119" t="s">
        <v>6164</v>
      </c>
      <c r="R119" s="7">
        <v>31413</v>
      </c>
      <c r="S119" s="8">
        <f t="shared" si="16"/>
        <v>1986</v>
      </c>
      <c r="T119" s="8">
        <v>1986</v>
      </c>
      <c r="U119" s="8">
        <f t="shared" si="17"/>
        <v>36</v>
      </c>
      <c r="V119" s="7">
        <v>1986</v>
      </c>
      <c r="W119" t="s">
        <v>483</v>
      </c>
      <c r="X119" s="2">
        <v>0.111</v>
      </c>
      <c r="Y119" s="6">
        <f t="shared" si="14"/>
        <v>2.9630816048690639E-3</v>
      </c>
      <c r="AA119">
        <v>87566621</v>
      </c>
      <c r="AB119">
        <v>24890</v>
      </c>
      <c r="AC119">
        <v>15206424</v>
      </c>
      <c r="AD119" t="s">
        <v>5</v>
      </c>
      <c r="AE119">
        <v>69</v>
      </c>
      <c r="AF119">
        <v>10</v>
      </c>
      <c r="AH119" t="s">
        <v>4928</v>
      </c>
      <c r="AI119" t="s">
        <v>6163</v>
      </c>
      <c r="AK119" t="s">
        <v>6162</v>
      </c>
      <c r="AL119">
        <v>1</v>
      </c>
      <c r="AM119" s="5">
        <f t="shared" si="18"/>
        <v>2.7777777777777776E-2</v>
      </c>
      <c r="AN119" s="4">
        <f t="shared" si="15"/>
        <v>4.2071605873196175E-5</v>
      </c>
      <c r="AO119" s="3"/>
      <c r="AP119">
        <v>0</v>
      </c>
      <c r="AR119" t="s">
        <v>1</v>
      </c>
      <c r="AT119" s="2" t="s">
        <v>0</v>
      </c>
      <c r="AU119" s="1">
        <f t="shared" si="19"/>
        <v>0.20867786051703033</v>
      </c>
      <c r="AV119" s="1">
        <f t="shared" si="20"/>
        <v>0.15025766053711301</v>
      </c>
      <c r="AW119" s="1">
        <f t="shared" si="21"/>
        <v>9.1837460557195646E-2</v>
      </c>
    </row>
    <row r="120" spans="1:49" x14ac:dyDescent="0.2">
      <c r="A120">
        <v>118</v>
      </c>
      <c r="B120" t="s">
        <v>6161</v>
      </c>
      <c r="C120" t="s">
        <v>6160</v>
      </c>
      <c r="F120" t="s">
        <v>6159</v>
      </c>
      <c r="G120" t="s">
        <v>16</v>
      </c>
      <c r="H120" t="s">
        <v>15</v>
      </c>
      <c r="I120" t="s">
        <v>6158</v>
      </c>
      <c r="J120">
        <v>60019702</v>
      </c>
      <c r="K120" t="s">
        <v>1578</v>
      </c>
      <c r="L120" t="s">
        <v>1577</v>
      </c>
      <c r="M120" t="s">
        <v>665</v>
      </c>
      <c r="N120">
        <v>2</v>
      </c>
      <c r="O120" t="s">
        <v>6157</v>
      </c>
      <c r="P120" t="s">
        <v>6156</v>
      </c>
      <c r="Q120" t="s">
        <v>4096</v>
      </c>
      <c r="R120" s="7">
        <v>31413</v>
      </c>
      <c r="S120" s="8">
        <f t="shared" si="16"/>
        <v>1986</v>
      </c>
      <c r="T120" s="8">
        <v>1986</v>
      </c>
      <c r="U120" s="8">
        <f t="shared" si="17"/>
        <v>36</v>
      </c>
      <c r="V120" s="7">
        <v>31747</v>
      </c>
      <c r="W120" t="s">
        <v>6074</v>
      </c>
      <c r="X120" s="2">
        <v>0.69299999999999995</v>
      </c>
      <c r="Y120" s="6">
        <f t="shared" si="14"/>
        <v>1.8499239208777128E-2</v>
      </c>
      <c r="AA120">
        <v>3076962</v>
      </c>
      <c r="AB120">
        <v>21084</v>
      </c>
      <c r="AC120">
        <v>13653032</v>
      </c>
      <c r="AD120" t="s">
        <v>5</v>
      </c>
      <c r="AE120">
        <v>11</v>
      </c>
      <c r="AF120">
        <v>4</v>
      </c>
      <c r="AH120" t="s">
        <v>6155</v>
      </c>
      <c r="AI120" t="s">
        <v>6154</v>
      </c>
      <c r="AJ120" t="s">
        <v>6153</v>
      </c>
      <c r="AK120" t="s">
        <v>6152</v>
      </c>
      <c r="AL120">
        <v>34</v>
      </c>
      <c r="AM120" s="5">
        <f t="shared" si="18"/>
        <v>0.94444444444444442</v>
      </c>
      <c r="AN120" s="4">
        <f t="shared" si="15"/>
        <v>1.43043459968867E-3</v>
      </c>
      <c r="AO120" s="3"/>
      <c r="AP120">
        <v>0</v>
      </c>
      <c r="AR120" t="s">
        <v>1</v>
      </c>
      <c r="AT120" s="2">
        <v>1.833</v>
      </c>
      <c r="AU120" s="1">
        <f t="shared" si="19"/>
        <v>1.3378597826050589</v>
      </c>
      <c r="AV120" s="1">
        <f t="shared" si="20"/>
        <v>0.99648369042328999</v>
      </c>
      <c r="AW120" s="1">
        <f t="shared" si="21"/>
        <v>0.65510759824152076</v>
      </c>
    </row>
    <row r="121" spans="1:49" x14ac:dyDescent="0.2">
      <c r="A121">
        <v>119</v>
      </c>
      <c r="B121" t="s">
        <v>6151</v>
      </c>
      <c r="C121" t="s">
        <v>6150</v>
      </c>
      <c r="F121" t="s">
        <v>6149</v>
      </c>
      <c r="G121" t="s">
        <v>16</v>
      </c>
      <c r="H121" t="s">
        <v>15</v>
      </c>
      <c r="I121" t="s">
        <v>6148</v>
      </c>
      <c r="J121" t="s">
        <v>6147</v>
      </c>
      <c r="K121" t="s">
        <v>6146</v>
      </c>
      <c r="L121" t="s">
        <v>6145</v>
      </c>
      <c r="M121" t="s">
        <v>5278</v>
      </c>
      <c r="N121">
        <v>3</v>
      </c>
      <c r="O121" t="s">
        <v>6144</v>
      </c>
      <c r="P121" t="s">
        <v>6143</v>
      </c>
      <c r="Q121" t="s">
        <v>6142</v>
      </c>
      <c r="R121" s="7">
        <v>31413</v>
      </c>
      <c r="S121" s="8">
        <f t="shared" si="16"/>
        <v>1986</v>
      </c>
      <c r="T121" s="8">
        <v>1986</v>
      </c>
      <c r="U121" s="8">
        <f t="shared" si="17"/>
        <v>36</v>
      </c>
      <c r="V121" s="7">
        <v>31656</v>
      </c>
      <c r="W121" t="s">
        <v>6074</v>
      </c>
      <c r="X121" s="2">
        <v>0.69299999999999995</v>
      </c>
      <c r="Y121" s="6">
        <f t="shared" si="14"/>
        <v>1.8499239208777128E-2</v>
      </c>
      <c r="AA121">
        <v>3076962</v>
      </c>
      <c r="AB121">
        <v>21084</v>
      </c>
      <c r="AC121">
        <v>13653032</v>
      </c>
      <c r="AD121" t="s">
        <v>5</v>
      </c>
      <c r="AE121">
        <v>11</v>
      </c>
      <c r="AF121">
        <v>3</v>
      </c>
      <c r="AH121" t="s">
        <v>6141</v>
      </c>
      <c r="AI121" t="s">
        <v>6140</v>
      </c>
      <c r="AJ121" t="s">
        <v>6139</v>
      </c>
      <c r="AK121" t="s">
        <v>6138</v>
      </c>
      <c r="AL121">
        <v>15</v>
      </c>
      <c r="AM121" s="5">
        <f t="shared" si="18"/>
        <v>0.41666666666666669</v>
      </c>
      <c r="AN121" s="4">
        <f t="shared" si="15"/>
        <v>6.310740880979427E-4</v>
      </c>
      <c r="AO121" s="3"/>
      <c r="AP121">
        <v>0</v>
      </c>
      <c r="AR121" t="s">
        <v>1</v>
      </c>
      <c r="AT121" s="2">
        <v>1.833</v>
      </c>
      <c r="AU121" s="1">
        <f t="shared" si="19"/>
        <v>1.3138789672573372</v>
      </c>
      <c r="AV121" s="1">
        <f t="shared" si="20"/>
        <v>0.9565156648437535</v>
      </c>
      <c r="AW121" s="1">
        <f t="shared" si="21"/>
        <v>0.59915236243016978</v>
      </c>
    </row>
    <row r="122" spans="1:49" x14ac:dyDescent="0.2">
      <c r="A122">
        <v>120</v>
      </c>
      <c r="B122" t="s">
        <v>6137</v>
      </c>
      <c r="C122" t="s">
        <v>6136</v>
      </c>
      <c r="F122" t="s">
        <v>6135</v>
      </c>
      <c r="G122" t="s">
        <v>16</v>
      </c>
      <c r="H122" t="s">
        <v>15</v>
      </c>
      <c r="I122" t="s">
        <v>6134</v>
      </c>
      <c r="J122">
        <v>60004541</v>
      </c>
      <c r="K122" t="s">
        <v>6133</v>
      </c>
      <c r="L122" t="s">
        <v>502</v>
      </c>
      <c r="M122" t="s">
        <v>114</v>
      </c>
      <c r="N122">
        <v>1</v>
      </c>
      <c r="O122" t="s">
        <v>6132</v>
      </c>
      <c r="P122">
        <v>6507773037</v>
      </c>
      <c r="Q122">
        <v>60004541</v>
      </c>
      <c r="R122" s="7">
        <v>31413</v>
      </c>
      <c r="S122" s="8">
        <f t="shared" si="16"/>
        <v>1986</v>
      </c>
      <c r="T122" s="8">
        <v>1986</v>
      </c>
      <c r="U122" s="8">
        <f t="shared" si="17"/>
        <v>36</v>
      </c>
      <c r="V122" s="7" t="s">
        <v>6131</v>
      </c>
      <c r="W122" t="s">
        <v>6087</v>
      </c>
      <c r="X122" s="2">
        <v>0.33800000000000002</v>
      </c>
      <c r="Y122" s="6">
        <f t="shared" si="14"/>
        <v>9.0227169589706634E-3</v>
      </c>
      <c r="AA122">
        <v>7372884</v>
      </c>
      <c r="AB122">
        <v>70506</v>
      </c>
      <c r="AC122">
        <v>10991247</v>
      </c>
      <c r="AD122" t="s">
        <v>5</v>
      </c>
      <c r="AE122">
        <v>4</v>
      </c>
      <c r="AF122">
        <v>2</v>
      </c>
      <c r="AH122" t="s">
        <v>6130</v>
      </c>
      <c r="AI122" t="s">
        <v>6129</v>
      </c>
      <c r="AJ122" t="s">
        <v>6128</v>
      </c>
      <c r="AK122" t="s">
        <v>6127</v>
      </c>
      <c r="AL122">
        <v>4</v>
      </c>
      <c r="AM122" s="5">
        <f t="shared" si="18"/>
        <v>0.1111111111111111</v>
      </c>
      <c r="AN122" s="4">
        <f t="shared" si="15"/>
        <v>1.682864234927847E-4</v>
      </c>
      <c r="AO122" s="3"/>
      <c r="AP122">
        <v>0</v>
      </c>
      <c r="AR122" t="s">
        <v>1</v>
      </c>
      <c r="AT122" s="2" t="s">
        <v>0</v>
      </c>
      <c r="AU122" s="1">
        <f t="shared" si="19"/>
        <v>0.63663877983272998</v>
      </c>
      <c r="AV122" s="1">
        <f t="shared" si="20"/>
        <v>0.45955016912317237</v>
      </c>
      <c r="AW122" s="1">
        <f t="shared" si="21"/>
        <v>0.28246155841361481</v>
      </c>
    </row>
    <row r="123" spans="1:49" x14ac:dyDescent="0.2">
      <c r="A123">
        <v>121</v>
      </c>
      <c r="B123" t="s">
        <v>6126</v>
      </c>
      <c r="C123" t="s">
        <v>6125</v>
      </c>
      <c r="F123" t="s">
        <v>6124</v>
      </c>
      <c r="G123" t="s">
        <v>16</v>
      </c>
      <c r="H123" t="s">
        <v>15</v>
      </c>
      <c r="I123" t="s">
        <v>6123</v>
      </c>
      <c r="J123" t="s">
        <v>6122</v>
      </c>
      <c r="K123" t="s">
        <v>6121</v>
      </c>
      <c r="L123" t="s">
        <v>6120</v>
      </c>
      <c r="M123" t="s">
        <v>6119</v>
      </c>
      <c r="N123">
        <v>3</v>
      </c>
      <c r="O123" t="s">
        <v>6118</v>
      </c>
      <c r="P123" t="s">
        <v>6117</v>
      </c>
      <c r="Q123" t="s">
        <v>6116</v>
      </c>
      <c r="R123" s="7">
        <v>31413</v>
      </c>
      <c r="S123" s="8">
        <f t="shared" si="16"/>
        <v>1986</v>
      </c>
      <c r="T123" s="8">
        <v>1986</v>
      </c>
      <c r="U123" s="8">
        <f t="shared" si="17"/>
        <v>36</v>
      </c>
      <c r="V123" s="7">
        <v>31472</v>
      </c>
      <c r="W123" t="s">
        <v>6074</v>
      </c>
      <c r="X123" s="2">
        <v>0.69299999999999995</v>
      </c>
      <c r="Y123" s="6">
        <f t="shared" si="14"/>
        <v>1.8499239208777128E-2</v>
      </c>
      <c r="AA123">
        <v>3076962</v>
      </c>
      <c r="AB123">
        <v>21084</v>
      </c>
      <c r="AC123">
        <v>13653032</v>
      </c>
      <c r="AD123" t="s">
        <v>5</v>
      </c>
      <c r="AE123">
        <v>11</v>
      </c>
      <c r="AF123">
        <v>1</v>
      </c>
      <c r="AH123" t="s">
        <v>6115</v>
      </c>
      <c r="AI123" t="s">
        <v>6114</v>
      </c>
      <c r="AJ123" t="s">
        <v>6113</v>
      </c>
      <c r="AK123" t="s">
        <v>6112</v>
      </c>
      <c r="AL123">
        <v>12</v>
      </c>
      <c r="AM123" s="5">
        <f t="shared" si="18"/>
        <v>0.33333333333333331</v>
      </c>
      <c r="AN123" s="4">
        <f t="shared" si="15"/>
        <v>5.048592704783541E-4</v>
      </c>
      <c r="AO123" s="3"/>
      <c r="AP123">
        <v>0</v>
      </c>
      <c r="AR123" t="s">
        <v>1</v>
      </c>
      <c r="AT123" s="2">
        <v>1.833</v>
      </c>
      <c r="AU123" s="1">
        <f t="shared" si="19"/>
        <v>1.3100925227287497</v>
      </c>
      <c r="AV123" s="1">
        <f t="shared" si="20"/>
        <v>0.95020492396277412</v>
      </c>
      <c r="AW123" s="1">
        <f t="shared" si="21"/>
        <v>0.59031732519679858</v>
      </c>
    </row>
    <row r="124" spans="1:49" x14ac:dyDescent="0.2">
      <c r="A124">
        <v>122</v>
      </c>
      <c r="B124" t="s">
        <v>6111</v>
      </c>
      <c r="C124" t="s">
        <v>6110</v>
      </c>
      <c r="F124" t="s">
        <v>6109</v>
      </c>
      <c r="G124" t="s">
        <v>16</v>
      </c>
      <c r="H124" t="s">
        <v>15</v>
      </c>
      <c r="I124" t="s">
        <v>6108</v>
      </c>
      <c r="J124">
        <v>60005460</v>
      </c>
      <c r="K124" t="s">
        <v>6107</v>
      </c>
      <c r="L124" t="s">
        <v>6106</v>
      </c>
      <c r="M124" t="s">
        <v>376</v>
      </c>
      <c r="N124">
        <v>2</v>
      </c>
      <c r="O124" t="s">
        <v>6105</v>
      </c>
      <c r="P124" t="s">
        <v>6104</v>
      </c>
      <c r="Q124" t="s">
        <v>6103</v>
      </c>
      <c r="R124" s="7">
        <v>31413</v>
      </c>
      <c r="S124" s="8">
        <f t="shared" si="16"/>
        <v>1986</v>
      </c>
      <c r="T124" s="8">
        <v>1986</v>
      </c>
      <c r="U124" s="8">
        <f t="shared" si="17"/>
        <v>36</v>
      </c>
      <c r="V124" s="7">
        <v>31564</v>
      </c>
      <c r="W124" t="s">
        <v>6074</v>
      </c>
      <c r="X124" s="2">
        <v>0.69299999999999995</v>
      </c>
      <c r="Y124" s="6">
        <f t="shared" si="14"/>
        <v>1.8499239208777128E-2</v>
      </c>
      <c r="AA124">
        <v>3076962</v>
      </c>
      <c r="AB124">
        <v>21084</v>
      </c>
      <c r="AC124">
        <v>13653032</v>
      </c>
      <c r="AD124" t="s">
        <v>5</v>
      </c>
      <c r="AE124">
        <v>11</v>
      </c>
      <c r="AF124">
        <v>2</v>
      </c>
      <c r="AH124" t="s">
        <v>6102</v>
      </c>
      <c r="AI124" t="s">
        <v>6101</v>
      </c>
      <c r="AJ124" t="s">
        <v>6100</v>
      </c>
      <c r="AK124" t="s">
        <v>6099</v>
      </c>
      <c r="AL124">
        <v>12</v>
      </c>
      <c r="AM124" s="5">
        <f t="shared" si="18"/>
        <v>0.33333333333333331</v>
      </c>
      <c r="AN124" s="4">
        <f t="shared" si="15"/>
        <v>5.048592704783541E-4</v>
      </c>
      <c r="AO124" s="3"/>
      <c r="AP124">
        <v>0</v>
      </c>
      <c r="AR124" t="s">
        <v>1</v>
      </c>
      <c r="AT124" s="2">
        <v>1.833</v>
      </c>
      <c r="AU124" s="1">
        <f t="shared" si="19"/>
        <v>1.3100925227287497</v>
      </c>
      <c r="AV124" s="1">
        <f t="shared" si="20"/>
        <v>0.95020492396277412</v>
      </c>
      <c r="AW124" s="1">
        <f t="shared" si="21"/>
        <v>0.59031732519679858</v>
      </c>
    </row>
    <row r="125" spans="1:49" x14ac:dyDescent="0.2">
      <c r="A125">
        <v>123</v>
      </c>
      <c r="B125" t="s">
        <v>6098</v>
      </c>
      <c r="C125" t="s">
        <v>6097</v>
      </c>
      <c r="F125" t="s">
        <v>6096</v>
      </c>
      <c r="G125" t="s">
        <v>16</v>
      </c>
      <c r="H125" t="s">
        <v>15</v>
      </c>
      <c r="I125" t="s">
        <v>6095</v>
      </c>
      <c r="J125" t="s">
        <v>6094</v>
      </c>
      <c r="K125" t="s">
        <v>6093</v>
      </c>
      <c r="L125" t="s">
        <v>6092</v>
      </c>
      <c r="M125" t="s">
        <v>4396</v>
      </c>
      <c r="N125">
        <v>6</v>
      </c>
      <c r="O125" t="s">
        <v>6091</v>
      </c>
      <c r="P125" t="s">
        <v>6090</v>
      </c>
      <c r="Q125" t="s">
        <v>6089</v>
      </c>
      <c r="R125" s="7">
        <v>31413</v>
      </c>
      <c r="S125" s="8">
        <f t="shared" si="16"/>
        <v>1986</v>
      </c>
      <c r="T125" s="8">
        <v>1986</v>
      </c>
      <c r="U125" s="8">
        <f t="shared" si="17"/>
        <v>36</v>
      </c>
      <c r="V125" s="7" t="s">
        <v>6088</v>
      </c>
      <c r="W125" t="s">
        <v>6087</v>
      </c>
      <c r="X125" s="2">
        <v>0.33800000000000002</v>
      </c>
      <c r="Y125" s="6">
        <f t="shared" si="14"/>
        <v>9.0227169589706634E-3</v>
      </c>
      <c r="AA125">
        <v>7372884</v>
      </c>
      <c r="AB125">
        <v>70506</v>
      </c>
      <c r="AC125">
        <v>10991247</v>
      </c>
      <c r="AD125" t="s">
        <v>5</v>
      </c>
      <c r="AE125">
        <v>4</v>
      </c>
      <c r="AF125">
        <v>4</v>
      </c>
      <c r="AH125" t="s">
        <v>6086</v>
      </c>
      <c r="AI125" t="s">
        <v>6085</v>
      </c>
      <c r="AK125" t="s">
        <v>6084</v>
      </c>
      <c r="AL125">
        <v>0</v>
      </c>
      <c r="AM125" s="5">
        <f t="shared" si="18"/>
        <v>0</v>
      </c>
      <c r="AN125" s="4">
        <f t="shared" si="15"/>
        <v>0</v>
      </c>
      <c r="AO125" s="3"/>
      <c r="AP125">
        <v>0</v>
      </c>
      <c r="AR125" t="s">
        <v>1</v>
      </c>
      <c r="AT125" s="2" t="s">
        <v>0</v>
      </c>
      <c r="AU125" s="1">
        <f t="shared" si="19"/>
        <v>0.63159018712794635</v>
      </c>
      <c r="AV125" s="1">
        <f t="shared" si="20"/>
        <v>0.45113584794853318</v>
      </c>
      <c r="AW125" s="1">
        <f t="shared" si="21"/>
        <v>0.27068150876911989</v>
      </c>
    </row>
    <row r="126" spans="1:49" x14ac:dyDescent="0.2">
      <c r="A126">
        <v>124</v>
      </c>
      <c r="B126" t="s">
        <v>6083</v>
      </c>
      <c r="C126" t="s">
        <v>6082</v>
      </c>
      <c r="F126" t="s">
        <v>6081</v>
      </c>
      <c r="G126" t="s">
        <v>16</v>
      </c>
      <c r="H126" t="s">
        <v>15</v>
      </c>
      <c r="I126" t="s">
        <v>6080</v>
      </c>
      <c r="J126">
        <v>60026851</v>
      </c>
      <c r="K126" t="s">
        <v>6079</v>
      </c>
      <c r="L126" t="s">
        <v>6078</v>
      </c>
      <c r="M126" t="s">
        <v>665</v>
      </c>
      <c r="N126">
        <v>2</v>
      </c>
      <c r="O126" t="s">
        <v>6077</v>
      </c>
      <c r="P126" t="s">
        <v>6076</v>
      </c>
      <c r="Q126" t="s">
        <v>6075</v>
      </c>
      <c r="R126" s="7">
        <v>31413</v>
      </c>
      <c r="S126" s="8">
        <f t="shared" si="16"/>
        <v>1986</v>
      </c>
      <c r="T126" s="8">
        <v>1986</v>
      </c>
      <c r="U126" s="8">
        <f t="shared" si="17"/>
        <v>36</v>
      </c>
      <c r="V126" s="7">
        <v>31564</v>
      </c>
      <c r="W126" t="s">
        <v>6074</v>
      </c>
      <c r="X126" s="2">
        <v>0.69299999999999995</v>
      </c>
      <c r="Y126" s="6">
        <f t="shared" si="14"/>
        <v>1.8499239208777128E-2</v>
      </c>
      <c r="AA126">
        <v>3076962</v>
      </c>
      <c r="AB126">
        <v>21084</v>
      </c>
      <c r="AC126">
        <v>13653032</v>
      </c>
      <c r="AD126" t="s">
        <v>5</v>
      </c>
      <c r="AE126">
        <v>11</v>
      </c>
      <c r="AF126">
        <v>2</v>
      </c>
      <c r="AH126" t="s">
        <v>6073</v>
      </c>
      <c r="AI126" t="s">
        <v>6072</v>
      </c>
      <c r="AJ126" t="s">
        <v>6071</v>
      </c>
      <c r="AK126" t="s">
        <v>6070</v>
      </c>
      <c r="AL126">
        <v>9</v>
      </c>
      <c r="AM126" s="5">
        <f t="shared" si="18"/>
        <v>0.25</v>
      </c>
      <c r="AN126" s="4">
        <f t="shared" si="15"/>
        <v>3.786444528587656E-4</v>
      </c>
      <c r="AO126" s="3"/>
      <c r="AP126">
        <v>0</v>
      </c>
      <c r="AR126" t="s">
        <v>1</v>
      </c>
      <c r="AT126" s="2">
        <v>1.833</v>
      </c>
      <c r="AU126" s="1">
        <f t="shared" si="19"/>
        <v>1.3063060782001619</v>
      </c>
      <c r="AV126" s="1">
        <f t="shared" si="20"/>
        <v>0.94389418308179462</v>
      </c>
      <c r="AW126" s="1">
        <f t="shared" si="21"/>
        <v>0.58148228796342738</v>
      </c>
    </row>
    <row r="127" spans="1:49" x14ac:dyDescent="0.2">
      <c r="A127">
        <v>125</v>
      </c>
      <c r="B127" t="s">
        <v>6069</v>
      </c>
      <c r="C127" t="s">
        <v>6068</v>
      </c>
      <c r="F127" t="s">
        <v>6067</v>
      </c>
      <c r="G127" t="s">
        <v>16</v>
      </c>
      <c r="H127" t="s">
        <v>15</v>
      </c>
      <c r="I127" t="s">
        <v>6045</v>
      </c>
      <c r="J127">
        <v>60019967</v>
      </c>
      <c r="K127" t="s">
        <v>6044</v>
      </c>
      <c r="L127" t="s">
        <v>6043</v>
      </c>
      <c r="M127" t="s">
        <v>616</v>
      </c>
      <c r="N127">
        <v>1</v>
      </c>
      <c r="O127" t="s">
        <v>6042</v>
      </c>
      <c r="P127">
        <v>57214302011</v>
      </c>
      <c r="Q127">
        <v>60019967</v>
      </c>
      <c r="R127" s="7">
        <v>31413</v>
      </c>
      <c r="S127" s="8">
        <f t="shared" si="16"/>
        <v>1986</v>
      </c>
      <c r="T127" s="8">
        <v>1986</v>
      </c>
      <c r="U127" s="8">
        <f t="shared" si="17"/>
        <v>36</v>
      </c>
      <c r="V127" s="7">
        <v>31594</v>
      </c>
      <c r="W127" t="s">
        <v>6024</v>
      </c>
      <c r="X127" s="2" t="s">
        <v>0</v>
      </c>
      <c r="Y127" s="6" t="e">
        <f t="shared" si="14"/>
        <v>#VALUE!</v>
      </c>
      <c r="AA127" t="s">
        <v>6023</v>
      </c>
      <c r="AB127">
        <v>19716</v>
      </c>
      <c r="AC127">
        <v>19183240</v>
      </c>
      <c r="AD127" t="s">
        <v>5</v>
      </c>
      <c r="AE127">
        <v>118</v>
      </c>
      <c r="AF127">
        <v>7</v>
      </c>
      <c r="AH127" t="s">
        <v>6066</v>
      </c>
      <c r="AI127" t="s">
        <v>6065</v>
      </c>
      <c r="AK127" t="s">
        <v>6064</v>
      </c>
      <c r="AL127">
        <v>44</v>
      </c>
      <c r="AM127" s="5">
        <f t="shared" si="18"/>
        <v>1.2222222222222223</v>
      </c>
      <c r="AN127" s="4">
        <f t="shared" si="15"/>
        <v>1.851150658420632E-3</v>
      </c>
      <c r="AO127" s="3"/>
      <c r="AP127">
        <v>0</v>
      </c>
      <c r="AQ127" t="s">
        <v>6038</v>
      </c>
      <c r="AR127" t="s">
        <v>6063</v>
      </c>
      <c r="AS127" t="s">
        <v>6036</v>
      </c>
      <c r="AT127" s="2" t="s">
        <v>0</v>
      </c>
      <c r="AU127" s="1" t="e">
        <f t="shared" si="19"/>
        <v>#VALUE!</v>
      </c>
      <c r="AV127" s="1" t="e">
        <f t="shared" si="20"/>
        <v>#VALUE!</v>
      </c>
      <c r="AW127" s="1" t="e">
        <f t="shared" si="21"/>
        <v>#VALUE!</v>
      </c>
    </row>
    <row r="128" spans="1:49" x14ac:dyDescent="0.2">
      <c r="A128">
        <v>126</v>
      </c>
      <c r="B128" t="s">
        <v>6062</v>
      </c>
      <c r="C128" t="s">
        <v>6061</v>
      </c>
      <c r="F128" t="s">
        <v>6060</v>
      </c>
      <c r="G128" t="s">
        <v>16</v>
      </c>
      <c r="H128" t="s">
        <v>15</v>
      </c>
      <c r="I128" t="s">
        <v>6059</v>
      </c>
      <c r="J128" t="s">
        <v>6058</v>
      </c>
      <c r="K128" t="s">
        <v>6057</v>
      </c>
      <c r="L128" t="s">
        <v>6056</v>
      </c>
      <c r="M128" t="s">
        <v>6055</v>
      </c>
      <c r="N128">
        <v>2</v>
      </c>
      <c r="O128" t="s">
        <v>6054</v>
      </c>
      <c r="P128" t="s">
        <v>6053</v>
      </c>
      <c r="Q128" t="s">
        <v>6052</v>
      </c>
      <c r="R128" s="7">
        <v>31413</v>
      </c>
      <c r="S128" s="8">
        <f t="shared" si="16"/>
        <v>1986</v>
      </c>
      <c r="T128" s="8">
        <v>1986</v>
      </c>
      <c r="U128" s="8">
        <f t="shared" si="17"/>
        <v>36</v>
      </c>
      <c r="V128" s="7">
        <v>31625</v>
      </c>
      <c r="W128" t="s">
        <v>6024</v>
      </c>
      <c r="X128" s="2" t="s">
        <v>0</v>
      </c>
      <c r="Y128" s="6" t="e">
        <f t="shared" si="14"/>
        <v>#VALUE!</v>
      </c>
      <c r="AA128" t="s">
        <v>6023</v>
      </c>
      <c r="AB128">
        <v>19716</v>
      </c>
      <c r="AC128">
        <v>19183240</v>
      </c>
      <c r="AD128" t="s">
        <v>5</v>
      </c>
      <c r="AE128">
        <v>118</v>
      </c>
      <c r="AF128">
        <v>8</v>
      </c>
      <c r="AH128" t="s">
        <v>6051</v>
      </c>
      <c r="AI128" t="s">
        <v>6050</v>
      </c>
      <c r="AK128" t="s">
        <v>6049</v>
      </c>
      <c r="AL128">
        <v>21</v>
      </c>
      <c r="AM128" s="5">
        <f t="shared" si="18"/>
        <v>0.58333333333333337</v>
      </c>
      <c r="AN128" s="4">
        <f t="shared" si="15"/>
        <v>8.835037233371198E-4</v>
      </c>
      <c r="AO128" s="3"/>
      <c r="AP128">
        <v>0</v>
      </c>
      <c r="AR128" t="s">
        <v>1</v>
      </c>
      <c r="AT128" s="2" t="s">
        <v>0</v>
      </c>
      <c r="AU128" s="1" t="e">
        <f t="shared" si="19"/>
        <v>#VALUE!</v>
      </c>
      <c r="AV128" s="1" t="e">
        <f t="shared" si="20"/>
        <v>#VALUE!</v>
      </c>
      <c r="AW128" s="1" t="e">
        <f t="shared" si="21"/>
        <v>#VALUE!</v>
      </c>
    </row>
    <row r="129" spans="1:49" x14ac:dyDescent="0.2">
      <c r="A129">
        <v>127</v>
      </c>
      <c r="B129" t="s">
        <v>6048</v>
      </c>
      <c r="C129" t="s">
        <v>6047</v>
      </c>
      <c r="F129" t="s">
        <v>6046</v>
      </c>
      <c r="G129" t="s">
        <v>16</v>
      </c>
      <c r="H129" t="s">
        <v>15</v>
      </c>
      <c r="I129" t="s">
        <v>6045</v>
      </c>
      <c r="J129">
        <v>60019967</v>
      </c>
      <c r="K129" t="s">
        <v>6044</v>
      </c>
      <c r="L129" t="s">
        <v>6043</v>
      </c>
      <c r="M129" t="s">
        <v>616</v>
      </c>
      <c r="N129">
        <v>1</v>
      </c>
      <c r="O129" t="s">
        <v>6042</v>
      </c>
      <c r="P129">
        <v>57214302011</v>
      </c>
      <c r="Q129">
        <v>60019967</v>
      </c>
      <c r="R129" s="7">
        <v>31413</v>
      </c>
      <c r="S129" s="8">
        <f t="shared" si="16"/>
        <v>1986</v>
      </c>
      <c r="T129" s="8">
        <v>1986</v>
      </c>
      <c r="U129" s="8">
        <f t="shared" si="17"/>
        <v>36</v>
      </c>
      <c r="V129" s="7">
        <v>31472</v>
      </c>
      <c r="W129" t="s">
        <v>6024</v>
      </c>
      <c r="X129" s="2" t="s">
        <v>0</v>
      </c>
      <c r="Y129" s="6" t="e">
        <f t="shared" si="14"/>
        <v>#VALUE!</v>
      </c>
      <c r="AA129" t="s">
        <v>6023</v>
      </c>
      <c r="AB129">
        <v>19716</v>
      </c>
      <c r="AC129">
        <v>19183240</v>
      </c>
      <c r="AD129" t="s">
        <v>5</v>
      </c>
      <c r="AE129">
        <v>118</v>
      </c>
      <c r="AF129">
        <v>3</v>
      </c>
      <c r="AH129" t="s">
        <v>6041</v>
      </c>
      <c r="AI129" t="s">
        <v>6040</v>
      </c>
      <c r="AK129" t="s">
        <v>6039</v>
      </c>
      <c r="AL129">
        <v>73</v>
      </c>
      <c r="AM129" s="5">
        <f t="shared" si="18"/>
        <v>2.0277777777777777</v>
      </c>
      <c r="AN129" s="4">
        <f t="shared" si="15"/>
        <v>3.0712272287433209E-3</v>
      </c>
      <c r="AO129" s="3"/>
      <c r="AP129">
        <v>0</v>
      </c>
      <c r="AQ129" t="s">
        <v>6038</v>
      </c>
      <c r="AR129" t="s">
        <v>6037</v>
      </c>
      <c r="AS129" t="s">
        <v>6036</v>
      </c>
      <c r="AT129" s="2" t="s">
        <v>0</v>
      </c>
      <c r="AU129" s="1" t="e">
        <f t="shared" si="19"/>
        <v>#VALUE!</v>
      </c>
      <c r="AV129" s="1" t="e">
        <f t="shared" si="20"/>
        <v>#VALUE!</v>
      </c>
      <c r="AW129" s="1" t="e">
        <f t="shared" si="21"/>
        <v>#VALUE!</v>
      </c>
    </row>
    <row r="130" spans="1:49" x14ac:dyDescent="0.2">
      <c r="A130">
        <v>128</v>
      </c>
      <c r="B130" t="s">
        <v>6035</v>
      </c>
      <c r="C130" t="s">
        <v>6034</v>
      </c>
      <c r="F130" t="s">
        <v>6033</v>
      </c>
      <c r="G130" t="s">
        <v>16</v>
      </c>
      <c r="H130" t="s">
        <v>15</v>
      </c>
      <c r="I130" t="s">
        <v>6032</v>
      </c>
      <c r="J130" t="s">
        <v>6031</v>
      </c>
      <c r="K130" t="s">
        <v>6030</v>
      </c>
      <c r="L130" t="s">
        <v>6029</v>
      </c>
      <c r="M130" t="s">
        <v>6028</v>
      </c>
      <c r="N130">
        <v>3</v>
      </c>
      <c r="O130" t="s">
        <v>6027</v>
      </c>
      <c r="P130" t="s">
        <v>6026</v>
      </c>
      <c r="Q130" t="s">
        <v>6025</v>
      </c>
      <c r="R130" s="7">
        <v>31413</v>
      </c>
      <c r="S130" s="8">
        <f t="shared" si="16"/>
        <v>1986</v>
      </c>
      <c r="T130" s="8">
        <v>1986</v>
      </c>
      <c r="U130" s="8">
        <f t="shared" si="17"/>
        <v>36</v>
      </c>
      <c r="V130" s="7">
        <v>31747</v>
      </c>
      <c r="W130" t="s">
        <v>6024</v>
      </c>
      <c r="X130" s="2" t="s">
        <v>0</v>
      </c>
      <c r="Y130" s="6" t="e">
        <f t="shared" ref="Y130:Y193" si="22">(X130-$Z$4)/($Z$3-$Z$4)</f>
        <v>#VALUE!</v>
      </c>
      <c r="AA130" t="s">
        <v>6023</v>
      </c>
      <c r="AB130">
        <v>19716</v>
      </c>
      <c r="AC130">
        <v>19183240</v>
      </c>
      <c r="AD130" t="s">
        <v>5</v>
      </c>
      <c r="AE130">
        <v>118</v>
      </c>
      <c r="AF130">
        <v>12</v>
      </c>
      <c r="AH130" t="s">
        <v>6022</v>
      </c>
      <c r="AI130" t="s">
        <v>6021</v>
      </c>
      <c r="AK130" t="s">
        <v>6020</v>
      </c>
      <c r="AL130">
        <v>32</v>
      </c>
      <c r="AM130" s="5">
        <f t="shared" si="18"/>
        <v>0.88888888888888884</v>
      </c>
      <c r="AN130" s="4">
        <f t="shared" ref="AN130:AN193" si="23">(AM130-$AO$4)/($AO$3-$AO$4)</f>
        <v>1.3462913879422776E-3</v>
      </c>
      <c r="AO130" s="3"/>
      <c r="AP130">
        <v>0</v>
      </c>
      <c r="AR130" t="s">
        <v>1</v>
      </c>
      <c r="AT130" s="2" t="s">
        <v>0</v>
      </c>
      <c r="AU130" s="1" t="e">
        <f t="shared" si="19"/>
        <v>#VALUE!</v>
      </c>
      <c r="AV130" s="1" t="e">
        <f t="shared" si="20"/>
        <v>#VALUE!</v>
      </c>
      <c r="AW130" s="1" t="e">
        <f t="shared" si="21"/>
        <v>#VALUE!</v>
      </c>
    </row>
    <row r="131" spans="1:49" x14ac:dyDescent="0.2">
      <c r="A131">
        <v>129</v>
      </c>
      <c r="B131" t="s">
        <v>6019</v>
      </c>
      <c r="C131" t="s">
        <v>6018</v>
      </c>
      <c r="F131" t="s">
        <v>6017</v>
      </c>
      <c r="G131" t="s">
        <v>16</v>
      </c>
      <c r="H131" t="s">
        <v>15</v>
      </c>
      <c r="I131" t="s">
        <v>6016</v>
      </c>
      <c r="J131">
        <v>60020828</v>
      </c>
      <c r="K131" t="s">
        <v>6015</v>
      </c>
      <c r="L131" t="s">
        <v>6014</v>
      </c>
      <c r="M131" t="s">
        <v>1409</v>
      </c>
      <c r="N131">
        <v>2</v>
      </c>
      <c r="O131" t="s">
        <v>6013</v>
      </c>
      <c r="P131" t="s">
        <v>6012</v>
      </c>
      <c r="Q131" t="s">
        <v>6011</v>
      </c>
      <c r="R131" s="7">
        <v>31413</v>
      </c>
      <c r="S131" s="8">
        <f t="shared" si="16"/>
        <v>1986</v>
      </c>
      <c r="T131" s="8">
        <v>1986</v>
      </c>
      <c r="U131" s="8">
        <f t="shared" si="17"/>
        <v>36</v>
      </c>
      <c r="V131" s="7">
        <v>1986</v>
      </c>
      <c r="W131" t="s">
        <v>6010</v>
      </c>
      <c r="X131" s="2">
        <v>0.35699999999999998</v>
      </c>
      <c r="Y131" s="6">
        <f t="shared" si="22"/>
        <v>9.5299111075518531E-3</v>
      </c>
      <c r="AA131" t="s">
        <v>6009</v>
      </c>
      <c r="AB131">
        <v>24682</v>
      </c>
      <c r="AC131">
        <v>14465698</v>
      </c>
      <c r="AD131" t="s">
        <v>5</v>
      </c>
      <c r="AE131">
        <v>34</v>
      </c>
      <c r="AF131">
        <v>6</v>
      </c>
      <c r="AH131" t="s">
        <v>6008</v>
      </c>
      <c r="AI131" t="s">
        <v>6007</v>
      </c>
      <c r="AK131" t="s">
        <v>6006</v>
      </c>
      <c r="AL131">
        <v>12</v>
      </c>
      <c r="AM131" s="5">
        <f t="shared" si="18"/>
        <v>0.33333333333333331</v>
      </c>
      <c r="AN131" s="4">
        <f t="shared" si="23"/>
        <v>5.048592704783541E-4</v>
      </c>
      <c r="AO131" s="3"/>
      <c r="AP131">
        <v>0</v>
      </c>
      <c r="AR131" t="s">
        <v>1</v>
      </c>
      <c r="AT131" s="2">
        <v>0.75700000000000001</v>
      </c>
      <c r="AU131" s="1">
        <f t="shared" si="19"/>
        <v>0.68223955564298033</v>
      </c>
      <c r="AV131" s="1">
        <f t="shared" si="20"/>
        <v>0.50173851890151044</v>
      </c>
      <c r="AW131" s="1">
        <f t="shared" si="21"/>
        <v>0.32123748216004039</v>
      </c>
    </row>
    <row r="132" spans="1:49" x14ac:dyDescent="0.2">
      <c r="A132">
        <v>130</v>
      </c>
      <c r="B132" t="s">
        <v>6005</v>
      </c>
      <c r="C132" t="s">
        <v>6004</v>
      </c>
      <c r="F132" t="s">
        <v>6003</v>
      </c>
      <c r="G132" t="s">
        <v>16</v>
      </c>
      <c r="H132" t="s">
        <v>15</v>
      </c>
      <c r="I132" t="s">
        <v>6002</v>
      </c>
      <c r="J132" t="s">
        <v>6001</v>
      </c>
      <c r="K132" t="s">
        <v>6000</v>
      </c>
      <c r="L132" t="s">
        <v>5999</v>
      </c>
      <c r="M132" t="s">
        <v>783</v>
      </c>
      <c r="N132">
        <v>3</v>
      </c>
      <c r="O132" t="s">
        <v>5998</v>
      </c>
      <c r="P132" t="s">
        <v>5997</v>
      </c>
      <c r="Q132" t="s">
        <v>5996</v>
      </c>
      <c r="R132" s="7">
        <v>31413</v>
      </c>
      <c r="S132" s="8">
        <f t="shared" si="16"/>
        <v>1986</v>
      </c>
      <c r="T132" s="8">
        <v>1986</v>
      </c>
      <c r="U132" s="8">
        <f t="shared" si="17"/>
        <v>36</v>
      </c>
      <c r="V132" s="7">
        <v>31413</v>
      </c>
      <c r="W132" t="s">
        <v>5995</v>
      </c>
      <c r="X132" s="2">
        <v>0.99</v>
      </c>
      <c r="Y132" s="6">
        <f t="shared" si="22"/>
        <v>2.6427484583967327E-2</v>
      </c>
      <c r="AA132">
        <v>221503</v>
      </c>
      <c r="AB132">
        <v>18926</v>
      </c>
      <c r="AC132">
        <v>14657333</v>
      </c>
      <c r="AD132" t="s">
        <v>5</v>
      </c>
      <c r="AE132">
        <v>77</v>
      </c>
      <c r="AF132">
        <v>1</v>
      </c>
      <c r="AH132" t="s">
        <v>5994</v>
      </c>
      <c r="AI132" t="s">
        <v>5993</v>
      </c>
      <c r="AK132" t="s">
        <v>5992</v>
      </c>
      <c r="AL132">
        <v>0</v>
      </c>
      <c r="AM132" s="5">
        <f t="shared" si="18"/>
        <v>0</v>
      </c>
      <c r="AN132" s="4">
        <f t="shared" si="23"/>
        <v>0</v>
      </c>
      <c r="AO132" s="3"/>
      <c r="AP132">
        <v>0</v>
      </c>
      <c r="AR132" t="s">
        <v>1</v>
      </c>
      <c r="AT132" s="2">
        <v>2.645</v>
      </c>
      <c r="AU132" s="1">
        <f t="shared" si="19"/>
        <v>1.8499239208777127</v>
      </c>
      <c r="AV132" s="1">
        <f t="shared" si="20"/>
        <v>1.3213742291983663</v>
      </c>
      <c r="AW132" s="1">
        <f t="shared" si="21"/>
        <v>0.79282453751901971</v>
      </c>
    </row>
    <row r="133" spans="1:49" x14ac:dyDescent="0.2">
      <c r="A133">
        <v>131</v>
      </c>
      <c r="B133" t="s">
        <v>5991</v>
      </c>
      <c r="C133" t="s">
        <v>5990</v>
      </c>
      <c r="F133" t="s">
        <v>5989</v>
      </c>
      <c r="G133" t="s">
        <v>16</v>
      </c>
      <c r="H133" t="s">
        <v>15</v>
      </c>
      <c r="I133" t="s">
        <v>5988</v>
      </c>
      <c r="J133">
        <v>60000481</v>
      </c>
      <c r="K133" t="s">
        <v>5987</v>
      </c>
      <c r="L133" t="s">
        <v>5986</v>
      </c>
      <c r="M133" t="s">
        <v>1299</v>
      </c>
      <c r="N133">
        <v>3</v>
      </c>
      <c r="O133" t="s">
        <v>5985</v>
      </c>
      <c r="P133" t="s">
        <v>5984</v>
      </c>
      <c r="Q133" t="s">
        <v>5983</v>
      </c>
      <c r="R133" s="7">
        <v>31413</v>
      </c>
      <c r="S133" s="8">
        <f t="shared" si="16"/>
        <v>1986</v>
      </c>
      <c r="T133" s="8">
        <v>1986</v>
      </c>
      <c r="U133" s="8">
        <f t="shared" si="17"/>
        <v>36</v>
      </c>
      <c r="V133" s="7">
        <v>31413</v>
      </c>
      <c r="W133" t="s">
        <v>5982</v>
      </c>
      <c r="X133" s="2" t="s">
        <v>0</v>
      </c>
      <c r="Y133" s="6" t="e">
        <f t="shared" si="22"/>
        <v>#VALUE!</v>
      </c>
      <c r="AA133">
        <v>170070</v>
      </c>
      <c r="AB133">
        <v>68722</v>
      </c>
      <c r="AD133" t="s">
        <v>5</v>
      </c>
      <c r="AE133">
        <v>120</v>
      </c>
      <c r="AF133" s="9">
        <v>44348</v>
      </c>
      <c r="AH133" t="s">
        <v>5981</v>
      </c>
      <c r="AL133">
        <v>0</v>
      </c>
      <c r="AM133" s="5">
        <f t="shared" si="18"/>
        <v>0</v>
      </c>
      <c r="AN133" s="4">
        <f t="shared" si="23"/>
        <v>0</v>
      </c>
      <c r="AO133" s="3"/>
      <c r="AP133">
        <v>0</v>
      </c>
      <c r="AR133" t="s">
        <v>1</v>
      </c>
      <c r="AT133" s="2" t="s">
        <v>0</v>
      </c>
      <c r="AU133" s="1" t="e">
        <f t="shared" si="19"/>
        <v>#VALUE!</v>
      </c>
      <c r="AV133" s="1" t="e">
        <f t="shared" si="20"/>
        <v>#VALUE!</v>
      </c>
      <c r="AW133" s="1" t="e">
        <f t="shared" si="21"/>
        <v>#VALUE!</v>
      </c>
    </row>
    <row r="134" spans="1:49" x14ac:dyDescent="0.2">
      <c r="A134">
        <v>132</v>
      </c>
      <c r="B134" t="s">
        <v>5980</v>
      </c>
      <c r="C134" t="s">
        <v>5979</v>
      </c>
      <c r="F134" t="s">
        <v>5978</v>
      </c>
      <c r="G134" t="s">
        <v>16</v>
      </c>
      <c r="H134" t="s">
        <v>15</v>
      </c>
      <c r="I134" t="s">
        <v>5977</v>
      </c>
      <c r="J134">
        <v>60002838</v>
      </c>
      <c r="K134" t="s">
        <v>5976</v>
      </c>
      <c r="L134" t="s">
        <v>5975</v>
      </c>
      <c r="M134" t="s">
        <v>1299</v>
      </c>
      <c r="N134">
        <v>2</v>
      </c>
      <c r="O134" t="s">
        <v>5974</v>
      </c>
      <c r="P134">
        <v>6507020811</v>
      </c>
      <c r="Q134">
        <v>60002838</v>
      </c>
      <c r="R134" s="7">
        <v>31413</v>
      </c>
      <c r="S134" s="8">
        <f t="shared" si="16"/>
        <v>1986</v>
      </c>
      <c r="T134" s="8">
        <v>1986</v>
      </c>
      <c r="U134" s="8">
        <f t="shared" si="17"/>
        <v>36</v>
      </c>
      <c r="V134" s="7">
        <v>1986</v>
      </c>
      <c r="W134" t="s">
        <v>5973</v>
      </c>
      <c r="X134" s="2" t="s">
        <v>0</v>
      </c>
      <c r="Y134" s="6" t="e">
        <f t="shared" si="22"/>
        <v>#VALUE!</v>
      </c>
      <c r="AA134">
        <v>3749444</v>
      </c>
      <c r="AB134">
        <v>21100446504</v>
      </c>
      <c r="AD134" t="s">
        <v>5</v>
      </c>
      <c r="AE134">
        <v>21</v>
      </c>
      <c r="AF134">
        <v>1</v>
      </c>
      <c r="AH134" t="s">
        <v>5972</v>
      </c>
      <c r="AI134" t="s">
        <v>5971</v>
      </c>
      <c r="AK134" t="s">
        <v>5970</v>
      </c>
      <c r="AL134">
        <v>1</v>
      </c>
      <c r="AM134" s="5">
        <f t="shared" si="18"/>
        <v>2.7777777777777776E-2</v>
      </c>
      <c r="AN134" s="4">
        <f t="shared" si="23"/>
        <v>4.2071605873196175E-5</v>
      </c>
      <c r="AO134" s="3"/>
      <c r="AP134">
        <v>1</v>
      </c>
      <c r="AR134" t="s">
        <v>1</v>
      </c>
      <c r="AT134" s="2" t="s">
        <v>0</v>
      </c>
      <c r="AU134" s="1" t="e">
        <f t="shared" si="19"/>
        <v>#VALUE!</v>
      </c>
      <c r="AV134" s="1" t="e">
        <f t="shared" si="20"/>
        <v>#VALUE!</v>
      </c>
      <c r="AW134" s="1" t="e">
        <f t="shared" si="21"/>
        <v>#VALUE!</v>
      </c>
    </row>
    <row r="135" spans="1:49" x14ac:dyDescent="0.2">
      <c r="A135">
        <v>133</v>
      </c>
      <c r="B135" t="s">
        <v>5969</v>
      </c>
      <c r="C135" t="s">
        <v>5968</v>
      </c>
      <c r="F135" t="s">
        <v>5967</v>
      </c>
      <c r="G135" t="s">
        <v>16</v>
      </c>
      <c r="H135" t="s">
        <v>15</v>
      </c>
      <c r="I135" t="s">
        <v>5966</v>
      </c>
      <c r="J135" t="s">
        <v>5965</v>
      </c>
      <c r="K135" t="s">
        <v>5964</v>
      </c>
      <c r="L135" t="s">
        <v>5963</v>
      </c>
      <c r="M135" t="s">
        <v>1188</v>
      </c>
      <c r="N135">
        <v>3</v>
      </c>
      <c r="O135" t="s">
        <v>5962</v>
      </c>
      <c r="P135" t="s">
        <v>5961</v>
      </c>
      <c r="Q135" t="s">
        <v>5960</v>
      </c>
      <c r="R135" s="7">
        <v>31413</v>
      </c>
      <c r="S135" s="8">
        <f t="shared" si="16"/>
        <v>1986</v>
      </c>
      <c r="T135" s="8">
        <v>1986</v>
      </c>
      <c r="U135" s="8">
        <f t="shared" si="17"/>
        <v>36</v>
      </c>
      <c r="V135" s="7">
        <v>31594</v>
      </c>
      <c r="W135" t="s">
        <v>2308</v>
      </c>
      <c r="X135" s="2">
        <v>0.371</v>
      </c>
      <c r="Y135" s="6">
        <f t="shared" si="22"/>
        <v>9.9036331117695747E-3</v>
      </c>
      <c r="AA135">
        <v>214922</v>
      </c>
      <c r="AB135">
        <v>130262</v>
      </c>
      <c r="AC135">
        <v>13474065</v>
      </c>
      <c r="AD135" t="s">
        <v>5</v>
      </c>
      <c r="AE135">
        <v>25</v>
      </c>
      <c r="AF135">
        <v>7</v>
      </c>
      <c r="AH135" t="s">
        <v>5959</v>
      </c>
      <c r="AI135" t="s">
        <v>5958</v>
      </c>
      <c r="AK135" t="s">
        <v>5957</v>
      </c>
      <c r="AL135">
        <v>1</v>
      </c>
      <c r="AM135" s="5">
        <f t="shared" si="18"/>
        <v>2.7777777777777776E-2</v>
      </c>
      <c r="AN135" s="4">
        <f t="shared" si="23"/>
        <v>4.2071605873196175E-5</v>
      </c>
      <c r="AO135" s="3"/>
      <c r="AP135">
        <v>0</v>
      </c>
      <c r="AR135" t="s">
        <v>1</v>
      </c>
      <c r="AT135" s="2">
        <v>1.48</v>
      </c>
      <c r="AU135" s="1">
        <f t="shared" si="19"/>
        <v>0.694516466000066</v>
      </c>
      <c r="AV135" s="1">
        <f t="shared" si="20"/>
        <v>0.49728523588213858</v>
      </c>
      <c r="AW135" s="1">
        <f t="shared" si="21"/>
        <v>0.30005400576421098</v>
      </c>
    </row>
    <row r="136" spans="1:49" x14ac:dyDescent="0.2">
      <c r="A136">
        <v>134</v>
      </c>
      <c r="B136" t="s">
        <v>5956</v>
      </c>
      <c r="C136" t="s">
        <v>5955</v>
      </c>
      <c r="F136" t="s">
        <v>5954</v>
      </c>
      <c r="G136" t="s">
        <v>16</v>
      </c>
      <c r="H136" t="s">
        <v>15</v>
      </c>
      <c r="I136" t="s">
        <v>5953</v>
      </c>
      <c r="J136">
        <v>60022195</v>
      </c>
      <c r="K136" t="s">
        <v>1941</v>
      </c>
      <c r="L136" t="s">
        <v>1940</v>
      </c>
      <c r="M136" t="s">
        <v>114</v>
      </c>
      <c r="N136">
        <v>4</v>
      </c>
      <c r="O136" t="s">
        <v>5952</v>
      </c>
      <c r="P136" t="s">
        <v>5951</v>
      </c>
      <c r="Q136" t="s">
        <v>5950</v>
      </c>
      <c r="R136" s="7">
        <v>31413</v>
      </c>
      <c r="S136" s="8">
        <f t="shared" si="16"/>
        <v>1986</v>
      </c>
      <c r="T136" s="8">
        <v>1986</v>
      </c>
      <c r="U136" s="8">
        <f t="shared" si="17"/>
        <v>36</v>
      </c>
      <c r="V136" s="7">
        <v>31533</v>
      </c>
      <c r="W136" t="s">
        <v>5949</v>
      </c>
      <c r="X136" s="2">
        <v>0.58299999999999996</v>
      </c>
      <c r="Y136" s="6">
        <f t="shared" si="22"/>
        <v>1.5562852032780758E-2</v>
      </c>
      <c r="AA136">
        <v>7342101</v>
      </c>
      <c r="AB136">
        <v>28596</v>
      </c>
      <c r="AC136">
        <v>15208559</v>
      </c>
      <c r="AD136" t="s">
        <v>5</v>
      </c>
      <c r="AE136">
        <v>4</v>
      </c>
      <c r="AF136">
        <v>3</v>
      </c>
      <c r="AH136" t="s">
        <v>5948</v>
      </c>
      <c r="AI136" t="s">
        <v>5947</v>
      </c>
      <c r="AK136" t="s">
        <v>5946</v>
      </c>
      <c r="AL136">
        <v>3</v>
      </c>
      <c r="AM136" s="5">
        <f t="shared" si="18"/>
        <v>8.3333333333333329E-2</v>
      </c>
      <c r="AN136" s="4">
        <f t="shared" si="23"/>
        <v>1.2621481761958852E-4</v>
      </c>
      <c r="AO136" s="3"/>
      <c r="AP136">
        <v>0</v>
      </c>
      <c r="AR136" t="s">
        <v>1</v>
      </c>
      <c r="AT136" s="2" t="s">
        <v>0</v>
      </c>
      <c r="AU136" s="1">
        <f t="shared" si="19"/>
        <v>1.0931860868232406</v>
      </c>
      <c r="AV136" s="1">
        <f t="shared" si="20"/>
        <v>0.7844533425200173</v>
      </c>
      <c r="AW136" s="1">
        <f t="shared" si="21"/>
        <v>0.47572059821679386</v>
      </c>
    </row>
    <row r="137" spans="1:49" x14ac:dyDescent="0.2">
      <c r="A137">
        <v>135</v>
      </c>
      <c r="B137" t="s">
        <v>5945</v>
      </c>
      <c r="C137" t="s">
        <v>5944</v>
      </c>
      <c r="F137" t="s">
        <v>5824</v>
      </c>
      <c r="G137" t="s">
        <v>16</v>
      </c>
      <c r="H137" t="s">
        <v>15</v>
      </c>
      <c r="I137" t="s">
        <v>5823</v>
      </c>
      <c r="J137">
        <v>60020818</v>
      </c>
      <c r="K137" t="s">
        <v>4327</v>
      </c>
      <c r="L137" t="s">
        <v>1837</v>
      </c>
      <c r="M137" t="s">
        <v>114</v>
      </c>
      <c r="N137">
        <v>1</v>
      </c>
      <c r="O137" t="s">
        <v>5822</v>
      </c>
      <c r="P137">
        <v>57189501138</v>
      </c>
      <c r="Q137">
        <v>60020818</v>
      </c>
      <c r="R137" s="7">
        <v>31413</v>
      </c>
      <c r="S137" s="8">
        <f t="shared" si="16"/>
        <v>1986</v>
      </c>
      <c r="T137" s="8">
        <v>1986</v>
      </c>
      <c r="U137" s="8">
        <f t="shared" si="17"/>
        <v>36</v>
      </c>
      <c r="V137" s="7">
        <v>31503</v>
      </c>
      <c r="W137" s="11" t="s">
        <v>5815</v>
      </c>
      <c r="X137" s="2">
        <v>1.3280000000000001</v>
      </c>
      <c r="Y137" s="6">
        <f t="shared" si="22"/>
        <v>3.5450201542937994E-2</v>
      </c>
      <c r="AA137">
        <v>21680329</v>
      </c>
      <c r="AB137">
        <v>21100399421</v>
      </c>
      <c r="AD137" t="s">
        <v>5</v>
      </c>
      <c r="AE137">
        <v>28</v>
      </c>
      <c r="AF137">
        <v>2</v>
      </c>
      <c r="AH137" t="s">
        <v>5943</v>
      </c>
      <c r="AL137">
        <v>0</v>
      </c>
      <c r="AM137" s="5">
        <f t="shared" si="18"/>
        <v>0</v>
      </c>
      <c r="AN137" s="4">
        <f t="shared" si="23"/>
        <v>0</v>
      </c>
      <c r="AO137" s="3"/>
      <c r="AP137">
        <v>0</v>
      </c>
      <c r="AR137" t="s">
        <v>1</v>
      </c>
      <c r="AT137" s="2" t="s">
        <v>0</v>
      </c>
      <c r="AU137" s="1">
        <f t="shared" si="19"/>
        <v>2.4815141080056597</v>
      </c>
      <c r="AV137" s="1">
        <f t="shared" si="20"/>
        <v>1.7725100771468998</v>
      </c>
      <c r="AW137" s="1">
        <f t="shared" si="21"/>
        <v>1.0635060462881398</v>
      </c>
    </row>
    <row r="138" spans="1:49" x14ac:dyDescent="0.2">
      <c r="A138">
        <v>136</v>
      </c>
      <c r="B138" t="s">
        <v>5942</v>
      </c>
      <c r="C138" t="s">
        <v>5941</v>
      </c>
      <c r="F138" t="s">
        <v>5879</v>
      </c>
      <c r="G138" t="s">
        <v>16</v>
      </c>
      <c r="H138" t="s">
        <v>15</v>
      </c>
      <c r="I138" t="s">
        <v>5823</v>
      </c>
      <c r="J138">
        <v>60020818</v>
      </c>
      <c r="K138" t="s">
        <v>4327</v>
      </c>
      <c r="L138" t="s">
        <v>1837</v>
      </c>
      <c r="M138" t="s">
        <v>114</v>
      </c>
      <c r="N138">
        <v>1</v>
      </c>
      <c r="O138" t="s">
        <v>5822</v>
      </c>
      <c r="P138">
        <v>57189501138</v>
      </c>
      <c r="Q138">
        <v>60020818</v>
      </c>
      <c r="R138" s="7">
        <v>31413</v>
      </c>
      <c r="S138" s="8">
        <f t="shared" si="16"/>
        <v>1986</v>
      </c>
      <c r="T138" s="8">
        <v>1986</v>
      </c>
      <c r="U138" s="8">
        <f t="shared" si="17"/>
        <v>36</v>
      </c>
      <c r="V138" s="7">
        <v>31625</v>
      </c>
      <c r="W138" s="11" t="s">
        <v>5815</v>
      </c>
      <c r="X138" s="2">
        <v>1.3280000000000001</v>
      </c>
      <c r="Y138" s="6">
        <f t="shared" si="22"/>
        <v>3.5450201542937994E-2</v>
      </c>
      <c r="AA138">
        <v>21680329</v>
      </c>
      <c r="AB138">
        <v>21100399421</v>
      </c>
      <c r="AD138" t="s">
        <v>5</v>
      </c>
      <c r="AE138">
        <v>28</v>
      </c>
      <c r="AF138">
        <v>4</v>
      </c>
      <c r="AH138" t="s">
        <v>5940</v>
      </c>
      <c r="AL138">
        <v>2</v>
      </c>
      <c r="AM138" s="5">
        <f t="shared" si="18"/>
        <v>5.5555555555555552E-2</v>
      </c>
      <c r="AN138" s="4">
        <f t="shared" si="23"/>
        <v>8.4143211746392349E-5</v>
      </c>
      <c r="AO138" s="3"/>
      <c r="AP138">
        <v>0</v>
      </c>
      <c r="AR138" t="s">
        <v>1</v>
      </c>
      <c r="AT138" s="2" t="s">
        <v>0</v>
      </c>
      <c r="AU138" s="1">
        <f t="shared" si="19"/>
        <v>2.4840384043580515</v>
      </c>
      <c r="AV138" s="1">
        <f t="shared" si="20"/>
        <v>1.7767172377342193</v>
      </c>
      <c r="AW138" s="1">
        <f t="shared" si="21"/>
        <v>1.0693960711103871</v>
      </c>
    </row>
    <row r="139" spans="1:49" x14ac:dyDescent="0.2">
      <c r="A139">
        <v>137</v>
      </c>
      <c r="B139" t="s">
        <v>5939</v>
      </c>
      <c r="C139" t="s">
        <v>5938</v>
      </c>
      <c r="F139" t="s">
        <v>5937</v>
      </c>
      <c r="G139" t="s">
        <v>16</v>
      </c>
      <c r="H139" t="s">
        <v>15</v>
      </c>
      <c r="I139" t="s">
        <v>5936</v>
      </c>
      <c r="J139" t="s">
        <v>5935</v>
      </c>
      <c r="K139" t="s">
        <v>5934</v>
      </c>
      <c r="L139" t="s">
        <v>5933</v>
      </c>
      <c r="M139" t="s">
        <v>5932</v>
      </c>
      <c r="N139">
        <v>3</v>
      </c>
      <c r="O139" t="s">
        <v>5931</v>
      </c>
      <c r="P139" t="s">
        <v>5930</v>
      </c>
      <c r="Q139" t="s">
        <v>5929</v>
      </c>
      <c r="R139" s="7">
        <v>31413</v>
      </c>
      <c r="S139" s="8">
        <f t="shared" si="16"/>
        <v>1986</v>
      </c>
      <c r="T139" s="8">
        <v>1986</v>
      </c>
      <c r="U139" s="8">
        <f t="shared" si="17"/>
        <v>36</v>
      </c>
      <c r="V139" s="7">
        <v>31625</v>
      </c>
      <c r="W139" t="s">
        <v>2844</v>
      </c>
      <c r="X139" s="2">
        <v>0.76700000000000002</v>
      </c>
      <c r="Y139" s="6">
        <f t="shared" si="22"/>
        <v>2.0474626945356504E-2</v>
      </c>
      <c r="AA139">
        <v>983063</v>
      </c>
      <c r="AB139">
        <v>26048</v>
      </c>
      <c r="AD139" t="s">
        <v>5</v>
      </c>
      <c r="AE139" t="s">
        <v>2843</v>
      </c>
      <c r="AF139">
        <v>3</v>
      </c>
      <c r="AH139" t="s">
        <v>5928</v>
      </c>
      <c r="AI139" t="s">
        <v>5927</v>
      </c>
      <c r="AK139" t="s">
        <v>5926</v>
      </c>
      <c r="AL139">
        <v>0</v>
      </c>
      <c r="AM139" s="5">
        <f t="shared" si="18"/>
        <v>0</v>
      </c>
      <c r="AN139" s="4">
        <f t="shared" si="23"/>
        <v>0</v>
      </c>
      <c r="AO139" s="3"/>
      <c r="AP139">
        <v>0</v>
      </c>
      <c r="AR139" t="s">
        <v>1</v>
      </c>
      <c r="AT139" s="2" t="s">
        <v>0</v>
      </c>
      <c r="AU139" s="1">
        <f t="shared" si="19"/>
        <v>1.4332238861749553</v>
      </c>
      <c r="AV139" s="1">
        <f t="shared" si="20"/>
        <v>1.0237313472678251</v>
      </c>
      <c r="AW139" s="1">
        <f t="shared" si="21"/>
        <v>0.61423880836069511</v>
      </c>
    </row>
    <row r="140" spans="1:49" x14ac:dyDescent="0.2">
      <c r="A140">
        <v>138</v>
      </c>
      <c r="B140" t="s">
        <v>5925</v>
      </c>
      <c r="C140" t="s">
        <v>5924</v>
      </c>
      <c r="F140" t="s">
        <v>5923</v>
      </c>
      <c r="G140" t="s">
        <v>16</v>
      </c>
      <c r="H140" t="s">
        <v>15</v>
      </c>
      <c r="I140" t="s">
        <v>5922</v>
      </c>
      <c r="J140">
        <v>60018735</v>
      </c>
      <c r="K140" t="s">
        <v>5921</v>
      </c>
      <c r="L140" t="s">
        <v>886</v>
      </c>
      <c r="M140" t="s">
        <v>71</v>
      </c>
      <c r="N140">
        <v>2</v>
      </c>
      <c r="O140" t="s">
        <v>5920</v>
      </c>
      <c r="P140" t="s">
        <v>5919</v>
      </c>
      <c r="Q140" t="s">
        <v>5918</v>
      </c>
      <c r="R140" s="7">
        <v>31413</v>
      </c>
      <c r="S140" s="8">
        <f t="shared" si="16"/>
        <v>1986</v>
      </c>
      <c r="T140" s="8">
        <v>1986</v>
      </c>
      <c r="U140" s="8">
        <f t="shared" si="17"/>
        <v>36</v>
      </c>
      <c r="V140" s="7">
        <v>31564</v>
      </c>
      <c r="W140" t="s">
        <v>153</v>
      </c>
      <c r="X140" s="2">
        <v>1.6519999999999999</v>
      </c>
      <c r="Y140" s="6">
        <f t="shared" si="22"/>
        <v>4.409919649769093E-2</v>
      </c>
      <c r="AA140" t="s">
        <v>152</v>
      </c>
      <c r="AB140">
        <v>17337</v>
      </c>
      <c r="AC140">
        <v>15582221</v>
      </c>
      <c r="AD140" t="s">
        <v>5</v>
      </c>
      <c r="AE140">
        <v>34</v>
      </c>
      <c r="AF140">
        <v>6</v>
      </c>
      <c r="AH140" t="s">
        <v>5917</v>
      </c>
      <c r="AI140" t="s">
        <v>5916</v>
      </c>
      <c r="AK140" t="s">
        <v>5915</v>
      </c>
      <c r="AL140">
        <v>2</v>
      </c>
      <c r="AM140" s="5">
        <f t="shared" si="18"/>
        <v>5.5555555555555552E-2</v>
      </c>
      <c r="AN140" s="4">
        <f t="shared" si="23"/>
        <v>8.4143211746392349E-5</v>
      </c>
      <c r="AO140" s="3"/>
      <c r="AP140">
        <v>0</v>
      </c>
      <c r="AR140" t="s">
        <v>1</v>
      </c>
      <c r="AT140" s="2" t="s">
        <v>0</v>
      </c>
      <c r="AU140" s="1">
        <f t="shared" si="19"/>
        <v>3.0894680511907571</v>
      </c>
      <c r="AV140" s="1">
        <f t="shared" si="20"/>
        <v>2.2091669854718661</v>
      </c>
      <c r="AW140" s="1">
        <f t="shared" si="21"/>
        <v>1.3288659197529753</v>
      </c>
    </row>
    <row r="141" spans="1:49" x14ac:dyDescent="0.2">
      <c r="A141">
        <v>139</v>
      </c>
      <c r="B141" t="s">
        <v>5914</v>
      </c>
      <c r="C141" t="s">
        <v>5913</v>
      </c>
      <c r="F141" t="s">
        <v>5824</v>
      </c>
      <c r="G141" t="s">
        <v>16</v>
      </c>
      <c r="H141" t="s">
        <v>15</v>
      </c>
      <c r="I141" t="s">
        <v>5823</v>
      </c>
      <c r="J141">
        <v>60020818</v>
      </c>
      <c r="K141" t="s">
        <v>4327</v>
      </c>
      <c r="L141" t="s">
        <v>1837</v>
      </c>
      <c r="M141" t="s">
        <v>114</v>
      </c>
      <c r="N141">
        <v>1</v>
      </c>
      <c r="O141" t="s">
        <v>5822</v>
      </c>
      <c r="P141">
        <v>57189501138</v>
      </c>
      <c r="Q141">
        <v>60020818</v>
      </c>
      <c r="R141" s="7">
        <v>31413</v>
      </c>
      <c r="S141" s="8">
        <f t="shared" si="16"/>
        <v>1986</v>
      </c>
      <c r="T141" s="8">
        <v>1986</v>
      </c>
      <c r="U141" s="8">
        <f t="shared" si="17"/>
        <v>36</v>
      </c>
      <c r="V141" s="7">
        <v>31686</v>
      </c>
      <c r="W141" s="11" t="s">
        <v>5815</v>
      </c>
      <c r="X141" s="2">
        <v>1.3280000000000001</v>
      </c>
      <c r="Y141" s="6">
        <f t="shared" si="22"/>
        <v>3.5450201542937994E-2</v>
      </c>
      <c r="AA141">
        <v>21680329</v>
      </c>
      <c r="AB141">
        <v>21100399421</v>
      </c>
      <c r="AD141" t="s">
        <v>5</v>
      </c>
      <c r="AE141">
        <v>28</v>
      </c>
      <c r="AF141">
        <v>5</v>
      </c>
      <c r="AH141" t="s">
        <v>5912</v>
      </c>
      <c r="AL141">
        <v>1</v>
      </c>
      <c r="AM141" s="5">
        <f t="shared" si="18"/>
        <v>2.7777777777777776E-2</v>
      </c>
      <c r="AN141" s="4">
        <f t="shared" si="23"/>
        <v>4.2071605873196175E-5</v>
      </c>
      <c r="AO141" s="3"/>
      <c r="AP141">
        <v>0</v>
      </c>
      <c r="AR141" t="s">
        <v>1</v>
      </c>
      <c r="AT141" s="2" t="s">
        <v>0</v>
      </c>
      <c r="AU141" s="1">
        <f t="shared" si="19"/>
        <v>2.4827762561818552</v>
      </c>
      <c r="AV141" s="1">
        <f t="shared" si="20"/>
        <v>1.7746136574405595</v>
      </c>
      <c r="AW141" s="1">
        <f t="shared" si="21"/>
        <v>1.0664510586992635</v>
      </c>
    </row>
    <row r="142" spans="1:49" x14ac:dyDescent="0.2">
      <c r="A142">
        <v>140</v>
      </c>
      <c r="B142" t="s">
        <v>5911</v>
      </c>
      <c r="C142" t="s">
        <v>5910</v>
      </c>
      <c r="F142" t="s">
        <v>5909</v>
      </c>
      <c r="G142" t="s">
        <v>16</v>
      </c>
      <c r="H142" t="s">
        <v>15</v>
      </c>
      <c r="I142" t="s">
        <v>5908</v>
      </c>
      <c r="J142">
        <v>60014313</v>
      </c>
      <c r="K142" t="s">
        <v>585</v>
      </c>
      <c r="L142" t="s">
        <v>584</v>
      </c>
      <c r="M142" t="s">
        <v>114</v>
      </c>
      <c r="N142">
        <v>1</v>
      </c>
      <c r="O142" t="s">
        <v>5907</v>
      </c>
      <c r="P142">
        <v>7102375534</v>
      </c>
      <c r="Q142">
        <v>60014313</v>
      </c>
      <c r="R142" s="7">
        <v>31413</v>
      </c>
      <c r="S142" s="8">
        <f t="shared" si="16"/>
        <v>1986</v>
      </c>
      <c r="T142" s="8">
        <v>1986</v>
      </c>
      <c r="U142" s="8">
        <f t="shared" si="17"/>
        <v>36</v>
      </c>
      <c r="V142" s="7">
        <v>31686</v>
      </c>
      <c r="W142" t="s">
        <v>6</v>
      </c>
      <c r="X142" s="2">
        <v>1.3720000000000001</v>
      </c>
      <c r="Y142" s="6">
        <f t="shared" si="22"/>
        <v>3.662475641333654E-2</v>
      </c>
      <c r="AA142">
        <v>189480</v>
      </c>
      <c r="AB142">
        <v>17366</v>
      </c>
      <c r="AC142">
        <v>15579670</v>
      </c>
      <c r="AD142" t="s">
        <v>5</v>
      </c>
      <c r="AE142">
        <v>34</v>
      </c>
      <c r="AF142">
        <v>10</v>
      </c>
      <c r="AH142" t="s">
        <v>5906</v>
      </c>
      <c r="AI142" t="s">
        <v>5905</v>
      </c>
      <c r="AK142" t="s">
        <v>5904</v>
      </c>
      <c r="AL142">
        <v>147</v>
      </c>
      <c r="AM142" s="5">
        <f t="shared" si="18"/>
        <v>4.083333333333333</v>
      </c>
      <c r="AN142" s="4">
        <f t="shared" si="23"/>
        <v>6.1845260633598383E-3</v>
      </c>
      <c r="AO142" s="3"/>
      <c r="AP142">
        <v>0</v>
      </c>
      <c r="AR142" t="s">
        <v>1</v>
      </c>
      <c r="AT142" s="2" t="s">
        <v>0</v>
      </c>
      <c r="AU142" s="1">
        <f t="shared" si="19"/>
        <v>2.7492687308343524</v>
      </c>
      <c r="AV142" s="1">
        <f t="shared" si="20"/>
        <v>2.140464123834819</v>
      </c>
      <c r="AW142" s="1">
        <f t="shared" si="21"/>
        <v>1.5316595168352847</v>
      </c>
    </row>
    <row r="143" spans="1:49" x14ac:dyDescent="0.2">
      <c r="A143">
        <v>141</v>
      </c>
      <c r="B143" t="s">
        <v>5903</v>
      </c>
      <c r="C143" t="s">
        <v>5902</v>
      </c>
      <c r="F143" t="s">
        <v>5901</v>
      </c>
      <c r="G143" t="s">
        <v>16</v>
      </c>
      <c r="H143" t="s">
        <v>15</v>
      </c>
      <c r="I143" t="s">
        <v>5900</v>
      </c>
      <c r="J143">
        <v>60102562</v>
      </c>
      <c r="K143" t="s">
        <v>5899</v>
      </c>
      <c r="L143" t="s">
        <v>1910</v>
      </c>
      <c r="M143" t="s">
        <v>114</v>
      </c>
      <c r="N143">
        <v>2</v>
      </c>
      <c r="O143" t="s">
        <v>5898</v>
      </c>
      <c r="P143" t="s">
        <v>5897</v>
      </c>
      <c r="Q143" t="s">
        <v>5896</v>
      </c>
      <c r="R143" s="7">
        <v>31413</v>
      </c>
      <c r="S143" s="8">
        <f t="shared" si="16"/>
        <v>1986</v>
      </c>
      <c r="T143" s="8">
        <v>1986</v>
      </c>
      <c r="U143" s="8">
        <f t="shared" si="17"/>
        <v>36</v>
      </c>
      <c r="V143" s="7">
        <v>31656</v>
      </c>
      <c r="W143" t="s">
        <v>346</v>
      </c>
      <c r="X143" s="2">
        <v>2.383</v>
      </c>
      <c r="Y143" s="6">
        <f t="shared" si="22"/>
        <v>6.3612824003630442E-2</v>
      </c>
      <c r="AA143">
        <v>189219</v>
      </c>
      <c r="AB143">
        <v>17915</v>
      </c>
      <c r="AC143">
        <v>15582256</v>
      </c>
      <c r="AD143" t="s">
        <v>5</v>
      </c>
      <c r="AE143">
        <v>74</v>
      </c>
      <c r="AF143">
        <v>9</v>
      </c>
      <c r="AH143" t="s">
        <v>5895</v>
      </c>
      <c r="AI143" t="s">
        <v>5894</v>
      </c>
      <c r="AK143" t="s">
        <v>5893</v>
      </c>
      <c r="AL143">
        <v>130</v>
      </c>
      <c r="AM143" s="5">
        <f t="shared" si="18"/>
        <v>3.6111111111111112</v>
      </c>
      <c r="AN143" s="4">
        <f t="shared" si="23"/>
        <v>5.4693087635155034E-3</v>
      </c>
      <c r="AO143" s="3"/>
      <c r="AP143">
        <v>0</v>
      </c>
      <c r="AR143" t="s">
        <v>1</v>
      </c>
      <c r="AT143" s="2">
        <v>10.961</v>
      </c>
      <c r="AU143" s="1">
        <f t="shared" si="19"/>
        <v>4.6169769431595959</v>
      </c>
      <c r="AV143" s="1">
        <f t="shared" si="20"/>
        <v>3.4541066383572976</v>
      </c>
      <c r="AW143" s="1">
        <f t="shared" si="21"/>
        <v>2.2912363335549983</v>
      </c>
    </row>
    <row r="144" spans="1:49" x14ac:dyDescent="0.2">
      <c r="A144">
        <v>142</v>
      </c>
      <c r="B144" t="s">
        <v>5892</v>
      </c>
      <c r="C144" t="s">
        <v>5891</v>
      </c>
      <c r="F144" t="s">
        <v>5890</v>
      </c>
      <c r="G144" t="s">
        <v>16</v>
      </c>
      <c r="H144" t="s">
        <v>15</v>
      </c>
      <c r="I144" t="s">
        <v>5889</v>
      </c>
      <c r="J144">
        <v>60009037</v>
      </c>
      <c r="K144" t="s">
        <v>1642</v>
      </c>
      <c r="L144" t="s">
        <v>1641</v>
      </c>
      <c r="M144" t="s">
        <v>114</v>
      </c>
      <c r="N144">
        <v>1</v>
      </c>
      <c r="O144" t="s">
        <v>5888</v>
      </c>
      <c r="P144">
        <v>7408102852</v>
      </c>
      <c r="Q144">
        <v>60009037</v>
      </c>
      <c r="R144" s="7">
        <v>31413</v>
      </c>
      <c r="S144" s="8">
        <f t="shared" si="16"/>
        <v>1986</v>
      </c>
      <c r="T144" s="8">
        <v>1986</v>
      </c>
      <c r="U144" s="8">
        <f t="shared" si="17"/>
        <v>36</v>
      </c>
      <c r="V144" s="7">
        <v>31656</v>
      </c>
      <c r="W144" t="s">
        <v>153</v>
      </c>
      <c r="X144" s="2">
        <v>1.6519999999999999</v>
      </c>
      <c r="Y144" s="6">
        <f t="shared" si="22"/>
        <v>4.409919649769093E-2</v>
      </c>
      <c r="AA144" t="s">
        <v>152</v>
      </c>
      <c r="AB144">
        <v>17337</v>
      </c>
      <c r="AC144">
        <v>15582221</v>
      </c>
      <c r="AD144" t="s">
        <v>5</v>
      </c>
      <c r="AE144">
        <v>34</v>
      </c>
      <c r="AF144">
        <v>9</v>
      </c>
      <c r="AH144" t="s">
        <v>5887</v>
      </c>
      <c r="AI144" t="s">
        <v>5886</v>
      </c>
      <c r="AK144" t="s">
        <v>5885</v>
      </c>
      <c r="AL144">
        <v>389</v>
      </c>
      <c r="AM144" s="5">
        <f t="shared" si="18"/>
        <v>10.805555555555555</v>
      </c>
      <c r="AN144" s="4">
        <f t="shared" si="23"/>
        <v>1.6365854684673314E-2</v>
      </c>
      <c r="AO144" s="3"/>
      <c r="AP144">
        <v>0</v>
      </c>
      <c r="AR144" t="s">
        <v>1</v>
      </c>
      <c r="AT144" s="2" t="s">
        <v>0</v>
      </c>
      <c r="AU144" s="1">
        <f t="shared" si="19"/>
        <v>3.5779193953785642</v>
      </c>
      <c r="AV144" s="1">
        <f t="shared" si="20"/>
        <v>3.023252559118212</v>
      </c>
      <c r="AW144" s="1">
        <f t="shared" si="21"/>
        <v>2.4685857228578598</v>
      </c>
    </row>
    <row r="145" spans="1:49" x14ac:dyDescent="0.2">
      <c r="A145">
        <v>143</v>
      </c>
      <c r="B145" t="s">
        <v>5884</v>
      </c>
      <c r="C145" t="s">
        <v>5883</v>
      </c>
      <c r="F145" t="s">
        <v>5879</v>
      </c>
      <c r="G145" t="s">
        <v>16</v>
      </c>
      <c r="H145" t="s">
        <v>15</v>
      </c>
      <c r="I145" t="s">
        <v>5823</v>
      </c>
      <c r="J145">
        <v>60020818</v>
      </c>
      <c r="K145" t="s">
        <v>4327</v>
      </c>
      <c r="L145" t="s">
        <v>1837</v>
      </c>
      <c r="M145" t="s">
        <v>114</v>
      </c>
      <c r="N145">
        <v>1</v>
      </c>
      <c r="O145" t="s">
        <v>5822</v>
      </c>
      <c r="P145">
        <v>57189501138</v>
      </c>
      <c r="Q145">
        <v>60020818</v>
      </c>
      <c r="R145" s="7">
        <v>31413</v>
      </c>
      <c r="S145" s="8">
        <f t="shared" si="16"/>
        <v>1986</v>
      </c>
      <c r="T145" s="8">
        <v>1986</v>
      </c>
      <c r="U145" s="8">
        <f t="shared" si="17"/>
        <v>36</v>
      </c>
      <c r="V145" s="7">
        <v>31747</v>
      </c>
      <c r="W145" s="11" t="s">
        <v>5815</v>
      </c>
      <c r="X145" s="2">
        <v>1.3280000000000001</v>
      </c>
      <c r="Y145" s="6">
        <f t="shared" si="22"/>
        <v>3.5450201542937994E-2</v>
      </c>
      <c r="AA145">
        <v>21680329</v>
      </c>
      <c r="AB145">
        <v>21100399421</v>
      </c>
      <c r="AD145" t="s">
        <v>5</v>
      </c>
      <c r="AE145">
        <v>28</v>
      </c>
      <c r="AF145">
        <v>6</v>
      </c>
      <c r="AH145" t="s">
        <v>5882</v>
      </c>
      <c r="AL145">
        <v>1</v>
      </c>
      <c r="AM145" s="5">
        <f t="shared" si="18"/>
        <v>2.7777777777777776E-2</v>
      </c>
      <c r="AN145" s="4">
        <f t="shared" si="23"/>
        <v>4.2071605873196175E-5</v>
      </c>
      <c r="AO145" s="3"/>
      <c r="AP145">
        <v>0</v>
      </c>
      <c r="AR145" t="s">
        <v>1</v>
      </c>
      <c r="AT145" s="2" t="s">
        <v>0</v>
      </c>
      <c r="AU145" s="1">
        <f t="shared" si="19"/>
        <v>2.4827762561818552</v>
      </c>
      <c r="AV145" s="1">
        <f t="shared" si="20"/>
        <v>1.7746136574405595</v>
      </c>
      <c r="AW145" s="1">
        <f t="shared" si="21"/>
        <v>1.0664510586992635</v>
      </c>
    </row>
    <row r="146" spans="1:49" x14ac:dyDescent="0.2">
      <c r="A146">
        <v>144</v>
      </c>
      <c r="B146" t="s">
        <v>5881</v>
      </c>
      <c r="C146" t="s">
        <v>5880</v>
      </c>
      <c r="F146" t="s">
        <v>5879</v>
      </c>
      <c r="G146" t="s">
        <v>16</v>
      </c>
      <c r="H146" t="s">
        <v>15</v>
      </c>
      <c r="I146" t="s">
        <v>5823</v>
      </c>
      <c r="J146">
        <v>60020818</v>
      </c>
      <c r="K146" t="s">
        <v>4327</v>
      </c>
      <c r="L146" t="s">
        <v>1837</v>
      </c>
      <c r="M146" t="s">
        <v>114</v>
      </c>
      <c r="N146">
        <v>1</v>
      </c>
      <c r="O146" t="s">
        <v>5822</v>
      </c>
      <c r="P146">
        <v>57189501138</v>
      </c>
      <c r="Q146">
        <v>60020818</v>
      </c>
      <c r="R146" s="7">
        <v>31413</v>
      </c>
      <c r="S146" s="8">
        <f t="shared" si="16"/>
        <v>1986</v>
      </c>
      <c r="T146" s="8">
        <v>1986</v>
      </c>
      <c r="U146" s="8">
        <f t="shared" si="17"/>
        <v>36</v>
      </c>
      <c r="V146" s="7">
        <v>31564</v>
      </c>
      <c r="W146" s="11" t="s">
        <v>5815</v>
      </c>
      <c r="X146" s="2">
        <v>1.3280000000000001</v>
      </c>
      <c r="Y146" s="6">
        <f t="shared" si="22"/>
        <v>3.5450201542937994E-2</v>
      </c>
      <c r="AA146">
        <v>21680329</v>
      </c>
      <c r="AB146">
        <v>21100399421</v>
      </c>
      <c r="AD146" t="s">
        <v>5</v>
      </c>
      <c r="AE146">
        <v>28</v>
      </c>
      <c r="AF146">
        <v>3</v>
      </c>
      <c r="AH146" t="s">
        <v>5878</v>
      </c>
      <c r="AL146">
        <v>0</v>
      </c>
      <c r="AM146" s="5">
        <f t="shared" si="18"/>
        <v>0</v>
      </c>
      <c r="AN146" s="4">
        <f t="shared" si="23"/>
        <v>0</v>
      </c>
      <c r="AO146" s="3"/>
      <c r="AP146">
        <v>0</v>
      </c>
      <c r="AR146" t="s">
        <v>1</v>
      </c>
      <c r="AT146" s="2" t="s">
        <v>0</v>
      </c>
      <c r="AU146" s="1">
        <f t="shared" si="19"/>
        <v>2.4815141080056597</v>
      </c>
      <c r="AV146" s="1">
        <f t="shared" si="20"/>
        <v>1.7725100771468998</v>
      </c>
      <c r="AW146" s="1">
        <f t="shared" si="21"/>
        <v>1.0635060462881398</v>
      </c>
    </row>
    <row r="147" spans="1:49" x14ac:dyDescent="0.2">
      <c r="A147">
        <v>145</v>
      </c>
      <c r="B147" t="s">
        <v>5877</v>
      </c>
      <c r="C147" t="s">
        <v>5876</v>
      </c>
      <c r="F147" t="s">
        <v>5875</v>
      </c>
      <c r="G147" t="s">
        <v>16</v>
      </c>
      <c r="H147" t="s">
        <v>15</v>
      </c>
      <c r="I147" t="s">
        <v>5874</v>
      </c>
      <c r="J147">
        <v>60028717</v>
      </c>
      <c r="K147" t="s">
        <v>5873</v>
      </c>
      <c r="L147" t="s">
        <v>4075</v>
      </c>
      <c r="M147" t="s">
        <v>376</v>
      </c>
      <c r="N147">
        <v>4</v>
      </c>
      <c r="O147" t="s">
        <v>5872</v>
      </c>
      <c r="P147" t="s">
        <v>5871</v>
      </c>
      <c r="Q147" t="s">
        <v>5870</v>
      </c>
      <c r="R147" s="7">
        <v>31413</v>
      </c>
      <c r="S147" s="8">
        <f t="shared" ref="S147:S210" si="24">YEAR(R147)</f>
        <v>1986</v>
      </c>
      <c r="T147" s="8">
        <v>1986</v>
      </c>
      <c r="U147" s="8">
        <f t="shared" ref="U147:U210" si="25">2022-T147</f>
        <v>36</v>
      </c>
      <c r="V147" s="7">
        <v>31503</v>
      </c>
      <c r="W147" t="s">
        <v>5869</v>
      </c>
      <c r="X147" s="2">
        <v>0.30099999999999999</v>
      </c>
      <c r="Y147" s="6">
        <f t="shared" si="22"/>
        <v>8.0350230906809754E-3</v>
      </c>
      <c r="AA147">
        <v>9395075</v>
      </c>
      <c r="AB147">
        <v>14954</v>
      </c>
      <c r="AC147">
        <v>18657125</v>
      </c>
      <c r="AD147" t="s">
        <v>5</v>
      </c>
      <c r="AE147">
        <v>41</v>
      </c>
      <c r="AF147">
        <v>4</v>
      </c>
      <c r="AH147" t="s">
        <v>5868</v>
      </c>
      <c r="AI147" t="s">
        <v>5867</v>
      </c>
      <c r="AJ147" t="s">
        <v>5866</v>
      </c>
      <c r="AK147" t="s">
        <v>5865</v>
      </c>
      <c r="AL147">
        <v>2</v>
      </c>
      <c r="AM147" s="5">
        <f t="shared" ref="AM147:AM210" si="26">AL147/U147</f>
        <v>5.5555555555555552E-2</v>
      </c>
      <c r="AN147" s="4">
        <f t="shared" si="23"/>
        <v>8.4143211746392349E-5</v>
      </c>
      <c r="AO147" s="3"/>
      <c r="AP147">
        <v>1</v>
      </c>
      <c r="AQ147" t="s">
        <v>5864</v>
      </c>
      <c r="AR147" t="s">
        <v>1</v>
      </c>
      <c r="AS147" t="s">
        <v>5692</v>
      </c>
      <c r="AT147" s="2" t="s">
        <v>0</v>
      </c>
      <c r="AU147" s="1">
        <f t="shared" ref="AU147:AU210" si="27">(Y147*0.7+AN147*0.3)*100</f>
        <v>0.56497591270005998</v>
      </c>
      <c r="AV147" s="1">
        <f t="shared" ref="AV147:AV210" si="28">(Y147*0.5+AN147*0.5)*100</f>
        <v>0.40595831512136843</v>
      </c>
      <c r="AW147" s="1">
        <f t="shared" ref="AW147:AW210" si="29">(Y147*0.3+AN147*0.7)*100</f>
        <v>0.24694071754267671</v>
      </c>
    </row>
    <row r="148" spans="1:49" x14ac:dyDescent="0.2">
      <c r="A148">
        <v>146</v>
      </c>
      <c r="B148" t="s">
        <v>5863</v>
      </c>
      <c r="C148" t="s">
        <v>5862</v>
      </c>
      <c r="F148" t="s">
        <v>5861</v>
      </c>
      <c r="G148" t="s">
        <v>16</v>
      </c>
      <c r="H148" t="s">
        <v>15</v>
      </c>
      <c r="I148" t="s">
        <v>2810</v>
      </c>
      <c r="J148">
        <v>60014313</v>
      </c>
      <c r="K148" t="s">
        <v>585</v>
      </c>
      <c r="L148" t="s">
        <v>584</v>
      </c>
      <c r="M148" t="s">
        <v>114</v>
      </c>
      <c r="N148">
        <v>1</v>
      </c>
      <c r="O148" t="s">
        <v>2809</v>
      </c>
      <c r="P148">
        <v>7006061921</v>
      </c>
      <c r="Q148">
        <v>60014313</v>
      </c>
      <c r="R148" s="7">
        <v>31413</v>
      </c>
      <c r="S148" s="8">
        <f t="shared" si="24"/>
        <v>1986</v>
      </c>
      <c r="T148" s="8">
        <v>1986</v>
      </c>
      <c r="U148" s="8">
        <f t="shared" si="25"/>
        <v>36</v>
      </c>
      <c r="V148" s="7">
        <v>31686</v>
      </c>
      <c r="W148" s="11" t="s">
        <v>5815</v>
      </c>
      <c r="X148" s="2">
        <v>1.3280000000000001</v>
      </c>
      <c r="Y148" s="6">
        <f t="shared" si="22"/>
        <v>3.5450201542937994E-2</v>
      </c>
      <c r="AA148">
        <v>21680329</v>
      </c>
      <c r="AB148">
        <v>21100399421</v>
      </c>
      <c r="AD148" t="s">
        <v>5</v>
      </c>
      <c r="AE148">
        <v>28</v>
      </c>
      <c r="AF148">
        <v>5</v>
      </c>
      <c r="AH148" s="9">
        <v>44443</v>
      </c>
      <c r="AI148" t="s">
        <v>5860</v>
      </c>
      <c r="AK148" t="s">
        <v>5859</v>
      </c>
      <c r="AL148">
        <v>21</v>
      </c>
      <c r="AM148" s="5">
        <f t="shared" si="26"/>
        <v>0.58333333333333337</v>
      </c>
      <c r="AN148" s="4">
        <f t="shared" si="23"/>
        <v>8.835037233371198E-4</v>
      </c>
      <c r="AO148" s="3"/>
      <c r="AP148">
        <v>0</v>
      </c>
      <c r="AR148" t="s">
        <v>1</v>
      </c>
      <c r="AT148" s="2" t="s">
        <v>0</v>
      </c>
      <c r="AU148" s="1">
        <f t="shared" si="27"/>
        <v>2.5080192197057731</v>
      </c>
      <c r="AV148" s="1">
        <f t="shared" si="28"/>
        <v>1.8166852633137558</v>
      </c>
      <c r="AW148" s="1">
        <f t="shared" si="29"/>
        <v>1.1253513069217382</v>
      </c>
    </row>
    <row r="149" spans="1:49" x14ac:dyDescent="0.2">
      <c r="A149">
        <v>147</v>
      </c>
      <c r="B149" t="s">
        <v>5858</v>
      </c>
      <c r="C149" t="s">
        <v>5857</v>
      </c>
      <c r="F149" t="s">
        <v>5856</v>
      </c>
      <c r="G149" t="s">
        <v>16</v>
      </c>
      <c r="H149" t="s">
        <v>15</v>
      </c>
      <c r="I149" t="s">
        <v>5855</v>
      </c>
      <c r="J149">
        <v>60023053</v>
      </c>
      <c r="K149" t="s">
        <v>606</v>
      </c>
      <c r="L149" t="s">
        <v>605</v>
      </c>
      <c r="M149" t="s">
        <v>114</v>
      </c>
      <c r="N149">
        <v>1</v>
      </c>
      <c r="O149" t="s">
        <v>5854</v>
      </c>
      <c r="P149">
        <v>7003412776</v>
      </c>
      <c r="Q149">
        <v>60023053</v>
      </c>
      <c r="R149" s="7">
        <v>31413</v>
      </c>
      <c r="S149" s="8">
        <f t="shared" si="24"/>
        <v>1986</v>
      </c>
      <c r="T149" s="8">
        <v>1986</v>
      </c>
      <c r="U149" s="8">
        <f t="shared" si="25"/>
        <v>36</v>
      </c>
      <c r="V149" s="7">
        <v>31413</v>
      </c>
      <c r="W149" t="s">
        <v>5853</v>
      </c>
      <c r="X149" s="2">
        <v>0.52600000000000002</v>
      </c>
      <c r="Y149" s="6">
        <f t="shared" si="22"/>
        <v>1.4041269587037187E-2</v>
      </c>
      <c r="AA149">
        <v>472689</v>
      </c>
      <c r="AB149">
        <v>24644</v>
      </c>
      <c r="AC149">
        <v>15297845</v>
      </c>
      <c r="AD149" t="s">
        <v>5</v>
      </c>
      <c r="AE149">
        <v>15</v>
      </c>
      <c r="AF149">
        <v>1</v>
      </c>
      <c r="AH149" t="s">
        <v>5852</v>
      </c>
      <c r="AI149" t="s">
        <v>5851</v>
      </c>
      <c r="AJ149" t="s">
        <v>5850</v>
      </c>
      <c r="AK149" t="s">
        <v>5849</v>
      </c>
      <c r="AL149">
        <v>28</v>
      </c>
      <c r="AM149" s="5">
        <f t="shared" si="26"/>
        <v>0.77777777777777779</v>
      </c>
      <c r="AN149" s="4">
        <f t="shared" si="23"/>
        <v>1.178004964449493E-3</v>
      </c>
      <c r="AO149" s="3"/>
      <c r="AP149">
        <v>0</v>
      </c>
      <c r="AR149" t="s">
        <v>1</v>
      </c>
      <c r="AT149" s="2" t="s">
        <v>0</v>
      </c>
      <c r="AU149" s="1">
        <f t="shared" si="27"/>
        <v>1.0182290200260879</v>
      </c>
      <c r="AV149" s="1">
        <f t="shared" si="28"/>
        <v>0.76096372757433395</v>
      </c>
      <c r="AW149" s="1">
        <f t="shared" si="29"/>
        <v>0.50369843512258006</v>
      </c>
    </row>
    <row r="150" spans="1:49" x14ac:dyDescent="0.2">
      <c r="A150">
        <v>148</v>
      </c>
      <c r="B150" t="s">
        <v>5848</v>
      </c>
      <c r="C150" t="s">
        <v>5847</v>
      </c>
      <c r="F150" t="s">
        <v>5846</v>
      </c>
      <c r="G150" t="s">
        <v>16</v>
      </c>
      <c r="H150" t="s">
        <v>15</v>
      </c>
      <c r="I150" t="s">
        <v>5845</v>
      </c>
      <c r="J150">
        <v>60005304</v>
      </c>
      <c r="K150" t="s">
        <v>1421</v>
      </c>
      <c r="L150" t="s">
        <v>1420</v>
      </c>
      <c r="M150" t="s">
        <v>114</v>
      </c>
      <c r="N150">
        <v>1</v>
      </c>
      <c r="O150" t="s">
        <v>5844</v>
      </c>
      <c r="P150">
        <v>6602621821</v>
      </c>
      <c r="Q150">
        <v>60005304</v>
      </c>
      <c r="R150" s="7">
        <v>31413</v>
      </c>
      <c r="S150" s="8">
        <f t="shared" si="24"/>
        <v>1986</v>
      </c>
      <c r="T150" s="8">
        <v>1986</v>
      </c>
      <c r="U150" s="8">
        <f t="shared" si="25"/>
        <v>36</v>
      </c>
      <c r="V150" s="7">
        <v>31656</v>
      </c>
      <c r="W150" t="s">
        <v>153</v>
      </c>
      <c r="X150" s="2">
        <v>1.6519999999999999</v>
      </c>
      <c r="Y150" s="6">
        <f t="shared" si="22"/>
        <v>4.409919649769093E-2</v>
      </c>
      <c r="AA150" t="s">
        <v>152</v>
      </c>
      <c r="AB150">
        <v>17337</v>
      </c>
      <c r="AC150">
        <v>15582221</v>
      </c>
      <c r="AD150" t="s">
        <v>5</v>
      </c>
      <c r="AE150">
        <v>34</v>
      </c>
      <c r="AF150">
        <v>9</v>
      </c>
      <c r="AH150" t="s">
        <v>5843</v>
      </c>
      <c r="AI150" t="s">
        <v>5842</v>
      </c>
      <c r="AK150" t="s">
        <v>5841</v>
      </c>
      <c r="AL150">
        <v>4</v>
      </c>
      <c r="AM150" s="5">
        <f t="shared" si="26"/>
        <v>0.1111111111111111</v>
      </c>
      <c r="AN150" s="4">
        <f t="shared" si="23"/>
        <v>1.682864234927847E-4</v>
      </c>
      <c r="AO150" s="3"/>
      <c r="AP150">
        <v>0</v>
      </c>
      <c r="AR150" t="s">
        <v>1</v>
      </c>
      <c r="AT150" s="2" t="s">
        <v>0</v>
      </c>
      <c r="AU150" s="1">
        <f t="shared" si="27"/>
        <v>3.0919923475431483</v>
      </c>
      <c r="AV150" s="1">
        <f t="shared" si="28"/>
        <v>2.213374146059186</v>
      </c>
      <c r="AW150" s="1">
        <f t="shared" si="29"/>
        <v>1.3347559445752226</v>
      </c>
    </row>
    <row r="151" spans="1:49" x14ac:dyDescent="0.2">
      <c r="A151">
        <v>149</v>
      </c>
      <c r="B151" t="s">
        <v>5840</v>
      </c>
      <c r="C151" t="s">
        <v>5839</v>
      </c>
      <c r="F151" t="s">
        <v>5838</v>
      </c>
      <c r="G151" t="s">
        <v>16</v>
      </c>
      <c r="H151" t="s">
        <v>15</v>
      </c>
      <c r="I151" t="s">
        <v>5837</v>
      </c>
      <c r="J151">
        <v>60025578</v>
      </c>
      <c r="K151" t="s">
        <v>5836</v>
      </c>
      <c r="L151" t="s">
        <v>461</v>
      </c>
      <c r="M151" t="s">
        <v>460</v>
      </c>
      <c r="N151">
        <v>2</v>
      </c>
      <c r="O151" t="s">
        <v>5835</v>
      </c>
      <c r="P151" t="s">
        <v>5834</v>
      </c>
      <c r="Q151" t="s">
        <v>5833</v>
      </c>
      <c r="R151" s="7">
        <v>31413</v>
      </c>
      <c r="S151" s="8">
        <f t="shared" si="24"/>
        <v>1986</v>
      </c>
      <c r="T151" s="8">
        <v>1986</v>
      </c>
      <c r="U151" s="8">
        <f t="shared" si="25"/>
        <v>36</v>
      </c>
      <c r="V151" s="7">
        <v>31413</v>
      </c>
      <c r="W151" t="s">
        <v>5832</v>
      </c>
      <c r="X151" s="2">
        <v>0.60099999999999998</v>
      </c>
      <c r="Y151" s="6">
        <f t="shared" si="22"/>
        <v>1.6043351752489256E-2</v>
      </c>
      <c r="AA151" t="s">
        <v>5831</v>
      </c>
      <c r="AB151">
        <v>29114</v>
      </c>
      <c r="AC151">
        <v>10290273</v>
      </c>
      <c r="AD151" t="s">
        <v>5</v>
      </c>
      <c r="AE151">
        <v>10</v>
      </c>
      <c r="AF151">
        <v>3</v>
      </c>
      <c r="AH151" t="s">
        <v>5830</v>
      </c>
      <c r="AI151" t="s">
        <v>5829</v>
      </c>
      <c r="AJ151" t="s">
        <v>5828</v>
      </c>
      <c r="AK151" t="s">
        <v>5827</v>
      </c>
      <c r="AL151">
        <v>22</v>
      </c>
      <c r="AM151" s="5">
        <f t="shared" si="26"/>
        <v>0.61111111111111116</v>
      </c>
      <c r="AN151" s="4">
        <f t="shared" si="23"/>
        <v>9.25575329210316E-4</v>
      </c>
      <c r="AO151" s="3"/>
      <c r="AP151">
        <v>0</v>
      </c>
      <c r="AR151" t="s">
        <v>1</v>
      </c>
      <c r="AT151" s="2">
        <v>3.23</v>
      </c>
      <c r="AU151" s="1">
        <f t="shared" si="27"/>
        <v>1.1508018825505573</v>
      </c>
      <c r="AV151" s="1">
        <f t="shared" si="28"/>
        <v>0.84844635408497859</v>
      </c>
      <c r="AW151" s="1">
        <f t="shared" si="29"/>
        <v>0.54609082561939981</v>
      </c>
    </row>
    <row r="152" spans="1:49" x14ac:dyDescent="0.2">
      <c r="A152">
        <v>150</v>
      </c>
      <c r="B152" t="s">
        <v>5826</v>
      </c>
      <c r="C152" t="s">
        <v>5825</v>
      </c>
      <c r="F152" t="s">
        <v>5824</v>
      </c>
      <c r="G152" t="s">
        <v>16</v>
      </c>
      <c r="H152" t="s">
        <v>15</v>
      </c>
      <c r="I152" t="s">
        <v>5823</v>
      </c>
      <c r="J152">
        <v>60020818</v>
      </c>
      <c r="K152" t="s">
        <v>4327</v>
      </c>
      <c r="L152" t="s">
        <v>1837</v>
      </c>
      <c r="M152" t="s">
        <v>114</v>
      </c>
      <c r="N152">
        <v>1</v>
      </c>
      <c r="O152" t="s">
        <v>5822</v>
      </c>
      <c r="P152">
        <v>57189501138</v>
      </c>
      <c r="Q152">
        <v>60020818</v>
      </c>
      <c r="R152" s="7">
        <v>31413</v>
      </c>
      <c r="S152" s="8">
        <f t="shared" si="24"/>
        <v>1986</v>
      </c>
      <c r="T152" s="8">
        <v>1986</v>
      </c>
      <c r="U152" s="8">
        <f t="shared" si="25"/>
        <v>36</v>
      </c>
      <c r="V152" s="7">
        <v>31444</v>
      </c>
      <c r="W152" s="11" t="s">
        <v>5815</v>
      </c>
      <c r="X152" s="2">
        <v>1.3280000000000001</v>
      </c>
      <c r="Y152" s="6">
        <f t="shared" si="22"/>
        <v>3.5450201542937994E-2</v>
      </c>
      <c r="AA152">
        <v>21680329</v>
      </c>
      <c r="AB152">
        <v>21100399421</v>
      </c>
      <c r="AD152" t="s">
        <v>5</v>
      </c>
      <c r="AE152">
        <v>28</v>
      </c>
      <c r="AF152">
        <v>1</v>
      </c>
      <c r="AH152" s="9">
        <v>44510</v>
      </c>
      <c r="AL152">
        <v>1</v>
      </c>
      <c r="AM152" s="5">
        <f t="shared" si="26"/>
        <v>2.7777777777777776E-2</v>
      </c>
      <c r="AN152" s="4">
        <f t="shared" si="23"/>
        <v>4.2071605873196175E-5</v>
      </c>
      <c r="AO152" s="3"/>
      <c r="AP152">
        <v>0</v>
      </c>
      <c r="AR152" t="s">
        <v>1</v>
      </c>
      <c r="AT152" s="2" t="s">
        <v>0</v>
      </c>
      <c r="AU152" s="1">
        <f t="shared" si="27"/>
        <v>2.4827762561818552</v>
      </c>
      <c r="AV152" s="1">
        <f t="shared" si="28"/>
        <v>1.7746136574405595</v>
      </c>
      <c r="AW152" s="1">
        <f t="shared" si="29"/>
        <v>1.0664510586992635</v>
      </c>
    </row>
    <row r="153" spans="1:49" x14ac:dyDescent="0.2">
      <c r="A153">
        <v>151</v>
      </c>
      <c r="B153" t="s">
        <v>5821</v>
      </c>
      <c r="C153" t="s">
        <v>5820</v>
      </c>
      <c r="F153" t="s">
        <v>5819</v>
      </c>
      <c r="G153" t="s">
        <v>16</v>
      </c>
      <c r="H153" t="s">
        <v>15</v>
      </c>
      <c r="I153" t="s">
        <v>5818</v>
      </c>
      <c r="N153">
        <v>2</v>
      </c>
      <c r="O153" t="s">
        <v>5817</v>
      </c>
      <c r="P153" t="s">
        <v>5816</v>
      </c>
      <c r="Q153" t="s">
        <v>313</v>
      </c>
      <c r="R153" s="7">
        <v>31413</v>
      </c>
      <c r="S153" s="8">
        <f t="shared" si="24"/>
        <v>1986</v>
      </c>
      <c r="T153" s="8">
        <v>1986</v>
      </c>
      <c r="U153" s="8">
        <f t="shared" si="25"/>
        <v>36</v>
      </c>
      <c r="V153" s="7">
        <v>31686</v>
      </c>
      <c r="W153" s="11" t="s">
        <v>5815</v>
      </c>
      <c r="X153" s="2">
        <v>1.3280000000000001</v>
      </c>
      <c r="Y153" s="6">
        <f t="shared" si="22"/>
        <v>3.5450201542937994E-2</v>
      </c>
      <c r="AA153">
        <v>21680329</v>
      </c>
      <c r="AB153">
        <v>21100399421</v>
      </c>
      <c r="AD153" t="s">
        <v>5</v>
      </c>
      <c r="AE153">
        <v>28</v>
      </c>
      <c r="AF153">
        <v>5</v>
      </c>
      <c r="AH153" s="10">
        <v>43009</v>
      </c>
      <c r="AL153">
        <v>3</v>
      </c>
      <c r="AM153" s="5">
        <f t="shared" si="26"/>
        <v>8.3333333333333329E-2</v>
      </c>
      <c r="AN153" s="4">
        <f t="shared" si="23"/>
        <v>1.2621481761958852E-4</v>
      </c>
      <c r="AO153" s="3"/>
      <c r="AP153">
        <v>0</v>
      </c>
      <c r="AR153" t="s">
        <v>1</v>
      </c>
      <c r="AT153" s="2" t="s">
        <v>0</v>
      </c>
      <c r="AU153" s="1">
        <f t="shared" si="27"/>
        <v>2.4853005525342473</v>
      </c>
      <c r="AV153" s="1">
        <f t="shared" si="28"/>
        <v>1.7788208180278793</v>
      </c>
      <c r="AW153" s="1">
        <f t="shared" si="29"/>
        <v>1.072341083521511</v>
      </c>
    </row>
    <row r="154" spans="1:49" x14ac:dyDescent="0.2">
      <c r="A154">
        <v>152</v>
      </c>
      <c r="B154" t="s">
        <v>5814</v>
      </c>
      <c r="C154" t="s">
        <v>5813</v>
      </c>
      <c r="F154" t="s">
        <v>5812</v>
      </c>
      <c r="G154" t="s">
        <v>16</v>
      </c>
      <c r="H154" t="s">
        <v>15</v>
      </c>
      <c r="I154" t="s">
        <v>5811</v>
      </c>
      <c r="J154">
        <v>60014901</v>
      </c>
      <c r="K154" t="s">
        <v>5810</v>
      </c>
      <c r="L154" t="s">
        <v>5809</v>
      </c>
      <c r="M154" t="s">
        <v>336</v>
      </c>
      <c r="N154">
        <v>3</v>
      </c>
      <c r="O154" t="s">
        <v>5808</v>
      </c>
      <c r="P154" t="s">
        <v>5807</v>
      </c>
      <c r="Q154" t="s">
        <v>5806</v>
      </c>
      <c r="R154" s="7">
        <v>31413</v>
      </c>
      <c r="S154" s="8">
        <f t="shared" si="24"/>
        <v>1986</v>
      </c>
      <c r="T154" s="8">
        <v>1986</v>
      </c>
      <c r="U154" s="8">
        <f t="shared" si="25"/>
        <v>36</v>
      </c>
      <c r="V154" s="7">
        <v>31686</v>
      </c>
      <c r="W154" t="s">
        <v>5805</v>
      </c>
      <c r="X154" s="2" t="s">
        <v>0</v>
      </c>
      <c r="Y154" s="6" t="e">
        <f t="shared" si="22"/>
        <v>#VALUE!</v>
      </c>
      <c r="AA154">
        <v>3044289</v>
      </c>
      <c r="AB154">
        <v>29642</v>
      </c>
      <c r="AC154">
        <v>9737111</v>
      </c>
      <c r="AD154" t="s">
        <v>5</v>
      </c>
      <c r="AE154">
        <v>27</v>
      </c>
      <c r="AF154">
        <v>4</v>
      </c>
      <c r="AH154" t="s">
        <v>5804</v>
      </c>
      <c r="AI154" t="s">
        <v>5803</v>
      </c>
      <c r="AJ154" t="s">
        <v>5802</v>
      </c>
      <c r="AK154" t="s">
        <v>5801</v>
      </c>
      <c r="AL154">
        <v>5</v>
      </c>
      <c r="AM154" s="5">
        <f t="shared" si="26"/>
        <v>0.1388888888888889</v>
      </c>
      <c r="AN154" s="4">
        <f t="shared" si="23"/>
        <v>2.103580293659809E-4</v>
      </c>
      <c r="AO154" s="3"/>
      <c r="AP154">
        <v>0</v>
      </c>
      <c r="AR154" t="s">
        <v>1</v>
      </c>
      <c r="AT154" s="2" t="s">
        <v>0</v>
      </c>
      <c r="AU154" s="1" t="e">
        <f t="shared" si="27"/>
        <v>#VALUE!</v>
      </c>
      <c r="AV154" s="1" t="e">
        <f t="shared" si="28"/>
        <v>#VALUE!</v>
      </c>
      <c r="AW154" s="1" t="e">
        <f t="shared" si="29"/>
        <v>#VALUE!</v>
      </c>
    </row>
    <row r="155" spans="1:49" x14ac:dyDescent="0.2">
      <c r="A155">
        <v>153</v>
      </c>
      <c r="B155" t="s">
        <v>5800</v>
      </c>
      <c r="C155" t="s">
        <v>5799</v>
      </c>
      <c r="F155" t="s">
        <v>5798</v>
      </c>
      <c r="G155" t="s">
        <v>16</v>
      </c>
      <c r="H155" t="s">
        <v>15</v>
      </c>
      <c r="I155" t="s">
        <v>5797</v>
      </c>
      <c r="J155" t="s">
        <v>5796</v>
      </c>
      <c r="K155" t="s">
        <v>5795</v>
      </c>
      <c r="L155" t="s">
        <v>5794</v>
      </c>
      <c r="M155" t="s">
        <v>5793</v>
      </c>
      <c r="N155">
        <v>8</v>
      </c>
      <c r="O155" t="s">
        <v>5792</v>
      </c>
      <c r="P155" t="s">
        <v>5791</v>
      </c>
      <c r="Q155" t="s">
        <v>5790</v>
      </c>
      <c r="R155" s="7">
        <v>31413</v>
      </c>
      <c r="S155" s="8">
        <f t="shared" si="24"/>
        <v>1986</v>
      </c>
      <c r="T155" s="8">
        <v>1986</v>
      </c>
      <c r="U155" s="8">
        <f t="shared" si="25"/>
        <v>36</v>
      </c>
      <c r="V155" s="7">
        <v>31413</v>
      </c>
      <c r="W155" t="s">
        <v>5789</v>
      </c>
      <c r="X155" s="2" t="s">
        <v>0</v>
      </c>
      <c r="Y155" s="6" t="e">
        <f t="shared" si="22"/>
        <v>#VALUE!</v>
      </c>
      <c r="AA155">
        <v>3905551</v>
      </c>
      <c r="AB155">
        <v>15400155600</v>
      </c>
      <c r="AD155" t="s">
        <v>5</v>
      </c>
      <c r="AE155">
        <v>9</v>
      </c>
      <c r="AF155">
        <v>1</v>
      </c>
      <c r="AH155" t="s">
        <v>5788</v>
      </c>
      <c r="AI155" t="s">
        <v>5787</v>
      </c>
      <c r="AJ155" t="s">
        <v>5786</v>
      </c>
      <c r="AK155" t="s">
        <v>5785</v>
      </c>
      <c r="AL155">
        <v>7</v>
      </c>
      <c r="AM155" s="5">
        <f t="shared" si="26"/>
        <v>0.19444444444444445</v>
      </c>
      <c r="AN155" s="4">
        <f t="shared" si="23"/>
        <v>2.9450124111237325E-4</v>
      </c>
      <c r="AO155" s="3"/>
      <c r="AP155">
        <v>0</v>
      </c>
      <c r="AR155" t="s">
        <v>1</v>
      </c>
      <c r="AT155" s="2" t="s">
        <v>0</v>
      </c>
      <c r="AU155" s="1" t="e">
        <f t="shared" si="27"/>
        <v>#VALUE!</v>
      </c>
      <c r="AV155" s="1" t="e">
        <f t="shared" si="28"/>
        <v>#VALUE!</v>
      </c>
      <c r="AW155" s="1" t="e">
        <f t="shared" si="29"/>
        <v>#VALUE!</v>
      </c>
    </row>
    <row r="156" spans="1:49" x14ac:dyDescent="0.2">
      <c r="A156">
        <v>154</v>
      </c>
      <c r="B156" t="s">
        <v>5784</v>
      </c>
      <c r="C156" t="s">
        <v>5783</v>
      </c>
      <c r="D156">
        <v>300962986903750</v>
      </c>
      <c r="F156" t="s">
        <v>5782</v>
      </c>
      <c r="G156" t="s">
        <v>16</v>
      </c>
      <c r="H156" t="s">
        <v>15</v>
      </c>
      <c r="I156" t="s">
        <v>5781</v>
      </c>
      <c r="J156">
        <v>105383610</v>
      </c>
      <c r="K156" t="s">
        <v>5780</v>
      </c>
      <c r="L156" t="s">
        <v>912</v>
      </c>
      <c r="M156" t="s">
        <v>59</v>
      </c>
      <c r="N156">
        <v>2</v>
      </c>
      <c r="O156" t="s">
        <v>5779</v>
      </c>
      <c r="P156" t="s">
        <v>5778</v>
      </c>
      <c r="Q156" t="s">
        <v>5777</v>
      </c>
      <c r="R156" s="7">
        <v>31413</v>
      </c>
      <c r="S156" s="8">
        <f t="shared" si="24"/>
        <v>1986</v>
      </c>
      <c r="T156" s="8">
        <v>1986</v>
      </c>
      <c r="U156" s="8">
        <f t="shared" si="25"/>
        <v>36</v>
      </c>
      <c r="V156" s="7">
        <v>1986</v>
      </c>
      <c r="W156" t="s">
        <v>5776</v>
      </c>
      <c r="X156" s="2">
        <v>0.64600000000000002</v>
      </c>
      <c r="Y156" s="6">
        <f t="shared" si="22"/>
        <v>1.72446010517605E-2</v>
      </c>
      <c r="AA156">
        <v>3009629</v>
      </c>
      <c r="AB156">
        <v>23398</v>
      </c>
      <c r="AD156" t="s">
        <v>5</v>
      </c>
      <c r="AE156">
        <v>84</v>
      </c>
      <c r="AF156">
        <v>4</v>
      </c>
      <c r="AH156" t="s">
        <v>5775</v>
      </c>
      <c r="AI156" t="s">
        <v>5774</v>
      </c>
      <c r="AK156" t="s">
        <v>5773</v>
      </c>
      <c r="AL156">
        <v>3</v>
      </c>
      <c r="AM156" s="5">
        <f t="shared" si="26"/>
        <v>8.3333333333333329E-2</v>
      </c>
      <c r="AN156" s="4">
        <f t="shared" si="23"/>
        <v>1.2621481761958852E-4</v>
      </c>
      <c r="AO156" s="3"/>
      <c r="AP156">
        <v>0</v>
      </c>
      <c r="AR156" t="s">
        <v>1</v>
      </c>
      <c r="AT156" s="2" t="s">
        <v>0</v>
      </c>
      <c r="AU156" s="1">
        <f t="shared" si="27"/>
        <v>1.2109085181518227</v>
      </c>
      <c r="AV156" s="1">
        <f t="shared" si="28"/>
        <v>0.86854079346900448</v>
      </c>
      <c r="AW156" s="1">
        <f t="shared" si="29"/>
        <v>0.52617306878618608</v>
      </c>
    </row>
    <row r="157" spans="1:49" x14ac:dyDescent="0.2">
      <c r="A157">
        <v>155</v>
      </c>
      <c r="B157" t="s">
        <v>5772</v>
      </c>
      <c r="C157" t="s">
        <v>5771</v>
      </c>
      <c r="D157">
        <v>300325686900358</v>
      </c>
      <c r="F157" t="s">
        <v>5770</v>
      </c>
      <c r="G157" t="s">
        <v>16</v>
      </c>
      <c r="H157" t="s">
        <v>15</v>
      </c>
      <c r="I157" t="s">
        <v>5769</v>
      </c>
      <c r="J157">
        <v>60015138</v>
      </c>
      <c r="K157" t="s">
        <v>5768</v>
      </c>
      <c r="L157" t="s">
        <v>5767</v>
      </c>
      <c r="M157" t="s">
        <v>665</v>
      </c>
      <c r="N157">
        <v>1</v>
      </c>
      <c r="O157" t="s">
        <v>5766</v>
      </c>
      <c r="P157">
        <v>35578013000</v>
      </c>
      <c r="Q157">
        <v>60015138</v>
      </c>
      <c r="R157" s="7">
        <v>31413</v>
      </c>
      <c r="S157" s="8">
        <f t="shared" si="24"/>
        <v>1986</v>
      </c>
      <c r="T157" s="8">
        <v>1986</v>
      </c>
      <c r="U157" s="8">
        <f t="shared" si="25"/>
        <v>36</v>
      </c>
      <c r="V157" s="7">
        <v>31503</v>
      </c>
      <c r="W157" t="s">
        <v>5670</v>
      </c>
      <c r="X157" s="2">
        <v>1.204</v>
      </c>
      <c r="Y157" s="6">
        <f t="shared" si="22"/>
        <v>3.2140092362723902E-2</v>
      </c>
      <c r="AA157">
        <v>3003256</v>
      </c>
      <c r="AB157">
        <v>24546</v>
      </c>
      <c r="AC157">
        <v>14636409</v>
      </c>
      <c r="AD157" t="s">
        <v>5</v>
      </c>
      <c r="AE157">
        <v>15</v>
      </c>
      <c r="AF157">
        <v>2</v>
      </c>
      <c r="AH157" t="s">
        <v>1397</v>
      </c>
      <c r="AI157" t="s">
        <v>5765</v>
      </c>
      <c r="AK157" t="s">
        <v>5764</v>
      </c>
      <c r="AL157">
        <v>2</v>
      </c>
      <c r="AM157" s="5">
        <f t="shared" si="26"/>
        <v>5.5555555555555552E-2</v>
      </c>
      <c r="AN157" s="4">
        <f t="shared" si="23"/>
        <v>8.4143211746392349E-5</v>
      </c>
      <c r="AO157" s="3"/>
      <c r="AP157">
        <v>0</v>
      </c>
      <c r="AR157" t="s">
        <v>1</v>
      </c>
      <c r="AT157" s="2">
        <v>3.14</v>
      </c>
      <c r="AU157" s="1">
        <f t="shared" si="27"/>
        <v>2.2523307617430648</v>
      </c>
      <c r="AV157" s="1">
        <f t="shared" si="28"/>
        <v>1.6112117787235147</v>
      </c>
      <c r="AW157" s="1">
        <f t="shared" si="29"/>
        <v>0.97009279570396456</v>
      </c>
    </row>
    <row r="158" spans="1:49" x14ac:dyDescent="0.2">
      <c r="A158">
        <v>156</v>
      </c>
      <c r="B158" t="s">
        <v>5763</v>
      </c>
      <c r="C158" t="s">
        <v>5762</v>
      </c>
      <c r="D158">
        <v>41555386901114</v>
      </c>
      <c r="F158" t="s">
        <v>5761</v>
      </c>
      <c r="G158" t="s">
        <v>16</v>
      </c>
      <c r="H158" t="s">
        <v>15</v>
      </c>
      <c r="I158" t="s">
        <v>5760</v>
      </c>
      <c r="N158">
        <v>2</v>
      </c>
      <c r="O158" t="s">
        <v>5759</v>
      </c>
      <c r="P158" t="s">
        <v>5758</v>
      </c>
      <c r="Q158" t="s">
        <v>313</v>
      </c>
      <c r="R158" s="7">
        <v>31413</v>
      </c>
      <c r="S158" s="8">
        <f t="shared" si="24"/>
        <v>1986</v>
      </c>
      <c r="T158" s="8">
        <v>1986</v>
      </c>
      <c r="U158" s="8">
        <f t="shared" si="25"/>
        <v>36</v>
      </c>
      <c r="V158" s="7">
        <v>1986</v>
      </c>
      <c r="W158" t="s">
        <v>5757</v>
      </c>
      <c r="X158" s="2" t="s">
        <v>0</v>
      </c>
      <c r="Y158" s="6" t="e">
        <f t="shared" si="22"/>
        <v>#VALUE!</v>
      </c>
      <c r="AA158">
        <v>415553</v>
      </c>
      <c r="AB158">
        <v>9800153164</v>
      </c>
      <c r="AD158" t="s">
        <v>5</v>
      </c>
      <c r="AE158">
        <v>26</v>
      </c>
      <c r="AF158">
        <v>3</v>
      </c>
      <c r="AH158" t="s">
        <v>5756</v>
      </c>
      <c r="AI158" t="s">
        <v>5755</v>
      </c>
      <c r="AK158" t="s">
        <v>5754</v>
      </c>
      <c r="AL158">
        <v>1</v>
      </c>
      <c r="AM158" s="5">
        <f t="shared" si="26"/>
        <v>2.7777777777777776E-2</v>
      </c>
      <c r="AN158" s="4">
        <f t="shared" si="23"/>
        <v>4.2071605873196175E-5</v>
      </c>
      <c r="AO158" s="3"/>
      <c r="AP158">
        <v>0</v>
      </c>
      <c r="AR158" t="s">
        <v>1</v>
      </c>
      <c r="AT158" s="2" t="s">
        <v>0</v>
      </c>
      <c r="AU158" s="1" t="e">
        <f t="shared" si="27"/>
        <v>#VALUE!</v>
      </c>
      <c r="AV158" s="1" t="e">
        <f t="shared" si="28"/>
        <v>#VALUE!</v>
      </c>
      <c r="AW158" s="1" t="e">
        <f t="shared" si="29"/>
        <v>#VALUE!</v>
      </c>
    </row>
    <row r="159" spans="1:49" x14ac:dyDescent="0.2">
      <c r="A159">
        <v>157</v>
      </c>
      <c r="B159" t="s">
        <v>5753</v>
      </c>
      <c r="C159" t="s">
        <v>5752</v>
      </c>
      <c r="D159">
        <v>300325686900346</v>
      </c>
      <c r="F159" t="s">
        <v>5751</v>
      </c>
      <c r="G159" t="s">
        <v>16</v>
      </c>
      <c r="H159" t="s">
        <v>15</v>
      </c>
      <c r="I159" t="s">
        <v>5750</v>
      </c>
      <c r="J159" t="s">
        <v>5744</v>
      </c>
      <c r="K159" t="s">
        <v>5749</v>
      </c>
      <c r="L159" t="s">
        <v>5748</v>
      </c>
      <c r="M159" t="s">
        <v>5747</v>
      </c>
      <c r="N159">
        <v>2</v>
      </c>
      <c r="O159" t="s">
        <v>5746</v>
      </c>
      <c r="P159" t="s">
        <v>5745</v>
      </c>
      <c r="Q159" t="s">
        <v>5744</v>
      </c>
      <c r="R159" s="7">
        <v>31413</v>
      </c>
      <c r="S159" s="8">
        <f t="shared" si="24"/>
        <v>1986</v>
      </c>
      <c r="T159" s="8">
        <v>1986</v>
      </c>
      <c r="U159" s="8">
        <f t="shared" si="25"/>
        <v>36</v>
      </c>
      <c r="V159" s="7">
        <v>31503</v>
      </c>
      <c r="W159" t="s">
        <v>5670</v>
      </c>
      <c r="X159" s="2">
        <v>1.204</v>
      </c>
      <c r="Y159" s="6">
        <f t="shared" si="22"/>
        <v>3.2140092362723902E-2</v>
      </c>
      <c r="AA159">
        <v>3003256</v>
      </c>
      <c r="AB159">
        <v>24546</v>
      </c>
      <c r="AC159">
        <v>14636409</v>
      </c>
      <c r="AD159" t="s">
        <v>5</v>
      </c>
      <c r="AE159">
        <v>15</v>
      </c>
      <c r="AF159">
        <v>2</v>
      </c>
      <c r="AH159" t="s">
        <v>5743</v>
      </c>
      <c r="AI159" t="s">
        <v>5742</v>
      </c>
      <c r="AK159" t="s">
        <v>5741</v>
      </c>
      <c r="AL159">
        <v>2</v>
      </c>
      <c r="AM159" s="5">
        <f t="shared" si="26"/>
        <v>5.5555555555555552E-2</v>
      </c>
      <c r="AN159" s="4">
        <f t="shared" si="23"/>
        <v>8.4143211746392349E-5</v>
      </c>
      <c r="AO159" s="3"/>
      <c r="AP159">
        <v>0</v>
      </c>
      <c r="AR159" t="s">
        <v>1</v>
      </c>
      <c r="AT159" s="2">
        <v>3.14</v>
      </c>
      <c r="AU159" s="1">
        <f t="shared" si="27"/>
        <v>2.2523307617430648</v>
      </c>
      <c r="AV159" s="1">
        <f t="shared" si="28"/>
        <v>1.6112117787235147</v>
      </c>
      <c r="AW159" s="1">
        <f t="shared" si="29"/>
        <v>0.97009279570396456</v>
      </c>
    </row>
    <row r="160" spans="1:49" x14ac:dyDescent="0.2">
      <c r="A160">
        <v>158</v>
      </c>
      <c r="B160" t="s">
        <v>5740</v>
      </c>
      <c r="C160" t="s">
        <v>5739</v>
      </c>
      <c r="D160" t="s">
        <v>5738</v>
      </c>
      <c r="F160" t="s">
        <v>5737</v>
      </c>
      <c r="G160" t="s">
        <v>16</v>
      </c>
      <c r="H160" t="s">
        <v>15</v>
      </c>
      <c r="I160" t="s">
        <v>5736</v>
      </c>
      <c r="J160">
        <v>60027550</v>
      </c>
      <c r="K160" t="s">
        <v>810</v>
      </c>
      <c r="L160" t="s">
        <v>809</v>
      </c>
      <c r="M160" t="s">
        <v>114</v>
      </c>
      <c r="N160">
        <v>1</v>
      </c>
      <c r="O160" t="s">
        <v>5735</v>
      </c>
      <c r="P160">
        <v>57203486984</v>
      </c>
      <c r="Q160">
        <v>60027550</v>
      </c>
      <c r="R160" s="7">
        <v>31413</v>
      </c>
      <c r="S160" s="8">
        <f t="shared" si="24"/>
        <v>1986</v>
      </c>
      <c r="T160" s="8">
        <v>1986</v>
      </c>
      <c r="U160" s="8">
        <f t="shared" si="25"/>
        <v>36</v>
      </c>
      <c r="V160" s="7">
        <v>31656</v>
      </c>
      <c r="W160" t="s">
        <v>5734</v>
      </c>
      <c r="X160" s="2">
        <v>0.90700000000000003</v>
      </c>
      <c r="Y160" s="6">
        <f t="shared" si="22"/>
        <v>2.4211846987533703E-2</v>
      </c>
      <c r="AA160">
        <v>1651684</v>
      </c>
      <c r="AB160">
        <v>25548</v>
      </c>
      <c r="AD160" t="s">
        <v>5</v>
      </c>
      <c r="AE160">
        <v>11</v>
      </c>
      <c r="AF160">
        <v>2</v>
      </c>
      <c r="AH160" t="s">
        <v>5733</v>
      </c>
      <c r="AI160" t="s">
        <v>5732</v>
      </c>
      <c r="AJ160" t="s">
        <v>5731</v>
      </c>
      <c r="AK160" t="s">
        <v>5730</v>
      </c>
      <c r="AL160">
        <v>4</v>
      </c>
      <c r="AM160" s="5">
        <f t="shared" si="26"/>
        <v>0.1111111111111111</v>
      </c>
      <c r="AN160" s="4">
        <f t="shared" si="23"/>
        <v>1.682864234927847E-4</v>
      </c>
      <c r="AO160" s="3"/>
      <c r="AP160">
        <v>0</v>
      </c>
      <c r="AR160" t="s">
        <v>1</v>
      </c>
      <c r="AT160" s="2">
        <v>4.6619999999999999</v>
      </c>
      <c r="AU160" s="1">
        <f t="shared" si="27"/>
        <v>1.6998778818321423</v>
      </c>
      <c r="AV160" s="1">
        <f t="shared" si="28"/>
        <v>1.2190066705513245</v>
      </c>
      <c r="AW160" s="1">
        <f t="shared" si="29"/>
        <v>0.73813545927050594</v>
      </c>
    </row>
    <row r="161" spans="1:49" x14ac:dyDescent="0.2">
      <c r="A161">
        <v>159</v>
      </c>
      <c r="B161" t="s">
        <v>5729</v>
      </c>
      <c r="C161" t="s">
        <v>5728</v>
      </c>
      <c r="D161" t="s">
        <v>5727</v>
      </c>
      <c r="F161" t="s">
        <v>5726</v>
      </c>
      <c r="G161" t="s">
        <v>16</v>
      </c>
      <c r="H161" t="s">
        <v>15</v>
      </c>
      <c r="I161" t="s">
        <v>5725</v>
      </c>
      <c r="J161" t="s">
        <v>5720</v>
      </c>
      <c r="K161" t="s">
        <v>5724</v>
      </c>
      <c r="L161" t="s">
        <v>5723</v>
      </c>
      <c r="M161" t="s">
        <v>3584</v>
      </c>
      <c r="N161">
        <v>2</v>
      </c>
      <c r="O161" t="s">
        <v>5722</v>
      </c>
      <c r="P161" t="s">
        <v>5721</v>
      </c>
      <c r="Q161" t="s">
        <v>5720</v>
      </c>
      <c r="R161" s="7">
        <v>31413</v>
      </c>
      <c r="S161" s="8">
        <f t="shared" si="24"/>
        <v>1986</v>
      </c>
      <c r="T161" s="8">
        <v>1986</v>
      </c>
      <c r="U161" s="8">
        <f t="shared" si="25"/>
        <v>36</v>
      </c>
      <c r="V161" s="7">
        <v>1986</v>
      </c>
      <c r="W161" t="s">
        <v>24</v>
      </c>
      <c r="X161" s="2">
        <v>0.998</v>
      </c>
      <c r="Y161" s="6">
        <f t="shared" si="22"/>
        <v>2.664104001494888E-2</v>
      </c>
      <c r="AA161">
        <v>207322</v>
      </c>
      <c r="AB161">
        <v>90127</v>
      </c>
      <c r="AD161" t="s">
        <v>5</v>
      </c>
      <c r="AE161">
        <v>15</v>
      </c>
      <c r="AF161" s="9">
        <v>44228</v>
      </c>
      <c r="AH161" t="s">
        <v>5719</v>
      </c>
      <c r="AI161" t="s">
        <v>5718</v>
      </c>
      <c r="AJ161" t="s">
        <v>5717</v>
      </c>
      <c r="AK161" t="s">
        <v>5716</v>
      </c>
      <c r="AL161">
        <v>35</v>
      </c>
      <c r="AM161" s="5">
        <f t="shared" si="26"/>
        <v>0.97222222222222221</v>
      </c>
      <c r="AN161" s="4">
        <f t="shared" si="23"/>
        <v>1.4725062055618663E-3</v>
      </c>
      <c r="AO161" s="3"/>
      <c r="AP161">
        <v>0</v>
      </c>
      <c r="AR161" t="s">
        <v>1</v>
      </c>
      <c r="AT161" s="2" t="s">
        <v>0</v>
      </c>
      <c r="AU161" s="1">
        <f t="shared" si="27"/>
        <v>1.9090479872132775</v>
      </c>
      <c r="AV161" s="1">
        <f t="shared" si="28"/>
        <v>1.4056773110255372</v>
      </c>
      <c r="AW161" s="1">
        <f t="shared" si="29"/>
        <v>0.90230663483779705</v>
      </c>
    </row>
    <row r="162" spans="1:49" x14ac:dyDescent="0.2">
      <c r="A162">
        <v>160</v>
      </c>
      <c r="B162" t="s">
        <v>5715</v>
      </c>
      <c r="C162" t="s">
        <v>5714</v>
      </c>
      <c r="D162" t="s">
        <v>5713</v>
      </c>
      <c r="F162" t="s">
        <v>5712</v>
      </c>
      <c r="G162" t="s">
        <v>16</v>
      </c>
      <c r="H162" t="s">
        <v>15</v>
      </c>
      <c r="I162" t="s">
        <v>1107</v>
      </c>
      <c r="J162">
        <v>60016908</v>
      </c>
      <c r="K162" t="s">
        <v>1106</v>
      </c>
      <c r="L162" t="s">
        <v>1105</v>
      </c>
      <c r="M162" t="s">
        <v>376</v>
      </c>
      <c r="N162">
        <v>1</v>
      </c>
      <c r="O162" t="s">
        <v>1104</v>
      </c>
      <c r="P162">
        <v>7102355964</v>
      </c>
      <c r="Q162">
        <v>60016908</v>
      </c>
      <c r="R162" s="7">
        <v>31413</v>
      </c>
      <c r="S162" s="8">
        <f t="shared" si="24"/>
        <v>1986</v>
      </c>
      <c r="T162" s="8">
        <v>1986</v>
      </c>
      <c r="U162" s="8">
        <f t="shared" si="25"/>
        <v>36</v>
      </c>
      <c r="V162" s="7">
        <v>1986</v>
      </c>
      <c r="W162" t="s">
        <v>24</v>
      </c>
      <c r="X162" s="2">
        <v>0.998</v>
      </c>
      <c r="Y162" s="6">
        <f t="shared" si="22"/>
        <v>2.664104001494888E-2</v>
      </c>
      <c r="AA162">
        <v>207322</v>
      </c>
      <c r="AB162">
        <v>90127</v>
      </c>
      <c r="AD162" t="s">
        <v>5</v>
      </c>
      <c r="AE162">
        <v>15</v>
      </c>
      <c r="AF162">
        <v>3</v>
      </c>
      <c r="AH162" t="s">
        <v>5711</v>
      </c>
      <c r="AI162" t="s">
        <v>5710</v>
      </c>
      <c r="AJ162" t="s">
        <v>5709</v>
      </c>
      <c r="AK162" t="s">
        <v>5708</v>
      </c>
      <c r="AL162">
        <v>13</v>
      </c>
      <c r="AM162" s="5">
        <f t="shared" si="26"/>
        <v>0.3611111111111111</v>
      </c>
      <c r="AN162" s="4">
        <f t="shared" si="23"/>
        <v>5.469308763515503E-4</v>
      </c>
      <c r="AO162" s="3"/>
      <c r="AP162">
        <v>0</v>
      </c>
      <c r="AR162" t="s">
        <v>1</v>
      </c>
      <c r="AT162" s="2" t="s">
        <v>0</v>
      </c>
      <c r="AU162" s="1">
        <f t="shared" si="27"/>
        <v>1.8812807273369683</v>
      </c>
      <c r="AV162" s="1">
        <f t="shared" si="28"/>
        <v>1.3593985445650216</v>
      </c>
      <c r="AW162" s="1">
        <f t="shared" si="29"/>
        <v>0.83751636179307498</v>
      </c>
    </row>
    <row r="163" spans="1:49" x14ac:dyDescent="0.2">
      <c r="A163">
        <v>161</v>
      </c>
      <c r="B163" t="s">
        <v>5707</v>
      </c>
      <c r="C163" t="s">
        <v>5706</v>
      </c>
      <c r="D163" t="s">
        <v>5705</v>
      </c>
      <c r="F163" t="s">
        <v>5704</v>
      </c>
      <c r="G163" t="s">
        <v>16</v>
      </c>
      <c r="H163" t="s">
        <v>15</v>
      </c>
      <c r="I163" t="s">
        <v>5703</v>
      </c>
      <c r="J163">
        <v>60030807</v>
      </c>
      <c r="K163" t="s">
        <v>5702</v>
      </c>
      <c r="L163" t="s">
        <v>5701</v>
      </c>
      <c r="M163" t="s">
        <v>376</v>
      </c>
      <c r="N163">
        <v>2</v>
      </c>
      <c r="O163" t="s">
        <v>5700</v>
      </c>
      <c r="P163" t="s">
        <v>5699</v>
      </c>
      <c r="Q163" t="s">
        <v>5698</v>
      </c>
      <c r="R163" s="7">
        <v>31413</v>
      </c>
      <c r="S163" s="8">
        <f t="shared" si="24"/>
        <v>1986</v>
      </c>
      <c r="T163" s="8">
        <v>1986</v>
      </c>
      <c r="U163" s="8">
        <f t="shared" si="25"/>
        <v>36</v>
      </c>
      <c r="V163" s="7">
        <v>1986</v>
      </c>
      <c r="W163" t="s">
        <v>24</v>
      </c>
      <c r="X163" s="2">
        <v>0.998</v>
      </c>
      <c r="Y163" s="6">
        <f t="shared" si="22"/>
        <v>2.664104001494888E-2</v>
      </c>
      <c r="AA163">
        <v>207322</v>
      </c>
      <c r="AB163">
        <v>90127</v>
      </c>
      <c r="AD163" t="s">
        <v>5</v>
      </c>
      <c r="AE163">
        <v>15</v>
      </c>
      <c r="AF163">
        <v>4</v>
      </c>
      <c r="AH163" t="s">
        <v>5697</v>
      </c>
      <c r="AI163" t="s">
        <v>5696</v>
      </c>
      <c r="AJ163" t="s">
        <v>5695</v>
      </c>
      <c r="AK163" t="s">
        <v>5694</v>
      </c>
      <c r="AL163">
        <v>5</v>
      </c>
      <c r="AM163" s="5">
        <f t="shared" si="26"/>
        <v>0.1388888888888889</v>
      </c>
      <c r="AN163" s="4">
        <f t="shared" si="23"/>
        <v>2.103580293659809E-4</v>
      </c>
      <c r="AO163" s="3"/>
      <c r="AP163">
        <v>0</v>
      </c>
      <c r="AR163" t="s">
        <v>5693</v>
      </c>
      <c r="AS163" t="s">
        <v>5692</v>
      </c>
      <c r="AT163" s="2" t="s">
        <v>0</v>
      </c>
      <c r="AU163" s="1">
        <f t="shared" si="27"/>
        <v>1.871183541927401</v>
      </c>
      <c r="AV163" s="1">
        <f t="shared" si="28"/>
        <v>1.3425699022157431</v>
      </c>
      <c r="AW163" s="1">
        <f t="shared" si="29"/>
        <v>0.81395626250408504</v>
      </c>
    </row>
    <row r="164" spans="1:49" x14ac:dyDescent="0.2">
      <c r="A164">
        <v>162</v>
      </c>
      <c r="B164" t="s">
        <v>5691</v>
      </c>
      <c r="C164" t="s">
        <v>5690</v>
      </c>
      <c r="D164" t="s">
        <v>5689</v>
      </c>
      <c r="F164" t="s">
        <v>5688</v>
      </c>
      <c r="G164" t="s">
        <v>16</v>
      </c>
      <c r="H164" t="s">
        <v>15</v>
      </c>
      <c r="I164" t="s">
        <v>5687</v>
      </c>
      <c r="J164">
        <v>60000986</v>
      </c>
      <c r="K164" t="s">
        <v>5686</v>
      </c>
      <c r="L164" t="s">
        <v>5685</v>
      </c>
      <c r="M164" t="s">
        <v>114</v>
      </c>
      <c r="N164">
        <v>2</v>
      </c>
      <c r="O164" t="s">
        <v>5684</v>
      </c>
      <c r="P164" t="s">
        <v>5683</v>
      </c>
      <c r="Q164" t="s">
        <v>5682</v>
      </c>
      <c r="R164" s="7">
        <v>31413</v>
      </c>
      <c r="S164" s="8">
        <f t="shared" si="24"/>
        <v>1986</v>
      </c>
      <c r="T164" s="8">
        <v>1986</v>
      </c>
      <c r="U164" s="8">
        <f t="shared" si="25"/>
        <v>36</v>
      </c>
      <c r="V164" s="7">
        <v>1986</v>
      </c>
      <c r="W164" t="s">
        <v>5681</v>
      </c>
      <c r="X164" s="2">
        <v>0.89900000000000002</v>
      </c>
      <c r="Y164" s="6">
        <f t="shared" si="22"/>
        <v>2.399829155655215E-2</v>
      </c>
      <c r="AA164">
        <v>221910</v>
      </c>
      <c r="AB164">
        <v>20487</v>
      </c>
      <c r="AD164" t="s">
        <v>5</v>
      </c>
      <c r="AE164">
        <v>32</v>
      </c>
      <c r="AF164">
        <v>6</v>
      </c>
      <c r="AH164" t="s">
        <v>5680</v>
      </c>
      <c r="AI164" t="s">
        <v>5679</v>
      </c>
      <c r="AJ164" t="s">
        <v>5678</v>
      </c>
      <c r="AK164" t="s">
        <v>5677</v>
      </c>
      <c r="AL164">
        <v>43</v>
      </c>
      <c r="AM164" s="5">
        <f t="shared" si="26"/>
        <v>1.1944444444444444</v>
      </c>
      <c r="AN164" s="4">
        <f t="shared" si="23"/>
        <v>1.8090790525474357E-3</v>
      </c>
      <c r="AO164" s="3"/>
      <c r="AP164">
        <v>0</v>
      </c>
      <c r="AR164" t="s">
        <v>1</v>
      </c>
      <c r="AT164" s="2">
        <v>2.3540000000000001</v>
      </c>
      <c r="AU164" s="1">
        <f t="shared" si="27"/>
        <v>1.7341527805350734</v>
      </c>
      <c r="AV164" s="1">
        <f t="shared" si="28"/>
        <v>1.2903685304549792</v>
      </c>
      <c r="AW164" s="1">
        <f t="shared" si="29"/>
        <v>0.84658428037488498</v>
      </c>
    </row>
    <row r="165" spans="1:49" x14ac:dyDescent="0.2">
      <c r="A165">
        <v>163</v>
      </c>
      <c r="B165" t="s">
        <v>5676</v>
      </c>
      <c r="C165" t="s">
        <v>5675</v>
      </c>
      <c r="D165">
        <v>300325686900139</v>
      </c>
      <c r="F165" t="s">
        <v>5674</v>
      </c>
      <c r="G165" t="s">
        <v>16</v>
      </c>
      <c r="H165" t="s">
        <v>15</v>
      </c>
      <c r="I165" t="s">
        <v>5673</v>
      </c>
      <c r="J165">
        <v>60026796</v>
      </c>
      <c r="K165" t="s">
        <v>5672</v>
      </c>
      <c r="L165" t="s">
        <v>3620</v>
      </c>
      <c r="M165" t="s">
        <v>1706</v>
      </c>
      <c r="N165">
        <v>1</v>
      </c>
      <c r="O165" t="s">
        <v>5671</v>
      </c>
      <c r="P165">
        <v>57191122136</v>
      </c>
      <c r="Q165">
        <v>60026796</v>
      </c>
      <c r="R165" s="7">
        <v>31413</v>
      </c>
      <c r="S165" s="8">
        <f t="shared" si="24"/>
        <v>1986</v>
      </c>
      <c r="T165" s="8">
        <v>1986</v>
      </c>
      <c r="U165" s="8">
        <f t="shared" si="25"/>
        <v>36</v>
      </c>
      <c r="V165" s="7">
        <v>31686</v>
      </c>
      <c r="W165" t="s">
        <v>5670</v>
      </c>
      <c r="X165" s="2">
        <v>1.204</v>
      </c>
      <c r="Y165" s="6">
        <f t="shared" si="22"/>
        <v>3.2140092362723902E-2</v>
      </c>
      <c r="AA165">
        <v>3003256</v>
      </c>
      <c r="AB165">
        <v>24546</v>
      </c>
      <c r="AC165">
        <v>14636409</v>
      </c>
      <c r="AD165" t="s">
        <v>5</v>
      </c>
      <c r="AE165">
        <v>15</v>
      </c>
      <c r="AF165">
        <v>4</v>
      </c>
      <c r="AH165" t="s">
        <v>5669</v>
      </c>
      <c r="AI165" t="s">
        <v>5668</v>
      </c>
      <c r="AK165" t="s">
        <v>5667</v>
      </c>
      <c r="AL165">
        <v>9</v>
      </c>
      <c r="AM165" s="5">
        <f t="shared" si="26"/>
        <v>0.25</v>
      </c>
      <c r="AN165" s="4">
        <f t="shared" si="23"/>
        <v>3.786444528587656E-4</v>
      </c>
      <c r="AO165" s="3"/>
      <c r="AP165">
        <v>0</v>
      </c>
      <c r="AR165" t="s">
        <v>1</v>
      </c>
      <c r="AT165" s="2">
        <v>3.14</v>
      </c>
      <c r="AU165" s="1">
        <f t="shared" si="27"/>
        <v>2.2611657989764358</v>
      </c>
      <c r="AV165" s="1">
        <f t="shared" si="28"/>
        <v>1.6259368407791335</v>
      </c>
      <c r="AW165" s="1">
        <f t="shared" si="29"/>
        <v>0.99070788258183073</v>
      </c>
    </row>
    <row r="166" spans="1:49" x14ac:dyDescent="0.2">
      <c r="A166">
        <v>164</v>
      </c>
      <c r="B166" t="s">
        <v>5666</v>
      </c>
      <c r="C166" t="s">
        <v>5665</v>
      </c>
      <c r="D166">
        <v>169809586900256</v>
      </c>
      <c r="F166" t="s">
        <v>5664</v>
      </c>
      <c r="G166" t="s">
        <v>16</v>
      </c>
      <c r="H166" t="s">
        <v>15</v>
      </c>
      <c r="I166" t="s">
        <v>5663</v>
      </c>
      <c r="J166" t="s">
        <v>5662</v>
      </c>
      <c r="K166" t="s">
        <v>5661</v>
      </c>
      <c r="L166" t="s">
        <v>5660</v>
      </c>
      <c r="M166" t="s">
        <v>5659</v>
      </c>
      <c r="N166">
        <v>3</v>
      </c>
      <c r="O166" t="s">
        <v>5658</v>
      </c>
      <c r="P166" t="s">
        <v>5657</v>
      </c>
      <c r="Q166" t="s">
        <v>5656</v>
      </c>
      <c r="R166" s="7">
        <v>31413</v>
      </c>
      <c r="S166" s="8">
        <f t="shared" si="24"/>
        <v>1986</v>
      </c>
      <c r="T166" s="8">
        <v>1986</v>
      </c>
      <c r="U166" s="8">
        <f t="shared" si="25"/>
        <v>36</v>
      </c>
      <c r="V166" s="7">
        <v>31747</v>
      </c>
      <c r="W166" t="s">
        <v>5632</v>
      </c>
      <c r="X166" s="2">
        <v>1.488</v>
      </c>
      <c r="Y166" s="6">
        <f t="shared" si="22"/>
        <v>3.9721310162569072E-2</v>
      </c>
      <c r="AA166">
        <v>1698095</v>
      </c>
      <c r="AB166">
        <v>12092</v>
      </c>
      <c r="AD166" t="s">
        <v>5</v>
      </c>
      <c r="AE166">
        <v>20</v>
      </c>
      <c r="AF166" s="9">
        <v>44288</v>
      </c>
      <c r="AH166" t="s">
        <v>5655</v>
      </c>
      <c r="AI166" t="s">
        <v>5654</v>
      </c>
      <c r="AK166" t="s">
        <v>5653</v>
      </c>
      <c r="AL166">
        <v>6</v>
      </c>
      <c r="AM166" s="5">
        <f t="shared" si="26"/>
        <v>0.16666666666666666</v>
      </c>
      <c r="AN166" s="4">
        <f t="shared" si="23"/>
        <v>2.5242963523917705E-4</v>
      </c>
      <c r="AO166" s="3"/>
      <c r="AP166">
        <v>0</v>
      </c>
      <c r="AR166" t="s">
        <v>1</v>
      </c>
      <c r="AT166" s="2">
        <v>5.3689999999999998</v>
      </c>
      <c r="AU166" s="1">
        <f t="shared" si="27"/>
        <v>2.7880646004370102</v>
      </c>
      <c r="AV166" s="1">
        <f t="shared" si="28"/>
        <v>1.9986869898904125</v>
      </c>
      <c r="AW166" s="1">
        <f t="shared" si="29"/>
        <v>1.2093093793438143</v>
      </c>
    </row>
    <row r="167" spans="1:49" x14ac:dyDescent="0.2">
      <c r="A167">
        <v>165</v>
      </c>
      <c r="B167" t="s">
        <v>5652</v>
      </c>
      <c r="C167" t="s">
        <v>5651</v>
      </c>
      <c r="D167">
        <v>21916986900474</v>
      </c>
      <c r="F167" t="s">
        <v>5650</v>
      </c>
      <c r="G167" t="s">
        <v>16</v>
      </c>
      <c r="H167" t="s">
        <v>15</v>
      </c>
      <c r="I167" t="s">
        <v>572</v>
      </c>
      <c r="J167">
        <v>60011001</v>
      </c>
      <c r="K167" t="s">
        <v>1899</v>
      </c>
      <c r="L167" t="s">
        <v>1898</v>
      </c>
      <c r="M167" t="s">
        <v>71</v>
      </c>
      <c r="N167">
        <v>5</v>
      </c>
      <c r="O167" t="s">
        <v>5649</v>
      </c>
      <c r="P167" t="s">
        <v>5648</v>
      </c>
      <c r="Q167" t="s">
        <v>5647</v>
      </c>
      <c r="R167" s="7">
        <v>31413</v>
      </c>
      <c r="S167" s="8">
        <f t="shared" si="24"/>
        <v>1986</v>
      </c>
      <c r="T167" s="8">
        <v>1986</v>
      </c>
      <c r="U167" s="8">
        <f t="shared" si="25"/>
        <v>36</v>
      </c>
      <c r="V167" s="7" t="s">
        <v>5646</v>
      </c>
      <c r="W167" t="s">
        <v>5385</v>
      </c>
      <c r="X167" s="2">
        <v>0.51500000000000001</v>
      </c>
      <c r="Y167" s="6">
        <f t="shared" si="22"/>
        <v>1.374763086943755E-2</v>
      </c>
      <c r="AA167">
        <v>219169</v>
      </c>
      <c r="AB167">
        <v>30966</v>
      </c>
      <c r="AD167" t="s">
        <v>5</v>
      </c>
      <c r="AE167">
        <v>48</v>
      </c>
      <c r="AF167" s="9">
        <v>44541</v>
      </c>
      <c r="AH167" t="s">
        <v>5645</v>
      </c>
      <c r="AI167" t="s">
        <v>5644</v>
      </c>
      <c r="AK167" t="s">
        <v>5643</v>
      </c>
      <c r="AL167">
        <v>7</v>
      </c>
      <c r="AM167" s="5">
        <f t="shared" si="26"/>
        <v>0.19444444444444445</v>
      </c>
      <c r="AN167" s="4">
        <f t="shared" si="23"/>
        <v>2.9450124111237325E-4</v>
      </c>
      <c r="AO167" s="3"/>
      <c r="AP167">
        <v>0</v>
      </c>
      <c r="AR167" t="s">
        <v>1</v>
      </c>
      <c r="AT167" s="2" t="s">
        <v>0</v>
      </c>
      <c r="AU167" s="1">
        <f t="shared" si="27"/>
        <v>0.9711691980939996</v>
      </c>
      <c r="AV167" s="1">
        <f t="shared" si="28"/>
        <v>0.70210660552749615</v>
      </c>
      <c r="AW167" s="1">
        <f t="shared" si="29"/>
        <v>0.43304401296099265</v>
      </c>
    </row>
    <row r="168" spans="1:49" x14ac:dyDescent="0.2">
      <c r="A168">
        <v>166</v>
      </c>
      <c r="B168" t="s">
        <v>5642</v>
      </c>
      <c r="C168" t="s">
        <v>5641</v>
      </c>
      <c r="D168" t="s">
        <v>5640</v>
      </c>
      <c r="F168" t="s">
        <v>5639</v>
      </c>
      <c r="G168" t="s">
        <v>16</v>
      </c>
      <c r="H168" t="s">
        <v>15</v>
      </c>
      <c r="I168" t="s">
        <v>5638</v>
      </c>
      <c r="J168" t="s">
        <v>5637</v>
      </c>
      <c r="K168" t="s">
        <v>5636</v>
      </c>
      <c r="L168" t="s">
        <v>2778</v>
      </c>
      <c r="M168" t="s">
        <v>2777</v>
      </c>
      <c r="N168">
        <v>4</v>
      </c>
      <c r="O168" t="s">
        <v>5635</v>
      </c>
      <c r="P168" t="s">
        <v>5634</v>
      </c>
      <c r="Q168" t="s">
        <v>5633</v>
      </c>
      <c r="R168" s="7">
        <v>31413</v>
      </c>
      <c r="S168" s="8">
        <f t="shared" si="24"/>
        <v>1986</v>
      </c>
      <c r="T168" s="8">
        <v>1986</v>
      </c>
      <c r="U168" s="8">
        <f t="shared" si="25"/>
        <v>36</v>
      </c>
      <c r="V168" s="7">
        <v>31747</v>
      </c>
      <c r="W168" t="s">
        <v>5632</v>
      </c>
      <c r="X168" s="2">
        <v>1.488</v>
      </c>
      <c r="Y168" s="6">
        <f t="shared" si="22"/>
        <v>3.9721310162569072E-2</v>
      </c>
      <c r="AA168">
        <v>1698095</v>
      </c>
      <c r="AB168">
        <v>12092</v>
      </c>
      <c r="AD168" t="s">
        <v>5</v>
      </c>
      <c r="AE168">
        <v>20</v>
      </c>
      <c r="AF168" s="9">
        <v>44288</v>
      </c>
      <c r="AH168" t="s">
        <v>5631</v>
      </c>
      <c r="AI168" t="s">
        <v>5630</v>
      </c>
      <c r="AK168" t="s">
        <v>5629</v>
      </c>
      <c r="AL168">
        <v>7</v>
      </c>
      <c r="AM168" s="5">
        <f t="shared" si="26"/>
        <v>0.19444444444444445</v>
      </c>
      <c r="AN168" s="4">
        <f t="shared" si="23"/>
        <v>2.9450124111237325E-4</v>
      </c>
      <c r="AO168" s="3"/>
      <c r="AP168">
        <v>0</v>
      </c>
      <c r="AR168" t="s">
        <v>1</v>
      </c>
      <c r="AT168" s="2">
        <v>5.3689999999999998</v>
      </c>
      <c r="AU168" s="1">
        <f t="shared" si="27"/>
        <v>2.7893267486132061</v>
      </c>
      <c r="AV168" s="1">
        <f t="shared" si="28"/>
        <v>2.0007905701840722</v>
      </c>
      <c r="AW168" s="1">
        <f t="shared" si="29"/>
        <v>1.2122543917549382</v>
      </c>
    </row>
    <row r="169" spans="1:49" x14ac:dyDescent="0.2">
      <c r="A169">
        <v>167</v>
      </c>
      <c r="B169" t="s">
        <v>5628</v>
      </c>
      <c r="C169" t="s">
        <v>5627</v>
      </c>
      <c r="F169" t="s">
        <v>5626</v>
      </c>
      <c r="G169" t="s">
        <v>16</v>
      </c>
      <c r="H169" t="s">
        <v>15</v>
      </c>
      <c r="I169" t="s">
        <v>5625</v>
      </c>
      <c r="J169">
        <v>60003545</v>
      </c>
      <c r="K169" t="s">
        <v>5624</v>
      </c>
      <c r="L169" t="s">
        <v>1827</v>
      </c>
      <c r="M169" t="s">
        <v>114</v>
      </c>
      <c r="N169">
        <v>1</v>
      </c>
      <c r="O169" t="s">
        <v>5623</v>
      </c>
      <c r="P169">
        <v>23022461300</v>
      </c>
      <c r="Q169">
        <v>60003545</v>
      </c>
      <c r="R169" s="7">
        <v>31413</v>
      </c>
      <c r="S169" s="8">
        <f t="shared" si="24"/>
        <v>1986</v>
      </c>
      <c r="T169" s="8">
        <v>1986</v>
      </c>
      <c r="U169" s="8">
        <f t="shared" si="25"/>
        <v>36</v>
      </c>
      <c r="V169" s="7">
        <v>1986</v>
      </c>
      <c r="W169" t="s">
        <v>5622</v>
      </c>
      <c r="X169" s="2">
        <v>0.70799999999999996</v>
      </c>
      <c r="Y169" s="6">
        <f t="shared" si="22"/>
        <v>1.8899655641867543E-2</v>
      </c>
      <c r="AA169">
        <v>222488</v>
      </c>
      <c r="AB169">
        <v>28544</v>
      </c>
      <c r="AD169" t="s">
        <v>5</v>
      </c>
      <c r="AE169">
        <v>27</v>
      </c>
      <c r="AF169">
        <v>9</v>
      </c>
      <c r="AH169" t="s">
        <v>5621</v>
      </c>
      <c r="AI169" t="s">
        <v>5620</v>
      </c>
      <c r="AK169" t="s">
        <v>5619</v>
      </c>
      <c r="AL169">
        <v>1</v>
      </c>
      <c r="AM169" s="5">
        <f t="shared" si="26"/>
        <v>2.7777777777777776E-2</v>
      </c>
      <c r="AN169" s="4">
        <f t="shared" si="23"/>
        <v>4.2071605873196175E-5</v>
      </c>
      <c r="AO169" s="3"/>
      <c r="AP169">
        <v>0</v>
      </c>
      <c r="AR169" t="s">
        <v>1</v>
      </c>
      <c r="AT169" s="2">
        <v>1.488</v>
      </c>
      <c r="AU169" s="1">
        <f t="shared" si="27"/>
        <v>1.3242380431069238</v>
      </c>
      <c r="AV169" s="1">
        <f t="shared" si="28"/>
        <v>0.94708636238703703</v>
      </c>
      <c r="AW169" s="1">
        <f t="shared" si="29"/>
        <v>0.56993468166715</v>
      </c>
    </row>
    <row r="170" spans="1:49" x14ac:dyDescent="0.2">
      <c r="A170">
        <v>168</v>
      </c>
      <c r="B170" t="s">
        <v>5618</v>
      </c>
      <c r="C170" t="s">
        <v>5617</v>
      </c>
      <c r="F170" t="s">
        <v>5616</v>
      </c>
      <c r="G170" t="s">
        <v>16</v>
      </c>
      <c r="H170" t="s">
        <v>15</v>
      </c>
      <c r="I170" t="s">
        <v>5615</v>
      </c>
      <c r="J170">
        <v>60011001</v>
      </c>
      <c r="K170" t="s">
        <v>1899</v>
      </c>
      <c r="L170" t="s">
        <v>1898</v>
      </c>
      <c r="M170" t="s">
        <v>71</v>
      </c>
      <c r="N170">
        <v>2</v>
      </c>
      <c r="O170" t="s">
        <v>5614</v>
      </c>
      <c r="P170" t="s">
        <v>5613</v>
      </c>
      <c r="Q170" t="s">
        <v>1895</v>
      </c>
      <c r="R170" s="7">
        <v>31413</v>
      </c>
      <c r="S170" s="8">
        <f t="shared" si="24"/>
        <v>1986</v>
      </c>
      <c r="T170" s="8">
        <v>1986</v>
      </c>
      <c r="U170" s="8">
        <f t="shared" si="25"/>
        <v>36</v>
      </c>
      <c r="V170" s="7">
        <v>1986</v>
      </c>
      <c r="W170" t="s">
        <v>5510</v>
      </c>
      <c r="X170" s="2">
        <v>3.6880000000000002</v>
      </c>
      <c r="Y170" s="6">
        <f t="shared" si="22"/>
        <v>9.8449053682496471E-2</v>
      </c>
      <c r="AA170">
        <v>319007</v>
      </c>
      <c r="AB170">
        <v>29150</v>
      </c>
      <c r="AD170" t="s">
        <v>5</v>
      </c>
      <c r="AE170">
        <v>56</v>
      </c>
      <c r="AF170">
        <v>26</v>
      </c>
      <c r="AH170" t="s">
        <v>5612</v>
      </c>
      <c r="AI170" t="s">
        <v>5611</v>
      </c>
      <c r="AK170" t="s">
        <v>5610</v>
      </c>
      <c r="AL170">
        <v>31</v>
      </c>
      <c r="AM170" s="5">
        <f t="shared" si="26"/>
        <v>0.86111111111111116</v>
      </c>
      <c r="AN170" s="4">
        <f t="shared" si="23"/>
        <v>1.3042197820690817E-3</v>
      </c>
      <c r="AO170" s="3"/>
      <c r="AP170">
        <v>0</v>
      </c>
      <c r="AR170" t="s">
        <v>1</v>
      </c>
      <c r="AT170" s="2">
        <v>9.1609999999999996</v>
      </c>
      <c r="AU170" s="1">
        <f t="shared" si="27"/>
        <v>6.9305603512368252</v>
      </c>
      <c r="AV170" s="1">
        <f t="shared" si="28"/>
        <v>4.987663673228278</v>
      </c>
      <c r="AW170" s="1">
        <f t="shared" si="29"/>
        <v>3.0447669952197298</v>
      </c>
    </row>
    <row r="171" spans="1:49" x14ac:dyDescent="0.2">
      <c r="A171">
        <v>169</v>
      </c>
      <c r="B171" t="s">
        <v>5609</v>
      </c>
      <c r="C171" t="s">
        <v>5608</v>
      </c>
      <c r="F171" t="s">
        <v>5607</v>
      </c>
      <c r="G171" t="s">
        <v>16</v>
      </c>
      <c r="H171" t="s">
        <v>15</v>
      </c>
      <c r="I171" t="s">
        <v>5606</v>
      </c>
      <c r="J171">
        <v>60029470</v>
      </c>
      <c r="K171" t="s">
        <v>3063</v>
      </c>
      <c r="L171" t="s">
        <v>3062</v>
      </c>
      <c r="M171" t="s">
        <v>1409</v>
      </c>
      <c r="N171">
        <v>1</v>
      </c>
      <c r="O171" t="s">
        <v>5605</v>
      </c>
      <c r="P171">
        <v>16469695300</v>
      </c>
      <c r="Q171">
        <v>60029470</v>
      </c>
      <c r="R171" s="7">
        <v>31413</v>
      </c>
      <c r="S171" s="8">
        <f t="shared" si="24"/>
        <v>1986</v>
      </c>
      <c r="T171" s="8">
        <v>1986</v>
      </c>
      <c r="U171" s="8">
        <f t="shared" si="25"/>
        <v>36</v>
      </c>
      <c r="V171" s="7">
        <v>31413</v>
      </c>
      <c r="W171" t="s">
        <v>125</v>
      </c>
      <c r="X171" s="2">
        <v>0.39800000000000002</v>
      </c>
      <c r="Y171" s="6">
        <f t="shared" si="22"/>
        <v>1.0624382691332319E-2</v>
      </c>
      <c r="AA171" t="s">
        <v>124</v>
      </c>
      <c r="AB171">
        <v>26771</v>
      </c>
      <c r="AC171" t="s">
        <v>123</v>
      </c>
      <c r="AD171" t="s">
        <v>5</v>
      </c>
      <c r="AE171">
        <v>118</v>
      </c>
      <c r="AF171" s="9">
        <v>44228</v>
      </c>
      <c r="AH171" t="s">
        <v>5604</v>
      </c>
      <c r="AI171" t="s">
        <v>5603</v>
      </c>
      <c r="AK171" t="s">
        <v>5602</v>
      </c>
      <c r="AL171">
        <v>1</v>
      </c>
      <c r="AM171" s="5">
        <f t="shared" si="26"/>
        <v>2.7777777777777776E-2</v>
      </c>
      <c r="AN171" s="4">
        <f t="shared" si="23"/>
        <v>4.2071605873196175E-5</v>
      </c>
      <c r="AO171" s="3"/>
      <c r="AP171">
        <v>0</v>
      </c>
      <c r="AR171" t="s">
        <v>1</v>
      </c>
      <c r="AT171" s="2">
        <v>1.83</v>
      </c>
      <c r="AU171" s="1">
        <f t="shared" si="27"/>
        <v>0.74496893656945806</v>
      </c>
      <c r="AV171" s="1">
        <f t="shared" si="28"/>
        <v>0.53332271486027583</v>
      </c>
      <c r="AW171" s="1">
        <f t="shared" si="29"/>
        <v>0.32167649315109331</v>
      </c>
    </row>
    <row r="172" spans="1:49" x14ac:dyDescent="0.2">
      <c r="A172">
        <v>170</v>
      </c>
      <c r="B172" t="s">
        <v>5601</v>
      </c>
      <c r="C172" t="s">
        <v>5600</v>
      </c>
      <c r="F172" t="s">
        <v>5599</v>
      </c>
      <c r="G172" t="s">
        <v>16</v>
      </c>
      <c r="H172" t="s">
        <v>15</v>
      </c>
      <c r="I172" t="s">
        <v>5598</v>
      </c>
      <c r="J172" t="s">
        <v>5597</v>
      </c>
      <c r="K172" t="s">
        <v>5596</v>
      </c>
      <c r="L172" t="s">
        <v>5595</v>
      </c>
      <c r="M172" t="s">
        <v>783</v>
      </c>
      <c r="N172">
        <v>4</v>
      </c>
      <c r="O172" t="s">
        <v>5594</v>
      </c>
      <c r="P172" t="s">
        <v>5593</v>
      </c>
      <c r="Q172" t="s">
        <v>5592</v>
      </c>
      <c r="R172" s="7">
        <v>31413</v>
      </c>
      <c r="S172" s="8">
        <f t="shared" si="24"/>
        <v>1986</v>
      </c>
      <c r="T172" s="8">
        <v>1986</v>
      </c>
      <c r="U172" s="8">
        <f t="shared" si="25"/>
        <v>36</v>
      </c>
      <c r="V172" s="7">
        <v>31413</v>
      </c>
      <c r="W172" t="s">
        <v>95</v>
      </c>
      <c r="X172" s="2">
        <v>1.1579999999999999</v>
      </c>
      <c r="Y172" s="6">
        <f t="shared" si="22"/>
        <v>3.0912148634579962E-2</v>
      </c>
      <c r="AA172">
        <v>1668595</v>
      </c>
      <c r="AB172">
        <v>14223</v>
      </c>
      <c r="AC172">
        <v>15735079</v>
      </c>
      <c r="AD172" t="s">
        <v>5</v>
      </c>
      <c r="AE172">
        <v>8</v>
      </c>
      <c r="AF172">
        <v>2</v>
      </c>
      <c r="AH172" t="s">
        <v>5591</v>
      </c>
      <c r="AI172" t="s">
        <v>5590</v>
      </c>
      <c r="AJ172" t="s">
        <v>5589</v>
      </c>
      <c r="AK172" t="s">
        <v>5588</v>
      </c>
      <c r="AL172">
        <v>1</v>
      </c>
      <c r="AM172" s="5">
        <f t="shared" si="26"/>
        <v>2.7777777777777776E-2</v>
      </c>
      <c r="AN172" s="4">
        <f t="shared" si="23"/>
        <v>4.2071605873196175E-5</v>
      </c>
      <c r="AO172" s="3"/>
      <c r="AP172">
        <v>0</v>
      </c>
      <c r="AR172" t="s">
        <v>1</v>
      </c>
      <c r="AT172" s="2">
        <v>3.573</v>
      </c>
      <c r="AU172" s="1">
        <f t="shared" si="27"/>
        <v>2.1651125525967929</v>
      </c>
      <c r="AV172" s="1">
        <f t="shared" si="28"/>
        <v>1.5477110120226578</v>
      </c>
      <c r="AW172" s="1">
        <f t="shared" si="29"/>
        <v>0.93030947144852261</v>
      </c>
    </row>
    <row r="173" spans="1:49" x14ac:dyDescent="0.2">
      <c r="A173">
        <v>171</v>
      </c>
      <c r="B173" t="s">
        <v>5587</v>
      </c>
      <c r="C173" t="s">
        <v>5586</v>
      </c>
      <c r="F173" t="s">
        <v>5585</v>
      </c>
      <c r="G173" t="s">
        <v>16</v>
      </c>
      <c r="H173" t="s">
        <v>15</v>
      </c>
      <c r="I173" t="s">
        <v>5584</v>
      </c>
      <c r="J173" t="s">
        <v>5583</v>
      </c>
      <c r="K173" t="s">
        <v>5582</v>
      </c>
      <c r="L173" t="s">
        <v>5581</v>
      </c>
      <c r="M173" t="s">
        <v>4635</v>
      </c>
      <c r="N173">
        <v>3</v>
      </c>
      <c r="O173" t="s">
        <v>5580</v>
      </c>
      <c r="P173" t="s">
        <v>5579</v>
      </c>
      <c r="Q173" t="s">
        <v>5578</v>
      </c>
      <c r="R173" s="7">
        <v>31413</v>
      </c>
      <c r="S173" s="8">
        <f t="shared" si="24"/>
        <v>1986</v>
      </c>
      <c r="T173" s="8">
        <v>1986</v>
      </c>
      <c r="U173" s="8">
        <f t="shared" si="25"/>
        <v>36</v>
      </c>
      <c r="V173" s="7">
        <v>31413</v>
      </c>
      <c r="W173" t="s">
        <v>95</v>
      </c>
      <c r="X173" s="2">
        <v>1.1579999999999999</v>
      </c>
      <c r="Y173" s="6">
        <f t="shared" si="22"/>
        <v>3.0912148634579962E-2</v>
      </c>
      <c r="AA173">
        <v>1668595</v>
      </c>
      <c r="AB173">
        <v>14223</v>
      </c>
      <c r="AC173">
        <v>15735079</v>
      </c>
      <c r="AD173" t="s">
        <v>5</v>
      </c>
      <c r="AE173">
        <v>10</v>
      </c>
      <c r="AF173">
        <v>3</v>
      </c>
      <c r="AH173" t="s">
        <v>5577</v>
      </c>
      <c r="AI173" t="s">
        <v>5576</v>
      </c>
      <c r="AJ173" t="s">
        <v>5575</v>
      </c>
      <c r="AK173" t="s">
        <v>5574</v>
      </c>
      <c r="AL173">
        <v>7</v>
      </c>
      <c r="AM173" s="5">
        <f t="shared" si="26"/>
        <v>0.19444444444444445</v>
      </c>
      <c r="AN173" s="4">
        <f t="shared" si="23"/>
        <v>2.9450124111237325E-4</v>
      </c>
      <c r="AO173" s="3"/>
      <c r="AP173">
        <v>0</v>
      </c>
      <c r="AR173" t="s">
        <v>1</v>
      </c>
      <c r="AT173" s="2">
        <v>3.573</v>
      </c>
      <c r="AU173" s="1">
        <f t="shared" si="27"/>
        <v>2.1726854416539685</v>
      </c>
      <c r="AV173" s="1">
        <f t="shared" si="28"/>
        <v>1.5603324937846168</v>
      </c>
      <c r="AW173" s="1">
        <f t="shared" si="29"/>
        <v>0.9479795459152649</v>
      </c>
    </row>
    <row r="174" spans="1:49" x14ac:dyDescent="0.2">
      <c r="A174">
        <v>172</v>
      </c>
      <c r="B174" t="s">
        <v>5573</v>
      </c>
      <c r="C174" t="s">
        <v>5572</v>
      </c>
      <c r="F174" t="s">
        <v>5571</v>
      </c>
      <c r="G174" t="s">
        <v>16</v>
      </c>
      <c r="H174" t="s">
        <v>15</v>
      </c>
      <c r="I174" t="s">
        <v>5570</v>
      </c>
      <c r="J174">
        <v>60001989</v>
      </c>
      <c r="K174" t="s">
        <v>5569</v>
      </c>
      <c r="L174" t="s">
        <v>502</v>
      </c>
      <c r="M174" t="s">
        <v>114</v>
      </c>
      <c r="N174">
        <v>3</v>
      </c>
      <c r="O174" t="s">
        <v>5568</v>
      </c>
      <c r="P174" t="s">
        <v>5567</v>
      </c>
      <c r="Q174" t="s">
        <v>5566</v>
      </c>
      <c r="R174" s="7">
        <v>31413</v>
      </c>
      <c r="S174" s="8">
        <f t="shared" si="24"/>
        <v>1986</v>
      </c>
      <c r="T174" s="8">
        <v>1986</v>
      </c>
      <c r="U174" s="8">
        <f t="shared" si="25"/>
        <v>36</v>
      </c>
      <c r="V174" s="7">
        <v>31444</v>
      </c>
      <c r="W174" t="s">
        <v>182</v>
      </c>
      <c r="X174" s="2">
        <v>0.76500000000000001</v>
      </c>
      <c r="Y174" s="6">
        <f t="shared" si="22"/>
        <v>2.0421238087611118E-2</v>
      </c>
      <c r="AA174">
        <v>138703</v>
      </c>
      <c r="AB174">
        <v>19793</v>
      </c>
      <c r="AC174">
        <v>15707458</v>
      </c>
      <c r="AD174" t="s">
        <v>5</v>
      </c>
      <c r="AE174">
        <v>40</v>
      </c>
      <c r="AF174">
        <v>2</v>
      </c>
      <c r="AH174" t="s">
        <v>5565</v>
      </c>
      <c r="AI174" t="s">
        <v>5564</v>
      </c>
      <c r="AJ174" t="s">
        <v>5563</v>
      </c>
      <c r="AK174" t="s">
        <v>5562</v>
      </c>
      <c r="AL174">
        <v>10</v>
      </c>
      <c r="AM174" s="5">
        <f t="shared" si="26"/>
        <v>0.27777777777777779</v>
      </c>
      <c r="AN174" s="4">
        <f t="shared" si="23"/>
        <v>4.207160587319618E-4</v>
      </c>
      <c r="AO174" s="3"/>
      <c r="AP174">
        <v>0</v>
      </c>
      <c r="AR174" t="s">
        <v>1</v>
      </c>
      <c r="AT174" s="2" t="s">
        <v>0</v>
      </c>
      <c r="AU174" s="1">
        <f t="shared" si="27"/>
        <v>1.4421081478947368</v>
      </c>
      <c r="AV174" s="1">
        <f t="shared" si="28"/>
        <v>1.042097707317154</v>
      </c>
      <c r="AW174" s="1">
        <f t="shared" si="29"/>
        <v>0.64208726673957084</v>
      </c>
    </row>
    <row r="175" spans="1:49" x14ac:dyDescent="0.2">
      <c r="A175">
        <v>173</v>
      </c>
      <c r="B175" t="s">
        <v>5561</v>
      </c>
      <c r="C175" t="s">
        <v>5560</v>
      </c>
      <c r="F175" t="s">
        <v>5559</v>
      </c>
      <c r="G175" t="s">
        <v>16</v>
      </c>
      <c r="H175" t="s">
        <v>15</v>
      </c>
      <c r="I175" t="s">
        <v>5558</v>
      </c>
      <c r="J175">
        <v>60025038</v>
      </c>
      <c r="K175" t="s">
        <v>4696</v>
      </c>
      <c r="L175" t="s">
        <v>4695</v>
      </c>
      <c r="M175" t="s">
        <v>114</v>
      </c>
      <c r="N175">
        <v>1</v>
      </c>
      <c r="O175" t="s">
        <v>5557</v>
      </c>
      <c r="P175">
        <v>7102455882</v>
      </c>
      <c r="Q175">
        <v>60025038</v>
      </c>
      <c r="R175" s="7">
        <v>31413</v>
      </c>
      <c r="S175" s="8">
        <f t="shared" si="24"/>
        <v>1986</v>
      </c>
      <c r="T175" s="8">
        <v>1986</v>
      </c>
      <c r="U175" s="8">
        <f t="shared" si="25"/>
        <v>36</v>
      </c>
      <c r="V175" s="7">
        <v>31413</v>
      </c>
      <c r="W175" t="s">
        <v>95</v>
      </c>
      <c r="X175" s="2">
        <v>1.1579999999999999</v>
      </c>
      <c r="Y175" s="6">
        <f t="shared" si="22"/>
        <v>3.0912148634579962E-2</v>
      </c>
      <c r="AA175">
        <v>1668595</v>
      </c>
      <c r="AB175">
        <v>14223</v>
      </c>
      <c r="AC175">
        <v>15735079</v>
      </c>
      <c r="AD175" t="s">
        <v>5</v>
      </c>
      <c r="AE175">
        <v>10</v>
      </c>
      <c r="AF175">
        <v>3</v>
      </c>
      <c r="AH175" t="s">
        <v>1677</v>
      </c>
      <c r="AI175" t="s">
        <v>5556</v>
      </c>
      <c r="AK175" t="s">
        <v>5555</v>
      </c>
      <c r="AL175">
        <v>12</v>
      </c>
      <c r="AM175" s="5">
        <f t="shared" si="26"/>
        <v>0.33333333333333331</v>
      </c>
      <c r="AN175" s="4">
        <f t="shared" si="23"/>
        <v>5.048592704783541E-4</v>
      </c>
      <c r="AO175" s="3"/>
      <c r="AP175">
        <v>0</v>
      </c>
      <c r="AR175" t="s">
        <v>1</v>
      </c>
      <c r="AT175" s="2">
        <v>3.573</v>
      </c>
      <c r="AU175" s="1">
        <f t="shared" si="27"/>
        <v>2.1789961825349478</v>
      </c>
      <c r="AV175" s="1">
        <f t="shared" si="28"/>
        <v>1.5708503952529158</v>
      </c>
      <c r="AW175" s="1">
        <f t="shared" si="29"/>
        <v>0.96270460797088364</v>
      </c>
    </row>
    <row r="176" spans="1:49" x14ac:dyDescent="0.2">
      <c r="A176">
        <v>174</v>
      </c>
      <c r="B176" t="s">
        <v>5554</v>
      </c>
      <c r="C176" t="s">
        <v>5553</v>
      </c>
      <c r="F176" t="s">
        <v>5552</v>
      </c>
      <c r="G176" t="s">
        <v>16</v>
      </c>
      <c r="H176" t="s">
        <v>15</v>
      </c>
      <c r="I176" t="s">
        <v>5551</v>
      </c>
      <c r="J176">
        <v>60027332</v>
      </c>
      <c r="K176" t="s">
        <v>5550</v>
      </c>
      <c r="L176" t="s">
        <v>5549</v>
      </c>
      <c r="M176" t="s">
        <v>5548</v>
      </c>
      <c r="N176">
        <v>1</v>
      </c>
      <c r="O176" t="s">
        <v>5547</v>
      </c>
      <c r="P176">
        <v>6701735298</v>
      </c>
      <c r="Q176">
        <v>60027332</v>
      </c>
      <c r="R176" s="7">
        <v>31413</v>
      </c>
      <c r="S176" s="8">
        <f t="shared" si="24"/>
        <v>1986</v>
      </c>
      <c r="T176" s="8">
        <v>1986</v>
      </c>
      <c r="U176" s="8">
        <f t="shared" si="25"/>
        <v>36</v>
      </c>
      <c r="V176" s="7">
        <v>31413</v>
      </c>
      <c r="W176" t="s">
        <v>95</v>
      </c>
      <c r="X176" s="2">
        <v>1.1579999999999999</v>
      </c>
      <c r="Y176" s="6">
        <f t="shared" si="22"/>
        <v>3.0912148634579962E-2</v>
      </c>
      <c r="AA176">
        <v>1668595</v>
      </c>
      <c r="AB176">
        <v>14223</v>
      </c>
      <c r="AC176">
        <v>15735079</v>
      </c>
      <c r="AD176" t="s">
        <v>5</v>
      </c>
      <c r="AE176">
        <v>8</v>
      </c>
      <c r="AF176">
        <v>2</v>
      </c>
      <c r="AH176" t="s">
        <v>5546</v>
      </c>
      <c r="AI176" t="s">
        <v>5545</v>
      </c>
      <c r="AJ176" t="s">
        <v>5544</v>
      </c>
      <c r="AK176" t="s">
        <v>5543</v>
      </c>
      <c r="AL176">
        <v>1</v>
      </c>
      <c r="AM176" s="5">
        <f t="shared" si="26"/>
        <v>2.7777777777777776E-2</v>
      </c>
      <c r="AN176" s="4">
        <f t="shared" si="23"/>
        <v>4.2071605873196175E-5</v>
      </c>
      <c r="AO176" s="3"/>
      <c r="AP176">
        <v>0</v>
      </c>
      <c r="AR176" t="s">
        <v>1</v>
      </c>
      <c r="AT176" s="2">
        <v>3.573</v>
      </c>
      <c r="AU176" s="1">
        <f t="shared" si="27"/>
        <v>2.1651125525967929</v>
      </c>
      <c r="AV176" s="1">
        <f t="shared" si="28"/>
        <v>1.5477110120226578</v>
      </c>
      <c r="AW176" s="1">
        <f t="shared" si="29"/>
        <v>0.93030947144852261</v>
      </c>
    </row>
    <row r="177" spans="1:49" x14ac:dyDescent="0.2">
      <c r="A177">
        <v>175</v>
      </c>
      <c r="B177" t="s">
        <v>5542</v>
      </c>
      <c r="C177" t="s">
        <v>5541</v>
      </c>
      <c r="F177" t="s">
        <v>5540</v>
      </c>
      <c r="G177" t="s">
        <v>16</v>
      </c>
      <c r="H177" t="s">
        <v>15</v>
      </c>
      <c r="I177" t="s">
        <v>5539</v>
      </c>
      <c r="J177">
        <v>60007278</v>
      </c>
      <c r="K177" t="s">
        <v>5538</v>
      </c>
      <c r="L177" t="s">
        <v>5537</v>
      </c>
      <c r="M177" t="s">
        <v>114</v>
      </c>
      <c r="N177">
        <v>2</v>
      </c>
      <c r="O177" t="s">
        <v>5536</v>
      </c>
      <c r="P177" t="s">
        <v>5535</v>
      </c>
      <c r="Q177" t="s">
        <v>5534</v>
      </c>
      <c r="R177" s="7">
        <v>31413</v>
      </c>
      <c r="S177" s="8">
        <f t="shared" si="24"/>
        <v>1986</v>
      </c>
      <c r="T177" s="8">
        <v>1986</v>
      </c>
      <c r="U177" s="8">
        <f t="shared" si="25"/>
        <v>36</v>
      </c>
      <c r="V177" s="7">
        <v>1986</v>
      </c>
      <c r="W177" t="s">
        <v>5510</v>
      </c>
      <c r="X177" s="2">
        <v>3.6880000000000002</v>
      </c>
      <c r="Y177" s="6">
        <f t="shared" si="22"/>
        <v>9.8449053682496471E-2</v>
      </c>
      <c r="AA177">
        <v>319007</v>
      </c>
      <c r="AB177">
        <v>29150</v>
      </c>
      <c r="AD177" t="s">
        <v>5</v>
      </c>
      <c r="AE177">
        <v>56</v>
      </c>
      <c r="AF177">
        <v>8</v>
      </c>
      <c r="AH177" t="s">
        <v>5533</v>
      </c>
      <c r="AI177" t="s">
        <v>5532</v>
      </c>
      <c r="AK177" t="s">
        <v>5531</v>
      </c>
      <c r="AL177">
        <v>17</v>
      </c>
      <c r="AM177" s="5">
        <f t="shared" si="26"/>
        <v>0.47222222222222221</v>
      </c>
      <c r="AN177" s="4">
        <f t="shared" si="23"/>
        <v>7.15217299844335E-4</v>
      </c>
      <c r="AO177" s="3"/>
      <c r="AP177">
        <v>0</v>
      </c>
      <c r="AR177" t="s">
        <v>1</v>
      </c>
      <c r="AT177" s="2">
        <v>9.1609999999999996</v>
      </c>
      <c r="AU177" s="1">
        <f t="shared" si="27"/>
        <v>6.9128902767700824</v>
      </c>
      <c r="AV177" s="1">
        <f t="shared" si="28"/>
        <v>4.9582135491170405</v>
      </c>
      <c r="AW177" s="1">
        <f t="shared" si="29"/>
        <v>3.0035368214639977</v>
      </c>
    </row>
    <row r="178" spans="1:49" x14ac:dyDescent="0.2">
      <c r="A178">
        <v>176</v>
      </c>
      <c r="B178" t="s">
        <v>5530</v>
      </c>
      <c r="C178" t="s">
        <v>5529</v>
      </c>
      <c r="F178" t="s">
        <v>5528</v>
      </c>
      <c r="G178" t="s">
        <v>16</v>
      </c>
      <c r="H178" t="s">
        <v>15</v>
      </c>
      <c r="I178" t="s">
        <v>5527</v>
      </c>
      <c r="J178">
        <v>60003892</v>
      </c>
      <c r="K178" t="s">
        <v>5526</v>
      </c>
      <c r="L178" t="s">
        <v>5525</v>
      </c>
      <c r="M178" t="s">
        <v>114</v>
      </c>
      <c r="N178">
        <v>6</v>
      </c>
      <c r="O178" t="s">
        <v>5524</v>
      </c>
      <c r="P178" t="s">
        <v>5523</v>
      </c>
      <c r="Q178" t="s">
        <v>5522</v>
      </c>
      <c r="R178" s="7">
        <v>31413</v>
      </c>
      <c r="S178" s="8">
        <f t="shared" si="24"/>
        <v>1986</v>
      </c>
      <c r="T178" s="8">
        <v>1986</v>
      </c>
      <c r="U178" s="8">
        <f t="shared" si="25"/>
        <v>36</v>
      </c>
      <c r="V178" s="7">
        <v>1986</v>
      </c>
      <c r="W178" t="s">
        <v>5521</v>
      </c>
      <c r="X178" s="2">
        <v>7.1150000000000002</v>
      </c>
      <c r="Y178" s="6">
        <f t="shared" si="22"/>
        <v>0.18993086142921972</v>
      </c>
      <c r="AA178">
        <v>27863</v>
      </c>
      <c r="AB178">
        <v>22680</v>
      </c>
      <c r="AC178">
        <v>15205126</v>
      </c>
      <c r="AD178" t="s">
        <v>5</v>
      </c>
      <c r="AE178">
        <v>108</v>
      </c>
      <c r="AF178">
        <v>17</v>
      </c>
      <c r="AH178" t="s">
        <v>5520</v>
      </c>
      <c r="AI178" t="s">
        <v>5519</v>
      </c>
      <c r="AK178" t="s">
        <v>5518</v>
      </c>
      <c r="AL178">
        <v>50</v>
      </c>
      <c r="AM178" s="5">
        <f t="shared" si="26"/>
        <v>1.3888888888888888</v>
      </c>
      <c r="AN178" s="4">
        <f t="shared" si="23"/>
        <v>2.103580293659809E-3</v>
      </c>
      <c r="AO178" s="3"/>
      <c r="AP178">
        <v>0</v>
      </c>
      <c r="AR178" t="s">
        <v>1</v>
      </c>
      <c r="AT178" s="2" t="s">
        <v>0</v>
      </c>
      <c r="AU178" s="1">
        <f t="shared" si="27"/>
        <v>13.358267708855177</v>
      </c>
      <c r="AV178" s="1">
        <f t="shared" si="28"/>
        <v>9.601722086143976</v>
      </c>
      <c r="AW178" s="1">
        <f t="shared" si="29"/>
        <v>5.8451764634327779</v>
      </c>
    </row>
    <row r="179" spans="1:49" x14ac:dyDescent="0.2">
      <c r="A179">
        <v>177</v>
      </c>
      <c r="B179" t="s">
        <v>5517</v>
      </c>
      <c r="C179" t="s">
        <v>5516</v>
      </c>
      <c r="F179" t="s">
        <v>5515</v>
      </c>
      <c r="G179" t="s">
        <v>16</v>
      </c>
      <c r="H179" t="s">
        <v>15</v>
      </c>
      <c r="I179" t="s">
        <v>5514</v>
      </c>
      <c r="J179">
        <v>60000264</v>
      </c>
      <c r="K179" t="s">
        <v>4492</v>
      </c>
      <c r="L179" t="s">
        <v>3960</v>
      </c>
      <c r="M179" t="s">
        <v>71</v>
      </c>
      <c r="N179">
        <v>19</v>
      </c>
      <c r="O179" t="s">
        <v>5513</v>
      </c>
      <c r="P179" t="s">
        <v>5512</v>
      </c>
      <c r="Q179" t="s">
        <v>5511</v>
      </c>
      <c r="R179" s="7">
        <v>31413</v>
      </c>
      <c r="S179" s="8">
        <f t="shared" si="24"/>
        <v>1986</v>
      </c>
      <c r="T179" s="8">
        <v>1986</v>
      </c>
      <c r="U179" s="8">
        <f t="shared" si="25"/>
        <v>36</v>
      </c>
      <c r="V179" s="7">
        <v>1986</v>
      </c>
      <c r="W179" t="s">
        <v>5510</v>
      </c>
      <c r="X179" s="2">
        <v>3.6880000000000002</v>
      </c>
      <c r="Y179" s="6">
        <f t="shared" si="22"/>
        <v>9.8449053682496471E-2</v>
      </c>
      <c r="AA179">
        <v>319007</v>
      </c>
      <c r="AB179">
        <v>29150</v>
      </c>
      <c r="AD179" t="s">
        <v>5</v>
      </c>
      <c r="AE179">
        <v>56</v>
      </c>
      <c r="AF179">
        <v>19</v>
      </c>
      <c r="AH179" t="s">
        <v>5509</v>
      </c>
      <c r="AI179" t="s">
        <v>5508</v>
      </c>
      <c r="AK179" t="s">
        <v>5507</v>
      </c>
      <c r="AL179">
        <v>23</v>
      </c>
      <c r="AM179" s="5">
        <f t="shared" si="26"/>
        <v>0.63888888888888884</v>
      </c>
      <c r="AN179" s="4">
        <f t="shared" si="23"/>
        <v>9.676469350835121E-4</v>
      </c>
      <c r="AO179" s="3"/>
      <c r="AP179">
        <v>0</v>
      </c>
      <c r="AR179" t="s">
        <v>1</v>
      </c>
      <c r="AT179" s="2">
        <v>9.1609999999999996</v>
      </c>
      <c r="AU179" s="1">
        <f t="shared" si="27"/>
        <v>6.9204631658272575</v>
      </c>
      <c r="AV179" s="1">
        <f t="shared" si="28"/>
        <v>4.970835030878999</v>
      </c>
      <c r="AW179" s="1">
        <f t="shared" si="29"/>
        <v>3.0212068959307401</v>
      </c>
    </row>
    <row r="180" spans="1:49" x14ac:dyDescent="0.2">
      <c r="A180">
        <v>178</v>
      </c>
      <c r="B180" t="s">
        <v>5506</v>
      </c>
      <c r="C180" t="s">
        <v>5505</v>
      </c>
      <c r="F180" t="s">
        <v>5504</v>
      </c>
      <c r="G180" t="s">
        <v>16</v>
      </c>
      <c r="H180" t="s">
        <v>15</v>
      </c>
      <c r="I180" t="s">
        <v>5503</v>
      </c>
      <c r="J180">
        <v>60026717</v>
      </c>
      <c r="K180" t="s">
        <v>5502</v>
      </c>
      <c r="L180" t="s">
        <v>1496</v>
      </c>
      <c r="M180" t="s">
        <v>114</v>
      </c>
      <c r="N180">
        <v>2</v>
      </c>
      <c r="O180" t="s">
        <v>5501</v>
      </c>
      <c r="P180" t="s">
        <v>5500</v>
      </c>
      <c r="Q180" t="s">
        <v>5499</v>
      </c>
      <c r="R180" s="7">
        <v>31413</v>
      </c>
      <c r="S180" s="8">
        <f t="shared" si="24"/>
        <v>1986</v>
      </c>
      <c r="T180" s="8">
        <v>1986</v>
      </c>
      <c r="U180" s="8">
        <f t="shared" si="25"/>
        <v>36</v>
      </c>
      <c r="V180" s="7">
        <v>31686</v>
      </c>
      <c r="W180" t="s">
        <v>6</v>
      </c>
      <c r="X180" s="2">
        <v>1.3720000000000001</v>
      </c>
      <c r="Y180" s="6">
        <f t="shared" si="22"/>
        <v>3.662475641333654E-2</v>
      </c>
      <c r="AA180">
        <v>189480</v>
      </c>
      <c r="AB180">
        <v>17366</v>
      </c>
      <c r="AC180">
        <v>15579670</v>
      </c>
      <c r="AD180" t="s">
        <v>5</v>
      </c>
      <c r="AE180">
        <v>34</v>
      </c>
      <c r="AF180">
        <v>10</v>
      </c>
      <c r="AH180" t="s">
        <v>5498</v>
      </c>
      <c r="AI180" t="s">
        <v>5497</v>
      </c>
      <c r="AK180" t="s">
        <v>5496</v>
      </c>
      <c r="AL180">
        <v>21</v>
      </c>
      <c r="AM180" s="5">
        <f t="shared" si="26"/>
        <v>0.58333333333333337</v>
      </c>
      <c r="AN180" s="4">
        <f t="shared" si="23"/>
        <v>8.835037233371198E-4</v>
      </c>
      <c r="AO180" s="3"/>
      <c r="AP180">
        <v>0</v>
      </c>
      <c r="AR180" t="s">
        <v>1</v>
      </c>
      <c r="AT180" s="2" t="s">
        <v>0</v>
      </c>
      <c r="AU180" s="1">
        <f t="shared" si="27"/>
        <v>2.5902380606336712</v>
      </c>
      <c r="AV180" s="1">
        <f t="shared" si="28"/>
        <v>1.8754130068336829</v>
      </c>
      <c r="AW180" s="1">
        <f t="shared" si="29"/>
        <v>1.1605879530336947</v>
      </c>
    </row>
    <row r="181" spans="1:49" x14ac:dyDescent="0.2">
      <c r="A181">
        <v>179</v>
      </c>
      <c r="B181" t="s">
        <v>5495</v>
      </c>
      <c r="C181" t="s">
        <v>5494</v>
      </c>
      <c r="F181" t="s">
        <v>5493</v>
      </c>
      <c r="G181" t="s">
        <v>16</v>
      </c>
      <c r="H181" t="s">
        <v>15</v>
      </c>
      <c r="I181" t="s">
        <v>5492</v>
      </c>
      <c r="J181">
        <v>60018642</v>
      </c>
      <c r="K181" t="s">
        <v>5491</v>
      </c>
      <c r="L181" t="s">
        <v>886</v>
      </c>
      <c r="M181" t="s">
        <v>71</v>
      </c>
      <c r="N181">
        <v>3</v>
      </c>
      <c r="O181" t="s">
        <v>5490</v>
      </c>
      <c r="P181" t="s">
        <v>5489</v>
      </c>
      <c r="Q181" t="s">
        <v>5488</v>
      </c>
      <c r="R181" s="7">
        <v>31413</v>
      </c>
      <c r="S181" s="8">
        <f t="shared" si="24"/>
        <v>1986</v>
      </c>
      <c r="T181" s="8">
        <v>1986</v>
      </c>
      <c r="U181" s="8">
        <f t="shared" si="25"/>
        <v>36</v>
      </c>
      <c r="V181" s="7">
        <v>31686</v>
      </c>
      <c r="W181" t="s">
        <v>5487</v>
      </c>
      <c r="X181" s="2">
        <v>1.9750000000000001</v>
      </c>
      <c r="Y181" s="6">
        <f t="shared" si="22"/>
        <v>5.2721497023571186E-2</v>
      </c>
      <c r="AA181">
        <v>320781</v>
      </c>
      <c r="AB181">
        <v>19019</v>
      </c>
      <c r="AD181" t="s">
        <v>5</v>
      </c>
      <c r="AE181">
        <v>27</v>
      </c>
      <c r="AF181">
        <v>7</v>
      </c>
      <c r="AH181" t="s">
        <v>5486</v>
      </c>
      <c r="AI181" t="s">
        <v>5485</v>
      </c>
      <c r="AJ181" t="s">
        <v>5484</v>
      </c>
      <c r="AK181" t="s">
        <v>5483</v>
      </c>
      <c r="AL181">
        <v>4</v>
      </c>
      <c r="AM181" s="5">
        <f t="shared" si="26"/>
        <v>0.1111111111111111</v>
      </c>
      <c r="AN181" s="4">
        <f t="shared" si="23"/>
        <v>1.682864234927847E-4</v>
      </c>
      <c r="AO181" s="3"/>
      <c r="AP181">
        <v>0</v>
      </c>
      <c r="AR181" t="s">
        <v>1</v>
      </c>
      <c r="AT181" s="2">
        <v>4.9269999999999996</v>
      </c>
      <c r="AU181" s="1">
        <f t="shared" si="27"/>
        <v>3.695553384354767</v>
      </c>
      <c r="AV181" s="1">
        <f t="shared" si="28"/>
        <v>2.6444891723531985</v>
      </c>
      <c r="AW181" s="1">
        <f t="shared" si="29"/>
        <v>1.5934249603516304</v>
      </c>
    </row>
    <row r="182" spans="1:49" x14ac:dyDescent="0.2">
      <c r="A182">
        <v>180</v>
      </c>
      <c r="B182" t="s">
        <v>5482</v>
      </c>
      <c r="C182" t="s">
        <v>5481</v>
      </c>
      <c r="F182" t="s">
        <v>5480</v>
      </c>
      <c r="G182" t="s">
        <v>16</v>
      </c>
      <c r="H182" t="s">
        <v>15</v>
      </c>
      <c r="I182" t="s">
        <v>5479</v>
      </c>
      <c r="J182">
        <v>60012708</v>
      </c>
      <c r="K182" t="s">
        <v>1920</v>
      </c>
      <c r="L182" t="s">
        <v>441</v>
      </c>
      <c r="M182" t="s">
        <v>114</v>
      </c>
      <c r="N182">
        <v>1</v>
      </c>
      <c r="O182" t="s">
        <v>5478</v>
      </c>
      <c r="P182">
        <v>7005380428</v>
      </c>
      <c r="Q182">
        <v>60012708</v>
      </c>
      <c r="R182" s="7">
        <v>31413</v>
      </c>
      <c r="S182" s="8">
        <f t="shared" si="24"/>
        <v>1986</v>
      </c>
      <c r="T182" s="8">
        <v>1986</v>
      </c>
      <c r="U182" s="8">
        <f t="shared" si="25"/>
        <v>36</v>
      </c>
      <c r="V182" s="7">
        <v>1986</v>
      </c>
      <c r="W182" t="s">
        <v>5477</v>
      </c>
      <c r="X182" s="2">
        <v>1.887</v>
      </c>
      <c r="Y182" s="6">
        <f t="shared" si="22"/>
        <v>5.0372387282774087E-2</v>
      </c>
      <c r="AA182">
        <v>5562821</v>
      </c>
      <c r="AB182">
        <v>29459</v>
      </c>
      <c r="AD182" t="s">
        <v>5</v>
      </c>
      <c r="AE182">
        <v>33</v>
      </c>
      <c r="AF182">
        <v>2</v>
      </c>
      <c r="AH182" t="s">
        <v>5476</v>
      </c>
      <c r="AI182" t="s">
        <v>5475</v>
      </c>
      <c r="AK182" t="s">
        <v>5474</v>
      </c>
      <c r="AL182">
        <v>4</v>
      </c>
      <c r="AM182" s="5">
        <f t="shared" si="26"/>
        <v>0.1111111111111111</v>
      </c>
      <c r="AN182" s="4">
        <f t="shared" si="23"/>
        <v>1.682864234927847E-4</v>
      </c>
      <c r="AO182" s="3"/>
      <c r="AP182">
        <v>0</v>
      </c>
      <c r="AR182" t="s">
        <v>1</v>
      </c>
      <c r="AT182" s="2">
        <v>5.2960000000000003</v>
      </c>
      <c r="AU182" s="1">
        <f t="shared" si="27"/>
        <v>3.5311157024989694</v>
      </c>
      <c r="AV182" s="1">
        <f t="shared" si="28"/>
        <v>2.5270336853133437</v>
      </c>
      <c r="AW182" s="1">
        <f t="shared" si="29"/>
        <v>1.5229516681277173</v>
      </c>
    </row>
    <row r="183" spans="1:49" x14ac:dyDescent="0.2">
      <c r="A183">
        <v>181</v>
      </c>
      <c r="B183" t="s">
        <v>5473</v>
      </c>
      <c r="C183" t="s">
        <v>5472</v>
      </c>
      <c r="D183" t="s">
        <v>5471</v>
      </c>
      <c r="F183" t="s">
        <v>5470</v>
      </c>
      <c r="G183" t="s">
        <v>16</v>
      </c>
      <c r="H183" t="s">
        <v>15</v>
      </c>
      <c r="I183" t="s">
        <v>5469</v>
      </c>
      <c r="J183" t="s">
        <v>5464</v>
      </c>
      <c r="K183" t="s">
        <v>5468</v>
      </c>
      <c r="L183" t="s">
        <v>5467</v>
      </c>
      <c r="M183" t="s">
        <v>157</v>
      </c>
      <c r="N183">
        <v>2</v>
      </c>
      <c r="O183" t="s">
        <v>5466</v>
      </c>
      <c r="P183" t="s">
        <v>5465</v>
      </c>
      <c r="Q183" t="s">
        <v>5464</v>
      </c>
      <c r="R183" s="7">
        <v>31413</v>
      </c>
      <c r="S183" s="8">
        <f t="shared" si="24"/>
        <v>1986</v>
      </c>
      <c r="T183" s="8">
        <v>1986</v>
      </c>
      <c r="U183" s="8">
        <f t="shared" si="25"/>
        <v>36</v>
      </c>
      <c r="V183" s="7">
        <v>31472</v>
      </c>
      <c r="W183" t="s">
        <v>5385</v>
      </c>
      <c r="X183" s="2">
        <v>0.51500000000000001</v>
      </c>
      <c r="Y183" s="6">
        <f t="shared" si="22"/>
        <v>1.374763086943755E-2</v>
      </c>
      <c r="AA183">
        <v>219169</v>
      </c>
      <c r="AB183">
        <v>30966</v>
      </c>
      <c r="AD183" t="s">
        <v>5</v>
      </c>
      <c r="AE183">
        <v>48</v>
      </c>
      <c r="AF183">
        <v>3</v>
      </c>
      <c r="AH183" t="s">
        <v>5463</v>
      </c>
      <c r="AI183" t="s">
        <v>5462</v>
      </c>
      <c r="AK183" t="s">
        <v>5461</v>
      </c>
      <c r="AL183">
        <v>9</v>
      </c>
      <c r="AM183" s="5">
        <f t="shared" si="26"/>
        <v>0.25</v>
      </c>
      <c r="AN183" s="4">
        <f t="shared" si="23"/>
        <v>3.786444528587656E-4</v>
      </c>
      <c r="AO183" s="3"/>
      <c r="AP183">
        <v>0</v>
      </c>
      <c r="AR183" t="s">
        <v>1</v>
      </c>
      <c r="AT183" s="2" t="s">
        <v>0</v>
      </c>
      <c r="AU183" s="1">
        <f t="shared" si="27"/>
        <v>0.97369349444639142</v>
      </c>
      <c r="AV183" s="1">
        <f t="shared" si="28"/>
        <v>0.70631376611481578</v>
      </c>
      <c r="AW183" s="1">
        <f t="shared" si="29"/>
        <v>0.43893403778324008</v>
      </c>
    </row>
    <row r="184" spans="1:49" x14ac:dyDescent="0.2">
      <c r="A184">
        <v>182</v>
      </c>
      <c r="B184" t="s">
        <v>5460</v>
      </c>
      <c r="C184" t="s">
        <v>5459</v>
      </c>
      <c r="F184" t="s">
        <v>5458</v>
      </c>
      <c r="G184" t="s">
        <v>16</v>
      </c>
      <c r="H184" t="s">
        <v>15</v>
      </c>
      <c r="I184" t="s">
        <v>5457</v>
      </c>
      <c r="J184">
        <v>60019816</v>
      </c>
      <c r="K184" t="s">
        <v>5456</v>
      </c>
      <c r="L184" t="s">
        <v>213</v>
      </c>
      <c r="M184" t="s">
        <v>212</v>
      </c>
      <c r="N184">
        <v>1</v>
      </c>
      <c r="O184" t="s">
        <v>5455</v>
      </c>
      <c r="P184">
        <v>6603104646</v>
      </c>
      <c r="Q184">
        <v>60019816</v>
      </c>
      <c r="R184" s="7">
        <v>31413</v>
      </c>
      <c r="S184" s="8">
        <f t="shared" si="24"/>
        <v>1986</v>
      </c>
      <c r="T184" s="8">
        <v>1986</v>
      </c>
      <c r="U184" s="8">
        <f t="shared" si="25"/>
        <v>36</v>
      </c>
      <c r="V184" s="7">
        <v>31656</v>
      </c>
      <c r="W184" t="s">
        <v>182</v>
      </c>
      <c r="X184" s="2">
        <v>0.76500000000000001</v>
      </c>
      <c r="Y184" s="6">
        <f t="shared" si="22"/>
        <v>2.0421238087611118E-2</v>
      </c>
      <c r="AA184">
        <v>138703</v>
      </c>
      <c r="AB184">
        <v>19793</v>
      </c>
      <c r="AC184">
        <v>15707458</v>
      </c>
      <c r="AD184" t="s">
        <v>5</v>
      </c>
      <c r="AE184">
        <v>42</v>
      </c>
      <c r="AF184">
        <v>1</v>
      </c>
      <c r="AH184" t="s">
        <v>5454</v>
      </c>
      <c r="AI184" t="s">
        <v>5453</v>
      </c>
      <c r="AJ184" t="s">
        <v>5452</v>
      </c>
      <c r="AK184" t="s">
        <v>5451</v>
      </c>
      <c r="AL184">
        <v>8</v>
      </c>
      <c r="AM184" s="5">
        <f t="shared" si="26"/>
        <v>0.22222222222222221</v>
      </c>
      <c r="AN184" s="4">
        <f t="shared" si="23"/>
        <v>3.365728469855694E-4</v>
      </c>
      <c r="AO184" s="3"/>
      <c r="AP184">
        <v>0</v>
      </c>
      <c r="AR184" t="s">
        <v>1</v>
      </c>
      <c r="AT184" s="2" t="s">
        <v>0</v>
      </c>
      <c r="AU184" s="1">
        <f t="shared" si="27"/>
        <v>1.4395838515423451</v>
      </c>
      <c r="AV184" s="1">
        <f t="shared" si="28"/>
        <v>1.0378905467298343</v>
      </c>
      <c r="AW184" s="1">
        <f t="shared" si="29"/>
        <v>0.63619724191732341</v>
      </c>
    </row>
    <row r="185" spans="1:49" x14ac:dyDescent="0.2">
      <c r="A185">
        <v>183</v>
      </c>
      <c r="B185" t="s">
        <v>5450</v>
      </c>
      <c r="C185" t="s">
        <v>5449</v>
      </c>
      <c r="D185" t="s">
        <v>5448</v>
      </c>
      <c r="F185" t="s">
        <v>5447</v>
      </c>
      <c r="G185" t="s">
        <v>16</v>
      </c>
      <c r="H185" t="s">
        <v>15</v>
      </c>
      <c r="I185" t="s">
        <v>5446</v>
      </c>
      <c r="N185">
        <v>3</v>
      </c>
      <c r="O185" t="s">
        <v>5445</v>
      </c>
      <c r="P185" t="s">
        <v>5444</v>
      </c>
      <c r="Q185" t="s">
        <v>295</v>
      </c>
      <c r="R185" s="7">
        <v>31413</v>
      </c>
      <c r="S185" s="8">
        <f t="shared" si="24"/>
        <v>1986</v>
      </c>
      <c r="T185" s="8">
        <v>1986</v>
      </c>
      <c r="U185" s="8">
        <f t="shared" si="25"/>
        <v>36</v>
      </c>
      <c r="V185" s="7">
        <v>1986</v>
      </c>
      <c r="W185" t="s">
        <v>5443</v>
      </c>
      <c r="X185" s="2">
        <v>1.7130000000000001</v>
      </c>
      <c r="Y185" s="6">
        <f t="shared" si="22"/>
        <v>4.5727556658925285E-2</v>
      </c>
      <c r="AA185">
        <v>63495</v>
      </c>
      <c r="AB185">
        <v>14859</v>
      </c>
      <c r="AD185" t="s">
        <v>5</v>
      </c>
      <c r="AE185">
        <v>49</v>
      </c>
      <c r="AF185">
        <v>2</v>
      </c>
      <c r="AH185" t="s">
        <v>5442</v>
      </c>
      <c r="AI185" t="s">
        <v>5441</v>
      </c>
      <c r="AK185" t="s">
        <v>5440</v>
      </c>
      <c r="AL185">
        <v>7</v>
      </c>
      <c r="AM185" s="5">
        <f t="shared" si="26"/>
        <v>0.19444444444444445</v>
      </c>
      <c r="AN185" s="4">
        <f t="shared" si="23"/>
        <v>2.9450124111237325E-4</v>
      </c>
      <c r="AO185" s="3"/>
      <c r="AP185">
        <v>1</v>
      </c>
      <c r="AR185" t="s">
        <v>1</v>
      </c>
      <c r="AT185" s="2">
        <v>4.0330000000000004</v>
      </c>
      <c r="AU185" s="1">
        <f t="shared" si="27"/>
        <v>3.2097640033581412</v>
      </c>
      <c r="AV185" s="1">
        <f t="shared" si="28"/>
        <v>2.301102895001883</v>
      </c>
      <c r="AW185" s="1">
        <f t="shared" si="29"/>
        <v>1.3924417866456245</v>
      </c>
    </row>
    <row r="186" spans="1:49" x14ac:dyDescent="0.2">
      <c r="A186">
        <v>184</v>
      </c>
      <c r="B186" t="s">
        <v>5439</v>
      </c>
      <c r="C186" t="s">
        <v>5438</v>
      </c>
      <c r="F186" t="s">
        <v>5437</v>
      </c>
      <c r="G186" t="s">
        <v>16</v>
      </c>
      <c r="H186" t="s">
        <v>15</v>
      </c>
      <c r="I186" t="s">
        <v>5436</v>
      </c>
      <c r="J186">
        <v>60096201</v>
      </c>
      <c r="K186" t="s">
        <v>5435</v>
      </c>
      <c r="L186" t="s">
        <v>5434</v>
      </c>
      <c r="M186" t="s">
        <v>2336</v>
      </c>
      <c r="N186">
        <v>3</v>
      </c>
      <c r="O186" t="s">
        <v>5433</v>
      </c>
      <c r="P186" t="s">
        <v>5432</v>
      </c>
      <c r="Q186" t="s">
        <v>5431</v>
      </c>
      <c r="R186" s="7">
        <v>31413</v>
      </c>
      <c r="S186" s="8">
        <f t="shared" si="24"/>
        <v>1986</v>
      </c>
      <c r="T186" s="8">
        <v>1986</v>
      </c>
      <c r="U186" s="8">
        <f t="shared" si="25"/>
        <v>36</v>
      </c>
      <c r="V186" s="7">
        <v>31413</v>
      </c>
      <c r="W186" t="s">
        <v>95</v>
      </c>
      <c r="X186" s="2">
        <v>1.1579999999999999</v>
      </c>
      <c r="Y186" s="6">
        <f t="shared" si="22"/>
        <v>3.0912148634579962E-2</v>
      </c>
      <c r="AA186">
        <v>1668595</v>
      </c>
      <c r="AB186">
        <v>14223</v>
      </c>
      <c r="AC186">
        <v>15735079</v>
      </c>
      <c r="AD186" t="s">
        <v>5</v>
      </c>
      <c r="AE186">
        <v>9</v>
      </c>
      <c r="AF186" s="9">
        <v>44228</v>
      </c>
      <c r="AH186" s="9">
        <v>44533</v>
      </c>
      <c r="AI186" t="s">
        <v>5430</v>
      </c>
      <c r="AJ186" t="s">
        <v>5429</v>
      </c>
      <c r="AK186" t="s">
        <v>5428</v>
      </c>
      <c r="AL186">
        <v>13</v>
      </c>
      <c r="AM186" s="5">
        <f t="shared" si="26"/>
        <v>0.3611111111111111</v>
      </c>
      <c r="AN186" s="4">
        <f t="shared" si="23"/>
        <v>5.469308763515503E-4</v>
      </c>
      <c r="AO186" s="3"/>
      <c r="AP186">
        <v>0</v>
      </c>
      <c r="AR186" t="s">
        <v>1</v>
      </c>
      <c r="AT186" s="2">
        <v>3.573</v>
      </c>
      <c r="AU186" s="1">
        <f t="shared" si="27"/>
        <v>2.1802583307111436</v>
      </c>
      <c r="AV186" s="1">
        <f t="shared" si="28"/>
        <v>1.5729539755465756</v>
      </c>
      <c r="AW186" s="1">
        <f t="shared" si="29"/>
        <v>0.96564962038200741</v>
      </c>
    </row>
    <row r="187" spans="1:49" x14ac:dyDescent="0.2">
      <c r="A187">
        <v>185</v>
      </c>
      <c r="B187" t="s">
        <v>5427</v>
      </c>
      <c r="C187" t="s">
        <v>5426</v>
      </c>
      <c r="F187" t="s">
        <v>5425</v>
      </c>
      <c r="G187" t="s">
        <v>16</v>
      </c>
      <c r="H187" t="s">
        <v>15</v>
      </c>
      <c r="I187" t="s">
        <v>5424</v>
      </c>
      <c r="J187">
        <v>60009982</v>
      </c>
      <c r="K187" t="s">
        <v>2153</v>
      </c>
      <c r="L187" t="s">
        <v>1940</v>
      </c>
      <c r="M187" t="s">
        <v>114</v>
      </c>
      <c r="N187">
        <v>1</v>
      </c>
      <c r="O187" t="s">
        <v>5423</v>
      </c>
      <c r="P187">
        <v>7006334364</v>
      </c>
      <c r="Q187">
        <v>60009982</v>
      </c>
      <c r="R187" s="7">
        <v>31413</v>
      </c>
      <c r="S187" s="8">
        <f t="shared" si="24"/>
        <v>1986</v>
      </c>
      <c r="T187" s="8">
        <v>1986</v>
      </c>
      <c r="U187" s="8">
        <f t="shared" si="25"/>
        <v>36</v>
      </c>
      <c r="V187" s="7">
        <v>31413</v>
      </c>
      <c r="W187" t="s">
        <v>95</v>
      </c>
      <c r="X187" s="2">
        <v>1.1579999999999999</v>
      </c>
      <c r="Y187" s="6">
        <f t="shared" si="22"/>
        <v>3.0912148634579962E-2</v>
      </c>
      <c r="AA187">
        <v>1668595</v>
      </c>
      <c r="AB187">
        <v>14223</v>
      </c>
      <c r="AC187">
        <v>15735079</v>
      </c>
      <c r="AD187" t="s">
        <v>5</v>
      </c>
      <c r="AE187">
        <v>10</v>
      </c>
      <c r="AF187">
        <v>3</v>
      </c>
      <c r="AH187" t="s">
        <v>5422</v>
      </c>
      <c r="AI187" t="s">
        <v>5421</v>
      </c>
      <c r="AK187" t="s">
        <v>5420</v>
      </c>
      <c r="AL187">
        <v>7</v>
      </c>
      <c r="AM187" s="5">
        <f t="shared" si="26"/>
        <v>0.19444444444444445</v>
      </c>
      <c r="AN187" s="4">
        <f t="shared" si="23"/>
        <v>2.9450124111237325E-4</v>
      </c>
      <c r="AO187" s="3"/>
      <c r="AP187">
        <v>0</v>
      </c>
      <c r="AR187" t="s">
        <v>1</v>
      </c>
      <c r="AT187" s="2">
        <v>3.573</v>
      </c>
      <c r="AU187" s="1">
        <f t="shared" si="27"/>
        <v>2.1726854416539685</v>
      </c>
      <c r="AV187" s="1">
        <f t="shared" si="28"/>
        <v>1.5603324937846168</v>
      </c>
      <c r="AW187" s="1">
        <f t="shared" si="29"/>
        <v>0.9479795459152649</v>
      </c>
    </row>
    <row r="188" spans="1:49" x14ac:dyDescent="0.2">
      <c r="A188">
        <v>186</v>
      </c>
      <c r="B188" t="s">
        <v>5419</v>
      </c>
      <c r="C188" t="s">
        <v>5418</v>
      </c>
      <c r="D188">
        <v>10465586901475</v>
      </c>
      <c r="F188" t="s">
        <v>5417</v>
      </c>
      <c r="G188" t="s">
        <v>16</v>
      </c>
      <c r="H188" t="s">
        <v>15</v>
      </c>
      <c r="I188" t="s">
        <v>5416</v>
      </c>
      <c r="J188">
        <v>60024266</v>
      </c>
      <c r="K188" t="s">
        <v>5415</v>
      </c>
      <c r="L188" t="s">
        <v>5414</v>
      </c>
      <c r="M188" t="s">
        <v>114</v>
      </c>
      <c r="N188">
        <v>4</v>
      </c>
      <c r="O188" t="s">
        <v>5413</v>
      </c>
      <c r="P188" t="s">
        <v>5412</v>
      </c>
      <c r="Q188" t="s">
        <v>5411</v>
      </c>
      <c r="R188" s="7">
        <v>31413</v>
      </c>
      <c r="S188" s="8">
        <f t="shared" si="24"/>
        <v>1986</v>
      </c>
      <c r="T188" s="8">
        <v>1986</v>
      </c>
      <c r="U188" s="8">
        <f t="shared" si="25"/>
        <v>36</v>
      </c>
      <c r="V188" s="7">
        <v>31533</v>
      </c>
      <c r="W188" t="s">
        <v>138</v>
      </c>
      <c r="X188" s="2">
        <v>1.319</v>
      </c>
      <c r="Y188" s="6">
        <f t="shared" si="22"/>
        <v>3.5209951683083739E-2</v>
      </c>
      <c r="AA188">
        <v>104655</v>
      </c>
      <c r="AB188">
        <v>13184</v>
      </c>
      <c r="AD188" t="s">
        <v>5</v>
      </c>
      <c r="AE188">
        <v>40</v>
      </c>
      <c r="AF188">
        <v>1</v>
      </c>
      <c r="AH188" t="s">
        <v>5410</v>
      </c>
      <c r="AI188" t="s">
        <v>5409</v>
      </c>
      <c r="AK188" t="s">
        <v>5408</v>
      </c>
      <c r="AL188">
        <v>31</v>
      </c>
      <c r="AM188" s="5">
        <f t="shared" si="26"/>
        <v>0.86111111111111116</v>
      </c>
      <c r="AN188" s="4">
        <f t="shared" si="23"/>
        <v>1.3042197820690817E-3</v>
      </c>
      <c r="AO188" s="3"/>
      <c r="AP188">
        <v>0</v>
      </c>
      <c r="AQ188" t="s">
        <v>5407</v>
      </c>
      <c r="AR188" t="s">
        <v>1</v>
      </c>
      <c r="AS188" t="s">
        <v>5406</v>
      </c>
      <c r="AT188" s="2">
        <v>4.3899999999999997</v>
      </c>
      <c r="AU188" s="1">
        <f t="shared" si="27"/>
        <v>2.5038232112779339</v>
      </c>
      <c r="AV188" s="1">
        <f t="shared" si="28"/>
        <v>1.8257085732576408</v>
      </c>
      <c r="AW188" s="1">
        <f t="shared" si="29"/>
        <v>1.1475939352373479</v>
      </c>
    </row>
    <row r="189" spans="1:49" x14ac:dyDescent="0.2">
      <c r="A189">
        <v>187</v>
      </c>
      <c r="B189" t="s">
        <v>5405</v>
      </c>
      <c r="C189" t="s">
        <v>5404</v>
      </c>
      <c r="F189" t="s">
        <v>5403</v>
      </c>
      <c r="G189" t="s">
        <v>16</v>
      </c>
      <c r="H189" t="s">
        <v>15</v>
      </c>
      <c r="I189" t="s">
        <v>5402</v>
      </c>
      <c r="J189">
        <v>60003878</v>
      </c>
      <c r="K189" t="s">
        <v>214</v>
      </c>
      <c r="L189" t="s">
        <v>213</v>
      </c>
      <c r="M189" t="s">
        <v>212</v>
      </c>
      <c r="N189">
        <v>3</v>
      </c>
      <c r="O189" t="s">
        <v>5401</v>
      </c>
      <c r="P189" t="s">
        <v>5400</v>
      </c>
      <c r="Q189" t="s">
        <v>5399</v>
      </c>
      <c r="R189" s="7">
        <v>31413</v>
      </c>
      <c r="S189" s="8">
        <f t="shared" si="24"/>
        <v>1986</v>
      </c>
      <c r="T189" s="8">
        <v>1986</v>
      </c>
      <c r="U189" s="8">
        <f t="shared" si="25"/>
        <v>36</v>
      </c>
      <c r="V189" s="7">
        <v>31413</v>
      </c>
      <c r="W189" t="s">
        <v>95</v>
      </c>
      <c r="X189" s="2">
        <v>1.1579999999999999</v>
      </c>
      <c r="Y189" s="6">
        <f t="shared" si="22"/>
        <v>3.0912148634579962E-2</v>
      </c>
      <c r="AA189">
        <v>1668595</v>
      </c>
      <c r="AB189">
        <v>14223</v>
      </c>
      <c r="AC189">
        <v>15735079</v>
      </c>
      <c r="AD189" t="s">
        <v>5</v>
      </c>
      <c r="AE189">
        <v>9</v>
      </c>
      <c r="AF189" s="9">
        <v>44228</v>
      </c>
      <c r="AH189" t="s">
        <v>5398</v>
      </c>
      <c r="AI189" t="s">
        <v>5397</v>
      </c>
      <c r="AJ189" t="s">
        <v>5396</v>
      </c>
      <c r="AK189" t="s">
        <v>5395</v>
      </c>
      <c r="AL189">
        <v>88</v>
      </c>
      <c r="AM189" s="5">
        <f t="shared" si="26"/>
        <v>2.4444444444444446</v>
      </c>
      <c r="AN189" s="4">
        <f t="shared" si="23"/>
        <v>3.702301316841264E-3</v>
      </c>
      <c r="AO189" s="3"/>
      <c r="AP189">
        <v>0</v>
      </c>
      <c r="AR189" t="s">
        <v>1</v>
      </c>
      <c r="AT189" s="2">
        <v>3.573</v>
      </c>
      <c r="AU189" s="1">
        <f t="shared" si="27"/>
        <v>2.2749194439258353</v>
      </c>
      <c r="AV189" s="1">
        <f t="shared" si="28"/>
        <v>1.7307224975710613</v>
      </c>
      <c r="AW189" s="1">
        <f t="shared" si="29"/>
        <v>1.1865255512162873</v>
      </c>
    </row>
    <row r="190" spans="1:49" x14ac:dyDescent="0.2">
      <c r="A190">
        <v>188</v>
      </c>
      <c r="B190" t="s">
        <v>5394</v>
      </c>
      <c r="C190" t="s">
        <v>5393</v>
      </c>
      <c r="D190">
        <v>21916986900115</v>
      </c>
      <c r="F190" t="s">
        <v>5392</v>
      </c>
      <c r="G190" t="s">
        <v>16</v>
      </c>
      <c r="H190" t="s">
        <v>15</v>
      </c>
      <c r="I190" t="s">
        <v>5391</v>
      </c>
      <c r="J190">
        <v>60033125</v>
      </c>
      <c r="K190" t="s">
        <v>5390</v>
      </c>
      <c r="L190" t="s">
        <v>5389</v>
      </c>
      <c r="M190" t="s">
        <v>665</v>
      </c>
      <c r="N190">
        <v>2</v>
      </c>
      <c r="O190" t="s">
        <v>5388</v>
      </c>
      <c r="P190" t="s">
        <v>5387</v>
      </c>
      <c r="Q190" t="s">
        <v>5386</v>
      </c>
      <c r="R190" s="7">
        <v>31413</v>
      </c>
      <c r="S190" s="8">
        <f t="shared" si="24"/>
        <v>1986</v>
      </c>
      <c r="T190" s="8">
        <v>1986</v>
      </c>
      <c r="U190" s="8">
        <f t="shared" si="25"/>
        <v>36</v>
      </c>
      <c r="V190" s="7">
        <v>31594</v>
      </c>
      <c r="W190" t="s">
        <v>5385</v>
      </c>
      <c r="X190" s="2">
        <v>0.51500000000000001</v>
      </c>
      <c r="Y190" s="6">
        <f t="shared" si="22"/>
        <v>1.374763086943755E-2</v>
      </c>
      <c r="AA190">
        <v>219169</v>
      </c>
      <c r="AB190">
        <v>30966</v>
      </c>
      <c r="AD190" t="s">
        <v>5</v>
      </c>
      <c r="AE190">
        <v>48</v>
      </c>
      <c r="AF190">
        <v>7</v>
      </c>
      <c r="AH190" t="s">
        <v>5384</v>
      </c>
      <c r="AI190" t="s">
        <v>5383</v>
      </c>
      <c r="AK190" t="s">
        <v>5382</v>
      </c>
      <c r="AL190">
        <v>3</v>
      </c>
      <c r="AM190" s="5">
        <f t="shared" si="26"/>
        <v>8.3333333333333329E-2</v>
      </c>
      <c r="AN190" s="4">
        <f t="shared" si="23"/>
        <v>1.2621481761958852E-4</v>
      </c>
      <c r="AO190" s="3"/>
      <c r="AP190">
        <v>0</v>
      </c>
      <c r="AR190" t="s">
        <v>1</v>
      </c>
      <c r="AT190" s="2" t="s">
        <v>0</v>
      </c>
      <c r="AU190" s="1">
        <f t="shared" si="27"/>
        <v>0.96612060538921596</v>
      </c>
      <c r="AV190" s="1">
        <f t="shared" si="28"/>
        <v>0.6936922843528569</v>
      </c>
      <c r="AW190" s="1">
        <f t="shared" si="29"/>
        <v>0.42126396331649768</v>
      </c>
    </row>
    <row r="191" spans="1:49" x14ac:dyDescent="0.2">
      <c r="A191">
        <v>189</v>
      </c>
      <c r="B191" t="s">
        <v>5381</v>
      </c>
      <c r="C191" t="s">
        <v>5380</v>
      </c>
      <c r="F191" t="s">
        <v>5379</v>
      </c>
      <c r="G191" t="s">
        <v>16</v>
      </c>
      <c r="H191" t="s">
        <v>15</v>
      </c>
      <c r="I191" t="s">
        <v>5378</v>
      </c>
      <c r="J191" t="s">
        <v>5377</v>
      </c>
      <c r="K191" t="s">
        <v>5376</v>
      </c>
      <c r="L191" t="s">
        <v>5375</v>
      </c>
      <c r="M191" t="s">
        <v>899</v>
      </c>
      <c r="N191">
        <v>3</v>
      </c>
      <c r="O191" t="s">
        <v>5374</v>
      </c>
      <c r="P191" t="s">
        <v>5373</v>
      </c>
      <c r="Q191" t="s">
        <v>5372</v>
      </c>
      <c r="R191" s="7">
        <v>31413</v>
      </c>
      <c r="S191" s="8">
        <f t="shared" si="24"/>
        <v>1986</v>
      </c>
      <c r="T191" s="8">
        <v>1986</v>
      </c>
      <c r="U191" s="8">
        <f t="shared" si="25"/>
        <v>36</v>
      </c>
      <c r="V191" s="7">
        <v>31625</v>
      </c>
      <c r="W191" t="s">
        <v>5371</v>
      </c>
      <c r="X191" s="2">
        <v>0.66800000000000004</v>
      </c>
      <c r="Y191" s="6">
        <f t="shared" si="22"/>
        <v>1.7831878486959774E-2</v>
      </c>
      <c r="AA191" t="s">
        <v>5370</v>
      </c>
      <c r="AB191">
        <v>29593</v>
      </c>
      <c r="AC191">
        <v>21553165</v>
      </c>
      <c r="AD191" t="s">
        <v>5</v>
      </c>
      <c r="AE191">
        <v>25</v>
      </c>
      <c r="AF191">
        <v>16</v>
      </c>
      <c r="AH191" t="s">
        <v>5369</v>
      </c>
      <c r="AI191" t="s">
        <v>5368</v>
      </c>
      <c r="AK191" t="s">
        <v>5367</v>
      </c>
      <c r="AL191">
        <v>8</v>
      </c>
      <c r="AM191" s="5">
        <f t="shared" si="26"/>
        <v>0.22222222222222221</v>
      </c>
      <c r="AN191" s="4">
        <f t="shared" si="23"/>
        <v>3.365728469855694E-4</v>
      </c>
      <c r="AO191" s="3"/>
      <c r="AP191">
        <v>0</v>
      </c>
      <c r="AR191" t="s">
        <v>1</v>
      </c>
      <c r="AT191" s="2">
        <v>1.98</v>
      </c>
      <c r="AU191" s="1">
        <f t="shared" si="27"/>
        <v>1.2583286794967512</v>
      </c>
      <c r="AV191" s="1">
        <f t="shared" si="28"/>
        <v>0.90842256669726706</v>
      </c>
      <c r="AW191" s="1">
        <f t="shared" si="29"/>
        <v>0.55851645389778304</v>
      </c>
    </row>
    <row r="192" spans="1:49" x14ac:dyDescent="0.2">
      <c r="A192">
        <v>190</v>
      </c>
      <c r="B192" t="s">
        <v>5366</v>
      </c>
      <c r="C192" t="s">
        <v>5365</v>
      </c>
      <c r="F192" t="s">
        <v>5364</v>
      </c>
      <c r="G192" t="s">
        <v>16</v>
      </c>
      <c r="H192" t="s">
        <v>15</v>
      </c>
      <c r="I192" t="s">
        <v>5363</v>
      </c>
      <c r="J192">
        <v>60022109</v>
      </c>
      <c r="K192" t="s">
        <v>1487</v>
      </c>
      <c r="L192" t="s">
        <v>1486</v>
      </c>
      <c r="M192" t="s">
        <v>665</v>
      </c>
      <c r="N192">
        <v>3</v>
      </c>
      <c r="O192" t="s">
        <v>5362</v>
      </c>
      <c r="P192" t="s">
        <v>5361</v>
      </c>
      <c r="Q192" t="s">
        <v>5360</v>
      </c>
      <c r="R192" s="7">
        <v>31413</v>
      </c>
      <c r="S192" s="8">
        <f t="shared" si="24"/>
        <v>1986</v>
      </c>
      <c r="T192" s="8">
        <v>1986</v>
      </c>
      <c r="U192" s="8">
        <f t="shared" si="25"/>
        <v>36</v>
      </c>
      <c r="V192" s="7">
        <v>1986</v>
      </c>
      <c r="W192" t="s">
        <v>580</v>
      </c>
      <c r="X192" s="2">
        <v>0.375</v>
      </c>
      <c r="Y192" s="6">
        <f t="shared" si="22"/>
        <v>1.0010410827260351E-2</v>
      </c>
      <c r="AA192">
        <v>135194</v>
      </c>
      <c r="AB192">
        <v>24918</v>
      </c>
      <c r="AD192" t="s">
        <v>5</v>
      </c>
      <c r="AE192">
        <v>22</v>
      </c>
      <c r="AF192">
        <v>21</v>
      </c>
      <c r="AH192" t="s">
        <v>5359</v>
      </c>
      <c r="AI192" t="s">
        <v>5358</v>
      </c>
      <c r="AJ192" t="s">
        <v>5357</v>
      </c>
      <c r="AK192" t="s">
        <v>5356</v>
      </c>
      <c r="AL192">
        <v>5</v>
      </c>
      <c r="AM192" s="5">
        <f t="shared" si="26"/>
        <v>0.1388888888888889</v>
      </c>
      <c r="AN192" s="4">
        <f t="shared" si="23"/>
        <v>2.103580293659809E-4</v>
      </c>
      <c r="AO192" s="3"/>
      <c r="AP192">
        <v>0</v>
      </c>
      <c r="AR192" t="s">
        <v>1</v>
      </c>
      <c r="AT192" s="2">
        <v>1.3140000000000001</v>
      </c>
      <c r="AU192" s="1">
        <f t="shared" si="27"/>
        <v>0.70703949878920391</v>
      </c>
      <c r="AV192" s="1">
        <f t="shared" si="28"/>
        <v>0.51103844283131661</v>
      </c>
      <c r="AW192" s="1">
        <f t="shared" si="29"/>
        <v>0.31503738687342919</v>
      </c>
    </row>
    <row r="193" spans="1:49" x14ac:dyDescent="0.2">
      <c r="A193">
        <v>191</v>
      </c>
      <c r="B193" t="s">
        <v>5355</v>
      </c>
      <c r="C193" t="s">
        <v>5354</v>
      </c>
      <c r="F193" t="s">
        <v>5353</v>
      </c>
      <c r="G193" t="s">
        <v>16</v>
      </c>
      <c r="H193" t="s">
        <v>15</v>
      </c>
      <c r="I193" t="s">
        <v>5352</v>
      </c>
      <c r="J193">
        <v>60025555</v>
      </c>
      <c r="K193" t="s">
        <v>4266</v>
      </c>
      <c r="L193" t="s">
        <v>886</v>
      </c>
      <c r="M193" t="s">
        <v>71</v>
      </c>
      <c r="N193">
        <v>4</v>
      </c>
      <c r="O193" t="s">
        <v>5351</v>
      </c>
      <c r="P193" t="s">
        <v>5350</v>
      </c>
      <c r="Q193" t="s">
        <v>5349</v>
      </c>
      <c r="R193" s="7">
        <v>31413</v>
      </c>
      <c r="S193" s="8">
        <f t="shared" si="24"/>
        <v>1986</v>
      </c>
      <c r="T193" s="8">
        <v>1986</v>
      </c>
      <c r="U193" s="8">
        <f t="shared" si="25"/>
        <v>36</v>
      </c>
      <c r="V193" s="7">
        <v>1986</v>
      </c>
      <c r="W193" t="s">
        <v>580</v>
      </c>
      <c r="X193" s="2">
        <v>0.375</v>
      </c>
      <c r="Y193" s="6">
        <f t="shared" si="22"/>
        <v>1.0010410827260351E-2</v>
      </c>
      <c r="AA193">
        <v>135194</v>
      </c>
      <c r="AB193">
        <v>24918</v>
      </c>
      <c r="AD193" t="s">
        <v>5</v>
      </c>
      <c r="AE193">
        <v>22</v>
      </c>
      <c r="AF193">
        <v>21</v>
      </c>
      <c r="AH193" t="s">
        <v>5348</v>
      </c>
      <c r="AI193" t="s">
        <v>5347</v>
      </c>
      <c r="AJ193" t="s">
        <v>5346</v>
      </c>
      <c r="AK193" t="s">
        <v>5345</v>
      </c>
      <c r="AL193">
        <v>0</v>
      </c>
      <c r="AM193" s="5">
        <f t="shared" si="26"/>
        <v>0</v>
      </c>
      <c r="AN193" s="4">
        <f t="shared" si="23"/>
        <v>0</v>
      </c>
      <c r="AO193" s="3"/>
      <c r="AP193">
        <v>0</v>
      </c>
      <c r="AR193" t="s">
        <v>1</v>
      </c>
      <c r="AT193" s="2">
        <v>1.3140000000000001</v>
      </c>
      <c r="AU193" s="1">
        <f t="shared" si="27"/>
        <v>0.70072875790822453</v>
      </c>
      <c r="AV193" s="1">
        <f t="shared" si="28"/>
        <v>0.5005205413630176</v>
      </c>
      <c r="AW193" s="1">
        <f t="shared" si="29"/>
        <v>0.30031232481781051</v>
      </c>
    </row>
    <row r="194" spans="1:49" x14ac:dyDescent="0.2">
      <c r="A194">
        <v>192</v>
      </c>
      <c r="B194" t="s">
        <v>5344</v>
      </c>
      <c r="C194" t="s">
        <v>5343</v>
      </c>
      <c r="F194" t="s">
        <v>5342</v>
      </c>
      <c r="G194" t="s">
        <v>16</v>
      </c>
      <c r="H194" t="s">
        <v>15</v>
      </c>
      <c r="I194" t="s">
        <v>5341</v>
      </c>
      <c r="J194">
        <v>60019656</v>
      </c>
      <c r="K194" t="s">
        <v>5340</v>
      </c>
      <c r="L194" t="s">
        <v>5339</v>
      </c>
      <c r="M194" t="s">
        <v>665</v>
      </c>
      <c r="N194">
        <v>1</v>
      </c>
      <c r="O194" t="s">
        <v>5338</v>
      </c>
      <c r="P194">
        <v>7007049394</v>
      </c>
      <c r="Q194">
        <v>60019656</v>
      </c>
      <c r="R194" s="7">
        <v>31413</v>
      </c>
      <c r="S194" s="8">
        <f t="shared" si="24"/>
        <v>1986</v>
      </c>
      <c r="T194" s="8">
        <v>1986</v>
      </c>
      <c r="U194" s="8">
        <f t="shared" si="25"/>
        <v>36</v>
      </c>
      <c r="V194" s="7">
        <v>1986</v>
      </c>
      <c r="W194" t="s">
        <v>580</v>
      </c>
      <c r="X194" s="2">
        <v>0.375</v>
      </c>
      <c r="Y194" s="6">
        <f t="shared" ref="Y194:Y257" si="30">(X194-$Z$4)/($Z$3-$Z$4)</f>
        <v>1.0010410827260351E-2</v>
      </c>
      <c r="AA194">
        <v>135194</v>
      </c>
      <c r="AB194">
        <v>24918</v>
      </c>
      <c r="AD194" t="s">
        <v>5</v>
      </c>
      <c r="AE194">
        <v>22</v>
      </c>
      <c r="AF194">
        <v>10</v>
      </c>
      <c r="AH194" t="s">
        <v>5337</v>
      </c>
      <c r="AI194" t="s">
        <v>5336</v>
      </c>
      <c r="AJ194" t="s">
        <v>3058</v>
      </c>
      <c r="AK194" t="s">
        <v>5335</v>
      </c>
      <c r="AL194">
        <v>3</v>
      </c>
      <c r="AM194" s="5">
        <f t="shared" si="26"/>
        <v>8.3333333333333329E-2</v>
      </c>
      <c r="AN194" s="4">
        <f t="shared" ref="AN194:AN257" si="31">(AM194-$AO$4)/($AO$3-$AO$4)</f>
        <v>1.2621481761958852E-4</v>
      </c>
      <c r="AO194" s="3"/>
      <c r="AP194">
        <v>0</v>
      </c>
      <c r="AR194" t="s">
        <v>1</v>
      </c>
      <c r="AT194" s="2">
        <v>1.3140000000000001</v>
      </c>
      <c r="AU194" s="1">
        <f t="shared" si="27"/>
        <v>0.7045152024368122</v>
      </c>
      <c r="AV194" s="1">
        <f t="shared" si="28"/>
        <v>0.50683128224399698</v>
      </c>
      <c r="AW194" s="1">
        <f t="shared" si="29"/>
        <v>0.30914736205118171</v>
      </c>
    </row>
    <row r="195" spans="1:49" x14ac:dyDescent="0.2">
      <c r="A195">
        <v>193</v>
      </c>
      <c r="B195" t="s">
        <v>5334</v>
      </c>
      <c r="C195" t="s">
        <v>5333</v>
      </c>
      <c r="F195" t="s">
        <v>5332</v>
      </c>
      <c r="G195" t="s">
        <v>16</v>
      </c>
      <c r="H195" t="s">
        <v>15</v>
      </c>
      <c r="I195" t="s">
        <v>5331</v>
      </c>
      <c r="J195">
        <v>60019702</v>
      </c>
      <c r="K195" t="s">
        <v>1578</v>
      </c>
      <c r="L195" t="s">
        <v>1577</v>
      </c>
      <c r="M195" t="s">
        <v>665</v>
      </c>
      <c r="N195">
        <v>1</v>
      </c>
      <c r="O195" t="s">
        <v>5330</v>
      </c>
      <c r="P195">
        <v>17435967100</v>
      </c>
      <c r="Q195">
        <v>60019702</v>
      </c>
      <c r="R195" s="7">
        <v>31413</v>
      </c>
      <c r="S195" s="8">
        <f t="shared" si="24"/>
        <v>1986</v>
      </c>
      <c r="T195" s="8">
        <v>1986</v>
      </c>
      <c r="U195" s="8">
        <f t="shared" si="25"/>
        <v>36</v>
      </c>
      <c r="V195" s="7">
        <v>1986</v>
      </c>
      <c r="W195" t="s">
        <v>580</v>
      </c>
      <c r="X195" s="2">
        <v>0.375</v>
      </c>
      <c r="Y195" s="6">
        <f t="shared" si="30"/>
        <v>1.0010410827260351E-2</v>
      </c>
      <c r="AA195">
        <v>135194</v>
      </c>
      <c r="AB195">
        <v>24918</v>
      </c>
      <c r="AD195" t="s">
        <v>5</v>
      </c>
      <c r="AE195">
        <v>22</v>
      </c>
      <c r="AF195">
        <v>10</v>
      </c>
      <c r="AH195" t="s">
        <v>5329</v>
      </c>
      <c r="AI195" t="s">
        <v>5328</v>
      </c>
      <c r="AJ195" t="s">
        <v>5327</v>
      </c>
      <c r="AK195" t="s">
        <v>5326</v>
      </c>
      <c r="AL195">
        <v>3</v>
      </c>
      <c r="AM195" s="5">
        <f t="shared" si="26"/>
        <v>8.3333333333333329E-2</v>
      </c>
      <c r="AN195" s="4">
        <f t="shared" si="31"/>
        <v>1.2621481761958852E-4</v>
      </c>
      <c r="AO195" s="3"/>
      <c r="AP195">
        <v>0</v>
      </c>
      <c r="AR195" t="s">
        <v>1</v>
      </c>
      <c r="AT195" s="2">
        <v>1.3140000000000001</v>
      </c>
      <c r="AU195" s="1">
        <f t="shared" si="27"/>
        <v>0.7045152024368122</v>
      </c>
      <c r="AV195" s="1">
        <f t="shared" si="28"/>
        <v>0.50683128224399698</v>
      </c>
      <c r="AW195" s="1">
        <f t="shared" si="29"/>
        <v>0.30914736205118171</v>
      </c>
    </row>
    <row r="196" spans="1:49" x14ac:dyDescent="0.2">
      <c r="A196">
        <v>194</v>
      </c>
      <c r="B196" t="s">
        <v>5325</v>
      </c>
      <c r="C196" t="s">
        <v>5324</v>
      </c>
      <c r="F196" t="s">
        <v>5323</v>
      </c>
      <c r="G196" t="s">
        <v>16</v>
      </c>
      <c r="H196" t="s">
        <v>15</v>
      </c>
      <c r="I196" t="s">
        <v>3548</v>
      </c>
      <c r="J196">
        <v>60010818</v>
      </c>
      <c r="K196" t="s">
        <v>1734</v>
      </c>
      <c r="L196" t="s">
        <v>1733</v>
      </c>
      <c r="M196" t="s">
        <v>665</v>
      </c>
      <c r="N196">
        <v>2</v>
      </c>
      <c r="O196" t="s">
        <v>3546</v>
      </c>
      <c r="P196" t="s">
        <v>3545</v>
      </c>
      <c r="Q196" t="s">
        <v>1730</v>
      </c>
      <c r="R196" s="7">
        <v>31413</v>
      </c>
      <c r="S196" s="8">
        <f t="shared" si="24"/>
        <v>1986</v>
      </c>
      <c r="T196" s="8">
        <v>1986</v>
      </c>
      <c r="U196" s="8">
        <f t="shared" si="25"/>
        <v>36</v>
      </c>
      <c r="V196" s="7">
        <v>1986</v>
      </c>
      <c r="W196" t="s">
        <v>580</v>
      </c>
      <c r="X196" s="2">
        <v>0.375</v>
      </c>
      <c r="Y196" s="6">
        <f t="shared" si="30"/>
        <v>1.0010410827260351E-2</v>
      </c>
      <c r="AA196">
        <v>135194</v>
      </c>
      <c r="AB196">
        <v>24918</v>
      </c>
      <c r="AD196" t="s">
        <v>5</v>
      </c>
      <c r="AE196">
        <v>22</v>
      </c>
      <c r="AF196">
        <v>10</v>
      </c>
      <c r="AH196" t="s">
        <v>5322</v>
      </c>
      <c r="AI196" t="s">
        <v>5321</v>
      </c>
      <c r="AJ196" t="s">
        <v>1160</v>
      </c>
      <c r="AK196" t="s">
        <v>5320</v>
      </c>
      <c r="AL196">
        <v>0</v>
      </c>
      <c r="AM196" s="5">
        <f t="shared" si="26"/>
        <v>0</v>
      </c>
      <c r="AN196" s="4">
        <f t="shared" si="31"/>
        <v>0</v>
      </c>
      <c r="AO196" s="3"/>
      <c r="AP196">
        <v>0</v>
      </c>
      <c r="AR196" t="s">
        <v>1</v>
      </c>
      <c r="AT196" s="2">
        <v>1.3140000000000001</v>
      </c>
      <c r="AU196" s="1">
        <f t="shared" si="27"/>
        <v>0.70072875790822453</v>
      </c>
      <c r="AV196" s="1">
        <f t="shared" si="28"/>
        <v>0.5005205413630176</v>
      </c>
      <c r="AW196" s="1">
        <f t="shared" si="29"/>
        <v>0.30031232481781051</v>
      </c>
    </row>
    <row r="197" spans="1:49" x14ac:dyDescent="0.2">
      <c r="A197">
        <v>195</v>
      </c>
      <c r="B197" t="s">
        <v>5319</v>
      </c>
      <c r="C197" t="s">
        <v>5318</v>
      </c>
      <c r="F197" t="s">
        <v>5317</v>
      </c>
      <c r="G197" t="s">
        <v>16</v>
      </c>
      <c r="H197" t="s">
        <v>15</v>
      </c>
      <c r="I197" t="s">
        <v>5316</v>
      </c>
      <c r="J197">
        <v>60020595</v>
      </c>
      <c r="K197" t="s">
        <v>5315</v>
      </c>
      <c r="L197" t="s">
        <v>5314</v>
      </c>
      <c r="M197" t="s">
        <v>665</v>
      </c>
      <c r="N197">
        <v>2</v>
      </c>
      <c r="O197" t="s">
        <v>5313</v>
      </c>
      <c r="P197" t="s">
        <v>5312</v>
      </c>
      <c r="Q197" t="s">
        <v>5311</v>
      </c>
      <c r="R197" s="7">
        <v>31413</v>
      </c>
      <c r="S197" s="8">
        <f t="shared" si="24"/>
        <v>1986</v>
      </c>
      <c r="T197" s="8">
        <v>1986</v>
      </c>
      <c r="U197" s="8">
        <f t="shared" si="25"/>
        <v>36</v>
      </c>
      <c r="V197" s="7">
        <v>1986</v>
      </c>
      <c r="W197" t="s">
        <v>580</v>
      </c>
      <c r="X197" s="2">
        <v>0.375</v>
      </c>
      <c r="Y197" s="6">
        <f t="shared" si="30"/>
        <v>1.0010410827260351E-2</v>
      </c>
      <c r="AA197">
        <v>135194</v>
      </c>
      <c r="AB197">
        <v>24918</v>
      </c>
      <c r="AD197" t="s">
        <v>5</v>
      </c>
      <c r="AE197">
        <v>22</v>
      </c>
      <c r="AF197">
        <v>23</v>
      </c>
      <c r="AH197" t="s">
        <v>5310</v>
      </c>
      <c r="AI197" t="s">
        <v>5309</v>
      </c>
      <c r="AJ197" t="s">
        <v>5308</v>
      </c>
      <c r="AK197" t="s">
        <v>5307</v>
      </c>
      <c r="AL197">
        <v>1</v>
      </c>
      <c r="AM197" s="5">
        <f t="shared" si="26"/>
        <v>2.7777777777777776E-2</v>
      </c>
      <c r="AN197" s="4">
        <f t="shared" si="31"/>
        <v>4.2071605873196175E-5</v>
      </c>
      <c r="AO197" s="3"/>
      <c r="AP197">
        <v>0</v>
      </c>
      <c r="AR197" t="s">
        <v>1</v>
      </c>
      <c r="AT197" s="2">
        <v>1.3140000000000001</v>
      </c>
      <c r="AU197" s="1">
        <f t="shared" si="27"/>
        <v>0.70199090608442039</v>
      </c>
      <c r="AV197" s="1">
        <f t="shared" si="28"/>
        <v>0.50262412165667736</v>
      </c>
      <c r="AW197" s="1">
        <f t="shared" si="29"/>
        <v>0.30325733722893422</v>
      </c>
    </row>
    <row r="198" spans="1:49" x14ac:dyDescent="0.2">
      <c r="A198">
        <v>196</v>
      </c>
      <c r="B198" t="s">
        <v>5306</v>
      </c>
      <c r="C198" t="s">
        <v>5305</v>
      </c>
      <c r="F198" t="s">
        <v>5304</v>
      </c>
      <c r="G198" t="s">
        <v>16</v>
      </c>
      <c r="H198" t="s">
        <v>15</v>
      </c>
      <c r="I198" t="s">
        <v>5303</v>
      </c>
      <c r="J198">
        <v>60102558</v>
      </c>
      <c r="K198" t="s">
        <v>3353</v>
      </c>
      <c r="L198" t="s">
        <v>3352</v>
      </c>
      <c r="M198" t="s">
        <v>114</v>
      </c>
      <c r="N198">
        <v>3</v>
      </c>
      <c r="O198" t="s">
        <v>3351</v>
      </c>
      <c r="P198" t="s">
        <v>3350</v>
      </c>
      <c r="Q198" t="s">
        <v>3349</v>
      </c>
      <c r="R198" s="7">
        <v>31413</v>
      </c>
      <c r="S198" s="8">
        <f t="shared" si="24"/>
        <v>1986</v>
      </c>
      <c r="T198" s="8">
        <v>1986</v>
      </c>
      <c r="U198" s="8">
        <f t="shared" si="25"/>
        <v>36</v>
      </c>
      <c r="V198" s="7">
        <v>1986</v>
      </c>
      <c r="W198" t="s">
        <v>580</v>
      </c>
      <c r="X198" s="2">
        <v>0.375</v>
      </c>
      <c r="Y198" s="6">
        <f t="shared" si="30"/>
        <v>1.0010410827260351E-2</v>
      </c>
      <c r="AA198">
        <v>135194</v>
      </c>
      <c r="AB198">
        <v>24918</v>
      </c>
      <c r="AD198" t="s">
        <v>5</v>
      </c>
      <c r="AE198">
        <v>22</v>
      </c>
      <c r="AF198">
        <v>23</v>
      </c>
      <c r="AH198" t="s">
        <v>5302</v>
      </c>
      <c r="AI198" t="s">
        <v>5301</v>
      </c>
      <c r="AJ198" t="s">
        <v>5300</v>
      </c>
      <c r="AK198" t="s">
        <v>5299</v>
      </c>
      <c r="AL198">
        <v>2</v>
      </c>
      <c r="AM198" s="5">
        <f t="shared" si="26"/>
        <v>5.5555555555555552E-2</v>
      </c>
      <c r="AN198" s="4">
        <f t="shared" si="31"/>
        <v>8.4143211746392349E-5</v>
      </c>
      <c r="AO198" s="3"/>
      <c r="AP198">
        <v>0</v>
      </c>
      <c r="AR198" t="s">
        <v>1</v>
      </c>
      <c r="AT198" s="2">
        <v>1.3140000000000001</v>
      </c>
      <c r="AU198" s="1">
        <f t="shared" si="27"/>
        <v>0.70325305426061635</v>
      </c>
      <c r="AV198" s="1">
        <f t="shared" si="28"/>
        <v>0.50472770195033723</v>
      </c>
      <c r="AW198" s="1">
        <f t="shared" si="29"/>
        <v>0.30620234964005794</v>
      </c>
    </row>
    <row r="199" spans="1:49" x14ac:dyDescent="0.2">
      <c r="A199">
        <v>197</v>
      </c>
      <c r="B199" t="s">
        <v>5298</v>
      </c>
      <c r="C199" t="s">
        <v>5297</v>
      </c>
      <c r="F199" t="s">
        <v>5296</v>
      </c>
      <c r="G199" t="s">
        <v>16</v>
      </c>
      <c r="H199" t="s">
        <v>15</v>
      </c>
      <c r="I199" t="s">
        <v>1241</v>
      </c>
      <c r="J199" t="s">
        <v>5295</v>
      </c>
      <c r="K199" t="s">
        <v>5294</v>
      </c>
      <c r="L199" t="s">
        <v>5293</v>
      </c>
      <c r="M199" t="s">
        <v>1667</v>
      </c>
      <c r="N199">
        <v>4</v>
      </c>
      <c r="O199" t="s">
        <v>5292</v>
      </c>
      <c r="P199" t="s">
        <v>5291</v>
      </c>
      <c r="Q199" t="s">
        <v>5290</v>
      </c>
      <c r="R199" s="7">
        <v>31413</v>
      </c>
      <c r="S199" s="8">
        <f t="shared" si="24"/>
        <v>1986</v>
      </c>
      <c r="T199" s="8">
        <v>1986</v>
      </c>
      <c r="U199" s="8">
        <f t="shared" si="25"/>
        <v>36</v>
      </c>
      <c r="V199" s="7">
        <v>1986</v>
      </c>
      <c r="W199" t="s">
        <v>580</v>
      </c>
      <c r="X199" s="2">
        <v>0.375</v>
      </c>
      <c r="Y199" s="6">
        <f t="shared" si="30"/>
        <v>1.0010410827260351E-2</v>
      </c>
      <c r="AA199">
        <v>135194</v>
      </c>
      <c r="AB199">
        <v>24918</v>
      </c>
      <c r="AD199" t="s">
        <v>5</v>
      </c>
      <c r="AE199">
        <v>22</v>
      </c>
      <c r="AF199">
        <v>25</v>
      </c>
      <c r="AH199" t="s">
        <v>5289</v>
      </c>
      <c r="AI199" t="s">
        <v>5288</v>
      </c>
      <c r="AJ199" t="s">
        <v>5287</v>
      </c>
      <c r="AK199" t="s">
        <v>5286</v>
      </c>
      <c r="AL199">
        <v>14</v>
      </c>
      <c r="AM199" s="5">
        <f t="shared" si="26"/>
        <v>0.3888888888888889</v>
      </c>
      <c r="AN199" s="4">
        <f t="shared" si="31"/>
        <v>5.890024822247465E-4</v>
      </c>
      <c r="AO199" s="3"/>
      <c r="AP199">
        <v>0</v>
      </c>
      <c r="AR199" t="s">
        <v>1</v>
      </c>
      <c r="AT199" s="2">
        <v>1.3140000000000001</v>
      </c>
      <c r="AU199" s="1">
        <f t="shared" si="27"/>
        <v>0.71839883237496704</v>
      </c>
      <c r="AV199" s="1">
        <f t="shared" si="28"/>
        <v>0.52997066547425487</v>
      </c>
      <c r="AW199" s="1">
        <f t="shared" si="29"/>
        <v>0.34154249857354274</v>
      </c>
    </row>
    <row r="200" spans="1:49" x14ac:dyDescent="0.2">
      <c r="A200">
        <v>198</v>
      </c>
      <c r="B200" t="s">
        <v>5285</v>
      </c>
      <c r="C200" t="s">
        <v>5284</v>
      </c>
      <c r="F200" t="s">
        <v>5283</v>
      </c>
      <c r="G200" t="s">
        <v>16</v>
      </c>
      <c r="H200" t="s">
        <v>15</v>
      </c>
      <c r="I200" t="s">
        <v>5282</v>
      </c>
      <c r="J200" t="s">
        <v>5281</v>
      </c>
      <c r="K200" t="s">
        <v>5280</v>
      </c>
      <c r="L200" t="s">
        <v>5279</v>
      </c>
      <c r="M200" t="s">
        <v>5278</v>
      </c>
      <c r="N200">
        <v>3</v>
      </c>
      <c r="O200" t="s">
        <v>5277</v>
      </c>
      <c r="P200" t="s">
        <v>5276</v>
      </c>
      <c r="Q200" t="s">
        <v>5275</v>
      </c>
      <c r="R200" s="7">
        <v>31413</v>
      </c>
      <c r="S200" s="8">
        <f t="shared" si="24"/>
        <v>1986</v>
      </c>
      <c r="T200" s="8">
        <v>1986</v>
      </c>
      <c r="U200" s="8">
        <f t="shared" si="25"/>
        <v>36</v>
      </c>
      <c r="V200" s="7">
        <v>1986</v>
      </c>
      <c r="W200" t="s">
        <v>580</v>
      </c>
      <c r="X200" s="2">
        <v>0.375</v>
      </c>
      <c r="Y200" s="6">
        <f t="shared" si="30"/>
        <v>1.0010410827260351E-2</v>
      </c>
      <c r="AA200">
        <v>135194</v>
      </c>
      <c r="AB200">
        <v>24918</v>
      </c>
      <c r="AD200" t="s">
        <v>5</v>
      </c>
      <c r="AE200">
        <v>22</v>
      </c>
      <c r="AF200">
        <v>25</v>
      </c>
      <c r="AH200" t="s">
        <v>5274</v>
      </c>
      <c r="AI200" t="s">
        <v>5273</v>
      </c>
      <c r="AJ200" t="s">
        <v>5272</v>
      </c>
      <c r="AK200" t="s">
        <v>5271</v>
      </c>
      <c r="AL200">
        <v>1</v>
      </c>
      <c r="AM200" s="5">
        <f t="shared" si="26"/>
        <v>2.7777777777777776E-2</v>
      </c>
      <c r="AN200" s="4">
        <f t="shared" si="31"/>
        <v>4.2071605873196175E-5</v>
      </c>
      <c r="AO200" s="3"/>
      <c r="AP200">
        <v>0</v>
      </c>
      <c r="AR200" t="s">
        <v>1</v>
      </c>
      <c r="AT200" s="2">
        <v>1.3140000000000001</v>
      </c>
      <c r="AU200" s="1">
        <f t="shared" si="27"/>
        <v>0.70199090608442039</v>
      </c>
      <c r="AV200" s="1">
        <f t="shared" si="28"/>
        <v>0.50262412165667736</v>
      </c>
      <c r="AW200" s="1">
        <f t="shared" si="29"/>
        <v>0.30325733722893422</v>
      </c>
    </row>
    <row r="201" spans="1:49" x14ac:dyDescent="0.2">
      <c r="A201">
        <v>199</v>
      </c>
      <c r="B201" t="s">
        <v>5270</v>
      </c>
      <c r="C201" t="s">
        <v>5269</v>
      </c>
      <c r="D201">
        <v>19103586901296</v>
      </c>
      <c r="E201">
        <v>11539670</v>
      </c>
      <c r="F201" t="s">
        <v>5268</v>
      </c>
      <c r="G201" t="s">
        <v>16</v>
      </c>
      <c r="H201" t="s">
        <v>15</v>
      </c>
      <c r="I201" t="s">
        <v>5267</v>
      </c>
      <c r="J201" t="s">
        <v>5266</v>
      </c>
      <c r="K201" t="s">
        <v>5265</v>
      </c>
      <c r="L201" t="s">
        <v>5264</v>
      </c>
      <c r="M201" t="s">
        <v>4766</v>
      </c>
      <c r="N201">
        <v>7</v>
      </c>
      <c r="O201" t="s">
        <v>5263</v>
      </c>
      <c r="P201" t="s">
        <v>5262</v>
      </c>
      <c r="Q201" t="s">
        <v>5261</v>
      </c>
      <c r="R201" s="7">
        <v>31413</v>
      </c>
      <c r="S201" s="8">
        <f t="shared" si="24"/>
        <v>1986</v>
      </c>
      <c r="T201" s="8">
        <v>1986</v>
      </c>
      <c r="U201" s="8">
        <f t="shared" si="25"/>
        <v>36</v>
      </c>
      <c r="V201" s="7">
        <v>31656</v>
      </c>
      <c r="W201" t="s">
        <v>5260</v>
      </c>
      <c r="X201" s="2">
        <v>1.5249999999999999</v>
      </c>
      <c r="Y201" s="6">
        <f t="shared" si="30"/>
        <v>4.070900403085876E-2</v>
      </c>
      <c r="AA201">
        <v>191035</v>
      </c>
      <c r="AB201">
        <v>27241</v>
      </c>
      <c r="AC201">
        <v>10902643</v>
      </c>
      <c r="AD201" t="s">
        <v>5</v>
      </c>
      <c r="AE201">
        <v>67</v>
      </c>
      <c r="AF201">
        <v>3</v>
      </c>
      <c r="AH201" t="s">
        <v>4961</v>
      </c>
      <c r="AI201" t="s">
        <v>5259</v>
      </c>
      <c r="AK201" t="s">
        <v>5258</v>
      </c>
      <c r="AL201">
        <v>13</v>
      </c>
      <c r="AM201" s="5">
        <f t="shared" si="26"/>
        <v>0.3611111111111111</v>
      </c>
      <c r="AN201" s="4">
        <f t="shared" si="31"/>
        <v>5.469308763515503E-4</v>
      </c>
      <c r="AO201" s="3"/>
      <c r="AP201">
        <v>0</v>
      </c>
      <c r="AR201" t="s">
        <v>1</v>
      </c>
      <c r="AT201" s="2">
        <v>3.508</v>
      </c>
      <c r="AU201" s="1">
        <f t="shared" si="27"/>
        <v>2.8660382084506595</v>
      </c>
      <c r="AV201" s="1">
        <f t="shared" si="28"/>
        <v>2.0627967453605156</v>
      </c>
      <c r="AW201" s="1">
        <f t="shared" si="29"/>
        <v>1.2595552822703713</v>
      </c>
    </row>
    <row r="202" spans="1:49" x14ac:dyDescent="0.2">
      <c r="A202">
        <v>200</v>
      </c>
      <c r="B202" t="s">
        <v>5257</v>
      </c>
      <c r="C202" t="s">
        <v>5256</v>
      </c>
      <c r="D202">
        <v>273117786900918</v>
      </c>
      <c r="E202">
        <v>11537827</v>
      </c>
      <c r="F202" t="s">
        <v>5255</v>
      </c>
      <c r="G202" t="s">
        <v>16</v>
      </c>
      <c r="H202" t="s">
        <v>15</v>
      </c>
      <c r="I202" t="s">
        <v>5254</v>
      </c>
      <c r="J202">
        <v>60003674</v>
      </c>
      <c r="K202" t="s">
        <v>5253</v>
      </c>
      <c r="L202" t="s">
        <v>199</v>
      </c>
      <c r="M202" t="s">
        <v>59</v>
      </c>
      <c r="N202">
        <v>1</v>
      </c>
      <c r="O202" t="s">
        <v>5252</v>
      </c>
      <c r="P202">
        <v>7006094056</v>
      </c>
      <c r="Q202">
        <v>60003674</v>
      </c>
      <c r="R202" s="7">
        <v>31413</v>
      </c>
      <c r="S202" s="8">
        <f t="shared" si="24"/>
        <v>1986</v>
      </c>
      <c r="T202" s="8">
        <v>1986</v>
      </c>
      <c r="U202" s="8">
        <f t="shared" si="25"/>
        <v>36</v>
      </c>
      <c r="V202" s="7">
        <v>1986</v>
      </c>
      <c r="W202" t="s">
        <v>5251</v>
      </c>
      <c r="X202" s="2">
        <v>0.68200000000000005</v>
      </c>
      <c r="Y202" s="6">
        <f t="shared" si="30"/>
        <v>1.8205600491177493E-2</v>
      </c>
      <c r="AA202">
        <v>2731177</v>
      </c>
      <c r="AB202">
        <v>12375</v>
      </c>
      <c r="AD202" t="s">
        <v>5</v>
      </c>
      <c r="AE202">
        <v>6</v>
      </c>
      <c r="AF202">
        <v>12</v>
      </c>
      <c r="AH202" t="s">
        <v>5250</v>
      </c>
      <c r="AI202" t="s">
        <v>5249</v>
      </c>
      <c r="AK202" t="s">
        <v>5248</v>
      </c>
      <c r="AL202">
        <v>3</v>
      </c>
      <c r="AM202" s="5">
        <f t="shared" si="26"/>
        <v>8.3333333333333329E-2</v>
      </c>
      <c r="AN202" s="4">
        <f t="shared" si="31"/>
        <v>1.2621481761958852E-4</v>
      </c>
      <c r="AO202" s="3"/>
      <c r="AP202">
        <v>0</v>
      </c>
      <c r="AR202" t="s">
        <v>1</v>
      </c>
      <c r="AT202" s="2">
        <v>2.1520000000000001</v>
      </c>
      <c r="AU202" s="1">
        <f t="shared" si="27"/>
        <v>1.278178478911012</v>
      </c>
      <c r="AV202" s="1">
        <f t="shared" si="28"/>
        <v>0.91659076543985418</v>
      </c>
      <c r="AW202" s="1">
        <f t="shared" si="29"/>
        <v>0.55500305196869593</v>
      </c>
    </row>
    <row r="203" spans="1:49" x14ac:dyDescent="0.2">
      <c r="A203">
        <v>201</v>
      </c>
      <c r="B203" t="s">
        <v>5247</v>
      </c>
      <c r="C203" t="s">
        <v>5246</v>
      </c>
      <c r="D203" t="s">
        <v>5245</v>
      </c>
      <c r="E203">
        <v>3759542</v>
      </c>
      <c r="F203" t="s">
        <v>5244</v>
      </c>
      <c r="G203" t="s">
        <v>16</v>
      </c>
      <c r="H203" t="s">
        <v>15</v>
      </c>
      <c r="I203" t="s">
        <v>5243</v>
      </c>
      <c r="J203">
        <v>60031970</v>
      </c>
      <c r="K203" t="s">
        <v>5242</v>
      </c>
      <c r="L203" t="s">
        <v>1721</v>
      </c>
      <c r="M203" t="s">
        <v>114</v>
      </c>
      <c r="N203">
        <v>6</v>
      </c>
      <c r="O203" t="s">
        <v>5241</v>
      </c>
      <c r="P203" t="s">
        <v>5240</v>
      </c>
      <c r="Q203" t="s">
        <v>5239</v>
      </c>
      <c r="R203" s="7">
        <v>31413</v>
      </c>
      <c r="S203" s="8">
        <f t="shared" si="24"/>
        <v>1986</v>
      </c>
      <c r="T203" s="8">
        <v>1986</v>
      </c>
      <c r="U203" s="8">
        <f t="shared" si="25"/>
        <v>36</v>
      </c>
      <c r="V203" s="7">
        <v>31686</v>
      </c>
      <c r="W203" t="s">
        <v>5088</v>
      </c>
      <c r="X203" s="2" t="s">
        <v>0</v>
      </c>
      <c r="Y203" s="6" t="e">
        <f t="shared" si="30"/>
        <v>#VALUE!</v>
      </c>
      <c r="AA203">
        <v>3603016</v>
      </c>
      <c r="AB203">
        <v>17191</v>
      </c>
      <c r="AD203" t="s">
        <v>5</v>
      </c>
      <c r="AE203">
        <v>12</v>
      </c>
      <c r="AF203">
        <v>10</v>
      </c>
      <c r="AH203" t="s">
        <v>5238</v>
      </c>
      <c r="AI203" t="s">
        <v>5237</v>
      </c>
      <c r="AJ203" t="s">
        <v>5236</v>
      </c>
      <c r="AK203" t="s">
        <v>5235</v>
      </c>
      <c r="AL203">
        <v>34</v>
      </c>
      <c r="AM203" s="5">
        <f t="shared" si="26"/>
        <v>0.94444444444444442</v>
      </c>
      <c r="AN203" s="4">
        <f t="shared" si="31"/>
        <v>1.43043459968867E-3</v>
      </c>
      <c r="AO203" s="3"/>
      <c r="AP203">
        <v>0</v>
      </c>
      <c r="AQ203" t="s">
        <v>5234</v>
      </c>
      <c r="AR203" t="s">
        <v>5233</v>
      </c>
      <c r="AS203" t="s">
        <v>5232</v>
      </c>
      <c r="AT203" s="2" t="s">
        <v>0</v>
      </c>
      <c r="AU203" s="1" t="e">
        <f t="shared" si="27"/>
        <v>#VALUE!</v>
      </c>
      <c r="AV203" s="1" t="e">
        <f t="shared" si="28"/>
        <v>#VALUE!</v>
      </c>
      <c r="AW203" s="1" t="e">
        <f t="shared" si="29"/>
        <v>#VALUE!</v>
      </c>
    </row>
    <row r="204" spans="1:49" x14ac:dyDescent="0.2">
      <c r="A204">
        <v>202</v>
      </c>
      <c r="B204" t="s">
        <v>5231</v>
      </c>
      <c r="C204" t="s">
        <v>5230</v>
      </c>
      <c r="F204" t="s">
        <v>5229</v>
      </c>
      <c r="G204" t="s">
        <v>16</v>
      </c>
      <c r="H204" t="s">
        <v>15</v>
      </c>
      <c r="I204" t="s">
        <v>5228</v>
      </c>
      <c r="J204" t="s">
        <v>5227</v>
      </c>
      <c r="K204" t="s">
        <v>5226</v>
      </c>
      <c r="L204" t="s">
        <v>5225</v>
      </c>
      <c r="M204" t="s">
        <v>5224</v>
      </c>
      <c r="N204">
        <v>4</v>
      </c>
      <c r="O204" t="s">
        <v>5223</v>
      </c>
      <c r="P204" t="s">
        <v>5222</v>
      </c>
      <c r="Q204" t="s">
        <v>5221</v>
      </c>
      <c r="R204" s="7">
        <v>31413</v>
      </c>
      <c r="S204" s="8">
        <f t="shared" si="24"/>
        <v>1986</v>
      </c>
      <c r="T204" s="8">
        <v>1986</v>
      </c>
      <c r="U204" s="8">
        <f t="shared" si="25"/>
        <v>36</v>
      </c>
      <c r="V204" s="7">
        <v>31413</v>
      </c>
      <c r="W204" t="s">
        <v>4997</v>
      </c>
      <c r="X204" s="2">
        <v>0.22500000000000001</v>
      </c>
      <c r="Y204" s="6">
        <f t="shared" si="30"/>
        <v>6.0062464963562111E-3</v>
      </c>
      <c r="AA204">
        <v>2726343</v>
      </c>
      <c r="AB204">
        <v>16128</v>
      </c>
      <c r="AC204" t="s">
        <v>4996</v>
      </c>
      <c r="AD204" t="s">
        <v>5</v>
      </c>
      <c r="AE204">
        <v>6</v>
      </c>
      <c r="AF204">
        <v>3</v>
      </c>
      <c r="AH204" t="s">
        <v>5220</v>
      </c>
      <c r="AI204" t="s">
        <v>5219</v>
      </c>
      <c r="AK204" t="s">
        <v>5218</v>
      </c>
      <c r="AL204">
        <v>26</v>
      </c>
      <c r="AM204" s="5">
        <f t="shared" si="26"/>
        <v>0.72222222222222221</v>
      </c>
      <c r="AN204" s="4">
        <f t="shared" si="31"/>
        <v>1.0938617527031006E-3</v>
      </c>
      <c r="AO204" s="3"/>
      <c r="AP204">
        <v>0</v>
      </c>
      <c r="AQ204" t="s">
        <v>2442</v>
      </c>
      <c r="AR204" t="s">
        <v>5217</v>
      </c>
      <c r="AS204" t="s">
        <v>2440</v>
      </c>
      <c r="AT204" s="2">
        <v>1.099</v>
      </c>
      <c r="AU204" s="1">
        <f t="shared" si="27"/>
        <v>0.45325310732602775</v>
      </c>
      <c r="AV204" s="1">
        <f t="shared" si="28"/>
        <v>0.35500541245296563</v>
      </c>
      <c r="AW204" s="1">
        <f t="shared" si="29"/>
        <v>0.2567577175799034</v>
      </c>
    </row>
    <row r="205" spans="1:49" x14ac:dyDescent="0.2">
      <c r="A205">
        <v>203</v>
      </c>
      <c r="B205" t="s">
        <v>5216</v>
      </c>
      <c r="C205" t="s">
        <v>5215</v>
      </c>
      <c r="F205" t="s">
        <v>5214</v>
      </c>
      <c r="G205" t="s">
        <v>16</v>
      </c>
      <c r="H205" t="s">
        <v>15</v>
      </c>
      <c r="I205" t="s">
        <v>5213</v>
      </c>
      <c r="J205">
        <v>60022109</v>
      </c>
      <c r="K205" t="s">
        <v>1487</v>
      </c>
      <c r="L205" t="s">
        <v>1486</v>
      </c>
      <c r="M205" t="s">
        <v>665</v>
      </c>
      <c r="N205">
        <v>2</v>
      </c>
      <c r="O205" t="s">
        <v>5212</v>
      </c>
      <c r="P205" t="s">
        <v>5211</v>
      </c>
      <c r="Q205" t="s">
        <v>1483</v>
      </c>
      <c r="R205" s="7">
        <v>31413</v>
      </c>
      <c r="S205" s="8">
        <f t="shared" si="24"/>
        <v>1986</v>
      </c>
      <c r="T205" s="8">
        <v>1986</v>
      </c>
      <c r="U205" s="8">
        <f t="shared" si="25"/>
        <v>36</v>
      </c>
      <c r="V205" s="7">
        <v>31413</v>
      </c>
      <c r="W205" t="s">
        <v>4997</v>
      </c>
      <c r="X205" s="2">
        <v>0.22500000000000001</v>
      </c>
      <c r="Y205" s="6">
        <f t="shared" si="30"/>
        <v>6.0062464963562111E-3</v>
      </c>
      <c r="AA205">
        <v>2726343</v>
      </c>
      <c r="AB205">
        <v>16128</v>
      </c>
      <c r="AC205" t="s">
        <v>4996</v>
      </c>
      <c r="AD205" t="s">
        <v>5</v>
      </c>
      <c r="AE205">
        <v>6</v>
      </c>
      <c r="AF205">
        <v>4</v>
      </c>
      <c r="AH205" t="s">
        <v>5210</v>
      </c>
      <c r="AI205" t="s">
        <v>5209</v>
      </c>
      <c r="AK205" t="s">
        <v>5208</v>
      </c>
      <c r="AL205">
        <v>2</v>
      </c>
      <c r="AM205" s="5">
        <f t="shared" si="26"/>
        <v>5.5555555555555552E-2</v>
      </c>
      <c r="AN205" s="4">
        <f t="shared" si="31"/>
        <v>8.4143211746392349E-5</v>
      </c>
      <c r="AO205" s="3"/>
      <c r="AP205">
        <v>0</v>
      </c>
      <c r="AR205" t="s">
        <v>1</v>
      </c>
      <c r="AT205" s="2">
        <v>1.099</v>
      </c>
      <c r="AU205" s="1">
        <f t="shared" si="27"/>
        <v>0.42296155109732653</v>
      </c>
      <c r="AV205" s="1">
        <f t="shared" si="28"/>
        <v>0.30451948540513019</v>
      </c>
      <c r="AW205" s="1">
        <f t="shared" si="29"/>
        <v>0.18607741971293379</v>
      </c>
    </row>
    <row r="206" spans="1:49" x14ac:dyDescent="0.2">
      <c r="A206">
        <v>204</v>
      </c>
      <c r="B206" t="s">
        <v>5207</v>
      </c>
      <c r="C206" t="s">
        <v>5206</v>
      </c>
      <c r="D206">
        <v>360301686900131</v>
      </c>
      <c r="E206">
        <v>3793551</v>
      </c>
      <c r="F206" t="s">
        <v>5205</v>
      </c>
      <c r="G206" t="s">
        <v>16</v>
      </c>
      <c r="H206" t="s">
        <v>15</v>
      </c>
      <c r="I206" t="s">
        <v>5204</v>
      </c>
      <c r="J206">
        <v>60030443</v>
      </c>
      <c r="K206" t="s">
        <v>2671</v>
      </c>
      <c r="L206" t="s">
        <v>2670</v>
      </c>
      <c r="M206" t="s">
        <v>114</v>
      </c>
      <c r="N206">
        <v>2</v>
      </c>
      <c r="O206" t="s">
        <v>5203</v>
      </c>
      <c r="P206" t="s">
        <v>5202</v>
      </c>
      <c r="Q206" t="s">
        <v>5201</v>
      </c>
      <c r="R206" s="7">
        <v>31413</v>
      </c>
      <c r="S206" s="8">
        <f t="shared" si="24"/>
        <v>1986</v>
      </c>
      <c r="T206" s="8">
        <v>1986</v>
      </c>
      <c r="U206" s="8">
        <f t="shared" si="25"/>
        <v>36</v>
      </c>
      <c r="V206" s="7">
        <v>31747</v>
      </c>
      <c r="W206" t="s">
        <v>5088</v>
      </c>
      <c r="X206" s="2" t="s">
        <v>0</v>
      </c>
      <c r="Y206" s="6" t="e">
        <f t="shared" si="30"/>
        <v>#VALUE!</v>
      </c>
      <c r="AA206">
        <v>3603016</v>
      </c>
      <c r="AB206">
        <v>17191</v>
      </c>
      <c r="AD206" t="s">
        <v>5</v>
      </c>
      <c r="AE206">
        <v>12</v>
      </c>
      <c r="AF206">
        <v>12</v>
      </c>
      <c r="AH206" t="s">
        <v>5200</v>
      </c>
      <c r="AI206" t="s">
        <v>5199</v>
      </c>
      <c r="AJ206" t="s">
        <v>5198</v>
      </c>
      <c r="AK206" t="s">
        <v>5197</v>
      </c>
      <c r="AL206">
        <v>57</v>
      </c>
      <c r="AM206" s="5">
        <f t="shared" si="26"/>
        <v>1.5833333333333333</v>
      </c>
      <c r="AN206" s="4">
        <f t="shared" si="31"/>
        <v>2.3980815347721821E-3</v>
      </c>
      <c r="AO206" s="3"/>
      <c r="AP206">
        <v>0</v>
      </c>
      <c r="AQ206" t="s">
        <v>2442</v>
      </c>
      <c r="AR206" t="s">
        <v>5196</v>
      </c>
      <c r="AS206" t="s">
        <v>2440</v>
      </c>
      <c r="AT206" s="2" t="s">
        <v>0</v>
      </c>
      <c r="AU206" s="1" t="e">
        <f t="shared" si="27"/>
        <v>#VALUE!</v>
      </c>
      <c r="AV206" s="1" t="e">
        <f t="shared" si="28"/>
        <v>#VALUE!</v>
      </c>
      <c r="AW206" s="1" t="e">
        <f t="shared" si="29"/>
        <v>#VALUE!</v>
      </c>
    </row>
    <row r="207" spans="1:49" x14ac:dyDescent="0.2">
      <c r="A207">
        <v>205</v>
      </c>
      <c r="B207" t="s">
        <v>5195</v>
      </c>
      <c r="C207" t="s">
        <v>5194</v>
      </c>
      <c r="E207">
        <v>2430326</v>
      </c>
      <c r="F207" t="s">
        <v>5193</v>
      </c>
      <c r="G207" t="s">
        <v>16</v>
      </c>
      <c r="H207" t="s">
        <v>15</v>
      </c>
      <c r="I207" t="s">
        <v>5192</v>
      </c>
      <c r="J207" t="s">
        <v>5191</v>
      </c>
      <c r="K207" t="s">
        <v>5190</v>
      </c>
      <c r="L207" t="s">
        <v>5189</v>
      </c>
      <c r="M207" t="s">
        <v>157</v>
      </c>
      <c r="N207">
        <v>2</v>
      </c>
      <c r="O207" t="s">
        <v>5188</v>
      </c>
      <c r="P207" t="s">
        <v>5187</v>
      </c>
      <c r="Q207" t="s">
        <v>5186</v>
      </c>
      <c r="R207" s="7">
        <v>31413</v>
      </c>
      <c r="S207" s="8">
        <f t="shared" si="24"/>
        <v>1986</v>
      </c>
      <c r="T207" s="8">
        <v>1986</v>
      </c>
      <c r="U207" s="8">
        <f t="shared" si="25"/>
        <v>36</v>
      </c>
      <c r="V207" s="7">
        <v>1986</v>
      </c>
      <c r="W207" t="s">
        <v>5185</v>
      </c>
      <c r="X207" s="2" t="s">
        <v>0</v>
      </c>
      <c r="Y207" s="6" t="e">
        <f t="shared" si="30"/>
        <v>#VALUE!</v>
      </c>
      <c r="AA207">
        <v>87560437</v>
      </c>
      <c r="AB207">
        <v>38656</v>
      </c>
      <c r="AC207">
        <v>10982388</v>
      </c>
      <c r="AD207" t="s">
        <v>5</v>
      </c>
      <c r="AE207">
        <v>2</v>
      </c>
      <c r="AF207">
        <v>1</v>
      </c>
      <c r="AH207" t="s">
        <v>5184</v>
      </c>
      <c r="AI207" t="s">
        <v>5183</v>
      </c>
      <c r="AJ207" t="s">
        <v>5182</v>
      </c>
      <c r="AK207" t="s">
        <v>5181</v>
      </c>
      <c r="AL207">
        <v>23</v>
      </c>
      <c r="AM207" s="5">
        <f t="shared" si="26"/>
        <v>0.63888888888888884</v>
      </c>
      <c r="AN207" s="4">
        <f t="shared" si="31"/>
        <v>9.676469350835121E-4</v>
      </c>
      <c r="AO207" s="3"/>
      <c r="AP207">
        <v>0</v>
      </c>
      <c r="AR207" t="s">
        <v>1</v>
      </c>
      <c r="AT207" s="2" t="s">
        <v>0</v>
      </c>
      <c r="AU207" s="1" t="e">
        <f t="shared" si="27"/>
        <v>#VALUE!</v>
      </c>
      <c r="AV207" s="1" t="e">
        <f t="shared" si="28"/>
        <v>#VALUE!</v>
      </c>
      <c r="AW207" s="1" t="e">
        <f t="shared" si="29"/>
        <v>#VALUE!</v>
      </c>
    </row>
    <row r="208" spans="1:49" x14ac:dyDescent="0.2">
      <c r="A208">
        <v>206</v>
      </c>
      <c r="B208" t="s">
        <v>5180</v>
      </c>
      <c r="C208" t="s">
        <v>5179</v>
      </c>
      <c r="F208" t="s">
        <v>5178</v>
      </c>
      <c r="G208" t="s">
        <v>16</v>
      </c>
      <c r="H208" t="s">
        <v>15</v>
      </c>
      <c r="I208" t="s">
        <v>5177</v>
      </c>
      <c r="J208">
        <v>60009037</v>
      </c>
      <c r="K208" t="s">
        <v>1642</v>
      </c>
      <c r="L208" t="s">
        <v>1641</v>
      </c>
      <c r="M208" t="s">
        <v>114</v>
      </c>
      <c r="N208">
        <v>2</v>
      </c>
      <c r="O208" t="s">
        <v>5176</v>
      </c>
      <c r="P208" t="s">
        <v>5175</v>
      </c>
      <c r="Q208" t="s">
        <v>5174</v>
      </c>
      <c r="R208" s="7">
        <v>31413</v>
      </c>
      <c r="S208" s="8">
        <f t="shared" si="24"/>
        <v>1986</v>
      </c>
      <c r="T208" s="8">
        <v>1986</v>
      </c>
      <c r="U208" s="8">
        <f t="shared" si="25"/>
        <v>36</v>
      </c>
      <c r="V208" s="7">
        <v>31413</v>
      </c>
      <c r="W208" t="s">
        <v>4997</v>
      </c>
      <c r="X208" s="2">
        <v>0.22500000000000001</v>
      </c>
      <c r="Y208" s="6">
        <f t="shared" si="30"/>
        <v>6.0062464963562111E-3</v>
      </c>
      <c r="AA208">
        <v>2726343</v>
      </c>
      <c r="AB208">
        <v>16128</v>
      </c>
      <c r="AC208" t="s">
        <v>4996</v>
      </c>
      <c r="AD208" t="s">
        <v>5</v>
      </c>
      <c r="AE208">
        <v>6</v>
      </c>
      <c r="AF208">
        <v>4</v>
      </c>
      <c r="AH208" t="s">
        <v>5173</v>
      </c>
      <c r="AI208" t="s">
        <v>5172</v>
      </c>
      <c r="AK208" t="s">
        <v>5171</v>
      </c>
      <c r="AL208">
        <v>1</v>
      </c>
      <c r="AM208" s="5">
        <f t="shared" si="26"/>
        <v>2.7777777777777776E-2</v>
      </c>
      <c r="AN208" s="4">
        <f t="shared" si="31"/>
        <v>4.2071605873196175E-5</v>
      </c>
      <c r="AO208" s="3"/>
      <c r="AP208">
        <v>0</v>
      </c>
      <c r="AQ208" t="s">
        <v>5170</v>
      </c>
      <c r="AR208" t="s">
        <v>1</v>
      </c>
      <c r="AS208" t="s">
        <v>5169</v>
      </c>
      <c r="AT208" s="2">
        <v>1.099</v>
      </c>
      <c r="AU208" s="1">
        <f t="shared" si="27"/>
        <v>0.42169940292113062</v>
      </c>
      <c r="AV208" s="1">
        <f t="shared" si="28"/>
        <v>0.30241590511147037</v>
      </c>
      <c r="AW208" s="1">
        <f t="shared" si="29"/>
        <v>0.18313240730181005</v>
      </c>
    </row>
    <row r="209" spans="1:49" x14ac:dyDescent="0.2">
      <c r="A209">
        <v>207</v>
      </c>
      <c r="B209" t="s">
        <v>5168</v>
      </c>
      <c r="C209" t="s">
        <v>5167</v>
      </c>
      <c r="E209">
        <v>3747821</v>
      </c>
      <c r="F209" t="s">
        <v>5166</v>
      </c>
      <c r="G209" t="s">
        <v>16</v>
      </c>
      <c r="H209" t="s">
        <v>15</v>
      </c>
      <c r="I209" t="s">
        <v>5165</v>
      </c>
      <c r="J209" t="s">
        <v>5164</v>
      </c>
      <c r="K209" t="s">
        <v>5163</v>
      </c>
      <c r="L209" t="s">
        <v>5162</v>
      </c>
      <c r="M209" t="s">
        <v>783</v>
      </c>
      <c r="N209">
        <v>4</v>
      </c>
      <c r="O209" t="s">
        <v>5161</v>
      </c>
      <c r="P209" t="s">
        <v>5160</v>
      </c>
      <c r="Q209" t="s">
        <v>5159</v>
      </c>
      <c r="R209" s="7">
        <v>31413</v>
      </c>
      <c r="S209" s="8">
        <f t="shared" si="24"/>
        <v>1986</v>
      </c>
      <c r="T209" s="8">
        <v>1986</v>
      </c>
      <c r="U209" s="8">
        <f t="shared" si="25"/>
        <v>36</v>
      </c>
      <c r="V209" s="7">
        <v>31625</v>
      </c>
      <c r="W209" t="s">
        <v>1062</v>
      </c>
      <c r="X209" s="2">
        <v>1.696</v>
      </c>
      <c r="Y209" s="6">
        <f t="shared" si="30"/>
        <v>4.5273751368089483E-2</v>
      </c>
      <c r="AA209">
        <v>7403194</v>
      </c>
      <c r="AB209">
        <v>17267</v>
      </c>
      <c r="AC209">
        <v>15222594</v>
      </c>
      <c r="AD209" t="s">
        <v>5</v>
      </c>
      <c r="AE209">
        <v>3</v>
      </c>
      <c r="AF209">
        <v>4</v>
      </c>
      <c r="AH209" t="s">
        <v>5158</v>
      </c>
      <c r="AI209" t="s">
        <v>5157</v>
      </c>
      <c r="AK209" t="s">
        <v>5156</v>
      </c>
      <c r="AL209">
        <v>563</v>
      </c>
      <c r="AM209" s="5">
        <f t="shared" si="26"/>
        <v>15.638888888888889</v>
      </c>
      <c r="AN209" s="4">
        <f t="shared" si="31"/>
        <v>2.368631410660945E-2</v>
      </c>
      <c r="AO209" s="3"/>
      <c r="AP209">
        <v>0</v>
      </c>
      <c r="AR209" t="s">
        <v>1</v>
      </c>
      <c r="AT209" s="2">
        <v>4.6680000000000001</v>
      </c>
      <c r="AU209" s="1">
        <f t="shared" si="27"/>
        <v>3.8797520189645476</v>
      </c>
      <c r="AV209" s="1">
        <f t="shared" si="28"/>
        <v>3.4480032737349466</v>
      </c>
      <c r="AW209" s="1">
        <f t="shared" si="29"/>
        <v>3.0162545285053457</v>
      </c>
    </row>
    <row r="210" spans="1:49" x14ac:dyDescent="0.2">
      <c r="A210">
        <v>208</v>
      </c>
      <c r="B210" t="s">
        <v>5155</v>
      </c>
      <c r="C210" t="s">
        <v>5154</v>
      </c>
      <c r="E210">
        <v>3796485</v>
      </c>
      <c r="F210" t="s">
        <v>5153</v>
      </c>
      <c r="G210" t="s">
        <v>16</v>
      </c>
      <c r="H210" t="s">
        <v>15</v>
      </c>
      <c r="I210" t="s">
        <v>5152</v>
      </c>
      <c r="J210">
        <v>60006164</v>
      </c>
      <c r="K210" t="s">
        <v>5151</v>
      </c>
      <c r="L210" t="s">
        <v>5150</v>
      </c>
      <c r="M210" t="s">
        <v>114</v>
      </c>
      <c r="N210">
        <v>2</v>
      </c>
      <c r="O210" t="s">
        <v>5149</v>
      </c>
      <c r="P210" t="s">
        <v>5148</v>
      </c>
      <c r="Q210" t="s">
        <v>5147</v>
      </c>
      <c r="R210" s="7">
        <v>31413</v>
      </c>
      <c r="S210" s="8">
        <f t="shared" si="24"/>
        <v>1986</v>
      </c>
      <c r="T210" s="8">
        <v>1986</v>
      </c>
      <c r="U210" s="8">
        <f t="shared" si="25"/>
        <v>36</v>
      </c>
      <c r="V210" s="7">
        <v>31717</v>
      </c>
      <c r="W210" t="s">
        <v>5146</v>
      </c>
      <c r="X210" s="2">
        <v>1.4730000000000001</v>
      </c>
      <c r="Y210" s="6">
        <f t="shared" si="30"/>
        <v>3.9320893729478661E-2</v>
      </c>
      <c r="AA210">
        <v>942405</v>
      </c>
      <c r="AB210">
        <v>17871</v>
      </c>
      <c r="AD210" t="s">
        <v>5</v>
      </c>
      <c r="AE210">
        <v>13</v>
      </c>
      <c r="AF210">
        <v>6</v>
      </c>
      <c r="AH210" t="s">
        <v>5145</v>
      </c>
      <c r="AI210" t="s">
        <v>5144</v>
      </c>
      <c r="AJ210" t="s">
        <v>5143</v>
      </c>
      <c r="AK210" t="s">
        <v>5142</v>
      </c>
      <c r="AL210">
        <v>2</v>
      </c>
      <c r="AM210" s="5">
        <f t="shared" si="26"/>
        <v>5.5555555555555552E-2</v>
      </c>
      <c r="AN210" s="4">
        <f t="shared" si="31"/>
        <v>8.4143211746392349E-5</v>
      </c>
      <c r="AO210" s="3"/>
      <c r="AP210">
        <v>0</v>
      </c>
      <c r="AR210" t="s">
        <v>1</v>
      </c>
      <c r="AT210" s="2">
        <v>4.0709999999999997</v>
      </c>
      <c r="AU210" s="1">
        <f t="shared" si="27"/>
        <v>2.754986857415898</v>
      </c>
      <c r="AV210" s="1">
        <f t="shared" si="28"/>
        <v>1.9702518470612527</v>
      </c>
      <c r="AW210" s="1">
        <f t="shared" si="29"/>
        <v>1.1855168367066073</v>
      </c>
    </row>
    <row r="211" spans="1:49" x14ac:dyDescent="0.2">
      <c r="A211">
        <v>209</v>
      </c>
      <c r="B211" t="s">
        <v>5141</v>
      </c>
      <c r="C211" t="s">
        <v>5140</v>
      </c>
      <c r="F211" t="s">
        <v>5139</v>
      </c>
      <c r="G211" t="s">
        <v>16</v>
      </c>
      <c r="H211" t="s">
        <v>15</v>
      </c>
      <c r="I211" t="s">
        <v>5138</v>
      </c>
      <c r="J211">
        <v>60033154</v>
      </c>
      <c r="K211" t="s">
        <v>3879</v>
      </c>
      <c r="L211" t="s">
        <v>3878</v>
      </c>
      <c r="M211" t="s">
        <v>616</v>
      </c>
      <c r="N211">
        <v>1</v>
      </c>
      <c r="O211" t="s">
        <v>5137</v>
      </c>
      <c r="P211">
        <v>7004584615</v>
      </c>
      <c r="Q211">
        <v>60033154</v>
      </c>
      <c r="R211" s="7">
        <v>31413</v>
      </c>
      <c r="S211" s="8">
        <f t="shared" ref="S211:S274" si="32">YEAR(R211)</f>
        <v>1986</v>
      </c>
      <c r="T211" s="8">
        <v>1986</v>
      </c>
      <c r="U211" s="8">
        <f t="shared" ref="U211:U274" si="33">2022-T211</f>
        <v>36</v>
      </c>
      <c r="V211" s="7">
        <v>31413</v>
      </c>
      <c r="W211" t="s">
        <v>4997</v>
      </c>
      <c r="X211" s="2">
        <v>0.22500000000000001</v>
      </c>
      <c r="Y211" s="6">
        <f t="shared" si="30"/>
        <v>6.0062464963562111E-3</v>
      </c>
      <c r="AA211">
        <v>2726343</v>
      </c>
      <c r="AB211">
        <v>16128</v>
      </c>
      <c r="AC211" t="s">
        <v>4996</v>
      </c>
      <c r="AD211" t="s">
        <v>5</v>
      </c>
      <c r="AE211">
        <v>6</v>
      </c>
      <c r="AF211">
        <v>2</v>
      </c>
      <c r="AH211" t="s">
        <v>5136</v>
      </c>
      <c r="AI211" t="s">
        <v>5135</v>
      </c>
      <c r="AK211" t="s">
        <v>5134</v>
      </c>
      <c r="AL211">
        <v>1</v>
      </c>
      <c r="AM211" s="5">
        <f t="shared" ref="AM211:AM274" si="34">AL211/U211</f>
        <v>2.7777777777777776E-2</v>
      </c>
      <c r="AN211" s="4">
        <f t="shared" si="31"/>
        <v>4.2071605873196175E-5</v>
      </c>
      <c r="AO211" s="3"/>
      <c r="AP211">
        <v>0</v>
      </c>
      <c r="AR211" t="s">
        <v>1</v>
      </c>
      <c r="AT211" s="2">
        <v>1.099</v>
      </c>
      <c r="AU211" s="1">
        <f t="shared" ref="AU211:AU274" si="35">(Y211*0.7+AN211*0.3)*100</f>
        <v>0.42169940292113062</v>
      </c>
      <c r="AV211" s="1">
        <f t="shared" ref="AV211:AV274" si="36">(Y211*0.5+AN211*0.5)*100</f>
        <v>0.30241590511147037</v>
      </c>
      <c r="AW211" s="1">
        <f t="shared" ref="AW211:AW274" si="37">(Y211*0.3+AN211*0.7)*100</f>
        <v>0.18313240730181005</v>
      </c>
    </row>
    <row r="212" spans="1:49" x14ac:dyDescent="0.2">
      <c r="A212">
        <v>210</v>
      </c>
      <c r="B212" t="s">
        <v>5133</v>
      </c>
      <c r="C212" t="s">
        <v>5132</v>
      </c>
      <c r="F212" t="s">
        <v>5131</v>
      </c>
      <c r="G212" t="s">
        <v>16</v>
      </c>
      <c r="H212" t="s">
        <v>15</v>
      </c>
      <c r="I212" t="s">
        <v>5130</v>
      </c>
      <c r="J212">
        <v>60019947</v>
      </c>
      <c r="K212" t="s">
        <v>2086</v>
      </c>
      <c r="L212" t="s">
        <v>2085</v>
      </c>
      <c r="M212" t="s">
        <v>114</v>
      </c>
      <c r="N212">
        <v>1</v>
      </c>
      <c r="O212" t="s">
        <v>5129</v>
      </c>
      <c r="P212">
        <v>7402806330</v>
      </c>
      <c r="Q212">
        <v>60019947</v>
      </c>
      <c r="R212" s="7">
        <v>31413</v>
      </c>
      <c r="S212" s="8">
        <f t="shared" si="32"/>
        <v>1986</v>
      </c>
      <c r="T212" s="8">
        <v>1986</v>
      </c>
      <c r="U212" s="8">
        <f t="shared" si="33"/>
        <v>36</v>
      </c>
      <c r="V212" s="7">
        <v>31413</v>
      </c>
      <c r="W212" t="s">
        <v>4997</v>
      </c>
      <c r="X212" s="2">
        <v>0.22500000000000001</v>
      </c>
      <c r="Y212" s="6">
        <f t="shared" si="30"/>
        <v>6.0062464963562111E-3</v>
      </c>
      <c r="AA212">
        <v>2726343</v>
      </c>
      <c r="AB212">
        <v>16128</v>
      </c>
      <c r="AC212" t="s">
        <v>4996</v>
      </c>
      <c r="AD212" t="s">
        <v>5</v>
      </c>
      <c r="AE212">
        <v>6</v>
      </c>
      <c r="AF212">
        <v>2</v>
      </c>
      <c r="AH212" t="s">
        <v>5128</v>
      </c>
      <c r="AL212">
        <v>12</v>
      </c>
      <c r="AM212" s="5">
        <f t="shared" si="34"/>
        <v>0.33333333333333331</v>
      </c>
      <c r="AN212" s="4">
        <f t="shared" si="31"/>
        <v>5.048592704783541E-4</v>
      </c>
      <c r="AO212" s="3"/>
      <c r="AP212">
        <v>0</v>
      </c>
      <c r="AR212" t="s">
        <v>5127</v>
      </c>
      <c r="AT212" s="2">
        <v>1.099</v>
      </c>
      <c r="AU212" s="1">
        <f t="shared" si="35"/>
        <v>0.4355830328592854</v>
      </c>
      <c r="AV212" s="1">
        <f t="shared" si="36"/>
        <v>0.32555528834172826</v>
      </c>
      <c r="AW212" s="1">
        <f t="shared" si="37"/>
        <v>0.21552754382417111</v>
      </c>
    </row>
    <row r="213" spans="1:49" x14ac:dyDescent="0.2">
      <c r="A213">
        <v>211</v>
      </c>
      <c r="B213" t="s">
        <v>5126</v>
      </c>
      <c r="C213" t="s">
        <v>5125</v>
      </c>
      <c r="F213" t="s">
        <v>5124</v>
      </c>
      <c r="G213" t="s">
        <v>16</v>
      </c>
      <c r="H213" t="s">
        <v>15</v>
      </c>
      <c r="I213" t="s">
        <v>3557</v>
      </c>
      <c r="J213">
        <v>60009697</v>
      </c>
      <c r="K213" t="s">
        <v>1131</v>
      </c>
      <c r="L213" t="s">
        <v>1140</v>
      </c>
      <c r="M213" t="s">
        <v>616</v>
      </c>
      <c r="N213">
        <v>2</v>
      </c>
      <c r="O213" t="s">
        <v>3556</v>
      </c>
      <c r="P213" t="s">
        <v>3555</v>
      </c>
      <c r="Q213" t="s">
        <v>1564</v>
      </c>
      <c r="R213" s="7">
        <v>31413</v>
      </c>
      <c r="S213" s="8">
        <f t="shared" si="32"/>
        <v>1986</v>
      </c>
      <c r="T213" s="8">
        <v>1986</v>
      </c>
      <c r="U213" s="8">
        <f t="shared" si="33"/>
        <v>36</v>
      </c>
      <c r="V213" s="7">
        <v>31413</v>
      </c>
      <c r="W213" t="s">
        <v>4997</v>
      </c>
      <c r="X213" s="2">
        <v>0.22500000000000001</v>
      </c>
      <c r="Y213" s="6">
        <f t="shared" si="30"/>
        <v>6.0062464963562111E-3</v>
      </c>
      <c r="AA213">
        <v>2726343</v>
      </c>
      <c r="AB213">
        <v>16128</v>
      </c>
      <c r="AC213" t="s">
        <v>4996</v>
      </c>
      <c r="AD213" t="s">
        <v>5</v>
      </c>
      <c r="AE213">
        <v>6</v>
      </c>
      <c r="AF213">
        <v>4</v>
      </c>
      <c r="AH213" t="s">
        <v>5123</v>
      </c>
      <c r="AI213" t="s">
        <v>5122</v>
      </c>
      <c r="AK213" t="s">
        <v>5121</v>
      </c>
      <c r="AL213">
        <v>0</v>
      </c>
      <c r="AM213" s="5">
        <f t="shared" si="34"/>
        <v>0</v>
      </c>
      <c r="AN213" s="4">
        <f t="shared" si="31"/>
        <v>0</v>
      </c>
      <c r="AO213" s="3"/>
      <c r="AP213">
        <v>0</v>
      </c>
      <c r="AR213" t="s">
        <v>1</v>
      </c>
      <c r="AT213" s="2">
        <v>1.099</v>
      </c>
      <c r="AU213" s="1">
        <f t="shared" si="35"/>
        <v>0.42043725474493476</v>
      </c>
      <c r="AV213" s="1">
        <f t="shared" si="36"/>
        <v>0.30031232481781056</v>
      </c>
      <c r="AW213" s="1">
        <f t="shared" si="37"/>
        <v>0.18018739489068633</v>
      </c>
    </row>
    <row r="214" spans="1:49" x14ac:dyDescent="0.2">
      <c r="A214">
        <v>212</v>
      </c>
      <c r="B214" t="s">
        <v>5120</v>
      </c>
      <c r="C214" t="s">
        <v>5119</v>
      </c>
      <c r="F214" t="s">
        <v>5118</v>
      </c>
      <c r="G214" t="s">
        <v>16</v>
      </c>
      <c r="H214" t="s">
        <v>15</v>
      </c>
      <c r="I214" t="s">
        <v>5117</v>
      </c>
      <c r="J214">
        <v>60031040</v>
      </c>
      <c r="K214" t="s">
        <v>5116</v>
      </c>
      <c r="L214" t="s">
        <v>5115</v>
      </c>
      <c r="M214" t="s">
        <v>3192</v>
      </c>
      <c r="N214">
        <v>4</v>
      </c>
      <c r="O214" t="s">
        <v>5114</v>
      </c>
      <c r="P214" t="s">
        <v>5113</v>
      </c>
      <c r="Q214" t="s">
        <v>5112</v>
      </c>
      <c r="R214" s="7">
        <v>31413</v>
      </c>
      <c r="S214" s="8">
        <f t="shared" si="32"/>
        <v>1986</v>
      </c>
      <c r="T214" s="8">
        <v>1986</v>
      </c>
      <c r="U214" s="8">
        <f t="shared" si="33"/>
        <v>36</v>
      </c>
      <c r="V214" s="7">
        <v>1986</v>
      </c>
      <c r="W214" t="s">
        <v>5111</v>
      </c>
      <c r="X214" s="2" t="s">
        <v>0</v>
      </c>
      <c r="Y214" s="6" t="e">
        <f t="shared" si="30"/>
        <v>#VALUE!</v>
      </c>
      <c r="AA214">
        <v>221287</v>
      </c>
      <c r="AB214">
        <v>36869</v>
      </c>
      <c r="AD214" t="s">
        <v>5</v>
      </c>
      <c r="AE214">
        <v>132</v>
      </c>
      <c r="AF214">
        <v>11</v>
      </c>
      <c r="AH214" t="s">
        <v>5110</v>
      </c>
      <c r="AL214">
        <v>3</v>
      </c>
      <c r="AM214" s="5">
        <f t="shared" si="34"/>
        <v>8.3333333333333329E-2</v>
      </c>
      <c r="AN214" s="4">
        <f t="shared" si="31"/>
        <v>1.2621481761958852E-4</v>
      </c>
      <c r="AO214" s="3"/>
      <c r="AP214">
        <v>1</v>
      </c>
      <c r="AR214" t="s">
        <v>1</v>
      </c>
      <c r="AT214" s="2" t="s">
        <v>0</v>
      </c>
      <c r="AU214" s="1" t="e">
        <f t="shared" si="35"/>
        <v>#VALUE!</v>
      </c>
      <c r="AV214" s="1" t="e">
        <f t="shared" si="36"/>
        <v>#VALUE!</v>
      </c>
      <c r="AW214" s="1" t="e">
        <f t="shared" si="37"/>
        <v>#VALUE!</v>
      </c>
    </row>
    <row r="215" spans="1:49" x14ac:dyDescent="0.2">
      <c r="A215">
        <v>213</v>
      </c>
      <c r="B215" t="s">
        <v>5109</v>
      </c>
      <c r="C215" t="s">
        <v>5108</v>
      </c>
      <c r="E215">
        <v>3532117</v>
      </c>
      <c r="F215" t="s">
        <v>5107</v>
      </c>
      <c r="G215" t="s">
        <v>16</v>
      </c>
      <c r="H215" t="s">
        <v>15</v>
      </c>
      <c r="I215" t="s">
        <v>4697</v>
      </c>
      <c r="J215">
        <v>60025038</v>
      </c>
      <c r="K215" t="s">
        <v>4696</v>
      </c>
      <c r="L215" t="s">
        <v>4695</v>
      </c>
      <c r="M215" t="s">
        <v>114</v>
      </c>
      <c r="N215">
        <v>2</v>
      </c>
      <c r="O215" t="s">
        <v>5106</v>
      </c>
      <c r="P215" t="s">
        <v>5105</v>
      </c>
      <c r="Q215" t="s">
        <v>5104</v>
      </c>
      <c r="R215" s="7">
        <v>31413</v>
      </c>
      <c r="S215" s="8">
        <f t="shared" si="32"/>
        <v>1986</v>
      </c>
      <c r="T215" s="8">
        <v>1986</v>
      </c>
      <c r="U215" s="8">
        <f t="shared" si="33"/>
        <v>36</v>
      </c>
      <c r="V215" s="7">
        <v>1986</v>
      </c>
      <c r="W215" t="s">
        <v>700</v>
      </c>
      <c r="X215" s="2">
        <v>5.0110000000000001</v>
      </c>
      <c r="Y215" s="6">
        <f t="shared" si="30"/>
        <v>0.13376578308107098</v>
      </c>
      <c r="AA215">
        <v>278424</v>
      </c>
      <c r="AB215">
        <v>21121</v>
      </c>
      <c r="AD215" t="s">
        <v>5</v>
      </c>
      <c r="AE215">
        <v>83</v>
      </c>
      <c r="AF215">
        <v>20</v>
      </c>
      <c r="AH215" t="s">
        <v>5103</v>
      </c>
      <c r="AI215" t="s">
        <v>5102</v>
      </c>
      <c r="AK215" t="s">
        <v>5101</v>
      </c>
      <c r="AL215">
        <v>39</v>
      </c>
      <c r="AM215" s="5">
        <f t="shared" si="34"/>
        <v>1.0833333333333333</v>
      </c>
      <c r="AN215" s="4">
        <f t="shared" si="31"/>
        <v>1.6407926290546509E-3</v>
      </c>
      <c r="AO215" s="3"/>
      <c r="AP215">
        <v>1</v>
      </c>
      <c r="AQ215" t="s">
        <v>5100</v>
      </c>
      <c r="AR215" t="s">
        <v>5099</v>
      </c>
      <c r="AS215" t="s">
        <v>5098</v>
      </c>
      <c r="AT215" s="2" t="s">
        <v>0</v>
      </c>
      <c r="AU215" s="1">
        <f t="shared" si="35"/>
        <v>9.4128285945466068</v>
      </c>
      <c r="AV215" s="1">
        <f t="shared" si="36"/>
        <v>6.7703287855062815</v>
      </c>
      <c r="AW215" s="1">
        <f t="shared" si="37"/>
        <v>4.1278289764659544</v>
      </c>
    </row>
    <row r="216" spans="1:49" x14ac:dyDescent="0.2">
      <c r="A216">
        <v>214</v>
      </c>
      <c r="B216" t="s">
        <v>5097</v>
      </c>
      <c r="C216" t="s">
        <v>5096</v>
      </c>
      <c r="D216" t="s">
        <v>5095</v>
      </c>
      <c r="E216">
        <v>3759593</v>
      </c>
      <c r="F216" t="s">
        <v>5094</v>
      </c>
      <c r="G216" t="s">
        <v>16</v>
      </c>
      <c r="H216" t="s">
        <v>15</v>
      </c>
      <c r="I216" t="s">
        <v>5093</v>
      </c>
      <c r="J216">
        <v>100577629</v>
      </c>
      <c r="K216" t="s">
        <v>5092</v>
      </c>
      <c r="L216" t="s">
        <v>809</v>
      </c>
      <c r="M216" t="s">
        <v>114</v>
      </c>
      <c r="N216">
        <v>5</v>
      </c>
      <c r="O216" t="s">
        <v>5091</v>
      </c>
      <c r="P216" t="s">
        <v>5090</v>
      </c>
      <c r="Q216" t="s">
        <v>5089</v>
      </c>
      <c r="R216" s="7">
        <v>31413</v>
      </c>
      <c r="S216" s="8">
        <f t="shared" si="32"/>
        <v>1986</v>
      </c>
      <c r="T216" s="8">
        <v>1986</v>
      </c>
      <c r="U216" s="8">
        <f t="shared" si="33"/>
        <v>36</v>
      </c>
      <c r="V216" s="7">
        <v>31656</v>
      </c>
      <c r="W216" t="s">
        <v>5088</v>
      </c>
      <c r="X216" s="2" t="s">
        <v>0</v>
      </c>
      <c r="Y216" s="6" t="e">
        <f t="shared" si="30"/>
        <v>#VALUE!</v>
      </c>
      <c r="AA216">
        <v>3603016</v>
      </c>
      <c r="AB216">
        <v>17191</v>
      </c>
      <c r="AD216" t="s">
        <v>5</v>
      </c>
      <c r="AE216">
        <v>12</v>
      </c>
      <c r="AF216">
        <v>9</v>
      </c>
      <c r="AH216" t="s">
        <v>5087</v>
      </c>
      <c r="AI216" t="s">
        <v>5086</v>
      </c>
      <c r="AJ216" t="s">
        <v>5085</v>
      </c>
      <c r="AK216" t="s">
        <v>5084</v>
      </c>
      <c r="AL216">
        <v>15</v>
      </c>
      <c r="AM216" s="5">
        <f t="shared" si="34"/>
        <v>0.41666666666666669</v>
      </c>
      <c r="AN216" s="4">
        <f t="shared" si="31"/>
        <v>6.310740880979427E-4</v>
      </c>
      <c r="AO216" s="3"/>
      <c r="AP216">
        <v>0</v>
      </c>
      <c r="AR216" t="s">
        <v>1</v>
      </c>
      <c r="AT216" s="2" t="s">
        <v>0</v>
      </c>
      <c r="AU216" s="1" t="e">
        <f t="shared" si="35"/>
        <v>#VALUE!</v>
      </c>
      <c r="AV216" s="1" t="e">
        <f t="shared" si="36"/>
        <v>#VALUE!</v>
      </c>
      <c r="AW216" s="1" t="e">
        <f t="shared" si="37"/>
        <v>#VALUE!</v>
      </c>
    </row>
    <row r="217" spans="1:49" x14ac:dyDescent="0.2">
      <c r="A217">
        <v>215</v>
      </c>
      <c r="B217" t="s">
        <v>5083</v>
      </c>
      <c r="C217" t="s">
        <v>5082</v>
      </c>
      <c r="F217" t="s">
        <v>5081</v>
      </c>
      <c r="G217" t="s">
        <v>16</v>
      </c>
      <c r="H217" t="s">
        <v>15</v>
      </c>
      <c r="I217" t="s">
        <v>5080</v>
      </c>
      <c r="J217" t="s">
        <v>5076</v>
      </c>
      <c r="K217" t="s">
        <v>5079</v>
      </c>
      <c r="L217" t="s">
        <v>5078</v>
      </c>
      <c r="M217" t="s">
        <v>5077</v>
      </c>
      <c r="N217">
        <v>2</v>
      </c>
      <c r="O217" t="s">
        <v>4144</v>
      </c>
      <c r="P217" t="s">
        <v>4143</v>
      </c>
      <c r="Q217" t="s">
        <v>5076</v>
      </c>
      <c r="R217" s="7">
        <v>31413</v>
      </c>
      <c r="S217" s="8">
        <f t="shared" si="32"/>
        <v>1986</v>
      </c>
      <c r="T217" s="8">
        <v>1986</v>
      </c>
      <c r="U217" s="8">
        <f t="shared" si="33"/>
        <v>36</v>
      </c>
      <c r="V217" s="7">
        <v>31413</v>
      </c>
      <c r="W217" t="s">
        <v>4997</v>
      </c>
      <c r="X217" s="2">
        <v>0.22500000000000001</v>
      </c>
      <c r="Y217" s="6">
        <f t="shared" si="30"/>
        <v>6.0062464963562111E-3</v>
      </c>
      <c r="AA217">
        <v>2726343</v>
      </c>
      <c r="AB217">
        <v>16128</v>
      </c>
      <c r="AC217" t="s">
        <v>4996</v>
      </c>
      <c r="AD217" t="s">
        <v>5</v>
      </c>
      <c r="AE217">
        <v>6</v>
      </c>
      <c r="AF217">
        <v>3</v>
      </c>
      <c r="AH217" t="s">
        <v>5075</v>
      </c>
      <c r="AI217" t="s">
        <v>5074</v>
      </c>
      <c r="AK217" t="s">
        <v>5073</v>
      </c>
      <c r="AL217">
        <v>8</v>
      </c>
      <c r="AM217" s="5">
        <f t="shared" si="34"/>
        <v>0.22222222222222221</v>
      </c>
      <c r="AN217" s="4">
        <f t="shared" si="31"/>
        <v>3.365728469855694E-4</v>
      </c>
      <c r="AO217" s="3"/>
      <c r="AP217">
        <v>0</v>
      </c>
      <c r="AR217" t="s">
        <v>1</v>
      </c>
      <c r="AT217" s="2">
        <v>1.099</v>
      </c>
      <c r="AU217" s="1">
        <f t="shared" si="35"/>
        <v>0.43053444015450187</v>
      </c>
      <c r="AV217" s="1">
        <f t="shared" si="36"/>
        <v>0.31714096716708906</v>
      </c>
      <c r="AW217" s="1">
        <f t="shared" si="37"/>
        <v>0.20374749417967616</v>
      </c>
    </row>
    <row r="218" spans="1:49" x14ac:dyDescent="0.2">
      <c r="A218">
        <v>216</v>
      </c>
      <c r="B218" t="s">
        <v>5072</v>
      </c>
      <c r="C218" t="s">
        <v>5071</v>
      </c>
      <c r="F218" t="s">
        <v>5070</v>
      </c>
      <c r="G218" t="s">
        <v>16</v>
      </c>
      <c r="H218" t="s">
        <v>15</v>
      </c>
      <c r="I218" t="s">
        <v>5069</v>
      </c>
      <c r="J218">
        <v>60009697</v>
      </c>
      <c r="K218" t="s">
        <v>1131</v>
      </c>
      <c r="L218" t="s">
        <v>1140</v>
      </c>
      <c r="M218" t="s">
        <v>616</v>
      </c>
      <c r="N218">
        <v>2</v>
      </c>
      <c r="O218" t="s">
        <v>5068</v>
      </c>
      <c r="P218" t="s">
        <v>5067</v>
      </c>
      <c r="Q218" t="s">
        <v>1564</v>
      </c>
      <c r="R218" s="7">
        <v>31413</v>
      </c>
      <c r="S218" s="8">
        <f t="shared" si="32"/>
        <v>1986</v>
      </c>
      <c r="T218" s="8">
        <v>1986</v>
      </c>
      <c r="U218" s="8">
        <f t="shared" si="33"/>
        <v>36</v>
      </c>
      <c r="V218" s="7">
        <v>31413</v>
      </c>
      <c r="W218" t="s">
        <v>4997</v>
      </c>
      <c r="X218" s="2">
        <v>0.22500000000000001</v>
      </c>
      <c r="Y218" s="6">
        <f t="shared" si="30"/>
        <v>6.0062464963562111E-3</v>
      </c>
      <c r="AA218">
        <v>2726343</v>
      </c>
      <c r="AB218">
        <v>16128</v>
      </c>
      <c r="AC218" t="s">
        <v>4996</v>
      </c>
      <c r="AD218" t="s">
        <v>5</v>
      </c>
      <c r="AE218">
        <v>6</v>
      </c>
      <c r="AF218">
        <v>4</v>
      </c>
      <c r="AH218" t="s">
        <v>5066</v>
      </c>
      <c r="AI218" t="s">
        <v>5065</v>
      </c>
      <c r="AK218" t="s">
        <v>5064</v>
      </c>
      <c r="AL218">
        <v>2</v>
      </c>
      <c r="AM218" s="5">
        <f t="shared" si="34"/>
        <v>5.5555555555555552E-2</v>
      </c>
      <c r="AN218" s="4">
        <f t="shared" si="31"/>
        <v>8.4143211746392349E-5</v>
      </c>
      <c r="AO218" s="3"/>
      <c r="AP218">
        <v>0</v>
      </c>
      <c r="AR218" t="s">
        <v>1</v>
      </c>
      <c r="AT218" s="2">
        <v>1.099</v>
      </c>
      <c r="AU218" s="1">
        <f t="shared" si="35"/>
        <v>0.42296155109732653</v>
      </c>
      <c r="AV218" s="1">
        <f t="shared" si="36"/>
        <v>0.30451948540513019</v>
      </c>
      <c r="AW218" s="1">
        <f t="shared" si="37"/>
        <v>0.18607741971293379</v>
      </c>
    </row>
    <row r="219" spans="1:49" x14ac:dyDescent="0.2">
      <c r="A219">
        <v>217</v>
      </c>
      <c r="B219" t="s">
        <v>5063</v>
      </c>
      <c r="C219" t="s">
        <v>5062</v>
      </c>
      <c r="F219" t="s">
        <v>5061</v>
      </c>
      <c r="G219" t="s">
        <v>16</v>
      </c>
      <c r="H219" t="s">
        <v>15</v>
      </c>
      <c r="I219" t="s">
        <v>2929</v>
      </c>
      <c r="J219">
        <v>60016983</v>
      </c>
      <c r="K219" t="s">
        <v>2928</v>
      </c>
      <c r="L219" t="s">
        <v>2927</v>
      </c>
      <c r="M219" t="s">
        <v>616</v>
      </c>
      <c r="N219">
        <v>2</v>
      </c>
      <c r="O219" t="s">
        <v>5060</v>
      </c>
      <c r="P219" t="s">
        <v>5059</v>
      </c>
      <c r="Q219" t="s">
        <v>2924</v>
      </c>
      <c r="R219" s="7">
        <v>31413</v>
      </c>
      <c r="S219" s="8">
        <f t="shared" si="32"/>
        <v>1986</v>
      </c>
      <c r="T219" s="8">
        <v>1986</v>
      </c>
      <c r="U219" s="8">
        <f t="shared" si="33"/>
        <v>36</v>
      </c>
      <c r="V219" s="7">
        <v>31413</v>
      </c>
      <c r="W219" t="s">
        <v>4997</v>
      </c>
      <c r="X219" s="2">
        <v>0.22500000000000001</v>
      </c>
      <c r="Y219" s="6">
        <f t="shared" si="30"/>
        <v>6.0062464963562111E-3</v>
      </c>
      <c r="AA219">
        <v>2726343</v>
      </c>
      <c r="AB219">
        <v>16128</v>
      </c>
      <c r="AC219" t="s">
        <v>4996</v>
      </c>
      <c r="AD219" t="s">
        <v>5</v>
      </c>
      <c r="AE219">
        <v>6</v>
      </c>
      <c r="AF219">
        <v>4</v>
      </c>
      <c r="AH219" t="s">
        <v>5058</v>
      </c>
      <c r="AI219" t="s">
        <v>5057</v>
      </c>
      <c r="AK219" t="s">
        <v>5056</v>
      </c>
      <c r="AL219">
        <v>0</v>
      </c>
      <c r="AM219" s="5">
        <f t="shared" si="34"/>
        <v>0</v>
      </c>
      <c r="AN219" s="4">
        <f t="shared" si="31"/>
        <v>0</v>
      </c>
      <c r="AO219" s="3"/>
      <c r="AP219">
        <v>0</v>
      </c>
      <c r="AR219" t="s">
        <v>1</v>
      </c>
      <c r="AT219" s="2">
        <v>1.099</v>
      </c>
      <c r="AU219" s="1">
        <f t="shared" si="35"/>
        <v>0.42043725474493476</v>
      </c>
      <c r="AV219" s="1">
        <f t="shared" si="36"/>
        <v>0.30031232481781056</v>
      </c>
      <c r="AW219" s="1">
        <f t="shared" si="37"/>
        <v>0.18018739489068633</v>
      </c>
    </row>
    <row r="220" spans="1:49" x14ac:dyDescent="0.2">
      <c r="A220">
        <v>218</v>
      </c>
      <c r="B220" t="s">
        <v>5055</v>
      </c>
      <c r="C220" t="s">
        <v>5054</v>
      </c>
      <c r="F220" t="s">
        <v>5053</v>
      </c>
      <c r="G220" t="s">
        <v>16</v>
      </c>
      <c r="H220" t="s">
        <v>15</v>
      </c>
      <c r="I220" t="s">
        <v>5052</v>
      </c>
      <c r="J220">
        <v>105225026</v>
      </c>
      <c r="K220" t="s">
        <v>5051</v>
      </c>
      <c r="M220" t="s">
        <v>114</v>
      </c>
      <c r="N220">
        <v>1</v>
      </c>
      <c r="O220" t="s">
        <v>5050</v>
      </c>
      <c r="P220">
        <v>7102497136</v>
      </c>
      <c r="Q220">
        <v>105225026</v>
      </c>
      <c r="R220" s="7">
        <v>31413</v>
      </c>
      <c r="S220" s="8">
        <f t="shared" si="32"/>
        <v>1986</v>
      </c>
      <c r="T220" s="8">
        <v>1986</v>
      </c>
      <c r="U220" s="8">
        <f t="shared" si="33"/>
        <v>36</v>
      </c>
      <c r="V220" s="7">
        <v>31413</v>
      </c>
      <c r="W220" t="s">
        <v>4997</v>
      </c>
      <c r="X220" s="2">
        <v>0.22500000000000001</v>
      </c>
      <c r="Y220" s="6">
        <f t="shared" si="30"/>
        <v>6.0062464963562111E-3</v>
      </c>
      <c r="AA220">
        <v>2726343</v>
      </c>
      <c r="AB220">
        <v>16128</v>
      </c>
      <c r="AC220" t="s">
        <v>4996</v>
      </c>
      <c r="AD220" t="s">
        <v>5</v>
      </c>
      <c r="AE220">
        <v>6</v>
      </c>
      <c r="AF220">
        <v>4</v>
      </c>
      <c r="AH220" t="s">
        <v>5049</v>
      </c>
      <c r="AI220" t="s">
        <v>5048</v>
      </c>
      <c r="AK220" t="s">
        <v>5047</v>
      </c>
      <c r="AL220">
        <v>1</v>
      </c>
      <c r="AM220" s="5">
        <f t="shared" si="34"/>
        <v>2.7777777777777776E-2</v>
      </c>
      <c r="AN220" s="4">
        <f t="shared" si="31"/>
        <v>4.2071605873196175E-5</v>
      </c>
      <c r="AO220" s="3"/>
      <c r="AP220">
        <v>0</v>
      </c>
      <c r="AR220" t="s">
        <v>1</v>
      </c>
      <c r="AT220" s="2">
        <v>1.099</v>
      </c>
      <c r="AU220" s="1">
        <f t="shared" si="35"/>
        <v>0.42169940292113062</v>
      </c>
      <c r="AV220" s="1">
        <f t="shared" si="36"/>
        <v>0.30241590511147037</v>
      </c>
      <c r="AW220" s="1">
        <f t="shared" si="37"/>
        <v>0.18313240730181005</v>
      </c>
    </row>
    <row r="221" spans="1:49" x14ac:dyDescent="0.2">
      <c r="A221">
        <v>219</v>
      </c>
      <c r="B221" t="s">
        <v>5046</v>
      </c>
      <c r="C221" t="s">
        <v>5045</v>
      </c>
      <c r="D221">
        <v>167931786900626</v>
      </c>
      <c r="F221" t="s">
        <v>5044</v>
      </c>
      <c r="G221" t="s">
        <v>16</v>
      </c>
      <c r="H221" t="s">
        <v>15</v>
      </c>
      <c r="I221" t="s">
        <v>5043</v>
      </c>
      <c r="J221" t="s">
        <v>5042</v>
      </c>
      <c r="K221" t="s">
        <v>5041</v>
      </c>
      <c r="L221" t="s">
        <v>5040</v>
      </c>
      <c r="M221" t="s">
        <v>157</v>
      </c>
      <c r="N221">
        <v>4</v>
      </c>
      <c r="O221" t="s">
        <v>5039</v>
      </c>
      <c r="P221" t="s">
        <v>5038</v>
      </c>
      <c r="Q221" t="s">
        <v>5037</v>
      </c>
      <c r="R221" s="7">
        <v>31413</v>
      </c>
      <c r="S221" s="8">
        <f t="shared" si="32"/>
        <v>1986</v>
      </c>
      <c r="T221" s="8">
        <v>1986</v>
      </c>
      <c r="U221" s="8">
        <f t="shared" si="33"/>
        <v>36</v>
      </c>
      <c r="V221" s="7">
        <v>31747</v>
      </c>
      <c r="W221" t="s">
        <v>5036</v>
      </c>
      <c r="X221" s="2">
        <v>0.55300000000000005</v>
      </c>
      <c r="Y221" s="6">
        <f t="shared" si="30"/>
        <v>1.4762019166599933E-2</v>
      </c>
      <c r="AA221">
        <v>1679317</v>
      </c>
      <c r="AB221">
        <v>26696</v>
      </c>
      <c r="AD221" t="s">
        <v>5</v>
      </c>
      <c r="AE221">
        <v>5</v>
      </c>
      <c r="AF221" s="9">
        <v>44287</v>
      </c>
      <c r="AH221" t="s">
        <v>5035</v>
      </c>
      <c r="AI221" t="s">
        <v>5034</v>
      </c>
      <c r="AK221" t="s">
        <v>5033</v>
      </c>
      <c r="AL221">
        <v>8</v>
      </c>
      <c r="AM221" s="5">
        <f t="shared" si="34"/>
        <v>0.22222222222222221</v>
      </c>
      <c r="AN221" s="4">
        <f t="shared" si="31"/>
        <v>3.365728469855694E-4</v>
      </c>
      <c r="AO221" s="3"/>
      <c r="AP221">
        <v>0</v>
      </c>
      <c r="AR221" t="s">
        <v>1</v>
      </c>
      <c r="AT221" s="2">
        <v>2.5230000000000001</v>
      </c>
      <c r="AU221" s="1">
        <f t="shared" si="35"/>
        <v>1.0434385270715623</v>
      </c>
      <c r="AV221" s="1">
        <f t="shared" si="36"/>
        <v>0.75492960067927506</v>
      </c>
      <c r="AW221" s="1">
        <f t="shared" si="37"/>
        <v>0.4664206742869878</v>
      </c>
    </row>
    <row r="222" spans="1:49" x14ac:dyDescent="0.2">
      <c r="A222">
        <v>220</v>
      </c>
      <c r="B222" t="s">
        <v>5032</v>
      </c>
      <c r="F222" t="s">
        <v>5031</v>
      </c>
      <c r="G222" t="s">
        <v>16</v>
      </c>
      <c r="H222" t="s">
        <v>15</v>
      </c>
      <c r="I222" t="s">
        <v>5030</v>
      </c>
      <c r="N222">
        <v>2</v>
      </c>
      <c r="O222" t="s">
        <v>5029</v>
      </c>
      <c r="P222" t="s">
        <v>5028</v>
      </c>
      <c r="Q222" t="s">
        <v>313</v>
      </c>
      <c r="R222" s="7">
        <v>31413</v>
      </c>
      <c r="S222" s="8">
        <f t="shared" si="32"/>
        <v>1986</v>
      </c>
      <c r="T222" s="8">
        <v>1986</v>
      </c>
      <c r="U222" s="8">
        <f t="shared" si="33"/>
        <v>36</v>
      </c>
      <c r="V222" s="7">
        <v>1986</v>
      </c>
      <c r="W222" t="s">
        <v>5020</v>
      </c>
      <c r="X222" s="2" t="s">
        <v>0</v>
      </c>
      <c r="Y222" s="6" t="e">
        <f t="shared" si="30"/>
        <v>#VALUE!</v>
      </c>
      <c r="AB222">
        <v>79673</v>
      </c>
      <c r="AD222" t="s">
        <v>5</v>
      </c>
      <c r="AH222" t="s">
        <v>5027</v>
      </c>
      <c r="AI222" t="s">
        <v>5026</v>
      </c>
      <c r="AK222" t="s">
        <v>5025</v>
      </c>
      <c r="AL222">
        <v>0</v>
      </c>
      <c r="AM222" s="5">
        <f t="shared" si="34"/>
        <v>0</v>
      </c>
      <c r="AN222" s="4">
        <f t="shared" si="31"/>
        <v>0</v>
      </c>
      <c r="AO222" s="3"/>
      <c r="AP222">
        <v>0</v>
      </c>
      <c r="AR222" t="s">
        <v>1</v>
      </c>
      <c r="AT222" s="2" t="s">
        <v>0</v>
      </c>
      <c r="AU222" s="1" t="e">
        <f t="shared" si="35"/>
        <v>#VALUE!</v>
      </c>
      <c r="AV222" s="1" t="e">
        <f t="shared" si="36"/>
        <v>#VALUE!</v>
      </c>
      <c r="AW222" s="1" t="e">
        <f t="shared" si="37"/>
        <v>#VALUE!</v>
      </c>
    </row>
    <row r="223" spans="1:49" x14ac:dyDescent="0.2">
      <c r="A223">
        <v>221</v>
      </c>
      <c r="B223" t="s">
        <v>5024</v>
      </c>
      <c r="F223" t="s">
        <v>5023</v>
      </c>
      <c r="G223" t="s">
        <v>16</v>
      </c>
      <c r="H223" t="s">
        <v>15</v>
      </c>
      <c r="I223" t="s">
        <v>5022</v>
      </c>
      <c r="N223">
        <v>1</v>
      </c>
      <c r="O223" t="s">
        <v>5021</v>
      </c>
      <c r="P223">
        <v>7202414139</v>
      </c>
      <c r="R223" s="7">
        <v>31413</v>
      </c>
      <c r="S223" s="8">
        <f t="shared" si="32"/>
        <v>1986</v>
      </c>
      <c r="T223" s="8">
        <v>1986</v>
      </c>
      <c r="U223" s="8">
        <f t="shared" si="33"/>
        <v>36</v>
      </c>
      <c r="V223" s="7">
        <v>1986</v>
      </c>
      <c r="W223" t="s">
        <v>5020</v>
      </c>
      <c r="X223" s="2" t="s">
        <v>0</v>
      </c>
      <c r="Y223" s="6" t="e">
        <f t="shared" si="30"/>
        <v>#VALUE!</v>
      </c>
      <c r="AB223">
        <v>79673</v>
      </c>
      <c r="AD223" t="s">
        <v>5</v>
      </c>
      <c r="AH223" t="s">
        <v>5019</v>
      </c>
      <c r="AI223" t="s">
        <v>5018</v>
      </c>
      <c r="AK223" t="s">
        <v>5017</v>
      </c>
      <c r="AL223">
        <v>0</v>
      </c>
      <c r="AM223" s="5">
        <f t="shared" si="34"/>
        <v>0</v>
      </c>
      <c r="AN223" s="4">
        <f t="shared" si="31"/>
        <v>0</v>
      </c>
      <c r="AO223" s="3"/>
      <c r="AP223">
        <v>0</v>
      </c>
      <c r="AR223" t="s">
        <v>1</v>
      </c>
      <c r="AT223" s="2" t="s">
        <v>0</v>
      </c>
      <c r="AU223" s="1" t="e">
        <f t="shared" si="35"/>
        <v>#VALUE!</v>
      </c>
      <c r="AV223" s="1" t="e">
        <f t="shared" si="36"/>
        <v>#VALUE!</v>
      </c>
      <c r="AW223" s="1" t="e">
        <f t="shared" si="37"/>
        <v>#VALUE!</v>
      </c>
    </row>
    <row r="224" spans="1:49" x14ac:dyDescent="0.2">
      <c r="A224">
        <v>222</v>
      </c>
      <c r="B224" t="s">
        <v>5016</v>
      </c>
      <c r="C224" t="s">
        <v>5015</v>
      </c>
      <c r="F224" t="s">
        <v>5014</v>
      </c>
      <c r="G224" t="s">
        <v>16</v>
      </c>
      <c r="H224" t="s">
        <v>15</v>
      </c>
      <c r="I224" t="s">
        <v>5013</v>
      </c>
      <c r="J224" t="s">
        <v>5012</v>
      </c>
      <c r="K224" t="s">
        <v>5011</v>
      </c>
      <c r="L224" t="s">
        <v>5010</v>
      </c>
      <c r="M224" t="s">
        <v>783</v>
      </c>
      <c r="N224">
        <v>2</v>
      </c>
      <c r="O224" t="s">
        <v>5009</v>
      </c>
      <c r="P224" t="s">
        <v>5008</v>
      </c>
      <c r="Q224" t="s">
        <v>5007</v>
      </c>
      <c r="R224" s="7">
        <v>31413</v>
      </c>
      <c r="S224" s="8">
        <f t="shared" si="32"/>
        <v>1986</v>
      </c>
      <c r="T224" s="8">
        <v>1986</v>
      </c>
      <c r="U224" s="8">
        <f t="shared" si="33"/>
        <v>36</v>
      </c>
      <c r="V224" s="7">
        <v>31413</v>
      </c>
      <c r="W224" t="s">
        <v>4997</v>
      </c>
      <c r="X224" s="2">
        <v>0.22500000000000001</v>
      </c>
      <c r="Y224" s="6">
        <f t="shared" si="30"/>
        <v>6.0062464963562111E-3</v>
      </c>
      <c r="AA224">
        <v>2726343</v>
      </c>
      <c r="AB224">
        <v>16128</v>
      </c>
      <c r="AC224" t="s">
        <v>4996</v>
      </c>
      <c r="AD224" t="s">
        <v>5</v>
      </c>
      <c r="AE224">
        <v>6</v>
      </c>
      <c r="AF224">
        <v>2</v>
      </c>
      <c r="AH224" t="s">
        <v>5006</v>
      </c>
      <c r="AI224" t="s">
        <v>5005</v>
      </c>
      <c r="AK224" t="s">
        <v>5004</v>
      </c>
      <c r="AL224">
        <v>7</v>
      </c>
      <c r="AM224" s="5">
        <f t="shared" si="34"/>
        <v>0.19444444444444445</v>
      </c>
      <c r="AN224" s="4">
        <f t="shared" si="31"/>
        <v>2.9450124111237325E-4</v>
      </c>
      <c r="AO224" s="3"/>
      <c r="AP224">
        <v>0</v>
      </c>
      <c r="AQ224" t="s">
        <v>2442</v>
      </c>
      <c r="AR224">
        <v>6515408</v>
      </c>
      <c r="AS224" t="s">
        <v>2440</v>
      </c>
      <c r="AT224" s="2">
        <v>1.099</v>
      </c>
      <c r="AU224" s="1">
        <f t="shared" si="35"/>
        <v>0.42927229197830591</v>
      </c>
      <c r="AV224" s="1">
        <f t="shared" si="36"/>
        <v>0.31503738687342919</v>
      </c>
      <c r="AW224" s="1">
        <f t="shared" si="37"/>
        <v>0.20080248176855245</v>
      </c>
    </row>
    <row r="225" spans="1:49" x14ac:dyDescent="0.2">
      <c r="A225">
        <v>223</v>
      </c>
      <c r="B225" t="s">
        <v>5003</v>
      </c>
      <c r="C225" t="s">
        <v>5002</v>
      </c>
      <c r="F225" t="s">
        <v>5001</v>
      </c>
      <c r="G225" t="s">
        <v>16</v>
      </c>
      <c r="H225" t="s">
        <v>15</v>
      </c>
      <c r="I225" t="s">
        <v>5000</v>
      </c>
      <c r="J225">
        <v>60022403</v>
      </c>
      <c r="K225" t="s">
        <v>4999</v>
      </c>
      <c r="L225" t="s">
        <v>1443</v>
      </c>
      <c r="M225" t="s">
        <v>1442</v>
      </c>
      <c r="N225">
        <v>1</v>
      </c>
      <c r="O225" t="s">
        <v>4998</v>
      </c>
      <c r="P225">
        <v>7005086558</v>
      </c>
      <c r="Q225">
        <v>60022403</v>
      </c>
      <c r="R225" s="7">
        <v>31413</v>
      </c>
      <c r="S225" s="8">
        <f t="shared" si="32"/>
        <v>1986</v>
      </c>
      <c r="T225" s="8">
        <v>1986</v>
      </c>
      <c r="U225" s="8">
        <f t="shared" si="33"/>
        <v>36</v>
      </c>
      <c r="V225" s="7">
        <v>31413</v>
      </c>
      <c r="W225" t="s">
        <v>4997</v>
      </c>
      <c r="X225" s="2">
        <v>0.22500000000000001</v>
      </c>
      <c r="Y225" s="6">
        <f t="shared" si="30"/>
        <v>6.0062464963562111E-3</v>
      </c>
      <c r="AA225">
        <v>2726343</v>
      </c>
      <c r="AB225">
        <v>16128</v>
      </c>
      <c r="AC225" t="s">
        <v>4996</v>
      </c>
      <c r="AD225" t="s">
        <v>5</v>
      </c>
      <c r="AE225">
        <v>6</v>
      </c>
      <c r="AF225">
        <v>2</v>
      </c>
      <c r="AH225" t="s">
        <v>4995</v>
      </c>
      <c r="AL225">
        <v>2</v>
      </c>
      <c r="AM225" s="5">
        <f t="shared" si="34"/>
        <v>5.5555555555555552E-2</v>
      </c>
      <c r="AN225" s="4">
        <f t="shared" si="31"/>
        <v>8.4143211746392349E-5</v>
      </c>
      <c r="AO225" s="3"/>
      <c r="AP225">
        <v>0</v>
      </c>
      <c r="AR225" t="s">
        <v>1</v>
      </c>
      <c r="AT225" s="2">
        <v>1.099</v>
      </c>
      <c r="AU225" s="1">
        <f t="shared" si="35"/>
        <v>0.42296155109732653</v>
      </c>
      <c r="AV225" s="1">
        <f t="shared" si="36"/>
        <v>0.30451948540513019</v>
      </c>
      <c r="AW225" s="1">
        <f t="shared" si="37"/>
        <v>0.18607741971293379</v>
      </c>
    </row>
    <row r="226" spans="1:49" x14ac:dyDescent="0.2">
      <c r="A226">
        <v>224</v>
      </c>
      <c r="B226" t="s">
        <v>4994</v>
      </c>
      <c r="C226" t="s">
        <v>4993</v>
      </c>
      <c r="F226" t="s">
        <v>4992</v>
      </c>
      <c r="G226" t="s">
        <v>16</v>
      </c>
      <c r="H226" t="s">
        <v>15</v>
      </c>
      <c r="I226" t="s">
        <v>4991</v>
      </c>
      <c r="J226" t="s">
        <v>4990</v>
      </c>
      <c r="K226" t="s">
        <v>4989</v>
      </c>
      <c r="L226" t="s">
        <v>4988</v>
      </c>
      <c r="M226" t="s">
        <v>171</v>
      </c>
      <c r="N226">
        <v>2</v>
      </c>
      <c r="O226" t="s">
        <v>4987</v>
      </c>
      <c r="P226" t="s">
        <v>4986</v>
      </c>
      <c r="Q226" t="s">
        <v>4985</v>
      </c>
      <c r="R226" s="7">
        <v>31413</v>
      </c>
      <c r="S226" s="8">
        <f t="shared" si="32"/>
        <v>1986</v>
      </c>
      <c r="T226" s="8">
        <v>1986</v>
      </c>
      <c r="U226" s="8">
        <f t="shared" si="33"/>
        <v>36</v>
      </c>
      <c r="V226" s="7">
        <v>31686</v>
      </c>
      <c r="W226" t="s">
        <v>4984</v>
      </c>
      <c r="X226" s="2">
        <v>0.73499999999999999</v>
      </c>
      <c r="Y226" s="6">
        <f t="shared" si="30"/>
        <v>1.9620405221430288E-2</v>
      </c>
      <c r="AA226">
        <v>168025</v>
      </c>
      <c r="AB226">
        <v>27961</v>
      </c>
      <c r="AC226">
        <v>13652478</v>
      </c>
      <c r="AD226" t="s">
        <v>5</v>
      </c>
      <c r="AE226">
        <v>34</v>
      </c>
      <c r="AF226">
        <v>6</v>
      </c>
      <c r="AH226" t="s">
        <v>4983</v>
      </c>
      <c r="AI226" t="s">
        <v>4982</v>
      </c>
      <c r="AK226" t="s">
        <v>4981</v>
      </c>
      <c r="AL226">
        <v>8</v>
      </c>
      <c r="AM226" s="5">
        <f t="shared" si="34"/>
        <v>0.22222222222222221</v>
      </c>
      <c r="AN226" s="4">
        <f t="shared" si="31"/>
        <v>3.365728469855694E-4</v>
      </c>
      <c r="AO226" s="3"/>
      <c r="AP226">
        <v>0</v>
      </c>
      <c r="AR226" t="s">
        <v>1</v>
      </c>
      <c r="AT226" s="2">
        <v>1.742</v>
      </c>
      <c r="AU226" s="1">
        <f t="shared" si="35"/>
        <v>1.3835255509096871</v>
      </c>
      <c r="AV226" s="1">
        <f t="shared" si="36"/>
        <v>0.9978489034207928</v>
      </c>
      <c r="AW226" s="1">
        <f t="shared" si="37"/>
        <v>0.6121722559318985</v>
      </c>
    </row>
    <row r="227" spans="1:49" x14ac:dyDescent="0.2">
      <c r="A227">
        <v>225</v>
      </c>
      <c r="B227" t="s">
        <v>4980</v>
      </c>
      <c r="F227" t="s">
        <v>4979</v>
      </c>
      <c r="G227" t="s">
        <v>16</v>
      </c>
      <c r="H227" t="s">
        <v>15</v>
      </c>
      <c r="I227" t="s">
        <v>4978</v>
      </c>
      <c r="J227">
        <v>60032318</v>
      </c>
      <c r="K227" t="s">
        <v>4977</v>
      </c>
      <c r="L227" t="s">
        <v>3062</v>
      </c>
      <c r="M227" t="s">
        <v>114</v>
      </c>
      <c r="N227">
        <v>1</v>
      </c>
      <c r="O227" t="s">
        <v>4976</v>
      </c>
      <c r="P227">
        <v>7401516165</v>
      </c>
      <c r="Q227">
        <v>60032318</v>
      </c>
      <c r="R227" s="7">
        <v>31413</v>
      </c>
      <c r="S227" s="8">
        <f t="shared" si="32"/>
        <v>1986</v>
      </c>
      <c r="T227" s="8">
        <v>1986</v>
      </c>
      <c r="U227" s="8">
        <f t="shared" si="33"/>
        <v>36</v>
      </c>
      <c r="V227" s="7">
        <v>1986</v>
      </c>
      <c r="W227" t="s">
        <v>4975</v>
      </c>
      <c r="X227" s="2" t="s">
        <v>0</v>
      </c>
      <c r="Y227" s="6" t="e">
        <f t="shared" si="30"/>
        <v>#VALUE!</v>
      </c>
      <c r="AB227">
        <v>12366</v>
      </c>
      <c r="AD227" t="s">
        <v>5</v>
      </c>
      <c r="AE227">
        <v>52</v>
      </c>
      <c r="AF227">
        <v>10</v>
      </c>
      <c r="AH227" t="s">
        <v>4974</v>
      </c>
      <c r="AI227" t="s">
        <v>4973</v>
      </c>
      <c r="AK227" t="s">
        <v>4972</v>
      </c>
      <c r="AL227">
        <v>16</v>
      </c>
      <c r="AM227" s="5">
        <f t="shared" si="34"/>
        <v>0.44444444444444442</v>
      </c>
      <c r="AN227" s="4">
        <f t="shared" si="31"/>
        <v>6.7314569397113879E-4</v>
      </c>
      <c r="AO227" s="3"/>
      <c r="AP227">
        <v>0</v>
      </c>
      <c r="AR227" t="s">
        <v>1</v>
      </c>
      <c r="AT227" s="2" t="s">
        <v>0</v>
      </c>
      <c r="AU227" s="1" t="e">
        <f t="shared" si="35"/>
        <v>#VALUE!</v>
      </c>
      <c r="AV227" s="1" t="e">
        <f t="shared" si="36"/>
        <v>#VALUE!</v>
      </c>
      <c r="AW227" s="1" t="e">
        <f t="shared" si="37"/>
        <v>#VALUE!</v>
      </c>
    </row>
    <row r="228" spans="1:49" x14ac:dyDescent="0.2">
      <c r="A228">
        <v>226</v>
      </c>
      <c r="B228" t="s">
        <v>4971</v>
      </c>
      <c r="C228" t="s">
        <v>4970</v>
      </c>
      <c r="F228" t="s">
        <v>4969</v>
      </c>
      <c r="G228" t="s">
        <v>16</v>
      </c>
      <c r="H228" t="s">
        <v>15</v>
      </c>
      <c r="I228" t="s">
        <v>4968</v>
      </c>
      <c r="J228">
        <v>60018829</v>
      </c>
      <c r="K228" t="s">
        <v>4967</v>
      </c>
      <c r="L228" t="s">
        <v>4966</v>
      </c>
      <c r="M228" t="s">
        <v>665</v>
      </c>
      <c r="N228">
        <v>2</v>
      </c>
      <c r="O228" t="s">
        <v>4965</v>
      </c>
      <c r="P228" t="s">
        <v>4964</v>
      </c>
      <c r="Q228" t="s">
        <v>4963</v>
      </c>
      <c r="R228" s="7">
        <v>31413</v>
      </c>
      <c r="S228" s="8">
        <f t="shared" si="32"/>
        <v>1986</v>
      </c>
      <c r="T228" s="8">
        <v>1986</v>
      </c>
      <c r="U228" s="8">
        <f t="shared" si="33"/>
        <v>36</v>
      </c>
      <c r="V228" s="7">
        <v>31503</v>
      </c>
      <c r="W228" t="s">
        <v>4962</v>
      </c>
      <c r="X228" s="2">
        <v>0.91800000000000004</v>
      </c>
      <c r="Y228" s="6">
        <f t="shared" si="30"/>
        <v>2.4505485705133341E-2</v>
      </c>
      <c r="AA228">
        <v>1431161</v>
      </c>
      <c r="AB228">
        <v>22674</v>
      </c>
      <c r="AC228">
        <v>13665901</v>
      </c>
      <c r="AD228" t="s">
        <v>5</v>
      </c>
      <c r="AE228">
        <v>7</v>
      </c>
      <c r="AF228">
        <v>4</v>
      </c>
      <c r="AH228" t="s">
        <v>4961</v>
      </c>
      <c r="AI228" t="s">
        <v>4960</v>
      </c>
      <c r="AK228" t="s">
        <v>4959</v>
      </c>
      <c r="AL228">
        <v>63</v>
      </c>
      <c r="AM228" s="5">
        <f t="shared" si="34"/>
        <v>1.75</v>
      </c>
      <c r="AN228" s="4">
        <f t="shared" si="31"/>
        <v>2.6505111700113595E-3</v>
      </c>
      <c r="AO228" s="3"/>
      <c r="AP228">
        <v>0</v>
      </c>
      <c r="AQ228" t="s">
        <v>4958</v>
      </c>
      <c r="AR228" t="s">
        <v>1</v>
      </c>
      <c r="AS228" t="s">
        <v>4957</v>
      </c>
      <c r="AT228" s="2" t="s">
        <v>0</v>
      </c>
      <c r="AU228" s="1">
        <f t="shared" si="35"/>
        <v>1.7948993344596744</v>
      </c>
      <c r="AV228" s="1">
        <f t="shared" si="36"/>
        <v>1.3577998437572352</v>
      </c>
      <c r="AW228" s="1">
        <f t="shared" si="37"/>
        <v>0.92070035305479525</v>
      </c>
    </row>
    <row r="229" spans="1:49" x14ac:dyDescent="0.2">
      <c r="A229">
        <v>227</v>
      </c>
      <c r="B229" t="s">
        <v>4956</v>
      </c>
      <c r="C229" t="s">
        <v>4955</v>
      </c>
      <c r="F229" t="s">
        <v>4954</v>
      </c>
      <c r="G229" t="s">
        <v>16</v>
      </c>
      <c r="H229" t="s">
        <v>15</v>
      </c>
      <c r="I229" t="s">
        <v>4953</v>
      </c>
      <c r="J229">
        <v>60024592</v>
      </c>
      <c r="K229" t="s">
        <v>4952</v>
      </c>
      <c r="L229" t="s">
        <v>4951</v>
      </c>
      <c r="M229" t="s">
        <v>114</v>
      </c>
      <c r="N229">
        <v>2</v>
      </c>
      <c r="O229" t="s">
        <v>4950</v>
      </c>
      <c r="P229" t="s">
        <v>4949</v>
      </c>
      <c r="Q229" t="s">
        <v>4948</v>
      </c>
      <c r="R229" s="7">
        <v>31413</v>
      </c>
      <c r="S229" s="8">
        <f t="shared" si="32"/>
        <v>1986</v>
      </c>
      <c r="T229" s="8">
        <v>1986</v>
      </c>
      <c r="U229" s="8">
        <f t="shared" si="33"/>
        <v>36</v>
      </c>
      <c r="V229" s="7">
        <v>31747</v>
      </c>
      <c r="W229" t="s">
        <v>4033</v>
      </c>
      <c r="X229" s="2">
        <v>1.6379999999999999</v>
      </c>
      <c r="Y229" s="6">
        <f t="shared" si="30"/>
        <v>4.3725474493473214E-2</v>
      </c>
      <c r="AA229">
        <v>963518</v>
      </c>
      <c r="AB229">
        <v>31560</v>
      </c>
      <c r="AD229" t="s">
        <v>5</v>
      </c>
      <c r="AE229">
        <v>34</v>
      </c>
      <c r="AF229">
        <v>6</v>
      </c>
      <c r="AH229" t="s">
        <v>4947</v>
      </c>
      <c r="AI229" t="s">
        <v>4946</v>
      </c>
      <c r="AK229" t="s">
        <v>4945</v>
      </c>
      <c r="AL229">
        <v>83</v>
      </c>
      <c r="AM229" s="5">
        <f t="shared" si="34"/>
        <v>2.3055555555555554</v>
      </c>
      <c r="AN229" s="4">
        <f t="shared" si="31"/>
        <v>3.4919432874752827E-3</v>
      </c>
      <c r="AO229" s="3"/>
      <c r="AP229">
        <v>0</v>
      </c>
      <c r="AR229" t="s">
        <v>1</v>
      </c>
      <c r="AT229" s="2" t="s">
        <v>0</v>
      </c>
      <c r="AU229" s="1">
        <f t="shared" si="35"/>
        <v>3.165541513167383</v>
      </c>
      <c r="AV229" s="1">
        <f t="shared" si="36"/>
        <v>2.3608708890474248</v>
      </c>
      <c r="AW229" s="1">
        <f t="shared" si="37"/>
        <v>1.5562002649274662</v>
      </c>
    </row>
    <row r="230" spans="1:49" x14ac:dyDescent="0.2">
      <c r="A230">
        <v>228</v>
      </c>
      <c r="B230" t="s">
        <v>4944</v>
      </c>
      <c r="C230" t="s">
        <v>4943</v>
      </c>
      <c r="F230" t="s">
        <v>4942</v>
      </c>
      <c r="G230" t="s">
        <v>16</v>
      </c>
      <c r="H230" t="s">
        <v>15</v>
      </c>
      <c r="I230" t="s">
        <v>4941</v>
      </c>
      <c r="J230">
        <v>60031707</v>
      </c>
      <c r="K230" t="s">
        <v>1380</v>
      </c>
      <c r="L230" t="s">
        <v>1379</v>
      </c>
      <c r="M230" t="s">
        <v>114</v>
      </c>
      <c r="N230">
        <v>1</v>
      </c>
      <c r="O230" t="s">
        <v>4940</v>
      </c>
      <c r="P230">
        <v>16485278000</v>
      </c>
      <c r="Q230">
        <v>60031707</v>
      </c>
      <c r="R230" s="7">
        <v>31413</v>
      </c>
      <c r="S230" s="8">
        <f t="shared" si="32"/>
        <v>1986</v>
      </c>
      <c r="T230" s="8">
        <v>1986</v>
      </c>
      <c r="U230" s="8">
        <f t="shared" si="33"/>
        <v>36</v>
      </c>
      <c r="V230" s="7">
        <v>31747</v>
      </c>
      <c r="W230" t="s">
        <v>4939</v>
      </c>
      <c r="X230" s="2">
        <v>0.69</v>
      </c>
      <c r="Y230" s="6">
        <f t="shared" si="30"/>
        <v>1.8419155922159043E-2</v>
      </c>
      <c r="AA230">
        <v>218936</v>
      </c>
      <c r="AB230">
        <v>20949</v>
      </c>
      <c r="AC230">
        <v>15289036</v>
      </c>
      <c r="AD230" t="s">
        <v>5</v>
      </c>
      <c r="AE230">
        <v>53</v>
      </c>
      <c r="AF230">
        <v>4</v>
      </c>
      <c r="AH230" t="s">
        <v>4938</v>
      </c>
      <c r="AI230" t="s">
        <v>4937</v>
      </c>
      <c r="AK230" t="s">
        <v>4936</v>
      </c>
      <c r="AL230">
        <v>3</v>
      </c>
      <c r="AM230" s="5">
        <f t="shared" si="34"/>
        <v>8.3333333333333329E-2</v>
      </c>
      <c r="AN230" s="4">
        <f t="shared" si="31"/>
        <v>1.2621481761958852E-4</v>
      </c>
      <c r="AO230" s="3"/>
      <c r="AP230">
        <v>0</v>
      </c>
      <c r="AR230" t="s">
        <v>1</v>
      </c>
      <c r="AT230" s="2" t="s">
        <v>0</v>
      </c>
      <c r="AU230" s="1">
        <f t="shared" si="35"/>
        <v>1.2931273590797205</v>
      </c>
      <c r="AV230" s="1">
        <f t="shared" si="36"/>
        <v>0.92726853698893164</v>
      </c>
      <c r="AW230" s="1">
        <f t="shared" si="37"/>
        <v>0.56140971489814251</v>
      </c>
    </row>
    <row r="231" spans="1:49" x14ac:dyDescent="0.2">
      <c r="A231">
        <v>229</v>
      </c>
      <c r="B231" t="s">
        <v>4935</v>
      </c>
      <c r="C231" t="s">
        <v>4934</v>
      </c>
      <c r="F231" t="s">
        <v>4933</v>
      </c>
      <c r="G231" t="s">
        <v>16</v>
      </c>
      <c r="H231" t="s">
        <v>15</v>
      </c>
      <c r="I231" t="s">
        <v>4932</v>
      </c>
      <c r="J231">
        <v>60014652</v>
      </c>
      <c r="K231" t="s">
        <v>872</v>
      </c>
      <c r="L231" t="s">
        <v>871</v>
      </c>
      <c r="M231" t="s">
        <v>71</v>
      </c>
      <c r="N231">
        <v>2</v>
      </c>
      <c r="O231" t="s">
        <v>4931</v>
      </c>
      <c r="P231" t="s">
        <v>4930</v>
      </c>
      <c r="Q231" t="s">
        <v>4929</v>
      </c>
      <c r="R231" s="7">
        <v>31413</v>
      </c>
      <c r="S231" s="8">
        <f t="shared" si="32"/>
        <v>1986</v>
      </c>
      <c r="T231" s="8">
        <v>1986</v>
      </c>
      <c r="U231" s="8">
        <f t="shared" si="33"/>
        <v>36</v>
      </c>
      <c r="V231" s="7">
        <v>1986</v>
      </c>
      <c r="W231" t="s">
        <v>483</v>
      </c>
      <c r="X231" s="2">
        <v>0.111</v>
      </c>
      <c r="Y231" s="6">
        <f t="shared" si="30"/>
        <v>2.9630816048690639E-3</v>
      </c>
      <c r="AA231">
        <v>87566621</v>
      </c>
      <c r="AB231">
        <v>24890</v>
      </c>
      <c r="AC231">
        <v>15206424</v>
      </c>
      <c r="AD231" t="s">
        <v>5</v>
      </c>
      <c r="AE231">
        <v>69</v>
      </c>
      <c r="AF231">
        <v>12</v>
      </c>
      <c r="AH231" t="s">
        <v>4928</v>
      </c>
      <c r="AI231" t="s">
        <v>4927</v>
      </c>
      <c r="AK231" t="s">
        <v>4926</v>
      </c>
      <c r="AL231">
        <v>0</v>
      </c>
      <c r="AM231" s="5">
        <f t="shared" si="34"/>
        <v>0</v>
      </c>
      <c r="AN231" s="4">
        <f t="shared" si="31"/>
        <v>0</v>
      </c>
      <c r="AO231" s="3"/>
      <c r="AP231">
        <v>0</v>
      </c>
      <c r="AR231" t="s">
        <v>1</v>
      </c>
      <c r="AT231" s="2" t="s">
        <v>0</v>
      </c>
      <c r="AU231" s="1">
        <f t="shared" si="35"/>
        <v>0.20741571234083445</v>
      </c>
      <c r="AV231" s="1">
        <f t="shared" si="36"/>
        <v>0.1481540802434532</v>
      </c>
      <c r="AW231" s="1">
        <f t="shared" si="37"/>
        <v>8.8892448146071903E-2</v>
      </c>
    </row>
    <row r="232" spans="1:49" x14ac:dyDescent="0.2">
      <c r="A232">
        <v>230</v>
      </c>
      <c r="B232" t="s">
        <v>4925</v>
      </c>
      <c r="C232" t="s">
        <v>4924</v>
      </c>
      <c r="F232" t="s">
        <v>4923</v>
      </c>
      <c r="G232" t="s">
        <v>16</v>
      </c>
      <c r="H232" t="s">
        <v>15</v>
      </c>
      <c r="I232" t="s">
        <v>811</v>
      </c>
      <c r="J232" t="s">
        <v>4562</v>
      </c>
      <c r="K232" t="s">
        <v>4561</v>
      </c>
      <c r="L232" t="s">
        <v>4560</v>
      </c>
      <c r="M232" t="s">
        <v>783</v>
      </c>
      <c r="N232">
        <v>2</v>
      </c>
      <c r="O232" t="s">
        <v>4922</v>
      </c>
      <c r="P232" t="s">
        <v>807</v>
      </c>
      <c r="Q232" t="s">
        <v>4558</v>
      </c>
      <c r="R232" s="7">
        <v>31413</v>
      </c>
      <c r="S232" s="8">
        <f t="shared" si="32"/>
        <v>1986</v>
      </c>
      <c r="T232" s="8">
        <v>1986</v>
      </c>
      <c r="U232" s="8">
        <f t="shared" si="33"/>
        <v>36</v>
      </c>
      <c r="V232" s="7">
        <v>31747</v>
      </c>
      <c r="W232" t="s">
        <v>153</v>
      </c>
      <c r="X232" s="2">
        <v>1.6519999999999999</v>
      </c>
      <c r="Y232" s="6">
        <f t="shared" si="30"/>
        <v>4.409919649769093E-2</v>
      </c>
      <c r="AA232" t="s">
        <v>152</v>
      </c>
      <c r="AB232">
        <v>17337</v>
      </c>
      <c r="AC232">
        <v>15582221</v>
      </c>
      <c r="AD232" t="s">
        <v>5</v>
      </c>
      <c r="AE232">
        <v>34</v>
      </c>
      <c r="AF232">
        <v>12</v>
      </c>
      <c r="AH232" t="s">
        <v>4921</v>
      </c>
      <c r="AI232" t="s">
        <v>4920</v>
      </c>
      <c r="AK232" t="s">
        <v>4919</v>
      </c>
      <c r="AL232">
        <v>35</v>
      </c>
      <c r="AM232" s="5">
        <f t="shared" si="34"/>
        <v>0.97222222222222221</v>
      </c>
      <c r="AN232" s="4">
        <f t="shared" si="31"/>
        <v>1.4725062055618663E-3</v>
      </c>
      <c r="AO232" s="3"/>
      <c r="AP232">
        <v>0</v>
      </c>
      <c r="AR232" t="s">
        <v>1</v>
      </c>
      <c r="AT232" s="2" t="s">
        <v>0</v>
      </c>
      <c r="AU232" s="1">
        <f t="shared" si="35"/>
        <v>3.1311189410052211</v>
      </c>
      <c r="AV232" s="1">
        <f t="shared" si="36"/>
        <v>2.2785851351626398</v>
      </c>
      <c r="AW232" s="1">
        <f t="shared" si="37"/>
        <v>1.4260513293200585</v>
      </c>
    </row>
    <row r="233" spans="1:49" x14ac:dyDescent="0.2">
      <c r="A233">
        <v>231</v>
      </c>
      <c r="B233" t="s">
        <v>4918</v>
      </c>
      <c r="C233" t="s">
        <v>4917</v>
      </c>
      <c r="F233" t="s">
        <v>4916</v>
      </c>
      <c r="G233" t="s">
        <v>16</v>
      </c>
      <c r="H233" t="s">
        <v>15</v>
      </c>
      <c r="I233" t="s">
        <v>4915</v>
      </c>
      <c r="J233">
        <v>100726037</v>
      </c>
      <c r="K233" t="s">
        <v>4914</v>
      </c>
      <c r="M233" t="s">
        <v>71</v>
      </c>
      <c r="N233">
        <v>2</v>
      </c>
      <c r="O233" t="s">
        <v>4913</v>
      </c>
      <c r="P233" t="s">
        <v>4912</v>
      </c>
      <c r="Q233" t="s">
        <v>4911</v>
      </c>
      <c r="R233" s="7">
        <v>31413</v>
      </c>
      <c r="S233" s="8">
        <f t="shared" si="32"/>
        <v>1986</v>
      </c>
      <c r="T233" s="8">
        <v>1986</v>
      </c>
      <c r="U233" s="8">
        <f t="shared" si="33"/>
        <v>36</v>
      </c>
      <c r="V233" s="7">
        <v>1986</v>
      </c>
      <c r="W233" t="s">
        <v>4750</v>
      </c>
      <c r="X233" s="2">
        <v>0.158</v>
      </c>
      <c r="Y233" s="6">
        <f t="shared" si="30"/>
        <v>4.2177197618856943E-3</v>
      </c>
      <c r="AA233">
        <v>380830</v>
      </c>
      <c r="AB233">
        <v>13094</v>
      </c>
      <c r="AD233" t="s">
        <v>5</v>
      </c>
      <c r="AE233">
        <v>32</v>
      </c>
      <c r="AF233">
        <v>1</v>
      </c>
      <c r="AH233" t="s">
        <v>4910</v>
      </c>
      <c r="AI233" t="s">
        <v>4909</v>
      </c>
      <c r="AK233" t="s">
        <v>4908</v>
      </c>
      <c r="AL233">
        <v>1</v>
      </c>
      <c r="AM233" s="5">
        <f t="shared" si="34"/>
        <v>2.7777777777777776E-2</v>
      </c>
      <c r="AN233" s="4">
        <f t="shared" si="31"/>
        <v>4.2071605873196175E-5</v>
      </c>
      <c r="AO233" s="3"/>
      <c r="AP233">
        <v>0</v>
      </c>
      <c r="AR233" t="s">
        <v>1</v>
      </c>
      <c r="AT233" s="2" t="s">
        <v>0</v>
      </c>
      <c r="AU233" s="1">
        <f t="shared" si="35"/>
        <v>0.29650253150819444</v>
      </c>
      <c r="AV233" s="1">
        <f t="shared" si="36"/>
        <v>0.21298956838794453</v>
      </c>
      <c r="AW233" s="1">
        <f t="shared" si="37"/>
        <v>0.12947660526769456</v>
      </c>
    </row>
    <row r="234" spans="1:49" x14ac:dyDescent="0.2">
      <c r="A234">
        <v>232</v>
      </c>
      <c r="B234" t="s">
        <v>4907</v>
      </c>
      <c r="C234" t="s">
        <v>4906</v>
      </c>
      <c r="F234" t="s">
        <v>4905</v>
      </c>
      <c r="G234" t="s">
        <v>16</v>
      </c>
      <c r="H234" t="s">
        <v>15</v>
      </c>
      <c r="I234" t="s">
        <v>4904</v>
      </c>
      <c r="J234">
        <v>60000264</v>
      </c>
      <c r="K234" t="s">
        <v>4492</v>
      </c>
      <c r="L234" t="s">
        <v>3960</v>
      </c>
      <c r="M234" t="s">
        <v>71</v>
      </c>
      <c r="N234">
        <v>4</v>
      </c>
      <c r="O234" t="s">
        <v>4903</v>
      </c>
      <c r="P234" t="s">
        <v>4902</v>
      </c>
      <c r="Q234" t="s">
        <v>4901</v>
      </c>
      <c r="R234" s="7">
        <v>31413</v>
      </c>
      <c r="S234" s="8">
        <f t="shared" si="32"/>
        <v>1986</v>
      </c>
      <c r="T234" s="8">
        <v>1986</v>
      </c>
      <c r="U234" s="8">
        <f t="shared" si="33"/>
        <v>36</v>
      </c>
      <c r="V234" s="7">
        <v>31747</v>
      </c>
      <c r="W234" t="s">
        <v>414</v>
      </c>
      <c r="X234" s="2">
        <v>1.774</v>
      </c>
      <c r="Y234" s="6">
        <f t="shared" si="30"/>
        <v>4.7355916820159633E-2</v>
      </c>
      <c r="AA234">
        <v>295515</v>
      </c>
      <c r="AB234">
        <v>29066</v>
      </c>
      <c r="AC234">
        <v>17414326</v>
      </c>
      <c r="AD234" t="s">
        <v>5</v>
      </c>
      <c r="AE234">
        <v>26</v>
      </c>
      <c r="AF234">
        <v>12</v>
      </c>
      <c r="AH234" t="s">
        <v>4900</v>
      </c>
      <c r="AI234" t="s">
        <v>4899</v>
      </c>
      <c r="AK234" t="s">
        <v>4898</v>
      </c>
      <c r="AL234">
        <v>14</v>
      </c>
      <c r="AM234" s="5">
        <f t="shared" si="34"/>
        <v>0.3888888888888889</v>
      </c>
      <c r="AN234" s="4">
        <f t="shared" si="31"/>
        <v>5.890024822247465E-4</v>
      </c>
      <c r="AO234" s="3"/>
      <c r="AP234">
        <v>0</v>
      </c>
      <c r="AR234" t="s">
        <v>1</v>
      </c>
      <c r="AT234" s="2">
        <v>3.1789999999999998</v>
      </c>
      <c r="AU234" s="1">
        <f t="shared" si="35"/>
        <v>3.3325842518779165</v>
      </c>
      <c r="AV234" s="1">
        <f t="shared" si="36"/>
        <v>2.3972459651192191</v>
      </c>
      <c r="AW234" s="1">
        <f t="shared" si="37"/>
        <v>1.4619076783605212</v>
      </c>
    </row>
    <row r="235" spans="1:49" x14ac:dyDescent="0.2">
      <c r="A235">
        <v>233</v>
      </c>
      <c r="B235" t="s">
        <v>4897</v>
      </c>
      <c r="C235" t="s">
        <v>4896</v>
      </c>
      <c r="F235" t="s">
        <v>4895</v>
      </c>
      <c r="G235" t="s">
        <v>16</v>
      </c>
      <c r="H235" t="s">
        <v>15</v>
      </c>
      <c r="I235" t="s">
        <v>2810</v>
      </c>
      <c r="J235">
        <v>60014313</v>
      </c>
      <c r="K235" t="s">
        <v>585</v>
      </c>
      <c r="L235" t="s">
        <v>584</v>
      </c>
      <c r="M235" t="s">
        <v>114</v>
      </c>
      <c r="N235">
        <v>1</v>
      </c>
      <c r="O235" t="s">
        <v>2809</v>
      </c>
      <c r="P235">
        <v>7006061921</v>
      </c>
      <c r="Q235">
        <v>60014313</v>
      </c>
      <c r="R235" s="7">
        <v>31413</v>
      </c>
      <c r="S235" s="8">
        <f t="shared" si="32"/>
        <v>1986</v>
      </c>
      <c r="T235" s="8">
        <v>1986</v>
      </c>
      <c r="U235" s="8">
        <f t="shared" si="33"/>
        <v>36</v>
      </c>
      <c r="V235" s="7">
        <v>31747</v>
      </c>
      <c r="W235" t="s">
        <v>153</v>
      </c>
      <c r="X235" s="2">
        <v>1.6519999999999999</v>
      </c>
      <c r="Y235" s="6">
        <f t="shared" si="30"/>
        <v>4.409919649769093E-2</v>
      </c>
      <c r="AA235" t="s">
        <v>152</v>
      </c>
      <c r="AB235">
        <v>17337</v>
      </c>
      <c r="AC235">
        <v>15582221</v>
      </c>
      <c r="AD235" t="s">
        <v>5</v>
      </c>
      <c r="AE235">
        <v>34</v>
      </c>
      <c r="AF235">
        <v>12</v>
      </c>
      <c r="AH235" t="s">
        <v>4894</v>
      </c>
      <c r="AI235" t="s">
        <v>4893</v>
      </c>
      <c r="AK235" t="s">
        <v>4892</v>
      </c>
      <c r="AL235">
        <v>394</v>
      </c>
      <c r="AM235" s="5">
        <f t="shared" si="34"/>
        <v>10.944444444444445</v>
      </c>
      <c r="AN235" s="4">
        <f t="shared" si="31"/>
        <v>1.6576212714039296E-2</v>
      </c>
      <c r="AO235" s="3"/>
      <c r="AP235">
        <v>0</v>
      </c>
      <c r="AR235" t="s">
        <v>1</v>
      </c>
      <c r="AT235" s="2" t="s">
        <v>0</v>
      </c>
      <c r="AU235" s="1">
        <f t="shared" si="35"/>
        <v>3.5842301362595439</v>
      </c>
      <c r="AV235" s="1">
        <f t="shared" si="36"/>
        <v>3.0337704605865117</v>
      </c>
      <c r="AW235" s="1">
        <f t="shared" si="37"/>
        <v>2.4833107849134786</v>
      </c>
    </row>
    <row r="236" spans="1:49" x14ac:dyDescent="0.2">
      <c r="A236">
        <v>234</v>
      </c>
      <c r="B236" t="s">
        <v>4891</v>
      </c>
      <c r="C236" t="s">
        <v>4890</v>
      </c>
      <c r="F236" t="s">
        <v>4889</v>
      </c>
      <c r="G236" t="s">
        <v>16</v>
      </c>
      <c r="H236" t="s">
        <v>15</v>
      </c>
      <c r="I236" t="s">
        <v>4888</v>
      </c>
      <c r="J236">
        <v>60023053</v>
      </c>
      <c r="K236" t="s">
        <v>606</v>
      </c>
      <c r="L236" t="s">
        <v>605</v>
      </c>
      <c r="M236" t="s">
        <v>114</v>
      </c>
      <c r="N236">
        <v>1</v>
      </c>
      <c r="O236" t="s">
        <v>4887</v>
      </c>
      <c r="P236">
        <v>6603599117</v>
      </c>
      <c r="Q236">
        <v>60023053</v>
      </c>
      <c r="R236" s="7">
        <v>31413</v>
      </c>
      <c r="S236" s="8">
        <f t="shared" si="32"/>
        <v>1986</v>
      </c>
      <c r="T236" s="8">
        <v>1986</v>
      </c>
      <c r="U236" s="8">
        <f t="shared" si="33"/>
        <v>36</v>
      </c>
      <c r="V236" s="7">
        <v>31747</v>
      </c>
      <c r="W236" t="s">
        <v>153</v>
      </c>
      <c r="X236" s="2">
        <v>1.6519999999999999</v>
      </c>
      <c r="Y236" s="6">
        <f t="shared" si="30"/>
        <v>4.409919649769093E-2</v>
      </c>
      <c r="AA236" t="s">
        <v>152</v>
      </c>
      <c r="AB236">
        <v>17337</v>
      </c>
      <c r="AC236">
        <v>15582221</v>
      </c>
      <c r="AD236" t="s">
        <v>5</v>
      </c>
      <c r="AE236">
        <v>34</v>
      </c>
      <c r="AF236">
        <v>12</v>
      </c>
      <c r="AH236" t="s">
        <v>4886</v>
      </c>
      <c r="AI236" t="s">
        <v>4885</v>
      </c>
      <c r="AK236" t="s">
        <v>4884</v>
      </c>
      <c r="AL236">
        <v>20</v>
      </c>
      <c r="AM236" s="5">
        <f t="shared" si="34"/>
        <v>0.55555555555555558</v>
      </c>
      <c r="AN236" s="4">
        <f t="shared" si="31"/>
        <v>8.414321174639236E-4</v>
      </c>
      <c r="AO236" s="3"/>
      <c r="AP236">
        <v>0</v>
      </c>
      <c r="AR236" t="s">
        <v>1</v>
      </c>
      <c r="AT236" s="2" t="s">
        <v>0</v>
      </c>
      <c r="AU236" s="1">
        <f t="shared" si="35"/>
        <v>3.1121867183622824</v>
      </c>
      <c r="AV236" s="1">
        <f t="shared" si="36"/>
        <v>2.2470314307577426</v>
      </c>
      <c r="AW236" s="1">
        <f t="shared" si="37"/>
        <v>1.3818761431532025</v>
      </c>
    </row>
    <row r="237" spans="1:49" x14ac:dyDescent="0.2">
      <c r="A237">
        <v>235</v>
      </c>
      <c r="B237" t="s">
        <v>4883</v>
      </c>
      <c r="C237" t="s">
        <v>4882</v>
      </c>
      <c r="F237" t="s">
        <v>4881</v>
      </c>
      <c r="G237" t="s">
        <v>16</v>
      </c>
      <c r="H237" t="s">
        <v>15</v>
      </c>
      <c r="I237" t="s">
        <v>4880</v>
      </c>
      <c r="J237">
        <v>60102558</v>
      </c>
      <c r="K237" t="s">
        <v>3353</v>
      </c>
      <c r="L237" t="s">
        <v>3352</v>
      </c>
      <c r="M237" t="s">
        <v>114</v>
      </c>
      <c r="N237">
        <v>3</v>
      </c>
      <c r="O237" t="s">
        <v>4879</v>
      </c>
      <c r="P237" t="s">
        <v>4878</v>
      </c>
      <c r="Q237" t="s">
        <v>3349</v>
      </c>
      <c r="R237" s="7">
        <v>31413</v>
      </c>
      <c r="S237" s="8">
        <f t="shared" si="32"/>
        <v>1986</v>
      </c>
      <c r="T237" s="8">
        <v>1986</v>
      </c>
      <c r="U237" s="8">
        <f t="shared" si="33"/>
        <v>36</v>
      </c>
      <c r="V237" s="7" t="s">
        <v>4622</v>
      </c>
      <c r="W237" t="s">
        <v>1858</v>
      </c>
      <c r="X237" s="2">
        <v>0.78200000000000003</v>
      </c>
      <c r="Y237" s="6">
        <f t="shared" si="30"/>
        <v>2.0875043378446919E-2</v>
      </c>
      <c r="AA237">
        <v>189316</v>
      </c>
      <c r="AB237">
        <v>19901</v>
      </c>
      <c r="AD237" t="s">
        <v>5</v>
      </c>
      <c r="AE237" t="s">
        <v>1857</v>
      </c>
      <c r="AF237">
        <v>4</v>
      </c>
      <c r="AH237" t="s">
        <v>4877</v>
      </c>
      <c r="AI237" t="s">
        <v>4876</v>
      </c>
      <c r="AK237" t="s">
        <v>4875</v>
      </c>
      <c r="AL237">
        <v>0</v>
      </c>
      <c r="AM237" s="5">
        <f t="shared" si="34"/>
        <v>0</v>
      </c>
      <c r="AN237" s="4">
        <f t="shared" si="31"/>
        <v>0</v>
      </c>
      <c r="AO237" s="3"/>
      <c r="AP237">
        <v>0</v>
      </c>
      <c r="AR237" t="s">
        <v>1</v>
      </c>
      <c r="AT237" s="2">
        <v>3.863</v>
      </c>
      <c r="AU237" s="1">
        <f t="shared" si="35"/>
        <v>1.4612530364912841</v>
      </c>
      <c r="AV237" s="1">
        <f t="shared" si="36"/>
        <v>1.0437521689223459</v>
      </c>
      <c r="AW237" s="1">
        <f t="shared" si="37"/>
        <v>0.62625130135340756</v>
      </c>
    </row>
    <row r="238" spans="1:49" x14ac:dyDescent="0.2">
      <c r="A238">
        <v>236</v>
      </c>
      <c r="B238" t="s">
        <v>4874</v>
      </c>
      <c r="C238" t="s">
        <v>4873</v>
      </c>
      <c r="F238" t="s">
        <v>4872</v>
      </c>
      <c r="G238" t="s">
        <v>16</v>
      </c>
      <c r="H238" t="s">
        <v>15</v>
      </c>
      <c r="I238" t="s">
        <v>4871</v>
      </c>
      <c r="J238">
        <v>100749577</v>
      </c>
      <c r="K238" t="s">
        <v>4870</v>
      </c>
      <c r="L238" t="s">
        <v>4869</v>
      </c>
      <c r="M238" t="s">
        <v>114</v>
      </c>
      <c r="N238">
        <v>1</v>
      </c>
      <c r="O238" t="s">
        <v>4868</v>
      </c>
      <c r="P238">
        <v>55455957800</v>
      </c>
      <c r="Q238">
        <v>100749577</v>
      </c>
      <c r="R238" s="7">
        <v>31413</v>
      </c>
      <c r="S238" s="8">
        <f t="shared" si="32"/>
        <v>1986</v>
      </c>
      <c r="T238" s="8">
        <v>1986</v>
      </c>
      <c r="U238" s="8">
        <f t="shared" si="33"/>
        <v>36</v>
      </c>
      <c r="V238" s="7" t="s">
        <v>4622</v>
      </c>
      <c r="W238" t="s">
        <v>1858</v>
      </c>
      <c r="X238" s="2">
        <v>0.78200000000000003</v>
      </c>
      <c r="Y238" s="6">
        <f t="shared" si="30"/>
        <v>2.0875043378446919E-2</v>
      </c>
      <c r="AA238">
        <v>189316</v>
      </c>
      <c r="AB238">
        <v>19901</v>
      </c>
      <c r="AD238" t="s">
        <v>5</v>
      </c>
      <c r="AE238" t="s">
        <v>1857</v>
      </c>
      <c r="AF238">
        <v>4</v>
      </c>
      <c r="AH238" t="s">
        <v>4867</v>
      </c>
      <c r="AI238" t="s">
        <v>4866</v>
      </c>
      <c r="AK238" t="s">
        <v>4865</v>
      </c>
      <c r="AL238">
        <v>0</v>
      </c>
      <c r="AM238" s="5">
        <f t="shared" si="34"/>
        <v>0</v>
      </c>
      <c r="AN238" s="4">
        <f t="shared" si="31"/>
        <v>0</v>
      </c>
      <c r="AO238" s="3"/>
      <c r="AP238">
        <v>0</v>
      </c>
      <c r="AR238" t="s">
        <v>1</v>
      </c>
      <c r="AT238" s="2">
        <v>3.863</v>
      </c>
      <c r="AU238" s="1">
        <f t="shared" si="35"/>
        <v>1.4612530364912841</v>
      </c>
      <c r="AV238" s="1">
        <f t="shared" si="36"/>
        <v>1.0437521689223459</v>
      </c>
      <c r="AW238" s="1">
        <f t="shared" si="37"/>
        <v>0.62625130135340756</v>
      </c>
    </row>
    <row r="239" spans="1:49" x14ac:dyDescent="0.2">
      <c r="A239">
        <v>237</v>
      </c>
      <c r="B239" t="s">
        <v>4864</v>
      </c>
      <c r="F239" t="s">
        <v>4863</v>
      </c>
      <c r="G239" t="s">
        <v>16</v>
      </c>
      <c r="H239" t="s">
        <v>15</v>
      </c>
      <c r="I239" t="s">
        <v>4862</v>
      </c>
      <c r="J239">
        <v>60016147</v>
      </c>
      <c r="K239" t="s">
        <v>4861</v>
      </c>
      <c r="L239" t="s">
        <v>4860</v>
      </c>
      <c r="M239" t="s">
        <v>4830</v>
      </c>
      <c r="N239">
        <v>2</v>
      </c>
      <c r="O239" t="s">
        <v>4859</v>
      </c>
      <c r="P239" t="s">
        <v>4858</v>
      </c>
      <c r="Q239" t="s">
        <v>4857</v>
      </c>
      <c r="R239" s="7">
        <v>31413</v>
      </c>
      <c r="S239" s="8">
        <f t="shared" si="32"/>
        <v>1986</v>
      </c>
      <c r="T239" s="8">
        <v>1986</v>
      </c>
      <c r="U239" s="8">
        <f t="shared" si="33"/>
        <v>36</v>
      </c>
      <c r="V239" s="7">
        <v>1986</v>
      </c>
      <c r="W239" t="s">
        <v>4826</v>
      </c>
      <c r="X239" s="2">
        <v>0.38400000000000001</v>
      </c>
      <c r="Y239" s="6">
        <f t="shared" si="30"/>
        <v>1.02506606871146E-2</v>
      </c>
      <c r="AA239">
        <v>2398508</v>
      </c>
      <c r="AB239">
        <v>110096</v>
      </c>
      <c r="AD239" t="s">
        <v>5</v>
      </c>
      <c r="AE239">
        <v>24</v>
      </c>
      <c r="AF239">
        <v>4</v>
      </c>
      <c r="AH239" t="s">
        <v>1529</v>
      </c>
      <c r="AL239">
        <v>0</v>
      </c>
      <c r="AM239" s="5">
        <f t="shared" si="34"/>
        <v>0</v>
      </c>
      <c r="AN239" s="4">
        <f t="shared" si="31"/>
        <v>0</v>
      </c>
      <c r="AO239" s="3"/>
      <c r="AP239">
        <v>0</v>
      </c>
      <c r="AR239" t="s">
        <v>1</v>
      </c>
      <c r="AT239" s="2">
        <v>1.698</v>
      </c>
      <c r="AU239" s="1">
        <f t="shared" si="35"/>
        <v>0.71754624809802192</v>
      </c>
      <c r="AV239" s="1">
        <f t="shared" si="36"/>
        <v>0.51253303435572994</v>
      </c>
      <c r="AW239" s="1">
        <f t="shared" si="37"/>
        <v>0.30751982061343797</v>
      </c>
    </row>
    <row r="240" spans="1:49" x14ac:dyDescent="0.2">
      <c r="A240">
        <v>238</v>
      </c>
      <c r="B240" t="s">
        <v>4856</v>
      </c>
      <c r="C240" t="s">
        <v>4855</v>
      </c>
      <c r="F240" t="s">
        <v>4854</v>
      </c>
      <c r="G240" t="s">
        <v>16</v>
      </c>
      <c r="H240" t="s">
        <v>15</v>
      </c>
      <c r="I240" t="s">
        <v>4853</v>
      </c>
      <c r="J240">
        <v>60009514</v>
      </c>
      <c r="K240" t="s">
        <v>4852</v>
      </c>
      <c r="L240" t="s">
        <v>4851</v>
      </c>
      <c r="M240" t="s">
        <v>71</v>
      </c>
      <c r="N240">
        <v>1</v>
      </c>
      <c r="O240" t="s">
        <v>4850</v>
      </c>
      <c r="P240">
        <v>7202919511</v>
      </c>
      <c r="Q240">
        <v>60009514</v>
      </c>
      <c r="R240" s="7">
        <v>31413</v>
      </c>
      <c r="S240" s="8">
        <f t="shared" si="32"/>
        <v>1986</v>
      </c>
      <c r="T240" s="8">
        <v>1986</v>
      </c>
      <c r="U240" s="8">
        <f t="shared" si="33"/>
        <v>36</v>
      </c>
      <c r="V240" s="7">
        <v>1986</v>
      </c>
      <c r="W240" t="s">
        <v>483</v>
      </c>
      <c r="X240" s="2">
        <v>0.111</v>
      </c>
      <c r="Y240" s="6">
        <f t="shared" si="30"/>
        <v>2.9630816048690639E-3</v>
      </c>
      <c r="AA240">
        <v>87566621</v>
      </c>
      <c r="AB240">
        <v>24890</v>
      </c>
      <c r="AC240">
        <v>15206424</v>
      </c>
      <c r="AD240" t="s">
        <v>5</v>
      </c>
      <c r="AE240">
        <v>69</v>
      </c>
      <c r="AF240">
        <v>12</v>
      </c>
      <c r="AH240" t="s">
        <v>4849</v>
      </c>
      <c r="AI240" t="s">
        <v>4848</v>
      </c>
      <c r="AK240" t="s">
        <v>4847</v>
      </c>
      <c r="AL240">
        <v>0</v>
      </c>
      <c r="AM240" s="5">
        <f t="shared" si="34"/>
        <v>0</v>
      </c>
      <c r="AN240" s="4">
        <f t="shared" si="31"/>
        <v>0</v>
      </c>
      <c r="AO240" s="3"/>
      <c r="AP240">
        <v>0</v>
      </c>
      <c r="AR240" t="s">
        <v>1</v>
      </c>
      <c r="AT240" s="2" t="s">
        <v>0</v>
      </c>
      <c r="AU240" s="1">
        <f t="shared" si="35"/>
        <v>0.20741571234083445</v>
      </c>
      <c r="AV240" s="1">
        <f t="shared" si="36"/>
        <v>0.1481540802434532</v>
      </c>
      <c r="AW240" s="1">
        <f t="shared" si="37"/>
        <v>8.8892448146071903E-2</v>
      </c>
    </row>
    <row r="241" spans="1:49" x14ac:dyDescent="0.2">
      <c r="A241">
        <v>239</v>
      </c>
      <c r="B241" t="s">
        <v>4846</v>
      </c>
      <c r="C241" t="s">
        <v>4845</v>
      </c>
      <c r="D241" t="s">
        <v>4844</v>
      </c>
      <c r="F241" t="s">
        <v>4843</v>
      </c>
      <c r="G241" t="s">
        <v>16</v>
      </c>
      <c r="H241" t="s">
        <v>15</v>
      </c>
      <c r="I241" t="s">
        <v>4842</v>
      </c>
      <c r="J241">
        <v>60000809</v>
      </c>
      <c r="K241" t="s">
        <v>1542</v>
      </c>
      <c r="L241" t="s">
        <v>1541</v>
      </c>
      <c r="M241" t="s">
        <v>71</v>
      </c>
      <c r="N241">
        <v>5</v>
      </c>
      <c r="O241" t="s">
        <v>4841</v>
      </c>
      <c r="P241" t="s">
        <v>4840</v>
      </c>
      <c r="Q241" t="s">
        <v>4839</v>
      </c>
      <c r="R241" s="7">
        <v>31413</v>
      </c>
      <c r="S241" s="8">
        <f t="shared" si="32"/>
        <v>1986</v>
      </c>
      <c r="T241" s="8">
        <v>1986</v>
      </c>
      <c r="U241" s="8">
        <f t="shared" si="33"/>
        <v>36</v>
      </c>
      <c r="V241" s="7">
        <v>1986</v>
      </c>
      <c r="W241" t="s">
        <v>835</v>
      </c>
      <c r="X241" s="2">
        <v>1.1339999999999999</v>
      </c>
      <c r="Y241" s="6">
        <f t="shared" si="30"/>
        <v>3.0271482341635299E-2</v>
      </c>
      <c r="AA241">
        <v>945765</v>
      </c>
      <c r="AB241">
        <v>12372</v>
      </c>
      <c r="AD241" t="s">
        <v>5</v>
      </c>
      <c r="AE241">
        <v>14</v>
      </c>
      <c r="AF241" t="s">
        <v>254</v>
      </c>
      <c r="AH241" t="s">
        <v>4838</v>
      </c>
      <c r="AI241" t="s">
        <v>4837</v>
      </c>
      <c r="AK241" t="s">
        <v>4836</v>
      </c>
      <c r="AL241">
        <v>3</v>
      </c>
      <c r="AM241" s="5">
        <f t="shared" si="34"/>
        <v>8.3333333333333329E-2</v>
      </c>
      <c r="AN241" s="4">
        <f t="shared" si="31"/>
        <v>1.2621481761958852E-4</v>
      </c>
      <c r="AO241" s="3"/>
      <c r="AP241">
        <v>0</v>
      </c>
      <c r="AR241" t="s">
        <v>1</v>
      </c>
      <c r="AT241" s="2">
        <v>2.4129999999999998</v>
      </c>
      <c r="AU241" s="1">
        <f t="shared" si="35"/>
        <v>2.1227902084430585</v>
      </c>
      <c r="AV241" s="1">
        <f t="shared" si="36"/>
        <v>1.5198848579627444</v>
      </c>
      <c r="AW241" s="1">
        <f t="shared" si="37"/>
        <v>0.91697950748243007</v>
      </c>
    </row>
    <row r="242" spans="1:49" x14ac:dyDescent="0.2">
      <c r="A242">
        <v>240</v>
      </c>
      <c r="B242" t="s">
        <v>4835</v>
      </c>
      <c r="F242" t="s">
        <v>4834</v>
      </c>
      <c r="G242" t="s">
        <v>16</v>
      </c>
      <c r="H242" t="s">
        <v>15</v>
      </c>
      <c r="I242" t="s">
        <v>4833</v>
      </c>
      <c r="J242">
        <v>60017750</v>
      </c>
      <c r="K242" t="s">
        <v>4832</v>
      </c>
      <c r="L242" t="s">
        <v>4831</v>
      </c>
      <c r="M242" t="s">
        <v>4830</v>
      </c>
      <c r="N242">
        <v>2</v>
      </c>
      <c r="O242" t="s">
        <v>4829</v>
      </c>
      <c r="P242" t="s">
        <v>4828</v>
      </c>
      <c r="Q242" t="s">
        <v>4827</v>
      </c>
      <c r="R242" s="7">
        <v>31413</v>
      </c>
      <c r="S242" s="8">
        <f t="shared" si="32"/>
        <v>1986</v>
      </c>
      <c r="T242" s="8">
        <v>1986</v>
      </c>
      <c r="U242" s="8">
        <f t="shared" si="33"/>
        <v>36</v>
      </c>
      <c r="V242" s="7">
        <v>1986</v>
      </c>
      <c r="W242" t="s">
        <v>4826</v>
      </c>
      <c r="X242" s="2">
        <v>0.38400000000000001</v>
      </c>
      <c r="Y242" s="6">
        <f t="shared" si="30"/>
        <v>1.02506606871146E-2</v>
      </c>
      <c r="AA242">
        <v>2398508</v>
      </c>
      <c r="AB242">
        <v>110096</v>
      </c>
      <c r="AD242" t="s">
        <v>5</v>
      </c>
      <c r="AE242">
        <v>24</v>
      </c>
      <c r="AF242">
        <v>4</v>
      </c>
      <c r="AH242" t="s">
        <v>4825</v>
      </c>
      <c r="AL242">
        <v>1</v>
      </c>
      <c r="AM242" s="5">
        <f t="shared" si="34"/>
        <v>2.7777777777777776E-2</v>
      </c>
      <c r="AN242" s="4">
        <f t="shared" si="31"/>
        <v>4.2071605873196175E-5</v>
      </c>
      <c r="AO242" s="3"/>
      <c r="AP242">
        <v>0</v>
      </c>
      <c r="AR242" t="s">
        <v>1</v>
      </c>
      <c r="AT242" s="2">
        <v>1.698</v>
      </c>
      <c r="AU242" s="1">
        <f t="shared" si="35"/>
        <v>0.71880839627421778</v>
      </c>
      <c r="AV242" s="1">
        <f t="shared" si="36"/>
        <v>0.51463661464938981</v>
      </c>
      <c r="AW242" s="1">
        <f t="shared" si="37"/>
        <v>0.31046483302456174</v>
      </c>
    </row>
    <row r="243" spans="1:49" x14ac:dyDescent="0.2">
      <c r="A243">
        <v>241</v>
      </c>
      <c r="B243" t="s">
        <v>4824</v>
      </c>
      <c r="C243" t="s">
        <v>4823</v>
      </c>
      <c r="F243" t="s">
        <v>4822</v>
      </c>
      <c r="G243" t="s">
        <v>16</v>
      </c>
      <c r="H243" t="s">
        <v>15</v>
      </c>
      <c r="I243" t="s">
        <v>4821</v>
      </c>
      <c r="J243">
        <v>60000891</v>
      </c>
      <c r="K243" t="s">
        <v>1226</v>
      </c>
      <c r="L243" t="s">
        <v>1225</v>
      </c>
      <c r="M243" t="s">
        <v>665</v>
      </c>
      <c r="N243">
        <v>1</v>
      </c>
      <c r="O243" t="s">
        <v>1224</v>
      </c>
      <c r="P243">
        <v>7402565933</v>
      </c>
      <c r="Q243">
        <v>60000891</v>
      </c>
      <c r="R243" s="7">
        <v>31413</v>
      </c>
      <c r="S243" s="8">
        <f t="shared" si="32"/>
        <v>1986</v>
      </c>
      <c r="T243" s="8">
        <v>1986</v>
      </c>
      <c r="U243" s="8">
        <f t="shared" si="33"/>
        <v>36</v>
      </c>
      <c r="V243" s="7" t="s">
        <v>4622</v>
      </c>
      <c r="W243" s="11" t="s">
        <v>1017</v>
      </c>
      <c r="X243" s="2">
        <v>2.383</v>
      </c>
      <c r="Y243" s="6">
        <f t="shared" si="30"/>
        <v>6.3612824003630442E-2</v>
      </c>
      <c r="AA243" t="s">
        <v>1016</v>
      </c>
      <c r="AB243">
        <v>101151</v>
      </c>
      <c r="AD243" t="s">
        <v>5</v>
      </c>
      <c r="AE243">
        <v>133</v>
      </c>
      <c r="AF243">
        <v>6</v>
      </c>
      <c r="AH243" t="s">
        <v>4820</v>
      </c>
      <c r="AI243" t="s">
        <v>4819</v>
      </c>
      <c r="AK243" t="s">
        <v>4818</v>
      </c>
      <c r="AL243">
        <v>0</v>
      </c>
      <c r="AM243" s="5">
        <f t="shared" si="34"/>
        <v>0</v>
      </c>
      <c r="AN243" s="4">
        <f t="shared" si="31"/>
        <v>0</v>
      </c>
      <c r="AO243" s="3"/>
      <c r="AP243">
        <v>0</v>
      </c>
      <c r="AR243" t="s">
        <v>1</v>
      </c>
      <c r="AT243" s="2" t="s">
        <v>0</v>
      </c>
      <c r="AU243" s="1">
        <f t="shared" si="35"/>
        <v>4.4528976802541305</v>
      </c>
      <c r="AV243" s="1">
        <f t="shared" si="36"/>
        <v>3.1806412001815221</v>
      </c>
      <c r="AW243" s="1">
        <f t="shared" si="37"/>
        <v>1.9083847201089132</v>
      </c>
    </row>
    <row r="244" spans="1:49" x14ac:dyDescent="0.2">
      <c r="A244">
        <v>242</v>
      </c>
      <c r="B244" t="s">
        <v>4817</v>
      </c>
      <c r="C244" t="s">
        <v>4816</v>
      </c>
      <c r="F244" t="s">
        <v>4815</v>
      </c>
      <c r="G244" t="s">
        <v>16</v>
      </c>
      <c r="H244" t="s">
        <v>15</v>
      </c>
      <c r="I244" t="s">
        <v>4814</v>
      </c>
      <c r="J244">
        <v>60017161</v>
      </c>
      <c r="K244" t="s">
        <v>4813</v>
      </c>
      <c r="L244" t="s">
        <v>3138</v>
      </c>
      <c r="M244" t="s">
        <v>3137</v>
      </c>
      <c r="N244">
        <v>1</v>
      </c>
      <c r="O244" t="s">
        <v>4812</v>
      </c>
      <c r="P244">
        <v>7202596473</v>
      </c>
      <c r="Q244">
        <v>60017161</v>
      </c>
      <c r="R244" s="7">
        <v>31413</v>
      </c>
      <c r="S244" s="8">
        <f t="shared" si="32"/>
        <v>1986</v>
      </c>
      <c r="T244" s="8">
        <v>1986</v>
      </c>
      <c r="U244" s="8">
        <f t="shared" si="33"/>
        <v>36</v>
      </c>
      <c r="V244" s="7" t="s">
        <v>4622</v>
      </c>
      <c r="W244" s="11" t="s">
        <v>1017</v>
      </c>
      <c r="X244" s="2">
        <v>2.383</v>
      </c>
      <c r="Y244" s="6">
        <f t="shared" si="30"/>
        <v>6.3612824003630442E-2</v>
      </c>
      <c r="AA244" t="s">
        <v>1016</v>
      </c>
      <c r="AB244">
        <v>101151</v>
      </c>
      <c r="AD244" t="s">
        <v>5</v>
      </c>
      <c r="AE244">
        <v>133</v>
      </c>
      <c r="AF244">
        <v>6</v>
      </c>
      <c r="AH244" t="s">
        <v>4811</v>
      </c>
      <c r="AI244" t="s">
        <v>4810</v>
      </c>
      <c r="AK244" t="s">
        <v>4809</v>
      </c>
      <c r="AL244">
        <v>16</v>
      </c>
      <c r="AM244" s="5">
        <f t="shared" si="34"/>
        <v>0.44444444444444442</v>
      </c>
      <c r="AN244" s="4">
        <f t="shared" si="31"/>
        <v>6.7314569397113879E-4</v>
      </c>
      <c r="AO244" s="3"/>
      <c r="AP244">
        <v>0</v>
      </c>
      <c r="AR244" t="s">
        <v>1</v>
      </c>
      <c r="AT244" s="2" t="s">
        <v>0</v>
      </c>
      <c r="AU244" s="1">
        <f t="shared" si="35"/>
        <v>4.473092051073265</v>
      </c>
      <c r="AV244" s="1">
        <f t="shared" si="36"/>
        <v>3.2142984848800795</v>
      </c>
      <c r="AW244" s="1">
        <f t="shared" si="37"/>
        <v>1.9555049186868927</v>
      </c>
    </row>
    <row r="245" spans="1:49" x14ac:dyDescent="0.2">
      <c r="A245">
        <v>243</v>
      </c>
      <c r="B245" t="s">
        <v>4808</v>
      </c>
      <c r="C245" t="s">
        <v>4807</v>
      </c>
      <c r="F245" t="s">
        <v>4806</v>
      </c>
      <c r="G245" t="s">
        <v>16</v>
      </c>
      <c r="H245" t="s">
        <v>15</v>
      </c>
      <c r="I245" t="s">
        <v>4805</v>
      </c>
      <c r="J245">
        <v>60021918</v>
      </c>
      <c r="K245" t="s">
        <v>4804</v>
      </c>
      <c r="L245" t="s">
        <v>4803</v>
      </c>
      <c r="M245" t="s">
        <v>114</v>
      </c>
      <c r="N245">
        <v>5</v>
      </c>
      <c r="O245" t="s">
        <v>4802</v>
      </c>
      <c r="P245" t="s">
        <v>4801</v>
      </c>
      <c r="Q245" t="s">
        <v>4800</v>
      </c>
      <c r="R245" s="7">
        <v>31413</v>
      </c>
      <c r="S245" s="8">
        <f t="shared" si="32"/>
        <v>1986</v>
      </c>
      <c r="T245" s="8">
        <v>1986</v>
      </c>
      <c r="U245" s="8">
        <f t="shared" si="33"/>
        <v>36</v>
      </c>
      <c r="V245" s="7" t="s">
        <v>4622</v>
      </c>
      <c r="W245" t="s">
        <v>3093</v>
      </c>
      <c r="X245" s="2">
        <v>0.82</v>
      </c>
      <c r="Y245" s="6">
        <f t="shared" si="30"/>
        <v>2.1889431675609299E-2</v>
      </c>
      <c r="AA245">
        <v>189456</v>
      </c>
      <c r="AB245">
        <v>15361</v>
      </c>
      <c r="AD245" t="s">
        <v>5</v>
      </c>
      <c r="AE245" t="s">
        <v>3092</v>
      </c>
      <c r="AF245">
        <v>4</v>
      </c>
      <c r="AH245" t="s">
        <v>4799</v>
      </c>
      <c r="AI245" t="s">
        <v>4798</v>
      </c>
      <c r="AK245" t="s">
        <v>4797</v>
      </c>
      <c r="AL245">
        <v>3</v>
      </c>
      <c r="AM245" s="5">
        <f t="shared" si="34"/>
        <v>8.3333333333333329E-2</v>
      </c>
      <c r="AN245" s="4">
        <f t="shared" si="31"/>
        <v>1.2621481761958852E-4</v>
      </c>
      <c r="AO245" s="3"/>
      <c r="AP245">
        <v>0</v>
      </c>
      <c r="AR245" t="s">
        <v>1</v>
      </c>
      <c r="AT245" s="2" t="s">
        <v>0</v>
      </c>
      <c r="AU245" s="1">
        <f t="shared" si="35"/>
        <v>1.5360466618212383</v>
      </c>
      <c r="AV245" s="1">
        <f t="shared" si="36"/>
        <v>1.1007823246614443</v>
      </c>
      <c r="AW245" s="1">
        <f t="shared" si="37"/>
        <v>0.66551798750165014</v>
      </c>
    </row>
    <row r="246" spans="1:49" x14ac:dyDescent="0.2">
      <c r="A246">
        <v>244</v>
      </c>
      <c r="B246" t="s">
        <v>4796</v>
      </c>
      <c r="C246" t="s">
        <v>4795</v>
      </c>
      <c r="F246" t="s">
        <v>4794</v>
      </c>
      <c r="G246" t="s">
        <v>16</v>
      </c>
      <c r="H246" t="s">
        <v>15</v>
      </c>
      <c r="I246" t="s">
        <v>4793</v>
      </c>
      <c r="J246">
        <v>60028186</v>
      </c>
      <c r="K246" t="s">
        <v>4792</v>
      </c>
      <c r="L246" t="s">
        <v>4791</v>
      </c>
      <c r="M246" t="s">
        <v>825</v>
      </c>
      <c r="N246">
        <v>1</v>
      </c>
      <c r="O246" t="s">
        <v>4790</v>
      </c>
      <c r="P246">
        <v>35609196900</v>
      </c>
      <c r="Q246">
        <v>60028186</v>
      </c>
      <c r="R246" s="7">
        <v>31413</v>
      </c>
      <c r="S246" s="8">
        <f t="shared" si="32"/>
        <v>1986</v>
      </c>
      <c r="T246" s="8">
        <v>1986</v>
      </c>
      <c r="U246" s="8">
        <f t="shared" si="33"/>
        <v>36</v>
      </c>
      <c r="V246" s="7">
        <v>31747</v>
      </c>
      <c r="W246" t="s">
        <v>6</v>
      </c>
      <c r="X246" s="2">
        <v>1.3720000000000001</v>
      </c>
      <c r="Y246" s="6">
        <f t="shared" si="30"/>
        <v>3.662475641333654E-2</v>
      </c>
      <c r="AA246">
        <v>189480</v>
      </c>
      <c r="AB246">
        <v>17366</v>
      </c>
      <c r="AC246">
        <v>15579670</v>
      </c>
      <c r="AD246" t="s">
        <v>5</v>
      </c>
      <c r="AE246">
        <v>34</v>
      </c>
      <c r="AF246">
        <v>12</v>
      </c>
      <c r="AH246" t="s">
        <v>4789</v>
      </c>
      <c r="AI246" t="s">
        <v>4788</v>
      </c>
      <c r="AK246" t="s">
        <v>4787</v>
      </c>
      <c r="AL246">
        <v>1</v>
      </c>
      <c r="AM246" s="5">
        <f t="shared" si="34"/>
        <v>2.7777777777777776E-2</v>
      </c>
      <c r="AN246" s="4">
        <f t="shared" si="31"/>
        <v>4.2071605873196175E-5</v>
      </c>
      <c r="AO246" s="3"/>
      <c r="AP246">
        <v>0</v>
      </c>
      <c r="AR246" t="s">
        <v>1</v>
      </c>
      <c r="AT246" s="2" t="s">
        <v>0</v>
      </c>
      <c r="AU246" s="1">
        <f t="shared" si="35"/>
        <v>2.5649950971097533</v>
      </c>
      <c r="AV246" s="1">
        <f t="shared" si="36"/>
        <v>1.8333414009604869</v>
      </c>
      <c r="AW246" s="1">
        <f t="shared" si="37"/>
        <v>1.1016877048112199</v>
      </c>
    </row>
    <row r="247" spans="1:49" x14ac:dyDescent="0.2">
      <c r="A247">
        <v>245</v>
      </c>
      <c r="B247" t="s">
        <v>4786</v>
      </c>
      <c r="C247" t="s">
        <v>4785</v>
      </c>
      <c r="F247" t="s">
        <v>4784</v>
      </c>
      <c r="G247" t="s">
        <v>16</v>
      </c>
      <c r="H247" t="s">
        <v>15</v>
      </c>
      <c r="I247" t="s">
        <v>4783</v>
      </c>
      <c r="J247">
        <v>60028552</v>
      </c>
      <c r="K247" t="s">
        <v>4782</v>
      </c>
      <c r="L247" t="s">
        <v>4781</v>
      </c>
      <c r="M247" t="s">
        <v>114</v>
      </c>
      <c r="N247">
        <v>2</v>
      </c>
      <c r="O247" t="s">
        <v>4780</v>
      </c>
      <c r="P247" t="s">
        <v>4779</v>
      </c>
      <c r="Q247" t="s">
        <v>4778</v>
      </c>
      <c r="R247" s="7">
        <v>31413</v>
      </c>
      <c r="S247" s="8">
        <f t="shared" si="32"/>
        <v>1986</v>
      </c>
      <c r="T247" s="8">
        <v>1986</v>
      </c>
      <c r="U247" s="8">
        <f t="shared" si="33"/>
        <v>36</v>
      </c>
      <c r="V247" s="7" t="s">
        <v>4622</v>
      </c>
      <c r="W247" t="s">
        <v>1858</v>
      </c>
      <c r="X247" s="2">
        <v>0.78200000000000003</v>
      </c>
      <c r="Y247" s="6">
        <f t="shared" si="30"/>
        <v>2.0875043378446919E-2</v>
      </c>
      <c r="AA247">
        <v>189316</v>
      </c>
      <c r="AB247">
        <v>19901</v>
      </c>
      <c r="AD247" t="s">
        <v>5</v>
      </c>
      <c r="AE247" t="s">
        <v>1857</v>
      </c>
      <c r="AF247">
        <v>4</v>
      </c>
      <c r="AH247" t="s">
        <v>4777</v>
      </c>
      <c r="AI247" t="s">
        <v>4776</v>
      </c>
      <c r="AK247" t="s">
        <v>4775</v>
      </c>
      <c r="AL247">
        <v>0</v>
      </c>
      <c r="AM247" s="5">
        <f t="shared" si="34"/>
        <v>0</v>
      </c>
      <c r="AN247" s="4">
        <f t="shared" si="31"/>
        <v>0</v>
      </c>
      <c r="AO247" s="3"/>
      <c r="AP247">
        <v>0</v>
      </c>
      <c r="AR247" t="s">
        <v>1</v>
      </c>
      <c r="AT247" s="2">
        <v>3.863</v>
      </c>
      <c r="AU247" s="1">
        <f t="shared" si="35"/>
        <v>1.4612530364912841</v>
      </c>
      <c r="AV247" s="1">
        <f t="shared" si="36"/>
        <v>1.0437521689223459</v>
      </c>
      <c r="AW247" s="1">
        <f t="shared" si="37"/>
        <v>0.62625130135340756</v>
      </c>
    </row>
    <row r="248" spans="1:49" x14ac:dyDescent="0.2">
      <c r="A248">
        <v>246</v>
      </c>
      <c r="B248" t="s">
        <v>4774</v>
      </c>
      <c r="C248" t="s">
        <v>4773</v>
      </c>
      <c r="D248" t="s">
        <v>4772</v>
      </c>
      <c r="F248" t="s">
        <v>4771</v>
      </c>
      <c r="G248" t="s">
        <v>16</v>
      </c>
      <c r="H248" t="s">
        <v>15</v>
      </c>
      <c r="I248" t="s">
        <v>4770</v>
      </c>
      <c r="J248" t="s">
        <v>4769</v>
      </c>
      <c r="K248" t="s">
        <v>4768</v>
      </c>
      <c r="L248" t="s">
        <v>4767</v>
      </c>
      <c r="M248" t="s">
        <v>4766</v>
      </c>
      <c r="N248">
        <v>6</v>
      </c>
      <c r="O248" t="s">
        <v>4765</v>
      </c>
      <c r="P248" t="s">
        <v>4764</v>
      </c>
      <c r="Q248" t="s">
        <v>4763</v>
      </c>
      <c r="R248" s="7">
        <v>31413</v>
      </c>
      <c r="S248" s="8">
        <f t="shared" si="32"/>
        <v>1986</v>
      </c>
      <c r="T248" s="8">
        <v>1986</v>
      </c>
      <c r="U248" s="8">
        <f t="shared" si="33"/>
        <v>36</v>
      </c>
      <c r="V248" s="7">
        <v>1986</v>
      </c>
      <c r="W248" t="s">
        <v>835</v>
      </c>
      <c r="X248" s="2">
        <v>1.1339999999999999</v>
      </c>
      <c r="Y248" s="6">
        <f t="shared" si="30"/>
        <v>3.0271482341635299E-2</v>
      </c>
      <c r="AA248">
        <v>945765</v>
      </c>
      <c r="AB248">
        <v>12372</v>
      </c>
      <c r="AD248" t="s">
        <v>5</v>
      </c>
      <c r="AE248">
        <v>14</v>
      </c>
      <c r="AF248" t="s">
        <v>254</v>
      </c>
      <c r="AH248" t="s">
        <v>4762</v>
      </c>
      <c r="AI248" t="s">
        <v>4761</v>
      </c>
      <c r="AK248" t="s">
        <v>4760</v>
      </c>
      <c r="AL248">
        <v>3</v>
      </c>
      <c r="AM248" s="5">
        <f t="shared" si="34"/>
        <v>8.3333333333333329E-2</v>
      </c>
      <c r="AN248" s="4">
        <f t="shared" si="31"/>
        <v>1.2621481761958852E-4</v>
      </c>
      <c r="AO248" s="3"/>
      <c r="AP248">
        <v>0</v>
      </c>
      <c r="AR248" t="s">
        <v>1</v>
      </c>
      <c r="AT248" s="2">
        <v>2.4129999999999998</v>
      </c>
      <c r="AU248" s="1">
        <f t="shared" si="35"/>
        <v>2.1227902084430585</v>
      </c>
      <c r="AV248" s="1">
        <f t="shared" si="36"/>
        <v>1.5198848579627444</v>
      </c>
      <c r="AW248" s="1">
        <f t="shared" si="37"/>
        <v>0.91697950748243007</v>
      </c>
    </row>
    <row r="249" spans="1:49" x14ac:dyDescent="0.2">
      <c r="A249">
        <v>247</v>
      </c>
      <c r="B249" t="s">
        <v>4759</v>
      </c>
      <c r="C249" t="s">
        <v>4758</v>
      </c>
      <c r="F249" t="s">
        <v>4757</v>
      </c>
      <c r="G249" t="s">
        <v>16</v>
      </c>
      <c r="H249" t="s">
        <v>15</v>
      </c>
      <c r="I249" t="s">
        <v>4756</v>
      </c>
      <c r="J249">
        <v>109621495</v>
      </c>
      <c r="K249" t="s">
        <v>4755</v>
      </c>
      <c r="L249" t="s">
        <v>4754</v>
      </c>
      <c r="M249" t="s">
        <v>71</v>
      </c>
      <c r="N249">
        <v>2</v>
      </c>
      <c r="O249" t="s">
        <v>4753</v>
      </c>
      <c r="P249" t="s">
        <v>4752</v>
      </c>
      <c r="Q249" t="s">
        <v>4751</v>
      </c>
      <c r="R249" s="7">
        <v>31413</v>
      </c>
      <c r="S249" s="8">
        <f t="shared" si="32"/>
        <v>1986</v>
      </c>
      <c r="T249" s="8">
        <v>1986</v>
      </c>
      <c r="U249" s="8">
        <f t="shared" si="33"/>
        <v>36</v>
      </c>
      <c r="V249" s="7">
        <v>1986</v>
      </c>
      <c r="W249" t="s">
        <v>4750</v>
      </c>
      <c r="X249" s="2">
        <v>0.158</v>
      </c>
      <c r="Y249" s="6">
        <f t="shared" si="30"/>
        <v>4.2177197618856943E-3</v>
      </c>
      <c r="AA249">
        <v>380830</v>
      </c>
      <c r="AB249">
        <v>13094</v>
      </c>
      <c r="AD249" t="s">
        <v>5</v>
      </c>
      <c r="AE249">
        <v>32</v>
      </c>
      <c r="AF249">
        <v>1</v>
      </c>
      <c r="AH249" t="s">
        <v>4749</v>
      </c>
      <c r="AI249" t="s">
        <v>4748</v>
      </c>
      <c r="AK249" t="s">
        <v>4747</v>
      </c>
      <c r="AL249">
        <v>1</v>
      </c>
      <c r="AM249" s="5">
        <f t="shared" si="34"/>
        <v>2.7777777777777776E-2</v>
      </c>
      <c r="AN249" s="4">
        <f t="shared" si="31"/>
        <v>4.2071605873196175E-5</v>
      </c>
      <c r="AO249" s="3"/>
      <c r="AP249">
        <v>0</v>
      </c>
      <c r="AR249" t="s">
        <v>1</v>
      </c>
      <c r="AT249" s="2" t="s">
        <v>0</v>
      </c>
      <c r="AU249" s="1">
        <f t="shared" si="35"/>
        <v>0.29650253150819444</v>
      </c>
      <c r="AV249" s="1">
        <f t="shared" si="36"/>
        <v>0.21298956838794453</v>
      </c>
      <c r="AW249" s="1">
        <f t="shared" si="37"/>
        <v>0.12947660526769456</v>
      </c>
    </row>
    <row r="250" spans="1:49" x14ac:dyDescent="0.2">
      <c r="A250">
        <v>248</v>
      </c>
      <c r="B250" t="s">
        <v>4746</v>
      </c>
      <c r="C250" t="s">
        <v>4745</v>
      </c>
      <c r="F250" t="s">
        <v>4744</v>
      </c>
      <c r="G250" t="s">
        <v>16</v>
      </c>
      <c r="H250" t="s">
        <v>15</v>
      </c>
      <c r="I250" t="s">
        <v>4743</v>
      </c>
      <c r="J250">
        <v>60014313</v>
      </c>
      <c r="K250" t="s">
        <v>585</v>
      </c>
      <c r="L250" t="s">
        <v>584</v>
      </c>
      <c r="M250" t="s">
        <v>114</v>
      </c>
      <c r="N250">
        <v>2</v>
      </c>
      <c r="O250" t="s">
        <v>4742</v>
      </c>
      <c r="P250" t="s">
        <v>4741</v>
      </c>
      <c r="Q250" t="s">
        <v>581</v>
      </c>
      <c r="R250" s="7">
        <v>31413</v>
      </c>
      <c r="S250" s="8">
        <f t="shared" si="32"/>
        <v>1986</v>
      </c>
      <c r="T250" s="8">
        <v>1986</v>
      </c>
      <c r="U250" s="8">
        <f t="shared" si="33"/>
        <v>36</v>
      </c>
      <c r="V250" s="7">
        <v>31747</v>
      </c>
      <c r="W250" t="s">
        <v>153</v>
      </c>
      <c r="X250" s="2">
        <v>1.6519999999999999</v>
      </c>
      <c r="Y250" s="6">
        <f t="shared" si="30"/>
        <v>4.409919649769093E-2</v>
      </c>
      <c r="AA250" t="s">
        <v>152</v>
      </c>
      <c r="AB250">
        <v>17337</v>
      </c>
      <c r="AC250">
        <v>15582221</v>
      </c>
      <c r="AD250" t="s">
        <v>5</v>
      </c>
      <c r="AE250">
        <v>34</v>
      </c>
      <c r="AF250">
        <v>12</v>
      </c>
      <c r="AH250" t="s">
        <v>4740</v>
      </c>
      <c r="AI250" t="s">
        <v>4739</v>
      </c>
      <c r="AK250" t="s">
        <v>4738</v>
      </c>
      <c r="AL250">
        <v>15</v>
      </c>
      <c r="AM250" s="5">
        <f t="shared" si="34"/>
        <v>0.41666666666666669</v>
      </c>
      <c r="AN250" s="4">
        <f t="shared" si="31"/>
        <v>6.310740880979427E-4</v>
      </c>
      <c r="AO250" s="3"/>
      <c r="AP250">
        <v>0</v>
      </c>
      <c r="AR250" t="s">
        <v>1</v>
      </c>
      <c r="AT250" s="2" t="s">
        <v>0</v>
      </c>
      <c r="AU250" s="1">
        <f t="shared" si="35"/>
        <v>3.1058759774813036</v>
      </c>
      <c r="AV250" s="1">
        <f t="shared" si="36"/>
        <v>2.2365135292894434</v>
      </c>
      <c r="AW250" s="1">
        <f t="shared" si="37"/>
        <v>1.3671510810975838</v>
      </c>
    </row>
    <row r="251" spans="1:49" x14ac:dyDescent="0.2">
      <c r="A251">
        <v>249</v>
      </c>
      <c r="B251" t="s">
        <v>4737</v>
      </c>
      <c r="C251" t="s">
        <v>4736</v>
      </c>
      <c r="F251" t="s">
        <v>4735</v>
      </c>
      <c r="G251" t="s">
        <v>16</v>
      </c>
      <c r="H251" t="s">
        <v>15</v>
      </c>
      <c r="I251" t="s">
        <v>4734</v>
      </c>
      <c r="J251" t="s">
        <v>4733</v>
      </c>
      <c r="K251" t="s">
        <v>4732</v>
      </c>
      <c r="L251" t="s">
        <v>4731</v>
      </c>
      <c r="M251" t="s">
        <v>4730</v>
      </c>
      <c r="N251">
        <v>2</v>
      </c>
      <c r="O251" t="s">
        <v>4729</v>
      </c>
      <c r="P251" t="s">
        <v>4728</v>
      </c>
      <c r="Q251" t="s">
        <v>4727</v>
      </c>
      <c r="R251" s="7">
        <v>31413</v>
      </c>
      <c r="S251" s="8">
        <f t="shared" si="32"/>
        <v>1986</v>
      </c>
      <c r="T251" s="8">
        <v>1986</v>
      </c>
      <c r="U251" s="8">
        <f t="shared" si="33"/>
        <v>36</v>
      </c>
      <c r="V251" s="7">
        <v>31747</v>
      </c>
      <c r="W251" t="s">
        <v>153</v>
      </c>
      <c r="X251" s="2">
        <v>1.6519999999999999</v>
      </c>
      <c r="Y251" s="6">
        <f t="shared" si="30"/>
        <v>4.409919649769093E-2</v>
      </c>
      <c r="AA251" t="s">
        <v>152</v>
      </c>
      <c r="AB251">
        <v>17337</v>
      </c>
      <c r="AC251">
        <v>15582221</v>
      </c>
      <c r="AD251" t="s">
        <v>5</v>
      </c>
      <c r="AE251">
        <v>34</v>
      </c>
      <c r="AF251">
        <v>12</v>
      </c>
      <c r="AH251" t="s">
        <v>4726</v>
      </c>
      <c r="AI251" t="s">
        <v>4725</v>
      </c>
      <c r="AK251" t="s">
        <v>4724</v>
      </c>
      <c r="AL251">
        <v>13</v>
      </c>
      <c r="AM251" s="5">
        <f t="shared" si="34"/>
        <v>0.3611111111111111</v>
      </c>
      <c r="AN251" s="4">
        <f t="shared" si="31"/>
        <v>5.469308763515503E-4</v>
      </c>
      <c r="AO251" s="3"/>
      <c r="AP251">
        <v>0</v>
      </c>
      <c r="AR251" t="s">
        <v>1</v>
      </c>
      <c r="AT251" s="2" t="s">
        <v>0</v>
      </c>
      <c r="AU251" s="1">
        <f t="shared" si="35"/>
        <v>3.1033516811289115</v>
      </c>
      <c r="AV251" s="1">
        <f t="shared" si="36"/>
        <v>2.2323063687021238</v>
      </c>
      <c r="AW251" s="1">
        <f t="shared" si="37"/>
        <v>1.3612610562753364</v>
      </c>
    </row>
    <row r="252" spans="1:49" x14ac:dyDescent="0.2">
      <c r="A252">
        <v>250</v>
      </c>
      <c r="B252" t="s">
        <v>4723</v>
      </c>
      <c r="C252" t="s">
        <v>4722</v>
      </c>
      <c r="F252" t="s">
        <v>4721</v>
      </c>
      <c r="G252" t="s">
        <v>16</v>
      </c>
      <c r="H252" t="s">
        <v>15</v>
      </c>
      <c r="I252" t="s">
        <v>3821</v>
      </c>
      <c r="J252">
        <v>60009658</v>
      </c>
      <c r="K252" t="s">
        <v>2321</v>
      </c>
      <c r="L252" t="s">
        <v>2320</v>
      </c>
      <c r="M252" t="s">
        <v>665</v>
      </c>
      <c r="N252">
        <v>3</v>
      </c>
      <c r="O252" t="s">
        <v>4720</v>
      </c>
      <c r="P252" t="s">
        <v>4719</v>
      </c>
      <c r="Q252" t="s">
        <v>4718</v>
      </c>
      <c r="R252" s="7">
        <v>31413</v>
      </c>
      <c r="S252" s="8">
        <f t="shared" si="32"/>
        <v>1986</v>
      </c>
      <c r="T252" s="8">
        <v>1986</v>
      </c>
      <c r="U252" s="8">
        <f t="shared" si="33"/>
        <v>36</v>
      </c>
      <c r="V252" s="7" t="s">
        <v>4622</v>
      </c>
      <c r="W252" s="11" t="s">
        <v>1017</v>
      </c>
      <c r="X252" s="2">
        <v>2.383</v>
      </c>
      <c r="Y252" s="6">
        <f t="shared" si="30"/>
        <v>6.3612824003630442E-2</v>
      </c>
      <c r="AA252" t="s">
        <v>1016</v>
      </c>
      <c r="AB252">
        <v>101151</v>
      </c>
      <c r="AD252" t="s">
        <v>5</v>
      </c>
      <c r="AE252">
        <v>133</v>
      </c>
      <c r="AF252">
        <v>6</v>
      </c>
      <c r="AH252" t="s">
        <v>4717</v>
      </c>
      <c r="AI252" t="s">
        <v>4716</v>
      </c>
      <c r="AK252" t="s">
        <v>4715</v>
      </c>
      <c r="AL252">
        <v>3</v>
      </c>
      <c r="AM252" s="5">
        <f t="shared" si="34"/>
        <v>8.3333333333333329E-2</v>
      </c>
      <c r="AN252" s="4">
        <f t="shared" si="31"/>
        <v>1.2621481761958852E-4</v>
      </c>
      <c r="AO252" s="3"/>
      <c r="AP252">
        <v>0</v>
      </c>
      <c r="AR252" t="s">
        <v>1</v>
      </c>
      <c r="AT252" s="2" t="s">
        <v>0</v>
      </c>
      <c r="AU252" s="1">
        <f t="shared" si="35"/>
        <v>4.4566841247827185</v>
      </c>
      <c r="AV252" s="1">
        <f t="shared" si="36"/>
        <v>3.1869519410625013</v>
      </c>
      <c r="AW252" s="1">
        <f t="shared" si="37"/>
        <v>1.9172197573422847</v>
      </c>
    </row>
    <row r="253" spans="1:49" x14ac:dyDescent="0.2">
      <c r="A253">
        <v>251</v>
      </c>
      <c r="B253" t="s">
        <v>4714</v>
      </c>
      <c r="C253" t="s">
        <v>4713</v>
      </c>
      <c r="F253" t="s">
        <v>4712</v>
      </c>
      <c r="G253" t="s">
        <v>16</v>
      </c>
      <c r="H253" t="s">
        <v>15</v>
      </c>
      <c r="I253" t="s">
        <v>4711</v>
      </c>
      <c r="J253" t="s">
        <v>4710</v>
      </c>
      <c r="K253" t="s">
        <v>4709</v>
      </c>
      <c r="L253" t="s">
        <v>4708</v>
      </c>
      <c r="M253" t="s">
        <v>4707</v>
      </c>
      <c r="N253">
        <v>10</v>
      </c>
      <c r="O253" t="s">
        <v>4706</v>
      </c>
      <c r="P253" t="s">
        <v>4705</v>
      </c>
      <c r="Q253" t="s">
        <v>4704</v>
      </c>
      <c r="R253" s="7">
        <v>31413</v>
      </c>
      <c r="S253" s="8">
        <f t="shared" si="32"/>
        <v>1986</v>
      </c>
      <c r="T253" s="8">
        <v>1986</v>
      </c>
      <c r="U253" s="8">
        <f t="shared" si="33"/>
        <v>36</v>
      </c>
      <c r="V253" s="7">
        <v>31747</v>
      </c>
      <c r="W253" t="s">
        <v>414</v>
      </c>
      <c r="X253" s="2">
        <v>1.774</v>
      </c>
      <c r="Y253" s="6">
        <f t="shared" si="30"/>
        <v>4.7355916820159633E-2</v>
      </c>
      <c r="AA253">
        <v>295515</v>
      </c>
      <c r="AB253">
        <v>29066</v>
      </c>
      <c r="AC253">
        <v>17414326</v>
      </c>
      <c r="AD253" t="s">
        <v>5</v>
      </c>
      <c r="AE253">
        <v>26</v>
      </c>
      <c r="AF253">
        <v>12</v>
      </c>
      <c r="AH253" t="s">
        <v>4703</v>
      </c>
      <c r="AI253" t="s">
        <v>4702</v>
      </c>
      <c r="AK253" t="s">
        <v>4701</v>
      </c>
      <c r="AL253">
        <v>24</v>
      </c>
      <c r="AM253" s="5">
        <f t="shared" si="34"/>
        <v>0.66666666666666663</v>
      </c>
      <c r="AN253" s="4">
        <f t="shared" si="31"/>
        <v>1.0097185409567082E-3</v>
      </c>
      <c r="AO253" s="3"/>
      <c r="AP253">
        <v>0</v>
      </c>
      <c r="AR253" t="s">
        <v>1</v>
      </c>
      <c r="AT253" s="2">
        <v>3.1789999999999998</v>
      </c>
      <c r="AU253" s="1">
        <f t="shared" si="35"/>
        <v>3.3452057336398751</v>
      </c>
      <c r="AV253" s="1">
        <f t="shared" si="36"/>
        <v>2.4182817680558171</v>
      </c>
      <c r="AW253" s="1">
        <f t="shared" si="37"/>
        <v>1.4913578024717584</v>
      </c>
    </row>
    <row r="254" spans="1:49" x14ac:dyDescent="0.2">
      <c r="A254">
        <v>252</v>
      </c>
      <c r="B254" t="s">
        <v>4700</v>
      </c>
      <c r="C254" t="s">
        <v>4699</v>
      </c>
      <c r="F254" t="s">
        <v>4698</v>
      </c>
      <c r="G254" t="s">
        <v>16</v>
      </c>
      <c r="H254" t="s">
        <v>15</v>
      </c>
      <c r="I254" t="s">
        <v>4697</v>
      </c>
      <c r="J254">
        <v>60025038</v>
      </c>
      <c r="K254" t="s">
        <v>4696</v>
      </c>
      <c r="L254" t="s">
        <v>4695</v>
      </c>
      <c r="M254" t="s">
        <v>114</v>
      </c>
      <c r="N254">
        <v>6</v>
      </c>
      <c r="O254" t="s">
        <v>4694</v>
      </c>
      <c r="P254" t="s">
        <v>4693</v>
      </c>
      <c r="Q254" t="s">
        <v>4692</v>
      </c>
      <c r="R254" s="7">
        <v>31413</v>
      </c>
      <c r="S254" s="8">
        <f t="shared" si="32"/>
        <v>1986</v>
      </c>
      <c r="T254" s="8">
        <v>1986</v>
      </c>
      <c r="U254" s="8">
        <f t="shared" si="33"/>
        <v>36</v>
      </c>
      <c r="V254" s="7">
        <v>1986</v>
      </c>
      <c r="W254" t="s">
        <v>4691</v>
      </c>
      <c r="X254" s="2">
        <v>1.6519999999999999</v>
      </c>
      <c r="Y254" s="6">
        <f t="shared" si="30"/>
        <v>4.409919649769093E-2</v>
      </c>
      <c r="AA254">
        <v>219193</v>
      </c>
      <c r="AB254">
        <v>20220</v>
      </c>
      <c r="AD254" t="s">
        <v>5</v>
      </c>
      <c r="AE254">
        <v>168</v>
      </c>
      <c r="AF254">
        <v>3</v>
      </c>
      <c r="AH254" t="s">
        <v>4690</v>
      </c>
      <c r="AI254" t="s">
        <v>4689</v>
      </c>
      <c r="AK254" t="s">
        <v>4688</v>
      </c>
      <c r="AL254">
        <v>23</v>
      </c>
      <c r="AM254" s="5">
        <f t="shared" si="34"/>
        <v>0.63888888888888884</v>
      </c>
      <c r="AN254" s="4">
        <f t="shared" si="31"/>
        <v>9.676469350835121E-4</v>
      </c>
      <c r="AO254" s="3"/>
      <c r="AP254">
        <v>1</v>
      </c>
      <c r="AR254" t="s">
        <v>1</v>
      </c>
      <c r="AT254" s="2">
        <v>3.49</v>
      </c>
      <c r="AU254" s="1">
        <f t="shared" si="35"/>
        <v>3.1159731628908705</v>
      </c>
      <c r="AV254" s="1">
        <f t="shared" si="36"/>
        <v>2.2533421716387223</v>
      </c>
      <c r="AW254" s="1">
        <f t="shared" si="37"/>
        <v>1.3907111803865735</v>
      </c>
    </row>
    <row r="255" spans="1:49" x14ac:dyDescent="0.2">
      <c r="A255">
        <v>253</v>
      </c>
      <c r="B255" t="s">
        <v>4687</v>
      </c>
      <c r="C255" t="s">
        <v>4686</v>
      </c>
      <c r="F255" t="s">
        <v>4685</v>
      </c>
      <c r="G255" t="s">
        <v>16</v>
      </c>
      <c r="H255" t="s">
        <v>15</v>
      </c>
      <c r="I255" t="s">
        <v>4684</v>
      </c>
      <c r="J255">
        <v>60005304</v>
      </c>
      <c r="K255" t="s">
        <v>1421</v>
      </c>
      <c r="L255" t="s">
        <v>1420</v>
      </c>
      <c r="M255" t="s">
        <v>114</v>
      </c>
      <c r="N255">
        <v>3</v>
      </c>
      <c r="O255" t="s">
        <v>4683</v>
      </c>
      <c r="P255" t="s">
        <v>4682</v>
      </c>
      <c r="Q255" t="s">
        <v>4681</v>
      </c>
      <c r="R255" s="7">
        <v>31413</v>
      </c>
      <c r="S255" s="8">
        <f t="shared" si="32"/>
        <v>1986</v>
      </c>
      <c r="T255" s="8">
        <v>1986</v>
      </c>
      <c r="U255" s="8">
        <f t="shared" si="33"/>
        <v>36</v>
      </c>
      <c r="V255" s="7">
        <v>31747</v>
      </c>
      <c r="W255" t="s">
        <v>153</v>
      </c>
      <c r="X255" s="2">
        <v>1.6519999999999999</v>
      </c>
      <c r="Y255" s="6">
        <f t="shared" si="30"/>
        <v>4.409919649769093E-2</v>
      </c>
      <c r="AA255" t="s">
        <v>152</v>
      </c>
      <c r="AB255">
        <v>17337</v>
      </c>
      <c r="AC255">
        <v>15582221</v>
      </c>
      <c r="AD255" t="s">
        <v>5</v>
      </c>
      <c r="AE255">
        <v>34</v>
      </c>
      <c r="AF255">
        <v>12</v>
      </c>
      <c r="AH255" t="s">
        <v>4680</v>
      </c>
      <c r="AI255" t="s">
        <v>4679</v>
      </c>
      <c r="AK255" t="s">
        <v>4678</v>
      </c>
      <c r="AL255">
        <v>2</v>
      </c>
      <c r="AM255" s="5">
        <f t="shared" si="34"/>
        <v>5.5555555555555552E-2</v>
      </c>
      <c r="AN255" s="4">
        <f t="shared" si="31"/>
        <v>8.4143211746392349E-5</v>
      </c>
      <c r="AO255" s="3"/>
      <c r="AP255">
        <v>0</v>
      </c>
      <c r="AR255" t="s">
        <v>1</v>
      </c>
      <c r="AT255" s="2" t="s">
        <v>0</v>
      </c>
      <c r="AU255" s="1">
        <f t="shared" si="35"/>
        <v>3.0894680511907571</v>
      </c>
      <c r="AV255" s="1">
        <f t="shared" si="36"/>
        <v>2.2091669854718661</v>
      </c>
      <c r="AW255" s="1">
        <f t="shared" si="37"/>
        <v>1.3288659197529753</v>
      </c>
    </row>
    <row r="256" spans="1:49" x14ac:dyDescent="0.2">
      <c r="A256">
        <v>254</v>
      </c>
      <c r="B256" t="s">
        <v>4677</v>
      </c>
      <c r="C256" t="s">
        <v>4676</v>
      </c>
      <c r="F256" t="s">
        <v>4675</v>
      </c>
      <c r="G256" t="s">
        <v>16</v>
      </c>
      <c r="H256" t="s">
        <v>15</v>
      </c>
      <c r="I256" t="s">
        <v>4674</v>
      </c>
      <c r="J256">
        <v>60027561</v>
      </c>
      <c r="K256" t="s">
        <v>1828</v>
      </c>
      <c r="L256" t="s">
        <v>1827</v>
      </c>
      <c r="M256" t="s">
        <v>114</v>
      </c>
      <c r="N256">
        <v>2</v>
      </c>
      <c r="O256" t="s">
        <v>4673</v>
      </c>
      <c r="P256" t="s">
        <v>4672</v>
      </c>
      <c r="Q256" t="s">
        <v>1824</v>
      </c>
      <c r="R256" s="7">
        <v>31413</v>
      </c>
      <c r="S256" s="8">
        <f t="shared" si="32"/>
        <v>1986</v>
      </c>
      <c r="T256" s="8">
        <v>1986</v>
      </c>
      <c r="U256" s="8">
        <f t="shared" si="33"/>
        <v>36</v>
      </c>
      <c r="V256" s="7">
        <v>31747</v>
      </c>
      <c r="W256" t="s">
        <v>153</v>
      </c>
      <c r="X256" s="2">
        <v>1.6519999999999999</v>
      </c>
      <c r="Y256" s="6">
        <f t="shared" si="30"/>
        <v>4.409919649769093E-2</v>
      </c>
      <c r="AA256" t="s">
        <v>152</v>
      </c>
      <c r="AB256">
        <v>17337</v>
      </c>
      <c r="AC256">
        <v>15582221</v>
      </c>
      <c r="AD256" t="s">
        <v>5</v>
      </c>
      <c r="AE256">
        <v>34</v>
      </c>
      <c r="AF256">
        <v>12</v>
      </c>
      <c r="AH256" t="s">
        <v>4671</v>
      </c>
      <c r="AI256" t="s">
        <v>4670</v>
      </c>
      <c r="AK256" t="s">
        <v>4669</v>
      </c>
      <c r="AL256">
        <v>122</v>
      </c>
      <c r="AM256" s="5">
        <f t="shared" si="34"/>
        <v>3.3888888888888888</v>
      </c>
      <c r="AN256" s="4">
        <f t="shared" si="31"/>
        <v>5.1327359165299338E-3</v>
      </c>
      <c r="AO256" s="3"/>
      <c r="AP256">
        <v>0</v>
      </c>
      <c r="AR256" t="s">
        <v>1</v>
      </c>
      <c r="AT256" s="2" t="s">
        <v>0</v>
      </c>
      <c r="AU256" s="1">
        <f t="shared" si="35"/>
        <v>3.2409258323342636</v>
      </c>
      <c r="AV256" s="1">
        <f t="shared" si="36"/>
        <v>2.4615966207110431</v>
      </c>
      <c r="AW256" s="1">
        <f t="shared" si="37"/>
        <v>1.6822674090878231</v>
      </c>
    </row>
    <row r="257" spans="1:49" x14ac:dyDescent="0.2">
      <c r="A257">
        <v>255</v>
      </c>
      <c r="B257" t="s">
        <v>4668</v>
      </c>
      <c r="C257" t="s">
        <v>4667</v>
      </c>
      <c r="E257">
        <v>3780748</v>
      </c>
      <c r="F257" t="s">
        <v>4666</v>
      </c>
      <c r="G257" t="s">
        <v>16</v>
      </c>
      <c r="H257" t="s">
        <v>15</v>
      </c>
      <c r="I257" t="s">
        <v>4665</v>
      </c>
      <c r="J257" t="s">
        <v>4664</v>
      </c>
      <c r="K257" t="s">
        <v>4663</v>
      </c>
      <c r="L257" t="s">
        <v>4662</v>
      </c>
      <c r="M257" t="s">
        <v>4661</v>
      </c>
      <c r="N257">
        <v>5</v>
      </c>
      <c r="O257" t="s">
        <v>4660</v>
      </c>
      <c r="P257" t="s">
        <v>4659</v>
      </c>
      <c r="Q257" t="s">
        <v>4658</v>
      </c>
      <c r="R257" s="7">
        <v>31413</v>
      </c>
      <c r="S257" s="8">
        <f t="shared" si="32"/>
        <v>1986</v>
      </c>
      <c r="T257" s="8">
        <v>1986</v>
      </c>
      <c r="U257" s="8">
        <f t="shared" si="33"/>
        <v>36</v>
      </c>
      <c r="V257" s="7">
        <v>31747</v>
      </c>
      <c r="W257" t="s">
        <v>4657</v>
      </c>
      <c r="X257" s="2">
        <v>1.9810000000000001</v>
      </c>
      <c r="Y257" s="6">
        <f t="shared" si="30"/>
        <v>5.2881663596807349E-2</v>
      </c>
      <c r="AA257">
        <v>142956</v>
      </c>
      <c r="AB257">
        <v>39034</v>
      </c>
      <c r="AC257">
        <v>14321033</v>
      </c>
      <c r="AD257" t="s">
        <v>5</v>
      </c>
      <c r="AE257">
        <v>161</v>
      </c>
      <c r="AF257">
        <v>2</v>
      </c>
      <c r="AH257" t="s">
        <v>4656</v>
      </c>
      <c r="AI257" t="s">
        <v>4655</v>
      </c>
      <c r="AK257" t="s">
        <v>4654</v>
      </c>
      <c r="AL257">
        <v>47</v>
      </c>
      <c r="AM257" s="5">
        <f t="shared" si="34"/>
        <v>1.3055555555555556</v>
      </c>
      <c r="AN257" s="4">
        <f t="shared" si="31"/>
        <v>1.9773654760402203E-3</v>
      </c>
      <c r="AO257" s="3"/>
      <c r="AP257">
        <v>1</v>
      </c>
      <c r="AR257" t="s">
        <v>1</v>
      </c>
      <c r="AT257" s="2" t="s">
        <v>0</v>
      </c>
      <c r="AU257" s="1">
        <f t="shared" si="35"/>
        <v>3.7610374160577207</v>
      </c>
      <c r="AV257" s="1">
        <f t="shared" si="36"/>
        <v>2.7429514536423785</v>
      </c>
      <c r="AW257" s="1">
        <f t="shared" si="37"/>
        <v>1.7248654912270358</v>
      </c>
    </row>
    <row r="258" spans="1:49" x14ac:dyDescent="0.2">
      <c r="A258">
        <v>256</v>
      </c>
      <c r="B258" t="s">
        <v>4653</v>
      </c>
      <c r="C258" t="s">
        <v>4652</v>
      </c>
      <c r="F258" t="s">
        <v>4651</v>
      </c>
      <c r="G258" t="s">
        <v>16</v>
      </c>
      <c r="H258" t="s">
        <v>15</v>
      </c>
      <c r="I258" t="s">
        <v>4650</v>
      </c>
      <c r="J258">
        <v>60033021</v>
      </c>
      <c r="K258" t="s">
        <v>4649</v>
      </c>
      <c r="L258" t="s">
        <v>2112</v>
      </c>
      <c r="M258" t="s">
        <v>114</v>
      </c>
      <c r="N258">
        <v>2</v>
      </c>
      <c r="O258" t="s">
        <v>4648</v>
      </c>
      <c r="P258" t="s">
        <v>4647</v>
      </c>
      <c r="Q258" t="s">
        <v>4646</v>
      </c>
      <c r="R258" s="7">
        <v>31413</v>
      </c>
      <c r="S258" s="8">
        <f t="shared" si="32"/>
        <v>1986</v>
      </c>
      <c r="T258" s="8">
        <v>1986</v>
      </c>
      <c r="U258" s="8">
        <f t="shared" si="33"/>
        <v>36</v>
      </c>
      <c r="V258" s="7">
        <v>31747</v>
      </c>
      <c r="W258" t="s">
        <v>4033</v>
      </c>
      <c r="X258" s="2">
        <v>1.6379999999999999</v>
      </c>
      <c r="Y258" s="6">
        <f t="shared" ref="Y258:Y321" si="38">(X258-$Z$4)/($Z$3-$Z$4)</f>
        <v>4.3725474493473214E-2</v>
      </c>
      <c r="AA258">
        <v>963518</v>
      </c>
      <c r="AB258">
        <v>31560</v>
      </c>
      <c r="AD258" t="s">
        <v>5</v>
      </c>
      <c r="AE258">
        <v>34</v>
      </c>
      <c r="AF258">
        <v>6</v>
      </c>
      <c r="AH258" t="s">
        <v>4645</v>
      </c>
      <c r="AI258" t="s">
        <v>4644</v>
      </c>
      <c r="AK258" t="s">
        <v>4643</v>
      </c>
      <c r="AL258">
        <v>1</v>
      </c>
      <c r="AM258" s="5">
        <f t="shared" si="34"/>
        <v>2.7777777777777776E-2</v>
      </c>
      <c r="AN258" s="4">
        <f t="shared" ref="AN258:AN321" si="39">(AM258-$AO$4)/($AO$3-$AO$4)</f>
        <v>4.2071605873196175E-5</v>
      </c>
      <c r="AO258" s="3"/>
      <c r="AP258">
        <v>0</v>
      </c>
      <c r="AR258" t="s">
        <v>1</v>
      </c>
      <c r="AT258" s="2" t="s">
        <v>0</v>
      </c>
      <c r="AU258" s="1">
        <f t="shared" si="35"/>
        <v>3.0620453627193207</v>
      </c>
      <c r="AV258" s="1">
        <f t="shared" si="36"/>
        <v>2.1883773049673207</v>
      </c>
      <c r="AW258" s="1">
        <f t="shared" si="37"/>
        <v>1.3147092472153201</v>
      </c>
    </row>
    <row r="259" spans="1:49" x14ac:dyDescent="0.2">
      <c r="A259">
        <v>257</v>
      </c>
      <c r="B259" t="s">
        <v>4642</v>
      </c>
      <c r="C259" t="s">
        <v>4641</v>
      </c>
      <c r="F259" t="s">
        <v>4640</v>
      </c>
      <c r="G259" t="s">
        <v>16</v>
      </c>
      <c r="H259" t="s">
        <v>15</v>
      </c>
      <c r="I259" t="s">
        <v>4639</v>
      </c>
      <c r="J259" t="s">
        <v>4638</v>
      </c>
      <c r="K259" t="s">
        <v>4637</v>
      </c>
      <c r="L259" t="s">
        <v>4636</v>
      </c>
      <c r="M259" t="s">
        <v>4635</v>
      </c>
      <c r="N259">
        <v>5</v>
      </c>
      <c r="O259" t="s">
        <v>4634</v>
      </c>
      <c r="P259" t="s">
        <v>4633</v>
      </c>
      <c r="Q259" t="s">
        <v>4632</v>
      </c>
      <c r="R259" s="7">
        <v>31413</v>
      </c>
      <c r="S259" s="8">
        <f t="shared" si="32"/>
        <v>1986</v>
      </c>
      <c r="T259" s="8">
        <v>1986</v>
      </c>
      <c r="U259" s="8">
        <f t="shared" si="33"/>
        <v>36</v>
      </c>
      <c r="V259" s="7">
        <v>31747</v>
      </c>
      <c r="W259" t="s">
        <v>6</v>
      </c>
      <c r="X259" s="2">
        <v>1.3720000000000001</v>
      </c>
      <c r="Y259" s="6">
        <f t="shared" si="38"/>
        <v>3.662475641333654E-2</v>
      </c>
      <c r="AA259">
        <v>189480</v>
      </c>
      <c r="AB259">
        <v>17366</v>
      </c>
      <c r="AC259">
        <v>15579670</v>
      </c>
      <c r="AD259" t="s">
        <v>5</v>
      </c>
      <c r="AE259">
        <v>34</v>
      </c>
      <c r="AF259">
        <v>12</v>
      </c>
      <c r="AH259" t="s">
        <v>4631</v>
      </c>
      <c r="AI259" t="s">
        <v>4630</v>
      </c>
      <c r="AK259" t="s">
        <v>4629</v>
      </c>
      <c r="AL259">
        <v>46</v>
      </c>
      <c r="AM259" s="5">
        <f t="shared" si="34"/>
        <v>1.2777777777777777</v>
      </c>
      <c r="AN259" s="4">
        <f t="shared" si="39"/>
        <v>1.9352938701670242E-3</v>
      </c>
      <c r="AO259" s="3"/>
      <c r="AP259">
        <v>0</v>
      </c>
      <c r="AR259" t="s">
        <v>1</v>
      </c>
      <c r="AT259" s="2" t="s">
        <v>0</v>
      </c>
      <c r="AU259" s="1">
        <f t="shared" si="35"/>
        <v>2.6217917650385685</v>
      </c>
      <c r="AV259" s="1">
        <f t="shared" si="36"/>
        <v>1.9280025141751782</v>
      </c>
      <c r="AW259" s="1">
        <f t="shared" si="37"/>
        <v>1.2342132633117879</v>
      </c>
    </row>
    <row r="260" spans="1:49" x14ac:dyDescent="0.2">
      <c r="A260">
        <v>258</v>
      </c>
      <c r="B260" t="s">
        <v>4628</v>
      </c>
      <c r="C260" t="s">
        <v>4627</v>
      </c>
      <c r="F260" t="s">
        <v>4626</v>
      </c>
      <c r="G260" t="s">
        <v>16</v>
      </c>
      <c r="H260" t="s">
        <v>15</v>
      </c>
      <c r="I260" t="s">
        <v>4625</v>
      </c>
      <c r="J260">
        <v>60078791</v>
      </c>
      <c r="K260" t="s">
        <v>4624</v>
      </c>
      <c r="L260" t="s">
        <v>1827</v>
      </c>
      <c r="M260" t="s">
        <v>114</v>
      </c>
      <c r="N260">
        <v>1</v>
      </c>
      <c r="O260" t="s">
        <v>4623</v>
      </c>
      <c r="P260">
        <v>6507265709</v>
      </c>
      <c r="Q260">
        <v>60078791</v>
      </c>
      <c r="R260" s="7">
        <v>31413</v>
      </c>
      <c r="S260" s="8">
        <f t="shared" si="32"/>
        <v>1986</v>
      </c>
      <c r="T260" s="8">
        <v>1986</v>
      </c>
      <c r="U260" s="8">
        <f t="shared" si="33"/>
        <v>36</v>
      </c>
      <c r="V260" s="7" t="s">
        <v>4622</v>
      </c>
      <c r="W260" t="s">
        <v>1858</v>
      </c>
      <c r="X260" s="2">
        <v>0.78200000000000003</v>
      </c>
      <c r="Y260" s="6">
        <f t="shared" si="38"/>
        <v>2.0875043378446919E-2</v>
      </c>
      <c r="AA260">
        <v>189316</v>
      </c>
      <c r="AB260">
        <v>19901</v>
      </c>
      <c r="AD260" t="s">
        <v>5</v>
      </c>
      <c r="AE260" t="s">
        <v>1857</v>
      </c>
      <c r="AF260">
        <v>4</v>
      </c>
      <c r="AH260" t="s">
        <v>4621</v>
      </c>
      <c r="AI260" t="s">
        <v>4620</v>
      </c>
      <c r="AK260" t="s">
        <v>4619</v>
      </c>
      <c r="AL260">
        <v>0</v>
      </c>
      <c r="AM260" s="5">
        <f t="shared" si="34"/>
        <v>0</v>
      </c>
      <c r="AN260" s="4">
        <f t="shared" si="39"/>
        <v>0</v>
      </c>
      <c r="AO260" s="3"/>
      <c r="AP260">
        <v>0</v>
      </c>
      <c r="AR260" t="s">
        <v>1</v>
      </c>
      <c r="AT260" s="2">
        <v>3.863</v>
      </c>
      <c r="AU260" s="1">
        <f t="shared" si="35"/>
        <v>1.4612530364912841</v>
      </c>
      <c r="AV260" s="1">
        <f t="shared" si="36"/>
        <v>1.0437521689223459</v>
      </c>
      <c r="AW260" s="1">
        <f t="shared" si="37"/>
        <v>0.62625130135340756</v>
      </c>
    </row>
    <row r="261" spans="1:49" x14ac:dyDescent="0.2">
      <c r="A261">
        <v>259</v>
      </c>
      <c r="B261" t="s">
        <v>4618</v>
      </c>
      <c r="C261" t="s">
        <v>4617</v>
      </c>
      <c r="F261" t="s">
        <v>4616</v>
      </c>
      <c r="G261" t="s">
        <v>16</v>
      </c>
      <c r="H261" t="s">
        <v>15</v>
      </c>
      <c r="I261" t="s">
        <v>3140</v>
      </c>
      <c r="J261" t="s">
        <v>4615</v>
      </c>
      <c r="K261" t="s">
        <v>4614</v>
      </c>
      <c r="L261" t="s">
        <v>4613</v>
      </c>
      <c r="M261" t="s">
        <v>4612</v>
      </c>
      <c r="N261">
        <v>2</v>
      </c>
      <c r="O261" t="s">
        <v>4611</v>
      </c>
      <c r="P261" t="s">
        <v>3135</v>
      </c>
      <c r="Q261" t="s">
        <v>4610</v>
      </c>
      <c r="R261" s="7">
        <v>31413</v>
      </c>
      <c r="S261" s="8">
        <f t="shared" si="32"/>
        <v>1986</v>
      </c>
      <c r="T261" s="8">
        <v>1986</v>
      </c>
      <c r="U261" s="8">
        <f t="shared" si="33"/>
        <v>36</v>
      </c>
      <c r="V261" s="7">
        <v>31747</v>
      </c>
      <c r="W261" t="s">
        <v>4033</v>
      </c>
      <c r="X261" s="2">
        <v>1.6379999999999999</v>
      </c>
      <c r="Y261" s="6">
        <f t="shared" si="38"/>
        <v>4.3725474493473214E-2</v>
      </c>
      <c r="AA261">
        <v>963518</v>
      </c>
      <c r="AB261">
        <v>31560</v>
      </c>
      <c r="AD261" t="s">
        <v>5</v>
      </c>
      <c r="AE261">
        <v>34</v>
      </c>
      <c r="AF261">
        <v>6</v>
      </c>
      <c r="AH261" t="s">
        <v>4609</v>
      </c>
      <c r="AI261" t="s">
        <v>4608</v>
      </c>
      <c r="AK261" t="s">
        <v>4607</v>
      </c>
      <c r="AL261">
        <v>18</v>
      </c>
      <c r="AM261" s="5">
        <f t="shared" si="34"/>
        <v>0.5</v>
      </c>
      <c r="AN261" s="4">
        <f t="shared" si="39"/>
        <v>7.572889057175312E-4</v>
      </c>
      <c r="AO261" s="3"/>
      <c r="AP261">
        <v>0</v>
      </c>
      <c r="AR261" t="s">
        <v>1</v>
      </c>
      <c r="AT261" s="2" t="s">
        <v>0</v>
      </c>
      <c r="AU261" s="1">
        <f t="shared" si="35"/>
        <v>3.0835018817146507</v>
      </c>
      <c r="AV261" s="1">
        <f t="shared" si="36"/>
        <v>2.2241381699595371</v>
      </c>
      <c r="AW261" s="1">
        <f t="shared" si="37"/>
        <v>1.3647744582044234</v>
      </c>
    </row>
    <row r="262" spans="1:49" x14ac:dyDescent="0.2">
      <c r="A262">
        <v>260</v>
      </c>
      <c r="B262" t="s">
        <v>4606</v>
      </c>
      <c r="C262" t="s">
        <v>4605</v>
      </c>
      <c r="F262" t="s">
        <v>17</v>
      </c>
      <c r="G262" t="s">
        <v>16</v>
      </c>
      <c r="H262" t="s">
        <v>15</v>
      </c>
      <c r="I262" t="s">
        <v>14</v>
      </c>
      <c r="J262" t="s">
        <v>13</v>
      </c>
      <c r="K262" t="s">
        <v>12</v>
      </c>
      <c r="L262" t="s">
        <v>11</v>
      </c>
      <c r="M262" t="s">
        <v>10</v>
      </c>
      <c r="N262">
        <v>4</v>
      </c>
      <c r="O262" t="s">
        <v>4604</v>
      </c>
      <c r="P262" t="s">
        <v>4603</v>
      </c>
      <c r="Q262" t="s">
        <v>4602</v>
      </c>
      <c r="R262" s="7">
        <v>31413</v>
      </c>
      <c r="S262" s="8">
        <f t="shared" si="32"/>
        <v>1986</v>
      </c>
      <c r="T262" s="8">
        <v>1986</v>
      </c>
      <c r="U262" s="8">
        <f t="shared" si="33"/>
        <v>36</v>
      </c>
      <c r="V262" s="7">
        <v>31747</v>
      </c>
      <c r="W262" t="s">
        <v>4601</v>
      </c>
      <c r="X262" s="2">
        <v>0.82799999999999996</v>
      </c>
      <c r="Y262" s="6">
        <f t="shared" si="38"/>
        <v>2.2102987106590855E-2</v>
      </c>
      <c r="AA262">
        <v>189383</v>
      </c>
      <c r="AB262">
        <v>26052</v>
      </c>
      <c r="AC262">
        <v>15579646</v>
      </c>
      <c r="AD262" t="s">
        <v>5</v>
      </c>
      <c r="AE262">
        <v>33</v>
      </c>
      <c r="AF262">
        <v>12</v>
      </c>
      <c r="AH262" t="s">
        <v>4600</v>
      </c>
      <c r="AI262" t="s">
        <v>4599</v>
      </c>
      <c r="AK262" t="s">
        <v>4598</v>
      </c>
      <c r="AL262">
        <v>15</v>
      </c>
      <c r="AM262" s="5">
        <f t="shared" si="34"/>
        <v>0.41666666666666669</v>
      </c>
      <c r="AN262" s="4">
        <f t="shared" si="39"/>
        <v>6.310740880979427E-4</v>
      </c>
      <c r="AO262" s="3"/>
      <c r="AP262">
        <v>0</v>
      </c>
      <c r="AR262" t="s">
        <v>1</v>
      </c>
      <c r="AT262" s="2">
        <v>2.9169999999999998</v>
      </c>
      <c r="AU262" s="1">
        <f t="shared" si="35"/>
        <v>1.566141320104298</v>
      </c>
      <c r="AV262" s="1">
        <f t="shared" si="36"/>
        <v>1.1367030597344401</v>
      </c>
      <c r="AW262" s="1">
        <f t="shared" si="37"/>
        <v>0.70726479936458164</v>
      </c>
    </row>
    <row r="263" spans="1:49" x14ac:dyDescent="0.2">
      <c r="A263">
        <v>261</v>
      </c>
      <c r="B263" t="s">
        <v>4597</v>
      </c>
      <c r="C263" t="s">
        <v>4596</v>
      </c>
      <c r="F263" t="s">
        <v>4595</v>
      </c>
      <c r="G263" t="s">
        <v>16</v>
      </c>
      <c r="H263" t="s">
        <v>15</v>
      </c>
      <c r="I263" t="s">
        <v>4594</v>
      </c>
      <c r="J263">
        <v>60003122</v>
      </c>
      <c r="K263" t="s">
        <v>4593</v>
      </c>
      <c r="L263" t="s">
        <v>4592</v>
      </c>
      <c r="M263" t="s">
        <v>616</v>
      </c>
      <c r="N263">
        <v>1</v>
      </c>
      <c r="O263" t="s">
        <v>4591</v>
      </c>
      <c r="P263">
        <v>56477419900</v>
      </c>
      <c r="Q263">
        <v>60003122</v>
      </c>
      <c r="R263" s="7">
        <v>31413</v>
      </c>
      <c r="S263" s="8">
        <f t="shared" si="32"/>
        <v>1986</v>
      </c>
      <c r="T263" s="8">
        <v>1986</v>
      </c>
      <c r="U263" s="8">
        <f t="shared" si="33"/>
        <v>36</v>
      </c>
      <c r="V263" s="7">
        <v>31747</v>
      </c>
      <c r="W263" t="s">
        <v>346</v>
      </c>
      <c r="X263" s="2">
        <v>2.383</v>
      </c>
      <c r="Y263" s="6">
        <f t="shared" si="38"/>
        <v>6.3612824003630442E-2</v>
      </c>
      <c r="AA263">
        <v>189219</v>
      </c>
      <c r="AB263">
        <v>17915</v>
      </c>
      <c r="AC263">
        <v>15582256</v>
      </c>
      <c r="AD263" t="s">
        <v>5</v>
      </c>
      <c r="AE263">
        <v>74</v>
      </c>
      <c r="AF263">
        <v>12</v>
      </c>
      <c r="AH263" t="s">
        <v>4590</v>
      </c>
      <c r="AL263">
        <v>8</v>
      </c>
      <c r="AM263" s="5">
        <f t="shared" si="34"/>
        <v>0.22222222222222221</v>
      </c>
      <c r="AN263" s="4">
        <f t="shared" si="39"/>
        <v>3.365728469855694E-4</v>
      </c>
      <c r="AO263" s="3"/>
      <c r="AP263">
        <v>0</v>
      </c>
      <c r="AR263" t="s">
        <v>1</v>
      </c>
      <c r="AT263" s="2">
        <v>10.961</v>
      </c>
      <c r="AU263" s="1">
        <f t="shared" si="35"/>
        <v>4.4629948656636973</v>
      </c>
      <c r="AV263" s="1">
        <f t="shared" si="36"/>
        <v>3.1974698425308006</v>
      </c>
      <c r="AW263" s="1">
        <f t="shared" si="37"/>
        <v>1.931944819397903</v>
      </c>
    </row>
    <row r="264" spans="1:49" x14ac:dyDescent="0.2">
      <c r="A264">
        <v>262</v>
      </c>
      <c r="B264" t="s">
        <v>4589</v>
      </c>
      <c r="C264" t="s">
        <v>4588</v>
      </c>
      <c r="F264" t="s">
        <v>4587</v>
      </c>
      <c r="G264" t="s">
        <v>16</v>
      </c>
      <c r="H264" t="s">
        <v>15</v>
      </c>
      <c r="I264" t="s">
        <v>4586</v>
      </c>
      <c r="J264">
        <v>100775764</v>
      </c>
      <c r="K264" t="s">
        <v>4585</v>
      </c>
      <c r="M264" t="s">
        <v>114</v>
      </c>
      <c r="N264">
        <v>2</v>
      </c>
      <c r="O264" t="s">
        <v>4584</v>
      </c>
      <c r="P264" t="s">
        <v>4583</v>
      </c>
      <c r="Q264" t="s">
        <v>4582</v>
      </c>
      <c r="R264" s="7">
        <v>31413</v>
      </c>
      <c r="S264" s="8">
        <f t="shared" si="32"/>
        <v>1986</v>
      </c>
      <c r="T264" s="8">
        <v>1986</v>
      </c>
      <c r="U264" s="8">
        <f t="shared" si="33"/>
        <v>36</v>
      </c>
      <c r="V264" s="7">
        <v>31747</v>
      </c>
      <c r="W264" t="s">
        <v>153</v>
      </c>
      <c r="X264" s="2">
        <v>1.6519999999999999</v>
      </c>
      <c r="Y264" s="6">
        <f t="shared" si="38"/>
        <v>4.409919649769093E-2</v>
      </c>
      <c r="AA264" t="s">
        <v>152</v>
      </c>
      <c r="AB264">
        <v>17337</v>
      </c>
      <c r="AC264">
        <v>15582221</v>
      </c>
      <c r="AD264" t="s">
        <v>5</v>
      </c>
      <c r="AE264">
        <v>34</v>
      </c>
      <c r="AF264">
        <v>12</v>
      </c>
      <c r="AH264" t="s">
        <v>4581</v>
      </c>
      <c r="AI264" t="s">
        <v>4580</v>
      </c>
      <c r="AK264" t="s">
        <v>4579</v>
      </c>
      <c r="AL264">
        <v>2</v>
      </c>
      <c r="AM264" s="5">
        <f t="shared" si="34"/>
        <v>5.5555555555555552E-2</v>
      </c>
      <c r="AN264" s="4">
        <f t="shared" si="39"/>
        <v>8.4143211746392349E-5</v>
      </c>
      <c r="AO264" s="3"/>
      <c r="AP264">
        <v>0</v>
      </c>
      <c r="AR264" t="s">
        <v>1</v>
      </c>
      <c r="AT264" s="2" t="s">
        <v>0</v>
      </c>
      <c r="AU264" s="1">
        <f t="shared" si="35"/>
        <v>3.0894680511907571</v>
      </c>
      <c r="AV264" s="1">
        <f t="shared" si="36"/>
        <v>2.2091669854718661</v>
      </c>
      <c r="AW264" s="1">
        <f t="shared" si="37"/>
        <v>1.3288659197529753</v>
      </c>
    </row>
    <row r="265" spans="1:49" x14ac:dyDescent="0.2">
      <c r="A265">
        <v>263</v>
      </c>
      <c r="B265" t="s">
        <v>4578</v>
      </c>
      <c r="C265" t="s">
        <v>4577</v>
      </c>
      <c r="F265" t="s">
        <v>4576</v>
      </c>
      <c r="G265" t="s">
        <v>16</v>
      </c>
      <c r="H265" t="s">
        <v>15</v>
      </c>
      <c r="I265" t="s">
        <v>4575</v>
      </c>
      <c r="J265" t="s">
        <v>4574</v>
      </c>
      <c r="K265" t="s">
        <v>4573</v>
      </c>
      <c r="L265" t="s">
        <v>4572</v>
      </c>
      <c r="M265" t="s">
        <v>157</v>
      </c>
      <c r="N265">
        <v>3</v>
      </c>
      <c r="O265" t="s">
        <v>4571</v>
      </c>
      <c r="P265" t="s">
        <v>4570</v>
      </c>
      <c r="Q265" t="s">
        <v>4569</v>
      </c>
      <c r="R265" s="7">
        <v>31413</v>
      </c>
      <c r="S265" s="8">
        <f t="shared" si="32"/>
        <v>1986</v>
      </c>
      <c r="T265" s="8">
        <v>1986</v>
      </c>
      <c r="U265" s="8">
        <f t="shared" si="33"/>
        <v>36</v>
      </c>
      <c r="V265" s="7">
        <v>31747</v>
      </c>
      <c r="W265" t="s">
        <v>153</v>
      </c>
      <c r="X265" s="2">
        <v>1.6519999999999999</v>
      </c>
      <c r="Y265" s="6">
        <f t="shared" si="38"/>
        <v>4.409919649769093E-2</v>
      </c>
      <c r="AA265" t="s">
        <v>152</v>
      </c>
      <c r="AB265">
        <v>17337</v>
      </c>
      <c r="AC265">
        <v>15582221</v>
      </c>
      <c r="AD265" t="s">
        <v>5</v>
      </c>
      <c r="AE265">
        <v>34</v>
      </c>
      <c r="AF265">
        <v>12</v>
      </c>
      <c r="AH265" t="s">
        <v>4568</v>
      </c>
      <c r="AI265" t="s">
        <v>4567</v>
      </c>
      <c r="AK265" t="s">
        <v>4566</v>
      </c>
      <c r="AL265">
        <v>27</v>
      </c>
      <c r="AM265" s="5">
        <f t="shared" si="34"/>
        <v>0.75</v>
      </c>
      <c r="AN265" s="4">
        <f t="shared" si="39"/>
        <v>1.1359333585762969E-3</v>
      </c>
      <c r="AO265" s="3"/>
      <c r="AP265">
        <v>0</v>
      </c>
      <c r="AR265" t="s">
        <v>1</v>
      </c>
      <c r="AT265" s="2" t="s">
        <v>0</v>
      </c>
      <c r="AU265" s="1">
        <f t="shared" si="35"/>
        <v>3.1210217555956539</v>
      </c>
      <c r="AV265" s="1">
        <f t="shared" si="36"/>
        <v>2.2617564928133613</v>
      </c>
      <c r="AW265" s="1">
        <f t="shared" si="37"/>
        <v>1.4024912300310686</v>
      </c>
    </row>
    <row r="266" spans="1:49" x14ac:dyDescent="0.2">
      <c r="A266">
        <v>264</v>
      </c>
      <c r="B266" t="s">
        <v>4565</v>
      </c>
      <c r="C266" t="s">
        <v>4564</v>
      </c>
      <c r="F266" t="s">
        <v>4563</v>
      </c>
      <c r="G266" t="s">
        <v>16</v>
      </c>
      <c r="H266" t="s">
        <v>15</v>
      </c>
      <c r="I266" t="s">
        <v>811</v>
      </c>
      <c r="J266" t="s">
        <v>4562</v>
      </c>
      <c r="K266" t="s">
        <v>4561</v>
      </c>
      <c r="L266" t="s">
        <v>4560</v>
      </c>
      <c r="M266" t="s">
        <v>783</v>
      </c>
      <c r="N266">
        <v>2</v>
      </c>
      <c r="O266" t="s">
        <v>4559</v>
      </c>
      <c r="P266" t="s">
        <v>807</v>
      </c>
      <c r="Q266" t="s">
        <v>4558</v>
      </c>
      <c r="R266" s="7">
        <v>31413</v>
      </c>
      <c r="S266" s="8">
        <f t="shared" si="32"/>
        <v>1986</v>
      </c>
      <c r="T266" s="8">
        <v>1986</v>
      </c>
      <c r="U266" s="8">
        <f t="shared" si="33"/>
        <v>36</v>
      </c>
      <c r="V266" s="7">
        <v>31747</v>
      </c>
      <c r="W266" t="s">
        <v>153</v>
      </c>
      <c r="X266" s="2">
        <v>1.6519999999999999</v>
      </c>
      <c r="Y266" s="6">
        <f t="shared" si="38"/>
        <v>4.409919649769093E-2</v>
      </c>
      <c r="AA266" t="s">
        <v>152</v>
      </c>
      <c r="AB266">
        <v>17337</v>
      </c>
      <c r="AC266">
        <v>15582221</v>
      </c>
      <c r="AD266" t="s">
        <v>5</v>
      </c>
      <c r="AE266">
        <v>34</v>
      </c>
      <c r="AF266">
        <v>12</v>
      </c>
      <c r="AH266" t="s">
        <v>4557</v>
      </c>
      <c r="AI266" t="s">
        <v>4556</v>
      </c>
      <c r="AK266" t="s">
        <v>4555</v>
      </c>
      <c r="AL266">
        <v>43</v>
      </c>
      <c r="AM266" s="5">
        <f t="shared" si="34"/>
        <v>1.1944444444444444</v>
      </c>
      <c r="AN266" s="4">
        <f t="shared" si="39"/>
        <v>1.8090790525474357E-3</v>
      </c>
      <c r="AO266" s="3"/>
      <c r="AP266">
        <v>0</v>
      </c>
      <c r="AR266" t="s">
        <v>1</v>
      </c>
      <c r="AT266" s="2" t="s">
        <v>0</v>
      </c>
      <c r="AU266" s="1">
        <f t="shared" si="35"/>
        <v>3.141216126414788</v>
      </c>
      <c r="AV266" s="1">
        <f t="shared" si="36"/>
        <v>2.2954137775119183</v>
      </c>
      <c r="AW266" s="1">
        <f t="shared" si="37"/>
        <v>1.4496114286090482</v>
      </c>
    </row>
    <row r="267" spans="1:49" x14ac:dyDescent="0.2">
      <c r="A267">
        <v>265</v>
      </c>
      <c r="B267" t="s">
        <v>4554</v>
      </c>
      <c r="C267" t="s">
        <v>4553</v>
      </c>
      <c r="F267" t="s">
        <v>4552</v>
      </c>
      <c r="G267" t="s">
        <v>16</v>
      </c>
      <c r="H267" t="s">
        <v>15</v>
      </c>
      <c r="I267" t="s">
        <v>4551</v>
      </c>
      <c r="J267">
        <v>100468795</v>
      </c>
      <c r="K267" t="s">
        <v>4550</v>
      </c>
      <c r="L267" t="s">
        <v>3028</v>
      </c>
      <c r="M267" t="s">
        <v>533</v>
      </c>
      <c r="N267">
        <v>2</v>
      </c>
      <c r="O267" t="s">
        <v>4549</v>
      </c>
      <c r="P267" t="s">
        <v>4548</v>
      </c>
      <c r="Q267" t="s">
        <v>4547</v>
      </c>
      <c r="R267" s="7">
        <v>31413</v>
      </c>
      <c r="S267" s="8">
        <f t="shared" si="32"/>
        <v>1986</v>
      </c>
      <c r="T267" s="8">
        <v>1986</v>
      </c>
      <c r="U267" s="8">
        <f t="shared" si="33"/>
        <v>36</v>
      </c>
      <c r="V267" s="7">
        <v>1986</v>
      </c>
      <c r="W267" t="s">
        <v>387</v>
      </c>
      <c r="X267" s="2">
        <v>1.67</v>
      </c>
      <c r="Y267" s="6">
        <f t="shared" si="38"/>
        <v>4.4579696217399427E-2</v>
      </c>
      <c r="AA267">
        <v>1480227</v>
      </c>
      <c r="AB267">
        <v>28428</v>
      </c>
      <c r="AD267" t="s">
        <v>5</v>
      </c>
      <c r="AE267">
        <v>91</v>
      </c>
      <c r="AF267" t="s">
        <v>386</v>
      </c>
      <c r="AH267" t="s">
        <v>4546</v>
      </c>
      <c r="AI267" t="s">
        <v>4545</v>
      </c>
      <c r="AK267" t="s">
        <v>4544</v>
      </c>
      <c r="AL267">
        <v>6</v>
      </c>
      <c r="AM267" s="5">
        <f t="shared" si="34"/>
        <v>0.16666666666666666</v>
      </c>
      <c r="AN267" s="4">
        <f t="shared" si="39"/>
        <v>2.5242963523917705E-4</v>
      </c>
      <c r="AO267" s="3"/>
      <c r="AP267">
        <v>0</v>
      </c>
      <c r="AR267" t="s">
        <v>1</v>
      </c>
      <c r="AT267" s="2" t="s">
        <v>0</v>
      </c>
      <c r="AU267" s="1">
        <f t="shared" si="35"/>
        <v>3.128151624275135</v>
      </c>
      <c r="AV267" s="1">
        <f t="shared" si="36"/>
        <v>2.2416062926319302</v>
      </c>
      <c r="AW267" s="1">
        <f t="shared" si="37"/>
        <v>1.3550609609887252</v>
      </c>
    </row>
    <row r="268" spans="1:49" x14ac:dyDescent="0.2">
      <c r="A268">
        <v>266</v>
      </c>
      <c r="B268" t="s">
        <v>4543</v>
      </c>
      <c r="C268" t="s">
        <v>4542</v>
      </c>
      <c r="F268" t="s">
        <v>4541</v>
      </c>
      <c r="G268" t="s">
        <v>16</v>
      </c>
      <c r="H268" t="s">
        <v>15</v>
      </c>
      <c r="I268" t="s">
        <v>4540</v>
      </c>
      <c r="J268">
        <v>60008676</v>
      </c>
      <c r="K268" t="s">
        <v>4539</v>
      </c>
      <c r="L268" t="s">
        <v>4538</v>
      </c>
      <c r="M268" t="s">
        <v>114</v>
      </c>
      <c r="N268">
        <v>1</v>
      </c>
      <c r="O268" t="s">
        <v>4537</v>
      </c>
      <c r="P268">
        <v>7404362180</v>
      </c>
      <c r="Q268">
        <v>60008676</v>
      </c>
      <c r="R268" s="7">
        <v>31413</v>
      </c>
      <c r="S268" s="8">
        <f t="shared" si="32"/>
        <v>1986</v>
      </c>
      <c r="T268" s="8">
        <v>1986</v>
      </c>
      <c r="U268" s="8">
        <f t="shared" si="33"/>
        <v>36</v>
      </c>
      <c r="V268" s="7">
        <v>31413</v>
      </c>
      <c r="W268" t="s">
        <v>4536</v>
      </c>
      <c r="X268" s="2">
        <v>0.442</v>
      </c>
      <c r="Y268" s="6">
        <f t="shared" si="38"/>
        <v>1.1798937561730867E-2</v>
      </c>
      <c r="AA268">
        <v>1490419</v>
      </c>
      <c r="AB268">
        <v>29742</v>
      </c>
      <c r="AC268" t="s">
        <v>4535</v>
      </c>
      <c r="AD268" t="s">
        <v>5</v>
      </c>
      <c r="AE268">
        <v>10</v>
      </c>
      <c r="AF268">
        <v>1</v>
      </c>
      <c r="AH268" t="s">
        <v>4534</v>
      </c>
      <c r="AI268" t="s">
        <v>4533</v>
      </c>
      <c r="AK268" t="s">
        <v>4532</v>
      </c>
      <c r="AL268">
        <v>8</v>
      </c>
      <c r="AM268" s="5">
        <f t="shared" si="34"/>
        <v>0.22222222222222221</v>
      </c>
      <c r="AN268" s="4">
        <f t="shared" si="39"/>
        <v>3.365728469855694E-4</v>
      </c>
      <c r="AO268" s="3"/>
      <c r="AP268">
        <v>0</v>
      </c>
      <c r="AR268" t="s">
        <v>1</v>
      </c>
      <c r="AS268" t="s">
        <v>4531</v>
      </c>
      <c r="AT268" s="2">
        <v>1.667</v>
      </c>
      <c r="AU268" s="1">
        <f t="shared" si="35"/>
        <v>0.83602281473072781</v>
      </c>
      <c r="AV268" s="1">
        <f t="shared" si="36"/>
        <v>0.60677552043582184</v>
      </c>
      <c r="AW268" s="1">
        <f t="shared" si="37"/>
        <v>0.37752822614091586</v>
      </c>
    </row>
    <row r="269" spans="1:49" x14ac:dyDescent="0.2">
      <c r="A269">
        <v>267</v>
      </c>
      <c r="B269" t="s">
        <v>4530</v>
      </c>
      <c r="C269" t="s">
        <v>4529</v>
      </c>
      <c r="F269" t="s">
        <v>4528</v>
      </c>
      <c r="G269" t="s">
        <v>16</v>
      </c>
      <c r="H269" t="s">
        <v>15</v>
      </c>
      <c r="I269" t="s">
        <v>4527</v>
      </c>
      <c r="N269">
        <v>4</v>
      </c>
      <c r="O269" t="s">
        <v>4526</v>
      </c>
      <c r="P269" t="s">
        <v>4525</v>
      </c>
      <c r="Q269" t="s">
        <v>1031</v>
      </c>
      <c r="R269" s="7">
        <v>31413</v>
      </c>
      <c r="S269" s="8">
        <f t="shared" si="32"/>
        <v>1986</v>
      </c>
      <c r="T269" s="8">
        <v>1986</v>
      </c>
      <c r="U269" s="8">
        <f t="shared" si="33"/>
        <v>36</v>
      </c>
      <c r="V269" s="7">
        <v>1986</v>
      </c>
      <c r="W269" t="s">
        <v>387</v>
      </c>
      <c r="X269" s="2">
        <v>1.67</v>
      </c>
      <c r="Y269" s="6">
        <f t="shared" si="38"/>
        <v>4.4579696217399427E-2</v>
      </c>
      <c r="AA269">
        <v>1480227</v>
      </c>
      <c r="AB269">
        <v>28428</v>
      </c>
      <c r="AD269" t="s">
        <v>5</v>
      </c>
      <c r="AE269">
        <v>91</v>
      </c>
      <c r="AF269" t="s">
        <v>386</v>
      </c>
      <c r="AH269" t="s">
        <v>4524</v>
      </c>
      <c r="AI269" t="s">
        <v>4523</v>
      </c>
      <c r="AK269" t="s">
        <v>4522</v>
      </c>
      <c r="AL269">
        <v>21</v>
      </c>
      <c r="AM269" s="5">
        <f t="shared" si="34"/>
        <v>0.58333333333333337</v>
      </c>
      <c r="AN269" s="4">
        <f t="shared" si="39"/>
        <v>8.835037233371198E-4</v>
      </c>
      <c r="AO269" s="3"/>
      <c r="AP269">
        <v>0</v>
      </c>
      <c r="AR269" t="s">
        <v>1</v>
      </c>
      <c r="AT269" s="2" t="s">
        <v>0</v>
      </c>
      <c r="AU269" s="1">
        <f t="shared" si="35"/>
        <v>3.1470838469180729</v>
      </c>
      <c r="AV269" s="1">
        <f t="shared" si="36"/>
        <v>2.2731599970368275</v>
      </c>
      <c r="AW269" s="1">
        <f t="shared" si="37"/>
        <v>1.3992361471555812</v>
      </c>
    </row>
    <row r="270" spans="1:49" x14ac:dyDescent="0.2">
      <c r="A270">
        <v>268</v>
      </c>
      <c r="B270" t="s">
        <v>4521</v>
      </c>
      <c r="C270" t="s">
        <v>4520</v>
      </c>
      <c r="F270" t="s">
        <v>4519</v>
      </c>
      <c r="G270" t="s">
        <v>16</v>
      </c>
      <c r="H270" t="s">
        <v>15</v>
      </c>
      <c r="I270" t="s">
        <v>4518</v>
      </c>
      <c r="J270">
        <v>60075129</v>
      </c>
      <c r="K270" t="s">
        <v>4517</v>
      </c>
      <c r="L270" t="s">
        <v>4516</v>
      </c>
      <c r="M270" t="s">
        <v>114</v>
      </c>
      <c r="N270">
        <v>1</v>
      </c>
      <c r="O270" t="s">
        <v>4515</v>
      </c>
      <c r="P270">
        <v>7102754464</v>
      </c>
      <c r="Q270">
        <v>60075129</v>
      </c>
      <c r="R270" s="7">
        <v>31413</v>
      </c>
      <c r="S270" s="8">
        <f t="shared" si="32"/>
        <v>1986</v>
      </c>
      <c r="T270" s="8">
        <v>1986</v>
      </c>
      <c r="U270" s="8">
        <f t="shared" si="33"/>
        <v>36</v>
      </c>
      <c r="V270" s="7">
        <v>31717</v>
      </c>
      <c r="W270" t="s">
        <v>1815</v>
      </c>
      <c r="X270" s="2">
        <v>1.137</v>
      </c>
      <c r="Y270" s="6">
        <f t="shared" si="38"/>
        <v>3.0351565628253384E-2</v>
      </c>
      <c r="AA270">
        <v>189251</v>
      </c>
      <c r="AB270">
        <v>17336</v>
      </c>
      <c r="AD270" t="s">
        <v>5</v>
      </c>
      <c r="AE270" t="s">
        <v>1814</v>
      </c>
      <c r="AF270">
        <v>6</v>
      </c>
      <c r="AH270" t="s">
        <v>4514</v>
      </c>
      <c r="AI270" t="s">
        <v>4513</v>
      </c>
      <c r="AK270" t="s">
        <v>4512</v>
      </c>
      <c r="AL270">
        <v>11</v>
      </c>
      <c r="AM270" s="5">
        <f t="shared" si="34"/>
        <v>0.30555555555555558</v>
      </c>
      <c r="AN270" s="4">
        <f t="shared" si="39"/>
        <v>4.62787664605158E-4</v>
      </c>
      <c r="AO270" s="3"/>
      <c r="AP270">
        <v>0</v>
      </c>
      <c r="AR270" t="s">
        <v>1</v>
      </c>
      <c r="AT270" s="2" t="s">
        <v>0</v>
      </c>
      <c r="AU270" s="1">
        <f t="shared" si="35"/>
        <v>2.1384932239158916</v>
      </c>
      <c r="AV270" s="1">
        <f t="shared" si="36"/>
        <v>1.540717664642927</v>
      </c>
      <c r="AW270" s="1">
        <f t="shared" si="37"/>
        <v>0.9429421053699627</v>
      </c>
    </row>
    <row r="271" spans="1:49" x14ac:dyDescent="0.2">
      <c r="A271">
        <v>269</v>
      </c>
      <c r="B271" t="s">
        <v>4511</v>
      </c>
      <c r="C271" t="s">
        <v>4510</v>
      </c>
      <c r="F271" t="s">
        <v>4509</v>
      </c>
      <c r="G271" t="s">
        <v>16</v>
      </c>
      <c r="H271" t="s">
        <v>15</v>
      </c>
      <c r="I271" t="s">
        <v>4508</v>
      </c>
      <c r="J271">
        <v>60011001</v>
      </c>
      <c r="K271" t="s">
        <v>1899</v>
      </c>
      <c r="L271" t="s">
        <v>1898</v>
      </c>
      <c r="M271" t="s">
        <v>71</v>
      </c>
      <c r="N271">
        <v>2</v>
      </c>
      <c r="O271" t="s">
        <v>4507</v>
      </c>
      <c r="P271" t="s">
        <v>4506</v>
      </c>
      <c r="Q271" t="s">
        <v>1895</v>
      </c>
      <c r="R271" s="7">
        <v>31413</v>
      </c>
      <c r="S271" s="8">
        <f t="shared" si="32"/>
        <v>1986</v>
      </c>
      <c r="T271" s="8">
        <v>1986</v>
      </c>
      <c r="U271" s="8">
        <f t="shared" si="33"/>
        <v>36</v>
      </c>
      <c r="V271" s="7">
        <v>31717</v>
      </c>
      <c r="W271" t="s">
        <v>1815</v>
      </c>
      <c r="X271" s="2">
        <v>1.137</v>
      </c>
      <c r="Y271" s="6">
        <f t="shared" si="38"/>
        <v>3.0351565628253384E-2</v>
      </c>
      <c r="AA271">
        <v>189251</v>
      </c>
      <c r="AB271">
        <v>17336</v>
      </c>
      <c r="AD271" t="s">
        <v>5</v>
      </c>
      <c r="AE271" t="s">
        <v>1814</v>
      </c>
      <c r="AF271">
        <v>6</v>
      </c>
      <c r="AH271" t="s">
        <v>4505</v>
      </c>
      <c r="AI271" t="s">
        <v>4504</v>
      </c>
      <c r="AK271" t="s">
        <v>4503</v>
      </c>
      <c r="AL271">
        <v>9</v>
      </c>
      <c r="AM271" s="5">
        <f t="shared" si="34"/>
        <v>0.25</v>
      </c>
      <c r="AN271" s="4">
        <f t="shared" si="39"/>
        <v>3.786444528587656E-4</v>
      </c>
      <c r="AO271" s="3"/>
      <c r="AP271">
        <v>0</v>
      </c>
      <c r="AR271" t="s">
        <v>1</v>
      </c>
      <c r="AT271" s="2" t="s">
        <v>0</v>
      </c>
      <c r="AU271" s="1">
        <f t="shared" si="35"/>
        <v>2.1359689275634994</v>
      </c>
      <c r="AV271" s="1">
        <f t="shared" si="36"/>
        <v>1.5365105040556075</v>
      </c>
      <c r="AW271" s="1">
        <f t="shared" si="37"/>
        <v>0.93705208054771527</v>
      </c>
    </row>
    <row r="272" spans="1:49" x14ac:dyDescent="0.2">
      <c r="A272">
        <v>270</v>
      </c>
      <c r="B272" t="s">
        <v>4502</v>
      </c>
      <c r="C272" t="s">
        <v>4501</v>
      </c>
      <c r="F272" t="s">
        <v>4500</v>
      </c>
      <c r="G272" t="s">
        <v>16</v>
      </c>
      <c r="H272" t="s">
        <v>15</v>
      </c>
      <c r="I272" t="s">
        <v>1851</v>
      </c>
      <c r="J272">
        <v>60003500</v>
      </c>
      <c r="K272" t="s">
        <v>1850</v>
      </c>
      <c r="L272" t="s">
        <v>1849</v>
      </c>
      <c r="M272" t="s">
        <v>114</v>
      </c>
      <c r="N272">
        <v>1</v>
      </c>
      <c r="O272" t="s">
        <v>4133</v>
      </c>
      <c r="P272">
        <v>7102202358</v>
      </c>
      <c r="Q272">
        <v>60003500</v>
      </c>
      <c r="R272" s="7">
        <v>31413</v>
      </c>
      <c r="S272" s="8">
        <f t="shared" si="32"/>
        <v>1986</v>
      </c>
      <c r="T272" s="8">
        <v>1986</v>
      </c>
      <c r="U272" s="8">
        <f t="shared" si="33"/>
        <v>36</v>
      </c>
      <c r="V272" s="7">
        <v>31717</v>
      </c>
      <c r="W272" t="s">
        <v>1815</v>
      </c>
      <c r="X272" s="2">
        <v>1.137</v>
      </c>
      <c r="Y272" s="6">
        <f t="shared" si="38"/>
        <v>3.0351565628253384E-2</v>
      </c>
      <c r="AA272">
        <v>189251</v>
      </c>
      <c r="AB272">
        <v>17336</v>
      </c>
      <c r="AD272" t="s">
        <v>5</v>
      </c>
      <c r="AE272" t="s">
        <v>1814</v>
      </c>
      <c r="AF272">
        <v>6</v>
      </c>
      <c r="AH272" t="s">
        <v>4499</v>
      </c>
      <c r="AI272" t="s">
        <v>4498</v>
      </c>
      <c r="AK272" t="s">
        <v>4497</v>
      </c>
      <c r="AL272">
        <v>0</v>
      </c>
      <c r="AM272" s="5">
        <f t="shared" si="34"/>
        <v>0</v>
      </c>
      <c r="AN272" s="4">
        <f t="shared" si="39"/>
        <v>0</v>
      </c>
      <c r="AO272" s="3"/>
      <c r="AP272">
        <v>0</v>
      </c>
      <c r="AR272" t="s">
        <v>1</v>
      </c>
      <c r="AT272" s="2" t="s">
        <v>0</v>
      </c>
      <c r="AU272" s="1">
        <f t="shared" si="35"/>
        <v>2.1246095939777367</v>
      </c>
      <c r="AV272" s="1">
        <f t="shared" si="36"/>
        <v>1.5175782814126693</v>
      </c>
      <c r="AW272" s="1">
        <f t="shared" si="37"/>
        <v>0.91054696884760156</v>
      </c>
    </row>
    <row r="273" spans="1:49" x14ac:dyDescent="0.2">
      <c r="A273">
        <v>271</v>
      </c>
      <c r="B273" t="s">
        <v>4496</v>
      </c>
      <c r="C273" t="s">
        <v>4495</v>
      </c>
      <c r="F273" t="s">
        <v>4494</v>
      </c>
      <c r="G273" t="s">
        <v>16</v>
      </c>
      <c r="H273" t="s">
        <v>15</v>
      </c>
      <c r="I273" t="s">
        <v>4493</v>
      </c>
      <c r="J273">
        <v>60000264</v>
      </c>
      <c r="K273" t="s">
        <v>4492</v>
      </c>
      <c r="L273" t="s">
        <v>3960</v>
      </c>
      <c r="M273" t="s">
        <v>71</v>
      </c>
      <c r="N273">
        <v>1</v>
      </c>
      <c r="O273" t="s">
        <v>4491</v>
      </c>
      <c r="P273">
        <v>7403005755</v>
      </c>
      <c r="Q273">
        <v>60000264</v>
      </c>
      <c r="R273" s="7">
        <v>31413</v>
      </c>
      <c r="S273" s="8">
        <f t="shared" si="32"/>
        <v>1986</v>
      </c>
      <c r="T273" s="8">
        <v>1986</v>
      </c>
      <c r="U273" s="8">
        <f t="shared" si="33"/>
        <v>36</v>
      </c>
      <c r="V273" s="7">
        <v>31717</v>
      </c>
      <c r="W273" t="s">
        <v>1288</v>
      </c>
      <c r="X273" s="2">
        <v>0.65500000000000003</v>
      </c>
      <c r="Y273" s="6">
        <f t="shared" si="38"/>
        <v>1.7484850911614749E-2</v>
      </c>
      <c r="AA273">
        <v>189375</v>
      </c>
      <c r="AB273">
        <v>26051</v>
      </c>
      <c r="AC273" t="s">
        <v>4238</v>
      </c>
      <c r="AD273" t="s">
        <v>5</v>
      </c>
      <c r="AE273">
        <v>28</v>
      </c>
      <c r="AF273">
        <v>4</v>
      </c>
      <c r="AH273" t="s">
        <v>4490</v>
      </c>
      <c r="AI273" t="s">
        <v>4489</v>
      </c>
      <c r="AJ273" t="s">
        <v>4488</v>
      </c>
      <c r="AK273" t="s">
        <v>4487</v>
      </c>
      <c r="AL273">
        <v>0</v>
      </c>
      <c r="AM273" s="5">
        <f t="shared" si="34"/>
        <v>0</v>
      </c>
      <c r="AN273" s="4">
        <f t="shared" si="39"/>
        <v>0</v>
      </c>
      <c r="AO273" s="3"/>
      <c r="AP273">
        <v>0</v>
      </c>
      <c r="AR273" t="s">
        <v>1</v>
      </c>
      <c r="AT273" s="2" t="s">
        <v>0</v>
      </c>
      <c r="AU273" s="1">
        <f t="shared" si="35"/>
        <v>1.2239395638130324</v>
      </c>
      <c r="AV273" s="1">
        <f t="shared" si="36"/>
        <v>0.87424254558073744</v>
      </c>
      <c r="AW273" s="1">
        <f t="shared" si="37"/>
        <v>0.52454552734844251</v>
      </c>
    </row>
    <row r="274" spans="1:49" x14ac:dyDescent="0.2">
      <c r="A274">
        <v>272</v>
      </c>
      <c r="B274" t="s">
        <v>4486</v>
      </c>
      <c r="C274" t="s">
        <v>4485</v>
      </c>
      <c r="F274" t="s">
        <v>4484</v>
      </c>
      <c r="G274" t="s">
        <v>16</v>
      </c>
      <c r="H274" t="s">
        <v>15</v>
      </c>
      <c r="I274" t="s">
        <v>4483</v>
      </c>
      <c r="N274">
        <v>2</v>
      </c>
      <c r="O274" t="s">
        <v>4482</v>
      </c>
      <c r="P274" t="s">
        <v>4481</v>
      </c>
      <c r="Q274" t="s">
        <v>313</v>
      </c>
      <c r="R274" s="7">
        <v>31413</v>
      </c>
      <c r="S274" s="8">
        <f t="shared" si="32"/>
        <v>1986</v>
      </c>
      <c r="T274" s="8">
        <v>1986</v>
      </c>
      <c r="U274" s="8">
        <f t="shared" si="33"/>
        <v>36</v>
      </c>
      <c r="V274" s="7" t="s">
        <v>4256</v>
      </c>
      <c r="W274" t="s">
        <v>153</v>
      </c>
      <c r="X274" s="2">
        <v>1.6519999999999999</v>
      </c>
      <c r="Y274" s="6">
        <f t="shared" si="38"/>
        <v>4.409919649769093E-2</v>
      </c>
      <c r="AA274" t="s">
        <v>152</v>
      </c>
      <c r="AB274">
        <v>17337</v>
      </c>
      <c r="AD274" t="s">
        <v>5</v>
      </c>
      <c r="AE274" t="s">
        <v>1375</v>
      </c>
      <c r="AF274">
        <v>11</v>
      </c>
      <c r="AH274" t="s">
        <v>4480</v>
      </c>
      <c r="AI274" t="s">
        <v>4479</v>
      </c>
      <c r="AK274" t="s">
        <v>4478</v>
      </c>
      <c r="AL274">
        <v>2</v>
      </c>
      <c r="AM274" s="5">
        <f t="shared" si="34"/>
        <v>5.5555555555555552E-2</v>
      </c>
      <c r="AN274" s="4">
        <f t="shared" si="39"/>
        <v>8.4143211746392349E-5</v>
      </c>
      <c r="AO274" s="3"/>
      <c r="AP274">
        <v>0</v>
      </c>
      <c r="AR274" t="s">
        <v>1</v>
      </c>
      <c r="AT274" s="2" t="s">
        <v>0</v>
      </c>
      <c r="AU274" s="1">
        <f t="shared" si="35"/>
        <v>3.0894680511907571</v>
      </c>
      <c r="AV274" s="1">
        <f t="shared" si="36"/>
        <v>2.2091669854718661</v>
      </c>
      <c r="AW274" s="1">
        <f t="shared" si="37"/>
        <v>1.3288659197529753</v>
      </c>
    </row>
    <row r="275" spans="1:49" x14ac:dyDescent="0.2">
      <c r="A275">
        <v>273</v>
      </c>
      <c r="B275" t="s">
        <v>4477</v>
      </c>
      <c r="C275" t="s">
        <v>4476</v>
      </c>
      <c r="F275" t="s">
        <v>4475</v>
      </c>
      <c r="G275" t="s">
        <v>16</v>
      </c>
      <c r="H275" t="s">
        <v>15</v>
      </c>
      <c r="I275" t="s">
        <v>2599</v>
      </c>
      <c r="N275">
        <v>3</v>
      </c>
      <c r="O275" t="s">
        <v>4474</v>
      </c>
      <c r="P275" t="s">
        <v>4473</v>
      </c>
      <c r="Q275" t="s">
        <v>295</v>
      </c>
      <c r="R275" s="7">
        <v>31413</v>
      </c>
      <c r="S275" s="8">
        <f t="shared" ref="S275:S338" si="40">YEAR(R275)</f>
        <v>1986</v>
      </c>
      <c r="T275" s="8">
        <v>1986</v>
      </c>
      <c r="U275" s="8">
        <f t="shared" ref="U275:U338" si="41">2022-T275</f>
        <v>36</v>
      </c>
      <c r="V275" s="7" t="s">
        <v>4247</v>
      </c>
      <c r="W275" t="s">
        <v>223</v>
      </c>
      <c r="X275" s="2">
        <v>0.371</v>
      </c>
      <c r="Y275" s="6">
        <f t="shared" si="38"/>
        <v>9.9036331117695747E-3</v>
      </c>
      <c r="AA275">
        <v>486604</v>
      </c>
      <c r="AB275">
        <v>28580</v>
      </c>
      <c r="AC275" t="s">
        <v>222</v>
      </c>
      <c r="AD275" t="s">
        <v>5</v>
      </c>
      <c r="AE275">
        <v>21</v>
      </c>
      <c r="AF275">
        <v>6</v>
      </c>
      <c r="AH275" t="s">
        <v>4472</v>
      </c>
      <c r="AI275" t="s">
        <v>4471</v>
      </c>
      <c r="AK275" t="s">
        <v>4470</v>
      </c>
      <c r="AL275">
        <v>45</v>
      </c>
      <c r="AM275" s="5">
        <f t="shared" ref="AM275:AM338" si="42">AL275/U275</f>
        <v>1.25</v>
      </c>
      <c r="AN275" s="4">
        <f t="shared" si="39"/>
        <v>1.8932222642938281E-3</v>
      </c>
      <c r="AO275" s="3"/>
      <c r="AP275">
        <v>0</v>
      </c>
      <c r="AR275" t="s">
        <v>1</v>
      </c>
      <c r="AT275" s="2">
        <v>1.431</v>
      </c>
      <c r="AU275" s="1">
        <f t="shared" ref="AU275:AU338" si="43">(Y275*0.7+AN275*0.3)*100</f>
        <v>0.75005098575268503</v>
      </c>
      <c r="AV275" s="1">
        <f t="shared" ref="AV275:AV338" si="44">(Y275*0.5+AN275*0.5)*100</f>
        <v>0.5898427688031701</v>
      </c>
      <c r="AW275" s="1">
        <f t="shared" ref="AW275:AW338" si="45">(Y275*0.3+AN275*0.7)*100</f>
        <v>0.42963455185365523</v>
      </c>
    </row>
    <row r="276" spans="1:49" x14ac:dyDescent="0.2">
      <c r="A276">
        <v>274</v>
      </c>
      <c r="B276" t="s">
        <v>4469</v>
      </c>
      <c r="C276" t="s">
        <v>4468</v>
      </c>
      <c r="F276" t="s">
        <v>4467</v>
      </c>
      <c r="G276" t="s">
        <v>16</v>
      </c>
      <c r="H276" t="s">
        <v>15</v>
      </c>
      <c r="I276" t="s">
        <v>4466</v>
      </c>
      <c r="J276" t="s">
        <v>4465</v>
      </c>
      <c r="K276" t="s">
        <v>4464</v>
      </c>
      <c r="L276" t="s">
        <v>4463</v>
      </c>
      <c r="M276" t="s">
        <v>783</v>
      </c>
      <c r="N276">
        <v>3</v>
      </c>
      <c r="O276" t="s">
        <v>4462</v>
      </c>
      <c r="P276" t="s">
        <v>4461</v>
      </c>
      <c r="Q276" t="s">
        <v>4460</v>
      </c>
      <c r="R276" s="7">
        <v>31413</v>
      </c>
      <c r="S276" s="8">
        <f t="shared" si="40"/>
        <v>1986</v>
      </c>
      <c r="T276" s="8">
        <v>1986</v>
      </c>
      <c r="U276" s="8">
        <f t="shared" si="41"/>
        <v>36</v>
      </c>
      <c r="V276" s="7">
        <v>31717</v>
      </c>
      <c r="W276" t="s">
        <v>520</v>
      </c>
      <c r="X276" s="2">
        <v>0.75800000000000001</v>
      </c>
      <c r="Y276" s="6">
        <f t="shared" si="38"/>
        <v>2.0234377085502256E-2</v>
      </c>
      <c r="AA276">
        <v>224650</v>
      </c>
      <c r="AB276">
        <v>29589</v>
      </c>
      <c r="AD276" t="s">
        <v>5</v>
      </c>
      <c r="AE276">
        <v>23</v>
      </c>
      <c r="AF276">
        <v>6</v>
      </c>
      <c r="AH276" t="s">
        <v>4459</v>
      </c>
      <c r="AI276" t="s">
        <v>4458</v>
      </c>
      <c r="AK276" t="s">
        <v>4457</v>
      </c>
      <c r="AL276">
        <v>1</v>
      </c>
      <c r="AM276" s="5">
        <f t="shared" si="42"/>
        <v>2.7777777777777776E-2</v>
      </c>
      <c r="AN276" s="4">
        <f t="shared" si="39"/>
        <v>4.2071605873196175E-5</v>
      </c>
      <c r="AO276" s="3"/>
      <c r="AP276">
        <v>0</v>
      </c>
      <c r="AQ276" t="s">
        <v>3529</v>
      </c>
      <c r="AR276" t="s">
        <v>1</v>
      </c>
      <c r="AS276" t="s">
        <v>3527</v>
      </c>
      <c r="AT276" s="2">
        <v>1.282</v>
      </c>
      <c r="AU276" s="1">
        <f t="shared" si="43"/>
        <v>1.4176685441613537</v>
      </c>
      <c r="AV276" s="1">
        <f t="shared" si="44"/>
        <v>1.0138224345687725</v>
      </c>
      <c r="AW276" s="1">
        <f t="shared" si="45"/>
        <v>0.60997632497619136</v>
      </c>
    </row>
    <row r="277" spans="1:49" x14ac:dyDescent="0.2">
      <c r="A277">
        <v>275</v>
      </c>
      <c r="B277" t="s">
        <v>4456</v>
      </c>
      <c r="C277" t="s">
        <v>4455</v>
      </c>
      <c r="F277" t="s">
        <v>4454</v>
      </c>
      <c r="G277" t="s">
        <v>16</v>
      </c>
      <c r="H277" t="s">
        <v>15</v>
      </c>
      <c r="I277" t="s">
        <v>4453</v>
      </c>
      <c r="J277">
        <v>60025104</v>
      </c>
      <c r="K277" t="s">
        <v>4452</v>
      </c>
      <c r="M277" t="s">
        <v>665</v>
      </c>
      <c r="N277">
        <v>3</v>
      </c>
      <c r="O277" t="s">
        <v>4451</v>
      </c>
      <c r="P277" t="s">
        <v>4450</v>
      </c>
      <c r="Q277" t="s">
        <v>4449</v>
      </c>
      <c r="R277" s="7">
        <v>31413</v>
      </c>
      <c r="S277" s="8">
        <f t="shared" si="40"/>
        <v>1986</v>
      </c>
      <c r="T277" s="8">
        <v>1986</v>
      </c>
      <c r="U277" s="8">
        <f t="shared" si="41"/>
        <v>36</v>
      </c>
      <c r="V277" s="7" t="s">
        <v>4256</v>
      </c>
      <c r="W277" t="s">
        <v>4448</v>
      </c>
      <c r="X277" s="2" t="s">
        <v>0</v>
      </c>
      <c r="Y277" s="6" t="e">
        <f t="shared" si="38"/>
        <v>#VALUE!</v>
      </c>
      <c r="AA277">
        <v>7481896</v>
      </c>
      <c r="AB277">
        <v>78193</v>
      </c>
      <c r="AD277" t="s">
        <v>5</v>
      </c>
      <c r="AE277">
        <v>10</v>
      </c>
      <c r="AF277" t="s">
        <v>4447</v>
      </c>
      <c r="AH277" t="s">
        <v>4446</v>
      </c>
      <c r="AI277" t="s">
        <v>4445</v>
      </c>
      <c r="AK277" t="s">
        <v>4444</v>
      </c>
      <c r="AL277">
        <v>3</v>
      </c>
      <c r="AM277" s="5">
        <f t="shared" si="42"/>
        <v>8.3333333333333329E-2</v>
      </c>
      <c r="AN277" s="4">
        <f t="shared" si="39"/>
        <v>1.2621481761958852E-4</v>
      </c>
      <c r="AO277" s="3"/>
      <c r="AP277">
        <v>0</v>
      </c>
      <c r="AR277" t="s">
        <v>1</v>
      </c>
      <c r="AT277" s="2" t="s">
        <v>0</v>
      </c>
      <c r="AU277" s="1" t="e">
        <f t="shared" si="43"/>
        <v>#VALUE!</v>
      </c>
      <c r="AV277" s="1" t="e">
        <f t="shared" si="44"/>
        <v>#VALUE!</v>
      </c>
      <c r="AW277" s="1" t="e">
        <f t="shared" si="45"/>
        <v>#VALUE!</v>
      </c>
    </row>
    <row r="278" spans="1:49" x14ac:dyDescent="0.2">
      <c r="A278">
        <v>276</v>
      </c>
      <c r="B278" t="s">
        <v>4443</v>
      </c>
      <c r="C278" t="s">
        <v>4442</v>
      </c>
      <c r="F278" t="s">
        <v>4441</v>
      </c>
      <c r="G278" t="s">
        <v>16</v>
      </c>
      <c r="H278" t="s">
        <v>15</v>
      </c>
      <c r="I278" t="s">
        <v>4440</v>
      </c>
      <c r="J278">
        <v>60030821</v>
      </c>
      <c r="K278" t="s">
        <v>4439</v>
      </c>
      <c r="L278" t="s">
        <v>1827</v>
      </c>
      <c r="M278" t="s">
        <v>114</v>
      </c>
      <c r="N278">
        <v>1</v>
      </c>
      <c r="O278" t="s">
        <v>4438</v>
      </c>
      <c r="P278">
        <v>9243982200</v>
      </c>
      <c r="Q278">
        <v>60030821</v>
      </c>
      <c r="R278" s="7">
        <v>31413</v>
      </c>
      <c r="S278" s="8">
        <f t="shared" si="40"/>
        <v>1986</v>
      </c>
      <c r="T278" s="8">
        <v>1986</v>
      </c>
      <c r="U278" s="8">
        <f t="shared" si="41"/>
        <v>36</v>
      </c>
      <c r="V278" s="7" t="s">
        <v>4256</v>
      </c>
      <c r="W278" t="s">
        <v>1805</v>
      </c>
      <c r="X278" s="2">
        <v>2.141</v>
      </c>
      <c r="Y278" s="6">
        <f t="shared" si="38"/>
        <v>5.7152772216438434E-2</v>
      </c>
      <c r="AA278">
        <v>1962892</v>
      </c>
      <c r="AB278">
        <v>17360</v>
      </c>
      <c r="AD278" t="s">
        <v>5</v>
      </c>
      <c r="AE278" t="s">
        <v>1804</v>
      </c>
      <c r="AF278">
        <v>6</v>
      </c>
      <c r="AH278" t="s">
        <v>4437</v>
      </c>
      <c r="AI278" t="s">
        <v>4436</v>
      </c>
      <c r="AK278" t="s">
        <v>4435</v>
      </c>
      <c r="AL278">
        <v>2</v>
      </c>
      <c r="AM278" s="5">
        <f t="shared" si="42"/>
        <v>5.5555555555555552E-2</v>
      </c>
      <c r="AN278" s="4">
        <f t="shared" si="39"/>
        <v>8.4143211746392349E-5</v>
      </c>
      <c r="AO278" s="3"/>
      <c r="AP278">
        <v>0</v>
      </c>
      <c r="AR278" t="s">
        <v>1</v>
      </c>
      <c r="AT278" s="2" t="s">
        <v>0</v>
      </c>
      <c r="AU278" s="1">
        <f t="shared" si="43"/>
        <v>4.0032183515030813</v>
      </c>
      <c r="AV278" s="1">
        <f t="shared" si="44"/>
        <v>2.8618457714092416</v>
      </c>
      <c r="AW278" s="1">
        <f t="shared" si="45"/>
        <v>1.7204731913154006</v>
      </c>
    </row>
    <row r="279" spans="1:49" x14ac:dyDescent="0.2">
      <c r="A279">
        <v>277</v>
      </c>
      <c r="B279" t="s">
        <v>4434</v>
      </c>
      <c r="C279" t="s">
        <v>4433</v>
      </c>
      <c r="F279" t="s">
        <v>4432</v>
      </c>
      <c r="G279" t="s">
        <v>16</v>
      </c>
      <c r="H279" t="s">
        <v>15</v>
      </c>
      <c r="I279" t="s">
        <v>4431</v>
      </c>
      <c r="J279">
        <v>60016302</v>
      </c>
      <c r="K279" t="s">
        <v>4430</v>
      </c>
      <c r="M279" t="s">
        <v>758</v>
      </c>
      <c r="N279">
        <v>1</v>
      </c>
      <c r="O279" t="s">
        <v>4429</v>
      </c>
      <c r="P279">
        <v>7201481830</v>
      </c>
      <c r="Q279">
        <v>60016302</v>
      </c>
      <c r="R279" s="7">
        <v>31413</v>
      </c>
      <c r="S279" s="8">
        <f t="shared" si="40"/>
        <v>1986</v>
      </c>
      <c r="T279" s="8">
        <v>1986</v>
      </c>
      <c r="U279" s="8">
        <f t="shared" si="41"/>
        <v>36</v>
      </c>
      <c r="V279" s="7">
        <v>31717</v>
      </c>
      <c r="W279" t="s">
        <v>1344</v>
      </c>
      <c r="X279" s="2">
        <v>1.365</v>
      </c>
      <c r="Y279" s="6">
        <f t="shared" si="38"/>
        <v>3.6437895411227675E-2</v>
      </c>
      <c r="AA279">
        <v>189545</v>
      </c>
      <c r="AB279">
        <v>17393</v>
      </c>
      <c r="AC279">
        <v>19399359</v>
      </c>
      <c r="AD279" t="s">
        <v>5</v>
      </c>
      <c r="AE279">
        <v>35</v>
      </c>
      <c r="AF279">
        <v>4</v>
      </c>
      <c r="AH279" t="s">
        <v>4428</v>
      </c>
      <c r="AI279" t="s">
        <v>4427</v>
      </c>
      <c r="AK279" t="s">
        <v>4426</v>
      </c>
      <c r="AL279">
        <v>52</v>
      </c>
      <c r="AM279" s="5">
        <f t="shared" si="42"/>
        <v>1.4444444444444444</v>
      </c>
      <c r="AN279" s="4">
        <f t="shared" si="39"/>
        <v>2.1877235054062012E-3</v>
      </c>
      <c r="AO279" s="3"/>
      <c r="AP279">
        <v>0</v>
      </c>
      <c r="AR279" t="s">
        <v>1</v>
      </c>
      <c r="AT279" s="2" t="s">
        <v>0</v>
      </c>
      <c r="AU279" s="1">
        <f t="shared" si="43"/>
        <v>2.6162843839481229</v>
      </c>
      <c r="AV279" s="1">
        <f t="shared" si="44"/>
        <v>1.9312809458316937</v>
      </c>
      <c r="AW279" s="1">
        <f t="shared" si="45"/>
        <v>1.2462775077152644</v>
      </c>
    </row>
    <row r="280" spans="1:49" x14ac:dyDescent="0.2">
      <c r="A280">
        <v>278</v>
      </c>
      <c r="B280" t="s">
        <v>4425</v>
      </c>
      <c r="C280" t="s">
        <v>4424</v>
      </c>
      <c r="F280" t="s">
        <v>4423</v>
      </c>
      <c r="G280" t="s">
        <v>16</v>
      </c>
      <c r="H280" t="s">
        <v>15</v>
      </c>
      <c r="I280" t="s">
        <v>4422</v>
      </c>
      <c r="J280">
        <v>60000461</v>
      </c>
      <c r="K280" t="s">
        <v>4421</v>
      </c>
      <c r="L280" t="s">
        <v>4420</v>
      </c>
      <c r="M280" t="s">
        <v>114</v>
      </c>
      <c r="N280">
        <v>1</v>
      </c>
      <c r="O280" t="s">
        <v>4419</v>
      </c>
      <c r="P280">
        <v>7201598549</v>
      </c>
      <c r="Q280">
        <v>60000461</v>
      </c>
      <c r="R280" s="7">
        <v>31413</v>
      </c>
      <c r="S280" s="8">
        <f t="shared" si="40"/>
        <v>1986</v>
      </c>
      <c r="T280" s="8">
        <v>1986</v>
      </c>
      <c r="U280" s="8">
        <f t="shared" si="41"/>
        <v>36</v>
      </c>
      <c r="V280" s="7" t="s">
        <v>4256</v>
      </c>
      <c r="W280" t="s">
        <v>153</v>
      </c>
      <c r="X280" s="2">
        <v>1.6519999999999999</v>
      </c>
      <c r="Y280" s="6">
        <f t="shared" si="38"/>
        <v>4.409919649769093E-2</v>
      </c>
      <c r="AA280" t="s">
        <v>152</v>
      </c>
      <c r="AB280">
        <v>17337</v>
      </c>
      <c r="AD280" t="s">
        <v>5</v>
      </c>
      <c r="AE280" t="s">
        <v>1375</v>
      </c>
      <c r="AF280">
        <v>11</v>
      </c>
      <c r="AH280" t="s">
        <v>4418</v>
      </c>
      <c r="AI280" t="s">
        <v>4417</v>
      </c>
      <c r="AK280" t="s">
        <v>4416</v>
      </c>
      <c r="AL280">
        <v>5</v>
      </c>
      <c r="AM280" s="5">
        <f t="shared" si="42"/>
        <v>0.1388888888888889</v>
      </c>
      <c r="AN280" s="4">
        <f t="shared" si="39"/>
        <v>2.103580293659809E-4</v>
      </c>
      <c r="AO280" s="3"/>
      <c r="AP280">
        <v>0</v>
      </c>
      <c r="AR280" t="s">
        <v>1</v>
      </c>
      <c r="AT280" s="2" t="s">
        <v>0</v>
      </c>
      <c r="AU280" s="1">
        <f t="shared" si="43"/>
        <v>3.0932544957193446</v>
      </c>
      <c r="AV280" s="1">
        <f t="shared" si="44"/>
        <v>2.2154777263528458</v>
      </c>
      <c r="AW280" s="1">
        <f t="shared" si="45"/>
        <v>1.3377009569863465</v>
      </c>
    </row>
    <row r="281" spans="1:49" x14ac:dyDescent="0.2">
      <c r="A281">
        <v>279</v>
      </c>
      <c r="B281" t="s">
        <v>4415</v>
      </c>
      <c r="C281" t="s">
        <v>4414</v>
      </c>
      <c r="F281" t="s">
        <v>4413</v>
      </c>
      <c r="G281" t="s">
        <v>16</v>
      </c>
      <c r="H281" t="s">
        <v>15</v>
      </c>
      <c r="I281" t="s">
        <v>4412</v>
      </c>
      <c r="J281">
        <v>60011199</v>
      </c>
      <c r="K281" t="s">
        <v>4411</v>
      </c>
      <c r="L281" t="s">
        <v>4410</v>
      </c>
      <c r="M281" t="s">
        <v>114</v>
      </c>
      <c r="N281">
        <v>3</v>
      </c>
      <c r="O281" t="s">
        <v>4409</v>
      </c>
      <c r="P281" t="s">
        <v>4408</v>
      </c>
      <c r="Q281" t="s">
        <v>4407</v>
      </c>
      <c r="R281" s="7">
        <v>31413</v>
      </c>
      <c r="S281" s="8">
        <f t="shared" si="40"/>
        <v>1986</v>
      </c>
      <c r="T281" s="8">
        <v>1986</v>
      </c>
      <c r="U281" s="8">
        <f t="shared" si="41"/>
        <v>36</v>
      </c>
      <c r="V281" s="7" t="s">
        <v>4256</v>
      </c>
      <c r="W281" t="s">
        <v>153</v>
      </c>
      <c r="X281" s="2">
        <v>1.6519999999999999</v>
      </c>
      <c r="Y281" s="6">
        <f t="shared" si="38"/>
        <v>4.409919649769093E-2</v>
      </c>
      <c r="AA281" t="s">
        <v>152</v>
      </c>
      <c r="AB281">
        <v>17337</v>
      </c>
      <c r="AD281" t="s">
        <v>5</v>
      </c>
      <c r="AE281" t="s">
        <v>1375</v>
      </c>
      <c r="AF281">
        <v>11</v>
      </c>
      <c r="AH281" t="s">
        <v>4406</v>
      </c>
      <c r="AI281" t="s">
        <v>4405</v>
      </c>
      <c r="AK281" t="s">
        <v>4404</v>
      </c>
      <c r="AL281">
        <v>17</v>
      </c>
      <c r="AM281" s="5">
        <f t="shared" si="42"/>
        <v>0.47222222222222221</v>
      </c>
      <c r="AN281" s="4">
        <f t="shared" si="39"/>
        <v>7.15217299844335E-4</v>
      </c>
      <c r="AO281" s="3"/>
      <c r="AP281">
        <v>0</v>
      </c>
      <c r="AR281" t="s">
        <v>1</v>
      </c>
      <c r="AT281" s="2" t="s">
        <v>0</v>
      </c>
      <c r="AU281" s="1">
        <f t="shared" si="43"/>
        <v>3.1084002738336949</v>
      </c>
      <c r="AV281" s="1">
        <f t="shared" si="44"/>
        <v>2.2407206898767633</v>
      </c>
      <c r="AW281" s="1">
        <f t="shared" si="45"/>
        <v>1.3730411059198313</v>
      </c>
    </row>
    <row r="282" spans="1:49" x14ac:dyDescent="0.2">
      <c r="A282">
        <v>280</v>
      </c>
      <c r="B282" t="s">
        <v>4403</v>
      </c>
      <c r="C282" t="s">
        <v>4402</v>
      </c>
      <c r="F282" t="s">
        <v>4401</v>
      </c>
      <c r="G282" t="s">
        <v>16</v>
      </c>
      <c r="H282" t="s">
        <v>15</v>
      </c>
      <c r="I282" t="s">
        <v>4400</v>
      </c>
      <c r="J282" t="s">
        <v>4399</v>
      </c>
      <c r="K282" t="s">
        <v>4398</v>
      </c>
      <c r="L282" t="s">
        <v>4397</v>
      </c>
      <c r="M282" t="s">
        <v>4396</v>
      </c>
      <c r="N282">
        <v>12</v>
      </c>
      <c r="O282" t="s">
        <v>4395</v>
      </c>
      <c r="P282" t="s">
        <v>4394</v>
      </c>
      <c r="Q282" t="s">
        <v>4393</v>
      </c>
      <c r="R282" s="7">
        <v>31413</v>
      </c>
      <c r="S282" s="8">
        <f t="shared" si="40"/>
        <v>1986</v>
      </c>
      <c r="T282" s="8">
        <v>1986</v>
      </c>
      <c r="U282" s="8">
        <f t="shared" si="41"/>
        <v>36</v>
      </c>
      <c r="V282" s="7">
        <v>31717</v>
      </c>
      <c r="W282" t="s">
        <v>414</v>
      </c>
      <c r="X282" s="2">
        <v>1.774</v>
      </c>
      <c r="Y282" s="6">
        <f t="shared" si="38"/>
        <v>4.7355916820159633E-2</v>
      </c>
      <c r="AA282">
        <v>295515</v>
      </c>
      <c r="AB282">
        <v>29066</v>
      </c>
      <c r="AC282">
        <v>17414326</v>
      </c>
      <c r="AD282" t="s">
        <v>5</v>
      </c>
      <c r="AE282">
        <v>26</v>
      </c>
      <c r="AF282">
        <v>11</v>
      </c>
      <c r="AH282" t="s">
        <v>4392</v>
      </c>
      <c r="AI282" t="s">
        <v>4391</v>
      </c>
      <c r="AK282" t="s">
        <v>4390</v>
      </c>
      <c r="AL282">
        <v>22</v>
      </c>
      <c r="AM282" s="5">
        <f t="shared" si="42"/>
        <v>0.61111111111111116</v>
      </c>
      <c r="AN282" s="4">
        <f t="shared" si="39"/>
        <v>9.25575329210316E-4</v>
      </c>
      <c r="AO282" s="3"/>
      <c r="AP282">
        <v>0</v>
      </c>
      <c r="AR282" t="s">
        <v>1</v>
      </c>
      <c r="AT282" s="2">
        <v>3.1789999999999998</v>
      </c>
      <c r="AU282" s="1">
        <f t="shared" si="43"/>
        <v>3.3426814372874833</v>
      </c>
      <c r="AV282" s="1">
        <f t="shared" si="44"/>
        <v>2.4140746074684976</v>
      </c>
      <c r="AW282" s="1">
        <f t="shared" si="45"/>
        <v>1.4854677776495109</v>
      </c>
    </row>
    <row r="283" spans="1:49" x14ac:dyDescent="0.2">
      <c r="A283">
        <v>281</v>
      </c>
      <c r="B283" t="s">
        <v>4389</v>
      </c>
      <c r="C283" t="s">
        <v>4388</v>
      </c>
      <c r="F283" t="s">
        <v>4387</v>
      </c>
      <c r="G283" t="s">
        <v>16</v>
      </c>
      <c r="H283" t="s">
        <v>15</v>
      </c>
      <c r="I283" t="s">
        <v>4386</v>
      </c>
      <c r="J283">
        <v>60014655</v>
      </c>
      <c r="K283" t="s">
        <v>1708</v>
      </c>
      <c r="L283" t="s">
        <v>1707</v>
      </c>
      <c r="M283" t="s">
        <v>1706</v>
      </c>
      <c r="N283">
        <v>2</v>
      </c>
      <c r="O283" t="s">
        <v>4385</v>
      </c>
      <c r="P283" t="s">
        <v>4384</v>
      </c>
      <c r="Q283" t="s">
        <v>4383</v>
      </c>
      <c r="R283" s="7">
        <v>31413</v>
      </c>
      <c r="S283" s="8">
        <f t="shared" si="40"/>
        <v>1986</v>
      </c>
      <c r="T283" s="8">
        <v>1986</v>
      </c>
      <c r="U283" s="8">
        <f t="shared" si="41"/>
        <v>36</v>
      </c>
      <c r="V283" s="7">
        <v>1986</v>
      </c>
      <c r="W283" t="s">
        <v>580</v>
      </c>
      <c r="X283" s="2">
        <v>0.375</v>
      </c>
      <c r="Y283" s="6">
        <f t="shared" si="38"/>
        <v>1.0010410827260351E-2</v>
      </c>
      <c r="AA283">
        <v>135194</v>
      </c>
      <c r="AB283">
        <v>24918</v>
      </c>
      <c r="AD283" t="s">
        <v>5</v>
      </c>
      <c r="AE283">
        <v>22</v>
      </c>
      <c r="AF283">
        <v>24</v>
      </c>
      <c r="AH283" t="s">
        <v>4382</v>
      </c>
      <c r="AI283" t="s">
        <v>4381</v>
      </c>
      <c r="AJ283" t="s">
        <v>4380</v>
      </c>
      <c r="AK283" t="s">
        <v>4379</v>
      </c>
      <c r="AL283">
        <v>0</v>
      </c>
      <c r="AM283" s="5">
        <f t="shared" si="42"/>
        <v>0</v>
      </c>
      <c r="AN283" s="4">
        <f t="shared" si="39"/>
        <v>0</v>
      </c>
      <c r="AO283" s="3"/>
      <c r="AP283">
        <v>0</v>
      </c>
      <c r="AR283" t="s">
        <v>1</v>
      </c>
      <c r="AT283" s="2">
        <v>1.3140000000000001</v>
      </c>
      <c r="AU283" s="1">
        <f t="shared" si="43"/>
        <v>0.70072875790822453</v>
      </c>
      <c r="AV283" s="1">
        <f t="shared" si="44"/>
        <v>0.5005205413630176</v>
      </c>
      <c r="AW283" s="1">
        <f t="shared" si="45"/>
        <v>0.30031232481781051</v>
      </c>
    </row>
    <row r="284" spans="1:49" x14ac:dyDescent="0.2">
      <c r="A284">
        <v>282</v>
      </c>
      <c r="B284" t="s">
        <v>4378</v>
      </c>
      <c r="C284" t="s">
        <v>4377</v>
      </c>
      <c r="F284" t="s">
        <v>4376</v>
      </c>
      <c r="G284" t="s">
        <v>16</v>
      </c>
      <c r="H284" t="s">
        <v>15</v>
      </c>
      <c r="I284" t="s">
        <v>3935</v>
      </c>
      <c r="J284">
        <v>60027844</v>
      </c>
      <c r="K284" t="s">
        <v>3934</v>
      </c>
      <c r="L284" t="s">
        <v>1707</v>
      </c>
      <c r="M284" t="s">
        <v>1706</v>
      </c>
      <c r="N284">
        <v>3</v>
      </c>
      <c r="O284" t="s">
        <v>4375</v>
      </c>
      <c r="P284" t="s">
        <v>3932</v>
      </c>
      <c r="Q284" t="s">
        <v>3931</v>
      </c>
      <c r="R284" s="7">
        <v>31413</v>
      </c>
      <c r="S284" s="8">
        <f t="shared" si="40"/>
        <v>1986</v>
      </c>
      <c r="T284" s="8">
        <v>1986</v>
      </c>
      <c r="U284" s="8">
        <f t="shared" si="41"/>
        <v>36</v>
      </c>
      <c r="V284" s="7">
        <v>31717</v>
      </c>
      <c r="W284" t="s">
        <v>1136</v>
      </c>
      <c r="X284" s="2">
        <v>0.251</v>
      </c>
      <c r="Y284" s="6">
        <f t="shared" si="38"/>
        <v>6.7003016470462617E-3</v>
      </c>
      <c r="AA284">
        <v>207217</v>
      </c>
      <c r="AB284">
        <v>26145</v>
      </c>
      <c r="AC284">
        <v>13623060</v>
      </c>
      <c r="AD284" t="s">
        <v>5</v>
      </c>
      <c r="AE284">
        <v>61</v>
      </c>
      <c r="AF284">
        <v>5</v>
      </c>
      <c r="AH284" t="s">
        <v>4374</v>
      </c>
      <c r="AI284" t="s">
        <v>4373</v>
      </c>
      <c r="AK284" t="s">
        <v>4372</v>
      </c>
      <c r="AL284">
        <v>1</v>
      </c>
      <c r="AM284" s="5">
        <f t="shared" si="42"/>
        <v>2.7777777777777776E-2</v>
      </c>
      <c r="AN284" s="4">
        <f t="shared" si="39"/>
        <v>4.2071605873196175E-5</v>
      </c>
      <c r="AO284" s="3"/>
      <c r="AP284">
        <v>0</v>
      </c>
      <c r="AR284" t="s">
        <v>1</v>
      </c>
      <c r="AT284" s="2">
        <v>1.3360000000000001</v>
      </c>
      <c r="AU284" s="1">
        <f t="shared" si="43"/>
        <v>0.47028326346943411</v>
      </c>
      <c r="AV284" s="1">
        <f t="shared" si="44"/>
        <v>0.3371186626459729</v>
      </c>
      <c r="AW284" s="1">
        <f t="shared" si="45"/>
        <v>0.20395406182251155</v>
      </c>
    </row>
    <row r="285" spans="1:49" x14ac:dyDescent="0.2">
      <c r="A285">
        <v>283</v>
      </c>
      <c r="B285" t="s">
        <v>4371</v>
      </c>
      <c r="C285" t="s">
        <v>4370</v>
      </c>
      <c r="F285" t="s">
        <v>4369</v>
      </c>
      <c r="G285" t="s">
        <v>16</v>
      </c>
      <c r="H285" t="s">
        <v>15</v>
      </c>
      <c r="I285" t="s">
        <v>4368</v>
      </c>
      <c r="J285">
        <v>60005429</v>
      </c>
      <c r="K285" t="s">
        <v>4367</v>
      </c>
      <c r="L285" t="s">
        <v>4366</v>
      </c>
      <c r="M285" t="s">
        <v>4365</v>
      </c>
      <c r="N285">
        <v>2</v>
      </c>
      <c r="O285" t="s">
        <v>4364</v>
      </c>
      <c r="P285" t="s">
        <v>4363</v>
      </c>
      <c r="Q285" t="s">
        <v>4362</v>
      </c>
      <c r="R285" s="7">
        <v>31413</v>
      </c>
      <c r="S285" s="8">
        <f t="shared" si="40"/>
        <v>1986</v>
      </c>
      <c r="T285" s="8">
        <v>1986</v>
      </c>
      <c r="U285" s="8">
        <f t="shared" si="41"/>
        <v>36</v>
      </c>
      <c r="V285" s="7">
        <v>31656</v>
      </c>
      <c r="W285" t="s">
        <v>4361</v>
      </c>
      <c r="X285" s="2">
        <v>0.26400000000000001</v>
      </c>
      <c r="Y285" s="6">
        <f t="shared" si="38"/>
        <v>7.0473292223912874E-3</v>
      </c>
      <c r="AA285">
        <v>2533839</v>
      </c>
      <c r="AB285">
        <v>15157</v>
      </c>
      <c r="AC285">
        <v>21587299</v>
      </c>
      <c r="AD285" t="s">
        <v>5</v>
      </c>
      <c r="AE285">
        <v>9</v>
      </c>
      <c r="AF285">
        <v>6</v>
      </c>
      <c r="AH285" t="s">
        <v>4360</v>
      </c>
      <c r="AI285" t="s">
        <v>4359</v>
      </c>
      <c r="AJ285" t="s">
        <v>4358</v>
      </c>
      <c r="AK285" t="s">
        <v>4357</v>
      </c>
      <c r="AL285">
        <v>0</v>
      </c>
      <c r="AM285" s="5">
        <f t="shared" si="42"/>
        <v>0</v>
      </c>
      <c r="AN285" s="4">
        <f t="shared" si="39"/>
        <v>0</v>
      </c>
      <c r="AO285" s="3"/>
      <c r="AP285">
        <v>0</v>
      </c>
      <c r="AR285" t="s">
        <v>1</v>
      </c>
      <c r="AT285" s="2" t="s">
        <v>0</v>
      </c>
      <c r="AU285" s="1">
        <f t="shared" si="43"/>
        <v>0.49331304556739003</v>
      </c>
      <c r="AV285" s="1">
        <f t="shared" si="44"/>
        <v>0.35236646111956438</v>
      </c>
      <c r="AW285" s="1">
        <f t="shared" si="45"/>
        <v>0.21141987667173862</v>
      </c>
    </row>
    <row r="286" spans="1:49" x14ac:dyDescent="0.2">
      <c r="A286">
        <v>284</v>
      </c>
      <c r="B286" t="s">
        <v>4356</v>
      </c>
      <c r="C286" t="s">
        <v>4355</v>
      </c>
      <c r="F286" t="s">
        <v>4354</v>
      </c>
      <c r="G286" t="s">
        <v>16</v>
      </c>
      <c r="H286" t="s">
        <v>15</v>
      </c>
      <c r="I286" t="s">
        <v>4276</v>
      </c>
      <c r="J286">
        <v>60038812</v>
      </c>
      <c r="K286" t="s">
        <v>2586</v>
      </c>
      <c r="L286" t="s">
        <v>2585</v>
      </c>
      <c r="M286" t="s">
        <v>955</v>
      </c>
      <c r="N286">
        <v>1</v>
      </c>
      <c r="O286" t="s">
        <v>4275</v>
      </c>
      <c r="P286">
        <v>56222659200</v>
      </c>
      <c r="Q286">
        <v>60038812</v>
      </c>
      <c r="R286" s="7">
        <v>31413</v>
      </c>
      <c r="S286" s="8">
        <f t="shared" si="40"/>
        <v>1986</v>
      </c>
      <c r="T286" s="8">
        <v>1986</v>
      </c>
      <c r="U286" s="8">
        <f t="shared" si="41"/>
        <v>36</v>
      </c>
      <c r="V286" s="7">
        <v>31717</v>
      </c>
      <c r="W286" t="s">
        <v>1288</v>
      </c>
      <c r="X286" s="2">
        <v>0.65500000000000003</v>
      </c>
      <c r="Y286" s="6">
        <f t="shared" si="38"/>
        <v>1.7484850911614749E-2</v>
      </c>
      <c r="AA286">
        <v>189375</v>
      </c>
      <c r="AB286">
        <v>26051</v>
      </c>
      <c r="AC286" t="s">
        <v>4238</v>
      </c>
      <c r="AD286" t="s">
        <v>5</v>
      </c>
      <c r="AE286">
        <v>28</v>
      </c>
      <c r="AF286">
        <v>4</v>
      </c>
      <c r="AH286" t="s">
        <v>4353</v>
      </c>
      <c r="AI286" t="s">
        <v>4352</v>
      </c>
      <c r="AJ286" t="s">
        <v>4351</v>
      </c>
      <c r="AK286" t="s">
        <v>4350</v>
      </c>
      <c r="AL286">
        <v>3</v>
      </c>
      <c r="AM286" s="5">
        <f t="shared" si="42"/>
        <v>8.3333333333333329E-2</v>
      </c>
      <c r="AN286" s="4">
        <f t="shared" si="39"/>
        <v>1.2621481761958852E-4</v>
      </c>
      <c r="AO286" s="3"/>
      <c r="AP286">
        <v>0</v>
      </c>
      <c r="AR286" t="s">
        <v>1</v>
      </c>
      <c r="AT286" s="2" t="s">
        <v>0</v>
      </c>
      <c r="AU286" s="1">
        <f t="shared" si="43"/>
        <v>1.2277260083416199</v>
      </c>
      <c r="AV286" s="1">
        <f t="shared" si="44"/>
        <v>0.88055328646171693</v>
      </c>
      <c r="AW286" s="1">
        <f t="shared" si="45"/>
        <v>0.5333805645818136</v>
      </c>
    </row>
    <row r="287" spans="1:49" x14ac:dyDescent="0.2">
      <c r="A287">
        <v>285</v>
      </c>
      <c r="B287" t="s">
        <v>4349</v>
      </c>
      <c r="C287" t="s">
        <v>4348</v>
      </c>
      <c r="F287" t="s">
        <v>4347</v>
      </c>
      <c r="G287" t="s">
        <v>16</v>
      </c>
      <c r="H287" t="s">
        <v>15</v>
      </c>
      <c r="I287" t="s">
        <v>4346</v>
      </c>
      <c r="J287">
        <v>100328845</v>
      </c>
      <c r="K287" t="s">
        <v>3754</v>
      </c>
      <c r="L287" t="s">
        <v>968</v>
      </c>
      <c r="M287" t="s">
        <v>71</v>
      </c>
      <c r="N287">
        <v>3</v>
      </c>
      <c r="O287" t="s">
        <v>4345</v>
      </c>
      <c r="P287" t="s">
        <v>4344</v>
      </c>
      <c r="Q287" t="s">
        <v>3751</v>
      </c>
      <c r="R287" s="7">
        <v>31413</v>
      </c>
      <c r="S287" s="8">
        <f t="shared" si="40"/>
        <v>1986</v>
      </c>
      <c r="T287" s="8">
        <v>1986</v>
      </c>
      <c r="U287" s="8">
        <f t="shared" si="41"/>
        <v>36</v>
      </c>
      <c r="V287" s="7">
        <v>1986</v>
      </c>
      <c r="W287" t="s">
        <v>580</v>
      </c>
      <c r="X287" s="2">
        <v>0.375</v>
      </c>
      <c r="Y287" s="6">
        <f t="shared" si="38"/>
        <v>1.0010410827260351E-2</v>
      </c>
      <c r="AA287">
        <v>135194</v>
      </c>
      <c r="AB287">
        <v>24918</v>
      </c>
      <c r="AD287" t="s">
        <v>5</v>
      </c>
      <c r="AE287">
        <v>22</v>
      </c>
      <c r="AF287">
        <v>24</v>
      </c>
      <c r="AH287" t="s">
        <v>4343</v>
      </c>
      <c r="AI287" t="s">
        <v>4342</v>
      </c>
      <c r="AJ287" t="s">
        <v>4341</v>
      </c>
      <c r="AK287" t="s">
        <v>4340</v>
      </c>
      <c r="AL287">
        <v>2</v>
      </c>
      <c r="AM287" s="5">
        <f t="shared" si="42"/>
        <v>5.5555555555555552E-2</v>
      </c>
      <c r="AN287" s="4">
        <f t="shared" si="39"/>
        <v>8.4143211746392349E-5</v>
      </c>
      <c r="AO287" s="3"/>
      <c r="AP287">
        <v>0</v>
      </c>
      <c r="AR287" t="s">
        <v>1</v>
      </c>
      <c r="AT287" s="2">
        <v>1.3140000000000001</v>
      </c>
      <c r="AU287" s="1">
        <f t="shared" si="43"/>
        <v>0.70325305426061635</v>
      </c>
      <c r="AV287" s="1">
        <f t="shared" si="44"/>
        <v>0.50472770195033723</v>
      </c>
      <c r="AW287" s="1">
        <f t="shared" si="45"/>
        <v>0.30620234964005794</v>
      </c>
    </row>
    <row r="288" spans="1:49" x14ac:dyDescent="0.2">
      <c r="A288">
        <v>286</v>
      </c>
      <c r="B288" t="s">
        <v>4339</v>
      </c>
      <c r="C288" t="s">
        <v>4338</v>
      </c>
      <c r="F288" t="s">
        <v>4337</v>
      </c>
      <c r="G288" t="s">
        <v>16</v>
      </c>
      <c r="H288" t="s">
        <v>15</v>
      </c>
      <c r="I288" t="s">
        <v>4336</v>
      </c>
      <c r="J288">
        <v>60023053</v>
      </c>
      <c r="K288" t="s">
        <v>606</v>
      </c>
      <c r="L288" t="s">
        <v>605</v>
      </c>
      <c r="M288" t="s">
        <v>114</v>
      </c>
      <c r="N288">
        <v>1</v>
      </c>
      <c r="O288" t="s">
        <v>2958</v>
      </c>
      <c r="P288">
        <v>56050028200</v>
      </c>
      <c r="Q288">
        <v>60023053</v>
      </c>
      <c r="R288" s="7">
        <v>31413</v>
      </c>
      <c r="S288" s="8">
        <f t="shared" si="40"/>
        <v>1986</v>
      </c>
      <c r="T288" s="8">
        <v>1986</v>
      </c>
      <c r="U288" s="8">
        <f t="shared" si="41"/>
        <v>36</v>
      </c>
      <c r="V288" s="7">
        <v>31717</v>
      </c>
      <c r="W288" t="s">
        <v>1288</v>
      </c>
      <c r="X288" s="2">
        <v>0.65500000000000003</v>
      </c>
      <c r="Y288" s="6">
        <f t="shared" si="38"/>
        <v>1.7484850911614749E-2</v>
      </c>
      <c r="AA288">
        <v>189375</v>
      </c>
      <c r="AB288">
        <v>26051</v>
      </c>
      <c r="AC288" t="s">
        <v>4238</v>
      </c>
      <c r="AD288" t="s">
        <v>5</v>
      </c>
      <c r="AE288">
        <v>28</v>
      </c>
      <c r="AF288">
        <v>4</v>
      </c>
      <c r="AH288" t="s">
        <v>4335</v>
      </c>
      <c r="AI288" t="s">
        <v>4334</v>
      </c>
      <c r="AJ288" t="s">
        <v>4333</v>
      </c>
      <c r="AK288" t="s">
        <v>4332</v>
      </c>
      <c r="AL288">
        <v>2</v>
      </c>
      <c r="AM288" s="5">
        <f t="shared" si="42"/>
        <v>5.5555555555555552E-2</v>
      </c>
      <c r="AN288" s="4">
        <f t="shared" si="39"/>
        <v>8.4143211746392349E-5</v>
      </c>
      <c r="AO288" s="3"/>
      <c r="AP288">
        <v>0</v>
      </c>
      <c r="AR288" t="s">
        <v>1</v>
      </c>
      <c r="AT288" s="2" t="s">
        <v>0</v>
      </c>
      <c r="AU288" s="1">
        <f t="shared" si="43"/>
        <v>1.2264638601654241</v>
      </c>
      <c r="AV288" s="1">
        <f t="shared" si="44"/>
        <v>0.87844970616805707</v>
      </c>
      <c r="AW288" s="1">
        <f t="shared" si="45"/>
        <v>0.53043555217068994</v>
      </c>
    </row>
    <row r="289" spans="1:49" x14ac:dyDescent="0.2">
      <c r="A289">
        <v>287</v>
      </c>
      <c r="B289" t="s">
        <v>4331</v>
      </c>
      <c r="C289" t="s">
        <v>4330</v>
      </c>
      <c r="F289" t="s">
        <v>4329</v>
      </c>
      <c r="G289" t="s">
        <v>16</v>
      </c>
      <c r="H289" t="s">
        <v>15</v>
      </c>
      <c r="I289" t="s">
        <v>4328</v>
      </c>
      <c r="J289">
        <v>60020818</v>
      </c>
      <c r="K289" t="s">
        <v>4327</v>
      </c>
      <c r="L289" t="s">
        <v>1837</v>
      </c>
      <c r="M289" t="s">
        <v>114</v>
      </c>
      <c r="N289">
        <v>1</v>
      </c>
      <c r="O289" t="s">
        <v>4326</v>
      </c>
      <c r="P289">
        <v>56341944800</v>
      </c>
      <c r="Q289">
        <v>60020818</v>
      </c>
      <c r="R289" s="7">
        <v>31413</v>
      </c>
      <c r="S289" s="8">
        <f t="shared" si="40"/>
        <v>1986</v>
      </c>
      <c r="T289" s="8">
        <v>1986</v>
      </c>
      <c r="U289" s="8">
        <f t="shared" si="41"/>
        <v>36</v>
      </c>
      <c r="V289" s="7" t="s">
        <v>4256</v>
      </c>
      <c r="W289" t="s">
        <v>153</v>
      </c>
      <c r="X289" s="2">
        <v>1.6519999999999999</v>
      </c>
      <c r="Y289" s="6">
        <f t="shared" si="38"/>
        <v>4.409919649769093E-2</v>
      </c>
      <c r="AA289" t="s">
        <v>152</v>
      </c>
      <c r="AB289">
        <v>17337</v>
      </c>
      <c r="AD289" t="s">
        <v>5</v>
      </c>
      <c r="AE289" t="s">
        <v>1375</v>
      </c>
      <c r="AF289">
        <v>11</v>
      </c>
      <c r="AH289" t="s">
        <v>4325</v>
      </c>
      <c r="AI289" t="s">
        <v>4324</v>
      </c>
      <c r="AK289" t="s">
        <v>4323</v>
      </c>
      <c r="AL289">
        <v>1</v>
      </c>
      <c r="AM289" s="5">
        <f t="shared" si="42"/>
        <v>2.7777777777777776E-2</v>
      </c>
      <c r="AN289" s="4">
        <f t="shared" si="39"/>
        <v>4.2071605873196175E-5</v>
      </c>
      <c r="AO289" s="3"/>
      <c r="AP289">
        <v>0</v>
      </c>
      <c r="AR289" t="s">
        <v>1</v>
      </c>
      <c r="AT289" s="2" t="s">
        <v>0</v>
      </c>
      <c r="AU289" s="1">
        <f t="shared" si="43"/>
        <v>3.0882059030145608</v>
      </c>
      <c r="AV289" s="1">
        <f t="shared" si="44"/>
        <v>2.2070634051782063</v>
      </c>
      <c r="AW289" s="1">
        <f t="shared" si="45"/>
        <v>1.3259209073418514</v>
      </c>
    </row>
    <row r="290" spans="1:49" x14ac:dyDescent="0.2">
      <c r="A290">
        <v>288</v>
      </c>
      <c r="B290" t="s">
        <v>4322</v>
      </c>
      <c r="C290" t="s">
        <v>4321</v>
      </c>
      <c r="F290" t="s">
        <v>4320</v>
      </c>
      <c r="G290" t="s">
        <v>16</v>
      </c>
      <c r="H290" t="s">
        <v>15</v>
      </c>
      <c r="I290" t="s">
        <v>4319</v>
      </c>
      <c r="J290">
        <v>60023456</v>
      </c>
      <c r="K290" t="s">
        <v>4318</v>
      </c>
      <c r="L290" t="s">
        <v>4317</v>
      </c>
      <c r="M290" t="s">
        <v>114</v>
      </c>
      <c r="N290">
        <v>1</v>
      </c>
      <c r="O290" t="s">
        <v>4316</v>
      </c>
      <c r="P290">
        <v>6603864754</v>
      </c>
      <c r="Q290">
        <v>60023456</v>
      </c>
      <c r="R290" s="7">
        <v>31413</v>
      </c>
      <c r="S290" s="8">
        <f t="shared" si="40"/>
        <v>1986</v>
      </c>
      <c r="T290" s="8">
        <v>1986</v>
      </c>
      <c r="U290" s="8">
        <f t="shared" si="41"/>
        <v>36</v>
      </c>
      <c r="V290" s="7" t="s">
        <v>4256</v>
      </c>
      <c r="W290" t="s">
        <v>153</v>
      </c>
      <c r="X290" s="2">
        <v>1.6519999999999999</v>
      </c>
      <c r="Y290" s="6">
        <f t="shared" si="38"/>
        <v>4.409919649769093E-2</v>
      </c>
      <c r="AA290" t="s">
        <v>152</v>
      </c>
      <c r="AB290">
        <v>17337</v>
      </c>
      <c r="AD290" t="s">
        <v>5</v>
      </c>
      <c r="AE290" t="s">
        <v>1375</v>
      </c>
      <c r="AF290">
        <v>11</v>
      </c>
      <c r="AH290" t="s">
        <v>4315</v>
      </c>
      <c r="AI290" t="s">
        <v>4314</v>
      </c>
      <c r="AK290" t="s">
        <v>4313</v>
      </c>
      <c r="AL290">
        <v>110</v>
      </c>
      <c r="AM290" s="5">
        <f t="shared" si="42"/>
        <v>3.0555555555555554</v>
      </c>
      <c r="AN290" s="4">
        <f t="shared" si="39"/>
        <v>4.6278766460515798E-3</v>
      </c>
      <c r="AO290" s="3"/>
      <c r="AP290">
        <v>0</v>
      </c>
      <c r="AR290" t="s">
        <v>1</v>
      </c>
      <c r="AT290" s="2" t="s">
        <v>0</v>
      </c>
      <c r="AU290" s="1">
        <f t="shared" si="43"/>
        <v>3.2257800542199124</v>
      </c>
      <c r="AV290" s="1">
        <f t="shared" si="44"/>
        <v>2.4363536571871256</v>
      </c>
      <c r="AW290" s="1">
        <f t="shared" si="45"/>
        <v>1.6469272601543385</v>
      </c>
    </row>
    <row r="291" spans="1:49" x14ac:dyDescent="0.2">
      <c r="A291">
        <v>289</v>
      </c>
      <c r="B291" t="s">
        <v>4312</v>
      </c>
      <c r="C291" t="s">
        <v>4311</v>
      </c>
      <c r="F291" t="s">
        <v>4310</v>
      </c>
      <c r="G291" t="s">
        <v>16</v>
      </c>
      <c r="H291" t="s">
        <v>15</v>
      </c>
      <c r="I291" t="s">
        <v>4309</v>
      </c>
      <c r="J291">
        <v>60009037</v>
      </c>
      <c r="K291" t="s">
        <v>1642</v>
      </c>
      <c r="L291" t="s">
        <v>1641</v>
      </c>
      <c r="M291" t="s">
        <v>114</v>
      </c>
      <c r="N291">
        <v>1</v>
      </c>
      <c r="O291" t="s">
        <v>4308</v>
      </c>
      <c r="P291">
        <v>7202559539</v>
      </c>
      <c r="Q291">
        <v>60009037</v>
      </c>
      <c r="R291" s="7">
        <v>31413</v>
      </c>
      <c r="S291" s="8">
        <f t="shared" si="40"/>
        <v>1986</v>
      </c>
      <c r="T291" s="8">
        <v>1986</v>
      </c>
      <c r="U291" s="8">
        <f t="shared" si="41"/>
        <v>36</v>
      </c>
      <c r="V291" s="7" t="s">
        <v>4256</v>
      </c>
      <c r="W291" t="s">
        <v>1805</v>
      </c>
      <c r="X291" s="2">
        <v>2.141</v>
      </c>
      <c r="Y291" s="6">
        <f t="shared" si="38"/>
        <v>5.7152772216438434E-2</v>
      </c>
      <c r="AA291">
        <v>1962892</v>
      </c>
      <c r="AB291">
        <v>17360</v>
      </c>
      <c r="AD291" t="s">
        <v>5</v>
      </c>
      <c r="AE291" t="s">
        <v>1804</v>
      </c>
      <c r="AF291">
        <v>6</v>
      </c>
      <c r="AH291" t="s">
        <v>4307</v>
      </c>
      <c r="AI291" t="s">
        <v>4306</v>
      </c>
      <c r="AK291" t="s">
        <v>4305</v>
      </c>
      <c r="AL291">
        <v>48</v>
      </c>
      <c r="AM291" s="5">
        <f t="shared" si="42"/>
        <v>1.3333333333333333</v>
      </c>
      <c r="AN291" s="4">
        <f t="shared" si="39"/>
        <v>2.0194370819134164E-3</v>
      </c>
      <c r="AO291" s="3"/>
      <c r="AP291">
        <v>0</v>
      </c>
      <c r="AR291" t="s">
        <v>1</v>
      </c>
      <c r="AT291" s="2" t="s">
        <v>0</v>
      </c>
      <c r="AU291" s="1">
        <f t="shared" si="43"/>
        <v>4.0612771676080923</v>
      </c>
      <c r="AV291" s="1">
        <f t="shared" si="44"/>
        <v>2.9586104649175926</v>
      </c>
      <c r="AW291" s="1">
        <f t="shared" si="45"/>
        <v>1.855943762227092</v>
      </c>
    </row>
    <row r="292" spans="1:49" x14ac:dyDescent="0.2">
      <c r="A292">
        <v>290</v>
      </c>
      <c r="B292" t="s">
        <v>4304</v>
      </c>
      <c r="C292" t="s">
        <v>4303</v>
      </c>
      <c r="F292" t="s">
        <v>4302</v>
      </c>
      <c r="G292" t="s">
        <v>16</v>
      </c>
      <c r="H292" t="s">
        <v>15</v>
      </c>
      <c r="I292" t="s">
        <v>4301</v>
      </c>
      <c r="J292">
        <v>60017366</v>
      </c>
      <c r="K292" t="s">
        <v>4300</v>
      </c>
      <c r="L292" t="s">
        <v>4299</v>
      </c>
      <c r="M292" t="s">
        <v>114</v>
      </c>
      <c r="N292">
        <v>1</v>
      </c>
      <c r="O292" t="s">
        <v>4298</v>
      </c>
      <c r="P292">
        <v>7201761344</v>
      </c>
      <c r="Q292">
        <v>60017366</v>
      </c>
      <c r="R292" s="7">
        <v>31413</v>
      </c>
      <c r="S292" s="8">
        <f t="shared" si="40"/>
        <v>1986</v>
      </c>
      <c r="T292" s="8">
        <v>1986</v>
      </c>
      <c r="U292" s="8">
        <f t="shared" si="41"/>
        <v>36</v>
      </c>
      <c r="V292" s="7" t="s">
        <v>4256</v>
      </c>
      <c r="W292" t="s">
        <v>153</v>
      </c>
      <c r="X292" s="2">
        <v>1.6519999999999999</v>
      </c>
      <c r="Y292" s="6">
        <f t="shared" si="38"/>
        <v>4.409919649769093E-2</v>
      </c>
      <c r="AA292" t="s">
        <v>152</v>
      </c>
      <c r="AB292">
        <v>17337</v>
      </c>
      <c r="AD292" t="s">
        <v>5</v>
      </c>
      <c r="AE292" t="s">
        <v>1375</v>
      </c>
      <c r="AF292">
        <v>11</v>
      </c>
      <c r="AH292" t="s">
        <v>4297</v>
      </c>
      <c r="AI292" t="s">
        <v>4296</v>
      </c>
      <c r="AK292" t="s">
        <v>4295</v>
      </c>
      <c r="AL292">
        <v>16</v>
      </c>
      <c r="AM292" s="5">
        <f t="shared" si="42"/>
        <v>0.44444444444444442</v>
      </c>
      <c r="AN292" s="4">
        <f t="shared" si="39"/>
        <v>6.7314569397113879E-4</v>
      </c>
      <c r="AO292" s="3"/>
      <c r="AP292">
        <v>0</v>
      </c>
      <c r="AR292" t="s">
        <v>1</v>
      </c>
      <c r="AT292" s="2" t="s">
        <v>0</v>
      </c>
      <c r="AU292" s="1">
        <f t="shared" si="43"/>
        <v>3.1071381256574995</v>
      </c>
      <c r="AV292" s="1">
        <f t="shared" si="44"/>
        <v>2.2386171095831036</v>
      </c>
      <c r="AW292" s="1">
        <f t="shared" si="45"/>
        <v>1.3700960935087076</v>
      </c>
    </row>
    <row r="293" spans="1:49" x14ac:dyDescent="0.2">
      <c r="A293">
        <v>291</v>
      </c>
      <c r="B293" t="s">
        <v>4294</v>
      </c>
      <c r="C293" t="s">
        <v>4293</v>
      </c>
      <c r="F293" t="s">
        <v>4292</v>
      </c>
      <c r="G293" t="s">
        <v>16</v>
      </c>
      <c r="H293" t="s">
        <v>15</v>
      </c>
      <c r="I293" t="s">
        <v>4291</v>
      </c>
      <c r="N293">
        <v>5</v>
      </c>
      <c r="O293" t="s">
        <v>4290</v>
      </c>
      <c r="P293" t="s">
        <v>4289</v>
      </c>
      <c r="Q293" t="s">
        <v>428</v>
      </c>
      <c r="R293" s="7">
        <v>31413</v>
      </c>
      <c r="S293" s="8">
        <f t="shared" si="40"/>
        <v>1986</v>
      </c>
      <c r="T293" s="8">
        <v>1986</v>
      </c>
      <c r="U293" s="8">
        <f t="shared" si="41"/>
        <v>36</v>
      </c>
      <c r="V293" s="7" t="s">
        <v>4247</v>
      </c>
      <c r="W293" t="s">
        <v>223</v>
      </c>
      <c r="X293" s="2">
        <v>0.371</v>
      </c>
      <c r="Y293" s="6">
        <f t="shared" si="38"/>
        <v>9.9036331117695747E-3</v>
      </c>
      <c r="AA293">
        <v>486604</v>
      </c>
      <c r="AB293">
        <v>28580</v>
      </c>
      <c r="AC293" t="s">
        <v>222</v>
      </c>
      <c r="AD293" t="s">
        <v>5</v>
      </c>
      <c r="AE293">
        <v>21</v>
      </c>
      <c r="AF293">
        <v>6</v>
      </c>
      <c r="AH293" t="s">
        <v>4288</v>
      </c>
      <c r="AI293" t="s">
        <v>4287</v>
      </c>
      <c r="AK293" t="s">
        <v>4286</v>
      </c>
      <c r="AL293">
        <v>94</v>
      </c>
      <c r="AM293" s="5">
        <f t="shared" si="42"/>
        <v>2.6111111111111112</v>
      </c>
      <c r="AN293" s="4">
        <f t="shared" si="39"/>
        <v>3.9547309520804406E-3</v>
      </c>
      <c r="AO293" s="3"/>
      <c r="AP293">
        <v>0</v>
      </c>
      <c r="AR293" t="s">
        <v>1</v>
      </c>
      <c r="AT293" s="2">
        <v>1.431</v>
      </c>
      <c r="AU293" s="1">
        <f t="shared" si="43"/>
        <v>0.81189624638628344</v>
      </c>
      <c r="AV293" s="1">
        <f t="shared" si="44"/>
        <v>0.69291820319250075</v>
      </c>
      <c r="AW293" s="1">
        <f t="shared" si="45"/>
        <v>0.57394015999871817</v>
      </c>
    </row>
    <row r="294" spans="1:49" x14ac:dyDescent="0.2">
      <c r="A294">
        <v>292</v>
      </c>
      <c r="B294" t="s">
        <v>4285</v>
      </c>
      <c r="C294" t="s">
        <v>4284</v>
      </c>
      <c r="F294" t="s">
        <v>4283</v>
      </c>
      <c r="G294" t="s">
        <v>16</v>
      </c>
      <c r="H294" t="s">
        <v>15</v>
      </c>
      <c r="I294" t="s">
        <v>3174</v>
      </c>
      <c r="J294">
        <v>60009697</v>
      </c>
      <c r="K294" t="s">
        <v>1131</v>
      </c>
      <c r="L294" t="s">
        <v>1140</v>
      </c>
      <c r="M294" t="s">
        <v>616</v>
      </c>
      <c r="N294">
        <v>2</v>
      </c>
      <c r="O294" t="s">
        <v>3173</v>
      </c>
      <c r="P294" t="s">
        <v>3172</v>
      </c>
      <c r="Q294" t="s">
        <v>1564</v>
      </c>
      <c r="R294" s="7">
        <v>31413</v>
      </c>
      <c r="S294" s="8">
        <f t="shared" si="40"/>
        <v>1986</v>
      </c>
      <c r="T294" s="8">
        <v>1986</v>
      </c>
      <c r="U294" s="8">
        <f t="shared" si="41"/>
        <v>36</v>
      </c>
      <c r="V294" s="7" t="s">
        <v>4256</v>
      </c>
      <c r="W294" t="s">
        <v>1562</v>
      </c>
      <c r="X294" s="2" t="s">
        <v>0</v>
      </c>
      <c r="Y294" s="6" t="e">
        <f t="shared" si="38"/>
        <v>#VALUE!</v>
      </c>
      <c r="AA294">
        <v>84204</v>
      </c>
      <c r="AB294">
        <v>27420</v>
      </c>
      <c r="AD294" t="s">
        <v>5</v>
      </c>
      <c r="AE294">
        <v>64</v>
      </c>
      <c r="AF294">
        <v>11</v>
      </c>
      <c r="AH294" t="s">
        <v>4282</v>
      </c>
      <c r="AI294" t="s">
        <v>4281</v>
      </c>
      <c r="AK294" t="s">
        <v>4280</v>
      </c>
      <c r="AL294">
        <v>4</v>
      </c>
      <c r="AM294" s="5">
        <f t="shared" si="42"/>
        <v>0.1111111111111111</v>
      </c>
      <c r="AN294" s="4">
        <f t="shared" si="39"/>
        <v>1.682864234927847E-4</v>
      </c>
      <c r="AO294" s="3"/>
      <c r="AP294">
        <v>0</v>
      </c>
      <c r="AR294" t="s">
        <v>1</v>
      </c>
      <c r="AT294" s="2">
        <v>1.24</v>
      </c>
      <c r="AU294" s="1" t="e">
        <f t="shared" si="43"/>
        <v>#VALUE!</v>
      </c>
      <c r="AV294" s="1" t="e">
        <f t="shared" si="44"/>
        <v>#VALUE!</v>
      </c>
      <c r="AW294" s="1" t="e">
        <f t="shared" si="45"/>
        <v>#VALUE!</v>
      </c>
    </row>
    <row r="295" spans="1:49" x14ac:dyDescent="0.2">
      <c r="A295">
        <v>293</v>
      </c>
      <c r="B295" t="s">
        <v>4279</v>
      </c>
      <c r="C295" t="s">
        <v>4278</v>
      </c>
      <c r="F295" t="s">
        <v>4277</v>
      </c>
      <c r="G295" t="s">
        <v>16</v>
      </c>
      <c r="H295" t="s">
        <v>15</v>
      </c>
      <c r="I295" t="s">
        <v>4276</v>
      </c>
      <c r="J295">
        <v>60038812</v>
      </c>
      <c r="K295" t="s">
        <v>2586</v>
      </c>
      <c r="L295" t="s">
        <v>2585</v>
      </c>
      <c r="M295" t="s">
        <v>955</v>
      </c>
      <c r="N295">
        <v>1</v>
      </c>
      <c r="O295" t="s">
        <v>4275</v>
      </c>
      <c r="P295">
        <v>56222659200</v>
      </c>
      <c r="Q295">
        <v>60038812</v>
      </c>
      <c r="R295" s="7">
        <v>31413</v>
      </c>
      <c r="S295" s="8">
        <f t="shared" si="40"/>
        <v>1986</v>
      </c>
      <c r="T295" s="8">
        <v>1986</v>
      </c>
      <c r="U295" s="8">
        <f t="shared" si="41"/>
        <v>36</v>
      </c>
      <c r="V295" s="7">
        <v>31717</v>
      </c>
      <c r="W295" t="s">
        <v>1288</v>
      </c>
      <c r="X295" s="2">
        <v>0.65500000000000003</v>
      </c>
      <c r="Y295" s="6">
        <f t="shared" si="38"/>
        <v>1.7484850911614749E-2</v>
      </c>
      <c r="AA295">
        <v>189375</v>
      </c>
      <c r="AB295">
        <v>26051</v>
      </c>
      <c r="AC295" t="s">
        <v>4238</v>
      </c>
      <c r="AD295" t="s">
        <v>5</v>
      </c>
      <c r="AE295">
        <v>28</v>
      </c>
      <c r="AF295">
        <v>4</v>
      </c>
      <c r="AH295" t="s">
        <v>4274</v>
      </c>
      <c r="AI295" t="s">
        <v>4273</v>
      </c>
      <c r="AJ295" t="s">
        <v>4272</v>
      </c>
      <c r="AK295" t="s">
        <v>4271</v>
      </c>
      <c r="AL295">
        <v>4</v>
      </c>
      <c r="AM295" s="5">
        <f t="shared" si="42"/>
        <v>0.1111111111111111</v>
      </c>
      <c r="AN295" s="4">
        <f t="shared" si="39"/>
        <v>1.682864234927847E-4</v>
      </c>
      <c r="AO295" s="3"/>
      <c r="AP295">
        <v>0</v>
      </c>
      <c r="AR295" t="s">
        <v>1</v>
      </c>
      <c r="AT295" s="2" t="s">
        <v>0</v>
      </c>
      <c r="AU295" s="1">
        <f t="shared" si="43"/>
        <v>1.2289881565178158</v>
      </c>
      <c r="AV295" s="1">
        <f t="shared" si="44"/>
        <v>0.88265686675537669</v>
      </c>
      <c r="AW295" s="1">
        <f t="shared" si="45"/>
        <v>0.53632557699293737</v>
      </c>
    </row>
    <row r="296" spans="1:49" x14ac:dyDescent="0.2">
      <c r="A296">
        <v>294</v>
      </c>
      <c r="B296" t="s">
        <v>4270</v>
      </c>
      <c r="C296" t="s">
        <v>4269</v>
      </c>
      <c r="F296" t="s">
        <v>4268</v>
      </c>
      <c r="G296" t="s">
        <v>16</v>
      </c>
      <c r="H296" t="s">
        <v>15</v>
      </c>
      <c r="I296" t="s">
        <v>4267</v>
      </c>
      <c r="J296">
        <v>60025555</v>
      </c>
      <c r="K296" t="s">
        <v>4266</v>
      </c>
      <c r="L296" t="s">
        <v>886</v>
      </c>
      <c r="M296" t="s">
        <v>71</v>
      </c>
      <c r="N296">
        <v>2</v>
      </c>
      <c r="O296" t="s">
        <v>4265</v>
      </c>
      <c r="P296" t="s">
        <v>4264</v>
      </c>
      <c r="Q296" t="s">
        <v>4263</v>
      </c>
      <c r="R296" s="7">
        <v>31413</v>
      </c>
      <c r="S296" s="8">
        <f t="shared" si="40"/>
        <v>1986</v>
      </c>
      <c r="T296" s="8">
        <v>1986</v>
      </c>
      <c r="U296" s="8">
        <f t="shared" si="41"/>
        <v>36</v>
      </c>
      <c r="V296" s="7">
        <v>1986</v>
      </c>
      <c r="W296" t="s">
        <v>483</v>
      </c>
      <c r="X296" s="2">
        <v>0.111</v>
      </c>
      <c r="Y296" s="6">
        <f t="shared" si="38"/>
        <v>2.9630816048690639E-3</v>
      </c>
      <c r="AA296">
        <v>87566621</v>
      </c>
      <c r="AB296">
        <v>24890</v>
      </c>
      <c r="AC296">
        <v>15206424</v>
      </c>
      <c r="AD296" t="s">
        <v>5</v>
      </c>
      <c r="AE296">
        <v>69</v>
      </c>
      <c r="AF296">
        <v>11</v>
      </c>
      <c r="AH296" t="s">
        <v>4262</v>
      </c>
      <c r="AI296" t="s">
        <v>4261</v>
      </c>
      <c r="AK296" t="s">
        <v>4260</v>
      </c>
      <c r="AL296">
        <v>1</v>
      </c>
      <c r="AM296" s="5">
        <f t="shared" si="42"/>
        <v>2.7777777777777776E-2</v>
      </c>
      <c r="AN296" s="4">
        <f t="shared" si="39"/>
        <v>4.2071605873196175E-5</v>
      </c>
      <c r="AO296" s="3"/>
      <c r="AP296">
        <v>0</v>
      </c>
      <c r="AR296" t="s">
        <v>1</v>
      </c>
      <c r="AT296" s="2" t="s">
        <v>0</v>
      </c>
      <c r="AU296" s="1">
        <f t="shared" si="43"/>
        <v>0.20867786051703033</v>
      </c>
      <c r="AV296" s="1">
        <f t="shared" si="44"/>
        <v>0.15025766053711301</v>
      </c>
      <c r="AW296" s="1">
        <f t="shared" si="45"/>
        <v>9.1837460557195646E-2</v>
      </c>
    </row>
    <row r="297" spans="1:49" x14ac:dyDescent="0.2">
      <c r="A297">
        <v>295</v>
      </c>
      <c r="B297" t="s">
        <v>4259</v>
      </c>
      <c r="C297" t="s">
        <v>4258</v>
      </c>
      <c r="F297" t="s">
        <v>4257</v>
      </c>
      <c r="G297" t="s">
        <v>16</v>
      </c>
      <c r="H297" t="s">
        <v>15</v>
      </c>
      <c r="I297" t="s">
        <v>4055</v>
      </c>
      <c r="J297">
        <v>60004750</v>
      </c>
      <c r="K297" t="s">
        <v>2711</v>
      </c>
      <c r="L297" t="s">
        <v>2710</v>
      </c>
      <c r="M297" t="s">
        <v>336</v>
      </c>
      <c r="N297">
        <v>2</v>
      </c>
      <c r="O297" t="s">
        <v>4052</v>
      </c>
      <c r="P297" t="s">
        <v>4051</v>
      </c>
      <c r="Q297" t="s">
        <v>2707</v>
      </c>
      <c r="R297" s="7">
        <v>31413</v>
      </c>
      <c r="S297" s="8">
        <f t="shared" si="40"/>
        <v>1986</v>
      </c>
      <c r="T297" s="8">
        <v>1986</v>
      </c>
      <c r="U297" s="8">
        <f t="shared" si="41"/>
        <v>36</v>
      </c>
      <c r="V297" s="7" t="s">
        <v>4256</v>
      </c>
      <c r="W297" t="s">
        <v>153</v>
      </c>
      <c r="X297" s="2">
        <v>1.6519999999999999</v>
      </c>
      <c r="Y297" s="6">
        <f t="shared" si="38"/>
        <v>4.409919649769093E-2</v>
      </c>
      <c r="AA297" t="s">
        <v>152</v>
      </c>
      <c r="AB297">
        <v>17337</v>
      </c>
      <c r="AD297" t="s">
        <v>5</v>
      </c>
      <c r="AE297" t="s">
        <v>1375</v>
      </c>
      <c r="AF297">
        <v>11</v>
      </c>
      <c r="AH297" t="s">
        <v>4255</v>
      </c>
      <c r="AI297" t="s">
        <v>4254</v>
      </c>
      <c r="AK297" t="s">
        <v>4253</v>
      </c>
      <c r="AL297">
        <v>15</v>
      </c>
      <c r="AM297" s="5">
        <f t="shared" si="42"/>
        <v>0.41666666666666669</v>
      </c>
      <c r="AN297" s="4">
        <f t="shared" si="39"/>
        <v>6.310740880979427E-4</v>
      </c>
      <c r="AO297" s="3"/>
      <c r="AP297">
        <v>0</v>
      </c>
      <c r="AR297" t="s">
        <v>1</v>
      </c>
      <c r="AT297" s="2" t="s">
        <v>0</v>
      </c>
      <c r="AU297" s="1">
        <f t="shared" si="43"/>
        <v>3.1058759774813036</v>
      </c>
      <c r="AV297" s="1">
        <f t="shared" si="44"/>
        <v>2.2365135292894434</v>
      </c>
      <c r="AW297" s="1">
        <f t="shared" si="45"/>
        <v>1.3671510810975838</v>
      </c>
    </row>
    <row r="298" spans="1:49" x14ac:dyDescent="0.2">
      <c r="A298">
        <v>296</v>
      </c>
      <c r="B298" t="s">
        <v>4252</v>
      </c>
      <c r="C298" t="s">
        <v>4251</v>
      </c>
      <c r="F298" t="s">
        <v>4250</v>
      </c>
      <c r="G298" t="s">
        <v>16</v>
      </c>
      <c r="H298" t="s">
        <v>15</v>
      </c>
      <c r="I298" t="s">
        <v>4249</v>
      </c>
      <c r="N298">
        <v>1</v>
      </c>
      <c r="O298" t="s">
        <v>4248</v>
      </c>
      <c r="P298">
        <v>7004676488</v>
      </c>
      <c r="R298" s="7">
        <v>31413</v>
      </c>
      <c r="S298" s="8">
        <f t="shared" si="40"/>
        <v>1986</v>
      </c>
      <c r="T298" s="8">
        <v>1986</v>
      </c>
      <c r="U298" s="8">
        <f t="shared" si="41"/>
        <v>36</v>
      </c>
      <c r="V298" s="7" t="s">
        <v>4247</v>
      </c>
      <c r="W298" t="s">
        <v>223</v>
      </c>
      <c r="X298" s="2">
        <v>0.371</v>
      </c>
      <c r="Y298" s="6">
        <f t="shared" si="38"/>
        <v>9.9036331117695747E-3</v>
      </c>
      <c r="AA298">
        <v>486604</v>
      </c>
      <c r="AB298">
        <v>28580</v>
      </c>
      <c r="AC298" t="s">
        <v>222</v>
      </c>
      <c r="AD298" t="s">
        <v>5</v>
      </c>
      <c r="AE298">
        <v>21</v>
      </c>
      <c r="AF298">
        <v>6</v>
      </c>
      <c r="AH298" t="s">
        <v>4246</v>
      </c>
      <c r="AI298" t="s">
        <v>4245</v>
      </c>
      <c r="AK298" t="s">
        <v>4244</v>
      </c>
      <c r="AL298">
        <v>28</v>
      </c>
      <c r="AM298" s="5">
        <f t="shared" si="42"/>
        <v>0.77777777777777779</v>
      </c>
      <c r="AN298" s="4">
        <f t="shared" si="39"/>
        <v>1.178004964449493E-3</v>
      </c>
      <c r="AO298" s="3"/>
      <c r="AP298">
        <v>0</v>
      </c>
      <c r="AR298" t="s">
        <v>1</v>
      </c>
      <c r="AT298" s="2">
        <v>1.431</v>
      </c>
      <c r="AU298" s="1">
        <f t="shared" si="43"/>
        <v>0.72859446675735495</v>
      </c>
      <c r="AV298" s="1">
        <f t="shared" si="44"/>
        <v>0.55408190381095335</v>
      </c>
      <c r="AW298" s="1">
        <f t="shared" si="45"/>
        <v>0.3795693408645518</v>
      </c>
    </row>
    <row r="299" spans="1:49" x14ac:dyDescent="0.2">
      <c r="A299">
        <v>297</v>
      </c>
      <c r="B299" t="s">
        <v>4243</v>
      </c>
      <c r="C299" t="s">
        <v>4242</v>
      </c>
      <c r="F299" t="s">
        <v>4241</v>
      </c>
      <c r="G299" t="s">
        <v>16</v>
      </c>
      <c r="H299" t="s">
        <v>15</v>
      </c>
      <c r="I299" t="s">
        <v>2959</v>
      </c>
      <c r="J299">
        <v>60023053</v>
      </c>
      <c r="K299" t="s">
        <v>606</v>
      </c>
      <c r="L299" t="s">
        <v>605</v>
      </c>
      <c r="M299" t="s">
        <v>114</v>
      </c>
      <c r="N299">
        <v>2</v>
      </c>
      <c r="O299" t="s">
        <v>4240</v>
      </c>
      <c r="P299" t="s">
        <v>4239</v>
      </c>
      <c r="Q299" t="s">
        <v>3260</v>
      </c>
      <c r="R299" s="7">
        <v>31413</v>
      </c>
      <c r="S299" s="8">
        <f t="shared" si="40"/>
        <v>1986</v>
      </c>
      <c r="T299" s="8">
        <v>1986</v>
      </c>
      <c r="U299" s="8">
        <f t="shared" si="41"/>
        <v>36</v>
      </c>
      <c r="V299" s="7">
        <v>31717</v>
      </c>
      <c r="W299" t="s">
        <v>1288</v>
      </c>
      <c r="X299" s="2">
        <v>0.65500000000000003</v>
      </c>
      <c r="Y299" s="6">
        <f t="shared" si="38"/>
        <v>1.7484850911614749E-2</v>
      </c>
      <c r="AA299">
        <v>189375</v>
      </c>
      <c r="AB299">
        <v>26051</v>
      </c>
      <c r="AC299" t="s">
        <v>4238</v>
      </c>
      <c r="AD299" t="s">
        <v>5</v>
      </c>
      <c r="AE299">
        <v>28</v>
      </c>
      <c r="AF299">
        <v>4</v>
      </c>
      <c r="AH299" t="s">
        <v>4237</v>
      </c>
      <c r="AI299" t="s">
        <v>4236</v>
      </c>
      <c r="AJ299" t="s">
        <v>4235</v>
      </c>
      <c r="AK299" t="s">
        <v>4234</v>
      </c>
      <c r="AL299">
        <v>13</v>
      </c>
      <c r="AM299" s="5">
        <f t="shared" si="42"/>
        <v>0.3611111111111111</v>
      </c>
      <c r="AN299" s="4">
        <f t="shared" si="39"/>
        <v>5.469308763515503E-4</v>
      </c>
      <c r="AO299" s="3"/>
      <c r="AP299">
        <v>0</v>
      </c>
      <c r="AR299" t="s">
        <v>1</v>
      </c>
      <c r="AT299" s="2" t="s">
        <v>0</v>
      </c>
      <c r="AU299" s="1">
        <f t="shared" si="43"/>
        <v>1.2403474901035789</v>
      </c>
      <c r="AV299" s="1">
        <f t="shared" si="44"/>
        <v>0.90158908939831495</v>
      </c>
      <c r="AW299" s="1">
        <f t="shared" si="45"/>
        <v>0.56283068869305097</v>
      </c>
    </row>
    <row r="300" spans="1:49" x14ac:dyDescent="0.2">
      <c r="A300">
        <v>298</v>
      </c>
      <c r="B300" t="s">
        <v>4233</v>
      </c>
      <c r="C300" t="s">
        <v>4232</v>
      </c>
      <c r="F300" t="s">
        <v>4231</v>
      </c>
      <c r="G300" t="s">
        <v>16</v>
      </c>
      <c r="H300" t="s">
        <v>15</v>
      </c>
      <c r="I300" t="s">
        <v>4230</v>
      </c>
      <c r="J300" t="s">
        <v>4229</v>
      </c>
      <c r="K300" t="s">
        <v>4228</v>
      </c>
      <c r="L300" t="s">
        <v>4227</v>
      </c>
      <c r="M300" t="s">
        <v>4226</v>
      </c>
      <c r="N300">
        <v>3</v>
      </c>
      <c r="O300" t="s">
        <v>4225</v>
      </c>
      <c r="P300" t="s">
        <v>4224</v>
      </c>
      <c r="Q300" t="s">
        <v>4223</v>
      </c>
      <c r="R300" s="7">
        <v>31413</v>
      </c>
      <c r="S300" s="8">
        <f t="shared" si="40"/>
        <v>1986</v>
      </c>
      <c r="T300" s="8">
        <v>1986</v>
      </c>
      <c r="U300" s="8">
        <f t="shared" si="41"/>
        <v>36</v>
      </c>
      <c r="V300" s="7">
        <v>31717</v>
      </c>
      <c r="W300" t="s">
        <v>1136</v>
      </c>
      <c r="X300" s="2">
        <v>0.251</v>
      </c>
      <c r="Y300" s="6">
        <f t="shared" si="38"/>
        <v>6.7003016470462617E-3</v>
      </c>
      <c r="AA300">
        <v>207217</v>
      </c>
      <c r="AB300">
        <v>26145</v>
      </c>
      <c r="AC300">
        <v>13623060</v>
      </c>
      <c r="AD300" t="s">
        <v>5</v>
      </c>
      <c r="AE300">
        <v>61</v>
      </c>
      <c r="AF300">
        <v>5</v>
      </c>
      <c r="AH300" t="s">
        <v>4222</v>
      </c>
      <c r="AI300" t="s">
        <v>4221</v>
      </c>
      <c r="AK300" t="s">
        <v>4220</v>
      </c>
      <c r="AL300">
        <v>8</v>
      </c>
      <c r="AM300" s="5">
        <f t="shared" si="42"/>
        <v>0.22222222222222221</v>
      </c>
      <c r="AN300" s="4">
        <f t="shared" si="39"/>
        <v>3.365728469855694E-4</v>
      </c>
      <c r="AO300" s="3"/>
      <c r="AP300">
        <v>0</v>
      </c>
      <c r="AR300" t="s">
        <v>1</v>
      </c>
      <c r="AT300" s="2">
        <v>1.3360000000000001</v>
      </c>
      <c r="AU300" s="1">
        <f t="shared" si="43"/>
        <v>0.47911830070280537</v>
      </c>
      <c r="AV300" s="1">
        <f t="shared" si="44"/>
        <v>0.35184372470159159</v>
      </c>
      <c r="AW300" s="1">
        <f t="shared" si="45"/>
        <v>0.2245691487003777</v>
      </c>
    </row>
    <row r="301" spans="1:49" x14ac:dyDescent="0.2">
      <c r="A301">
        <v>299</v>
      </c>
      <c r="B301" t="s">
        <v>4219</v>
      </c>
      <c r="C301" t="s">
        <v>4218</v>
      </c>
      <c r="F301" t="s">
        <v>4217</v>
      </c>
      <c r="G301" t="s">
        <v>16</v>
      </c>
      <c r="H301" t="s">
        <v>15</v>
      </c>
      <c r="I301" t="s">
        <v>4216</v>
      </c>
      <c r="J301">
        <v>60010818</v>
      </c>
      <c r="K301" t="s">
        <v>1734</v>
      </c>
      <c r="L301" t="s">
        <v>1733</v>
      </c>
      <c r="M301" t="s">
        <v>665</v>
      </c>
      <c r="N301">
        <v>2</v>
      </c>
      <c r="O301" t="s">
        <v>4215</v>
      </c>
      <c r="P301" t="s">
        <v>4214</v>
      </c>
      <c r="Q301" t="s">
        <v>1730</v>
      </c>
      <c r="R301" s="7">
        <v>31413</v>
      </c>
      <c r="S301" s="8">
        <f t="shared" si="40"/>
        <v>1986</v>
      </c>
      <c r="T301" s="8">
        <v>1986</v>
      </c>
      <c r="U301" s="8">
        <f t="shared" si="41"/>
        <v>36</v>
      </c>
      <c r="V301" s="7">
        <v>31717</v>
      </c>
      <c r="W301" t="s">
        <v>1136</v>
      </c>
      <c r="X301" s="2">
        <v>0.251</v>
      </c>
      <c r="Y301" s="6">
        <f t="shared" si="38"/>
        <v>6.7003016470462617E-3</v>
      </c>
      <c r="AA301">
        <v>207217</v>
      </c>
      <c r="AB301">
        <v>26145</v>
      </c>
      <c r="AC301">
        <v>13623060</v>
      </c>
      <c r="AD301" t="s">
        <v>5</v>
      </c>
      <c r="AE301">
        <v>61</v>
      </c>
      <c r="AF301">
        <v>5</v>
      </c>
      <c r="AH301" t="s">
        <v>4213</v>
      </c>
      <c r="AI301" t="s">
        <v>4212</v>
      </c>
      <c r="AK301" t="s">
        <v>4211</v>
      </c>
      <c r="AL301">
        <v>4</v>
      </c>
      <c r="AM301" s="5">
        <f t="shared" si="42"/>
        <v>0.1111111111111111</v>
      </c>
      <c r="AN301" s="4">
        <f t="shared" si="39"/>
        <v>1.682864234927847E-4</v>
      </c>
      <c r="AO301" s="3"/>
      <c r="AP301">
        <v>0</v>
      </c>
      <c r="AR301" t="s">
        <v>1</v>
      </c>
      <c r="AT301" s="2">
        <v>1.3360000000000001</v>
      </c>
      <c r="AU301" s="1">
        <f t="shared" si="43"/>
        <v>0.47406970799802178</v>
      </c>
      <c r="AV301" s="1">
        <f t="shared" si="44"/>
        <v>0.34342940352695228</v>
      </c>
      <c r="AW301" s="1">
        <f t="shared" si="45"/>
        <v>0.21278909905588275</v>
      </c>
    </row>
    <row r="302" spans="1:49" x14ac:dyDescent="0.2">
      <c r="A302">
        <v>300</v>
      </c>
      <c r="B302" t="s">
        <v>4210</v>
      </c>
      <c r="C302" t="s">
        <v>4209</v>
      </c>
      <c r="F302" t="s">
        <v>4208</v>
      </c>
      <c r="G302" t="s">
        <v>16</v>
      </c>
      <c r="H302" t="s">
        <v>15</v>
      </c>
      <c r="I302" t="s">
        <v>4149</v>
      </c>
      <c r="J302">
        <v>60009697</v>
      </c>
      <c r="K302" t="s">
        <v>1131</v>
      </c>
      <c r="L302" t="s">
        <v>1140</v>
      </c>
      <c r="M302" t="s">
        <v>616</v>
      </c>
      <c r="N302">
        <v>2</v>
      </c>
      <c r="O302" t="s">
        <v>4207</v>
      </c>
      <c r="P302" t="s">
        <v>4206</v>
      </c>
      <c r="Q302" t="s">
        <v>1564</v>
      </c>
      <c r="R302" s="7">
        <v>31413</v>
      </c>
      <c r="S302" s="8">
        <f t="shared" si="40"/>
        <v>1986</v>
      </c>
      <c r="T302" s="8">
        <v>1986</v>
      </c>
      <c r="U302" s="8">
        <f t="shared" si="41"/>
        <v>36</v>
      </c>
      <c r="V302" s="7">
        <v>1986</v>
      </c>
      <c r="W302" t="s">
        <v>580</v>
      </c>
      <c r="X302" s="2">
        <v>0.375</v>
      </c>
      <c r="Y302" s="6">
        <f t="shared" si="38"/>
        <v>1.0010410827260351E-2</v>
      </c>
      <c r="AA302">
        <v>135194</v>
      </c>
      <c r="AB302">
        <v>24918</v>
      </c>
      <c r="AD302" t="s">
        <v>5</v>
      </c>
      <c r="AE302">
        <v>22</v>
      </c>
      <c r="AF302">
        <v>22</v>
      </c>
      <c r="AH302" t="s">
        <v>4205</v>
      </c>
      <c r="AI302" t="s">
        <v>4204</v>
      </c>
      <c r="AJ302" t="s">
        <v>1584</v>
      </c>
      <c r="AK302" t="s">
        <v>4203</v>
      </c>
      <c r="AL302">
        <v>10</v>
      </c>
      <c r="AM302" s="5">
        <f t="shared" si="42"/>
        <v>0.27777777777777779</v>
      </c>
      <c r="AN302" s="4">
        <f t="shared" si="39"/>
        <v>4.207160587319618E-4</v>
      </c>
      <c r="AO302" s="3"/>
      <c r="AP302">
        <v>0</v>
      </c>
      <c r="AR302" t="s">
        <v>1</v>
      </c>
      <c r="AT302" s="2">
        <v>1.3140000000000001</v>
      </c>
      <c r="AU302" s="1">
        <f t="shared" si="43"/>
        <v>0.71335023967018341</v>
      </c>
      <c r="AV302" s="1">
        <f t="shared" si="44"/>
        <v>0.52155634429961562</v>
      </c>
      <c r="AW302" s="1">
        <f t="shared" si="45"/>
        <v>0.32976244892904782</v>
      </c>
    </row>
    <row r="303" spans="1:49" x14ac:dyDescent="0.2">
      <c r="A303">
        <v>301</v>
      </c>
      <c r="B303" t="s">
        <v>4202</v>
      </c>
      <c r="C303" t="s">
        <v>4201</v>
      </c>
      <c r="F303" t="s">
        <v>4200</v>
      </c>
      <c r="G303" t="s">
        <v>16</v>
      </c>
      <c r="H303" t="s">
        <v>15</v>
      </c>
      <c r="I303" t="s">
        <v>4199</v>
      </c>
      <c r="J303" t="s">
        <v>4198</v>
      </c>
      <c r="K303" t="s">
        <v>4197</v>
      </c>
      <c r="L303" t="s">
        <v>4196</v>
      </c>
      <c r="M303" t="s">
        <v>4195</v>
      </c>
      <c r="N303">
        <v>4</v>
      </c>
      <c r="O303" t="s">
        <v>4194</v>
      </c>
      <c r="P303" t="s">
        <v>4193</v>
      </c>
      <c r="Q303" t="s">
        <v>4192</v>
      </c>
      <c r="R303" s="7">
        <v>31413</v>
      </c>
      <c r="S303" s="8">
        <f t="shared" si="40"/>
        <v>1986</v>
      </c>
      <c r="T303" s="8">
        <v>1986</v>
      </c>
      <c r="U303" s="8">
        <f t="shared" si="41"/>
        <v>36</v>
      </c>
      <c r="V303" s="7">
        <v>31686</v>
      </c>
      <c r="W303" t="s">
        <v>153</v>
      </c>
      <c r="X303" s="2">
        <v>1.6519999999999999</v>
      </c>
      <c r="Y303" s="6">
        <f t="shared" si="38"/>
        <v>4.409919649769093E-2</v>
      </c>
      <c r="AA303" t="s">
        <v>152</v>
      </c>
      <c r="AB303">
        <v>17337</v>
      </c>
      <c r="AC303">
        <v>15582221</v>
      </c>
      <c r="AD303" t="s">
        <v>5</v>
      </c>
      <c r="AE303">
        <v>34</v>
      </c>
      <c r="AF303">
        <v>10</v>
      </c>
      <c r="AH303" t="s">
        <v>4191</v>
      </c>
      <c r="AI303" t="s">
        <v>4190</v>
      </c>
      <c r="AK303" t="s">
        <v>4189</v>
      </c>
      <c r="AL303">
        <v>39</v>
      </c>
      <c r="AM303" s="5">
        <f t="shared" si="42"/>
        <v>1.0833333333333333</v>
      </c>
      <c r="AN303" s="4">
        <f t="shared" si="39"/>
        <v>1.6407926290546509E-3</v>
      </c>
      <c r="AO303" s="3"/>
      <c r="AP303">
        <v>0</v>
      </c>
      <c r="AR303" t="s">
        <v>1</v>
      </c>
      <c r="AT303" s="2" t="s">
        <v>0</v>
      </c>
      <c r="AU303" s="1">
        <f t="shared" si="43"/>
        <v>3.1361675337100046</v>
      </c>
      <c r="AV303" s="1">
        <f t="shared" si="44"/>
        <v>2.2869994563372789</v>
      </c>
      <c r="AW303" s="1">
        <f t="shared" si="45"/>
        <v>1.4378313789645534</v>
      </c>
    </row>
    <row r="304" spans="1:49" x14ac:dyDescent="0.2">
      <c r="A304">
        <v>302</v>
      </c>
      <c r="B304" t="s">
        <v>4188</v>
      </c>
      <c r="C304" t="s">
        <v>4187</v>
      </c>
      <c r="F304" t="s">
        <v>4186</v>
      </c>
      <c r="G304" t="s">
        <v>16</v>
      </c>
      <c r="H304" t="s">
        <v>15</v>
      </c>
      <c r="I304" t="s">
        <v>4185</v>
      </c>
      <c r="J304">
        <v>60029470</v>
      </c>
      <c r="K304" t="s">
        <v>3063</v>
      </c>
      <c r="L304" t="s">
        <v>3062</v>
      </c>
      <c r="M304" t="s">
        <v>1409</v>
      </c>
      <c r="N304">
        <v>1</v>
      </c>
      <c r="O304" t="s">
        <v>4184</v>
      </c>
      <c r="P304">
        <v>7402548757</v>
      </c>
      <c r="Q304">
        <v>60029470</v>
      </c>
      <c r="R304" s="7">
        <v>31413</v>
      </c>
      <c r="S304" s="8">
        <f t="shared" si="40"/>
        <v>1986</v>
      </c>
      <c r="T304" s="8">
        <v>1986</v>
      </c>
      <c r="U304" s="8">
        <f t="shared" si="41"/>
        <v>36</v>
      </c>
      <c r="V304" s="7">
        <v>31686</v>
      </c>
      <c r="W304" t="s">
        <v>153</v>
      </c>
      <c r="X304" s="2">
        <v>1.6519999999999999</v>
      </c>
      <c r="Y304" s="6">
        <f t="shared" si="38"/>
        <v>4.409919649769093E-2</v>
      </c>
      <c r="AA304" t="s">
        <v>152</v>
      </c>
      <c r="AB304">
        <v>17337</v>
      </c>
      <c r="AC304">
        <v>15582221</v>
      </c>
      <c r="AD304" t="s">
        <v>5</v>
      </c>
      <c r="AE304">
        <v>34</v>
      </c>
      <c r="AF304">
        <v>10</v>
      </c>
      <c r="AH304" t="s">
        <v>4183</v>
      </c>
      <c r="AI304" t="s">
        <v>4182</v>
      </c>
      <c r="AK304" t="s">
        <v>4181</v>
      </c>
      <c r="AL304">
        <v>18</v>
      </c>
      <c r="AM304" s="5">
        <f t="shared" si="42"/>
        <v>0.5</v>
      </c>
      <c r="AN304" s="4">
        <f t="shared" si="39"/>
        <v>7.572889057175312E-4</v>
      </c>
      <c r="AO304" s="3"/>
      <c r="AP304">
        <v>0</v>
      </c>
      <c r="AR304" t="s">
        <v>1</v>
      </c>
      <c r="AT304" s="2" t="s">
        <v>0</v>
      </c>
      <c r="AU304" s="1">
        <f t="shared" si="43"/>
        <v>3.1096624220098912</v>
      </c>
      <c r="AV304" s="1">
        <f t="shared" si="44"/>
        <v>2.2428242701704231</v>
      </c>
      <c r="AW304" s="1">
        <f t="shared" si="45"/>
        <v>1.375986118330955</v>
      </c>
    </row>
    <row r="305" spans="1:49" x14ac:dyDescent="0.2">
      <c r="A305">
        <v>303</v>
      </c>
      <c r="B305" t="s">
        <v>4180</v>
      </c>
      <c r="C305" t="s">
        <v>4179</v>
      </c>
      <c r="D305" t="s">
        <v>4178</v>
      </c>
      <c r="F305" t="s">
        <v>4177</v>
      </c>
      <c r="G305" t="s">
        <v>16</v>
      </c>
      <c r="H305" t="s">
        <v>15</v>
      </c>
      <c r="I305" t="s">
        <v>4176</v>
      </c>
      <c r="J305">
        <v>60008724</v>
      </c>
      <c r="K305" t="s">
        <v>4175</v>
      </c>
      <c r="L305" t="s">
        <v>4174</v>
      </c>
      <c r="M305" t="s">
        <v>114</v>
      </c>
      <c r="N305">
        <v>8</v>
      </c>
      <c r="O305" t="s">
        <v>4173</v>
      </c>
      <c r="P305" t="s">
        <v>4172</v>
      </c>
      <c r="Q305" t="s">
        <v>4171</v>
      </c>
      <c r="R305" s="7">
        <v>31413</v>
      </c>
      <c r="S305" s="8">
        <f t="shared" si="40"/>
        <v>1986</v>
      </c>
      <c r="T305" s="8">
        <v>1986</v>
      </c>
      <c r="U305" s="8">
        <f t="shared" si="41"/>
        <v>36</v>
      </c>
      <c r="V305" s="7">
        <v>31686</v>
      </c>
      <c r="W305" t="s">
        <v>4170</v>
      </c>
      <c r="X305" s="2">
        <v>0.96</v>
      </c>
      <c r="Y305" s="6">
        <f t="shared" si="38"/>
        <v>2.5626651717786497E-2</v>
      </c>
      <c r="AA305" t="s">
        <v>4169</v>
      </c>
      <c r="AB305">
        <v>18189</v>
      </c>
      <c r="AD305" t="s">
        <v>5</v>
      </c>
      <c r="AE305">
        <v>2</v>
      </c>
      <c r="AF305">
        <v>3</v>
      </c>
      <c r="AH305" t="s">
        <v>4168</v>
      </c>
      <c r="AI305" t="s">
        <v>4167</v>
      </c>
      <c r="AK305" t="s">
        <v>4166</v>
      </c>
      <c r="AL305">
        <v>0</v>
      </c>
      <c r="AM305" s="5">
        <f t="shared" si="42"/>
        <v>0</v>
      </c>
      <c r="AN305" s="4">
        <f t="shared" si="39"/>
        <v>0</v>
      </c>
      <c r="AO305" s="3"/>
      <c r="AP305">
        <v>0</v>
      </c>
      <c r="AR305" t="s">
        <v>1</v>
      </c>
      <c r="AT305" s="2">
        <v>2.972</v>
      </c>
      <c r="AU305" s="1">
        <f t="shared" si="43"/>
        <v>1.7938656202450547</v>
      </c>
      <c r="AV305" s="1">
        <f t="shared" si="44"/>
        <v>1.281332585889325</v>
      </c>
      <c r="AW305" s="1">
        <f t="shared" si="45"/>
        <v>0.76879955153359492</v>
      </c>
    </row>
    <row r="306" spans="1:49" x14ac:dyDescent="0.2">
      <c r="A306">
        <v>304</v>
      </c>
      <c r="B306" t="s">
        <v>4165</v>
      </c>
      <c r="C306" t="s">
        <v>4164</v>
      </c>
      <c r="F306" t="s">
        <v>4163</v>
      </c>
      <c r="G306" t="s">
        <v>16</v>
      </c>
      <c r="H306" t="s">
        <v>15</v>
      </c>
      <c r="I306" t="s">
        <v>4162</v>
      </c>
      <c r="J306" t="s">
        <v>4161</v>
      </c>
      <c r="K306" t="s">
        <v>4160</v>
      </c>
      <c r="L306" t="s">
        <v>4159</v>
      </c>
      <c r="M306" t="s">
        <v>783</v>
      </c>
      <c r="N306">
        <v>3</v>
      </c>
      <c r="O306" t="s">
        <v>4158</v>
      </c>
      <c r="P306" t="s">
        <v>4157</v>
      </c>
      <c r="Q306" t="s">
        <v>4156</v>
      </c>
      <c r="R306" s="7">
        <v>31413</v>
      </c>
      <c r="S306" s="8">
        <f t="shared" si="40"/>
        <v>1986</v>
      </c>
      <c r="T306" s="8">
        <v>1986</v>
      </c>
      <c r="U306" s="8">
        <f t="shared" si="41"/>
        <v>36</v>
      </c>
      <c r="V306" s="7">
        <v>31686</v>
      </c>
      <c r="W306" t="s">
        <v>153</v>
      </c>
      <c r="X306" s="2">
        <v>1.6519999999999999</v>
      </c>
      <c r="Y306" s="6">
        <f t="shared" si="38"/>
        <v>4.409919649769093E-2</v>
      </c>
      <c r="AA306" t="s">
        <v>152</v>
      </c>
      <c r="AB306">
        <v>17337</v>
      </c>
      <c r="AC306">
        <v>15582221</v>
      </c>
      <c r="AD306" t="s">
        <v>5</v>
      </c>
      <c r="AE306">
        <v>34</v>
      </c>
      <c r="AF306">
        <v>10</v>
      </c>
      <c r="AH306" t="s">
        <v>4155</v>
      </c>
      <c r="AI306" t="s">
        <v>4154</v>
      </c>
      <c r="AK306" t="s">
        <v>4153</v>
      </c>
      <c r="AL306">
        <v>10</v>
      </c>
      <c r="AM306" s="5">
        <f t="shared" si="42"/>
        <v>0.27777777777777779</v>
      </c>
      <c r="AN306" s="4">
        <f t="shared" si="39"/>
        <v>4.207160587319618E-4</v>
      </c>
      <c r="AO306" s="3"/>
      <c r="AP306">
        <v>0</v>
      </c>
      <c r="AR306" t="s">
        <v>1</v>
      </c>
      <c r="AT306" s="2" t="s">
        <v>0</v>
      </c>
      <c r="AU306" s="1">
        <f t="shared" si="43"/>
        <v>3.0995652366003239</v>
      </c>
      <c r="AV306" s="1">
        <f t="shared" si="44"/>
        <v>2.2259956278211446</v>
      </c>
      <c r="AW306" s="1">
        <f t="shared" si="45"/>
        <v>1.3524260190419652</v>
      </c>
    </row>
    <row r="307" spans="1:49" x14ac:dyDescent="0.2">
      <c r="A307">
        <v>305</v>
      </c>
      <c r="B307" t="s">
        <v>4152</v>
      </c>
      <c r="C307" t="s">
        <v>4151</v>
      </c>
      <c r="F307" t="s">
        <v>4150</v>
      </c>
      <c r="G307" t="s">
        <v>16</v>
      </c>
      <c r="H307" t="s">
        <v>15</v>
      </c>
      <c r="I307" t="s">
        <v>4149</v>
      </c>
      <c r="J307" t="s">
        <v>4148</v>
      </c>
      <c r="K307" t="s">
        <v>4147</v>
      </c>
      <c r="L307" t="s">
        <v>4146</v>
      </c>
      <c r="M307" t="s">
        <v>4145</v>
      </c>
      <c r="N307">
        <v>2</v>
      </c>
      <c r="O307" t="s">
        <v>4144</v>
      </c>
      <c r="P307" t="s">
        <v>4143</v>
      </c>
      <c r="Q307" t="s">
        <v>4142</v>
      </c>
      <c r="R307" s="7">
        <v>31413</v>
      </c>
      <c r="S307" s="8">
        <f t="shared" si="40"/>
        <v>1986</v>
      </c>
      <c r="T307" s="8">
        <v>1986</v>
      </c>
      <c r="U307" s="8">
        <f t="shared" si="41"/>
        <v>36</v>
      </c>
      <c r="V307" s="7">
        <v>31686</v>
      </c>
      <c r="W307" t="s">
        <v>153</v>
      </c>
      <c r="X307" s="2">
        <v>1.6519999999999999</v>
      </c>
      <c r="Y307" s="6">
        <f t="shared" si="38"/>
        <v>4.409919649769093E-2</v>
      </c>
      <c r="AA307" t="s">
        <v>152</v>
      </c>
      <c r="AB307">
        <v>17337</v>
      </c>
      <c r="AC307">
        <v>15582221</v>
      </c>
      <c r="AD307" t="s">
        <v>5</v>
      </c>
      <c r="AE307">
        <v>34</v>
      </c>
      <c r="AF307">
        <v>10</v>
      </c>
      <c r="AH307" t="s">
        <v>4141</v>
      </c>
      <c r="AI307" t="s">
        <v>4140</v>
      </c>
      <c r="AK307" t="s">
        <v>4139</v>
      </c>
      <c r="AL307">
        <v>34</v>
      </c>
      <c r="AM307" s="5">
        <f t="shared" si="42"/>
        <v>0.94444444444444442</v>
      </c>
      <c r="AN307" s="4">
        <f t="shared" si="39"/>
        <v>1.43043459968867E-3</v>
      </c>
      <c r="AO307" s="3"/>
      <c r="AP307">
        <v>0</v>
      </c>
      <c r="AR307" t="s">
        <v>1</v>
      </c>
      <c r="AT307" s="2" t="s">
        <v>0</v>
      </c>
      <c r="AU307" s="1">
        <f t="shared" si="43"/>
        <v>3.1298567928290248</v>
      </c>
      <c r="AV307" s="1">
        <f t="shared" si="44"/>
        <v>2.2764815548689801</v>
      </c>
      <c r="AW307" s="1">
        <f t="shared" si="45"/>
        <v>1.4231063169089346</v>
      </c>
    </row>
    <row r="308" spans="1:49" x14ac:dyDescent="0.2">
      <c r="A308">
        <v>306</v>
      </c>
      <c r="B308" t="s">
        <v>4138</v>
      </c>
      <c r="C308" t="s">
        <v>4137</v>
      </c>
      <c r="F308" t="s">
        <v>4136</v>
      </c>
      <c r="G308" t="s">
        <v>16</v>
      </c>
      <c r="H308" t="s">
        <v>15</v>
      </c>
      <c r="I308" t="s">
        <v>4135</v>
      </c>
      <c r="J308">
        <v>100459135</v>
      </c>
      <c r="K308" t="s">
        <v>4134</v>
      </c>
      <c r="L308" t="s">
        <v>1849</v>
      </c>
      <c r="M308" t="s">
        <v>114</v>
      </c>
      <c r="N308">
        <v>1</v>
      </c>
      <c r="O308" t="s">
        <v>4133</v>
      </c>
      <c r="P308">
        <v>7102202358</v>
      </c>
      <c r="Q308">
        <v>100459135</v>
      </c>
      <c r="R308" s="7">
        <v>31413</v>
      </c>
      <c r="S308" s="8">
        <f t="shared" si="40"/>
        <v>1986</v>
      </c>
      <c r="T308" s="8">
        <v>1986</v>
      </c>
      <c r="U308" s="8">
        <f t="shared" si="41"/>
        <v>36</v>
      </c>
      <c r="V308" s="7">
        <v>31686</v>
      </c>
      <c r="W308" t="s">
        <v>153</v>
      </c>
      <c r="X308" s="2">
        <v>1.6519999999999999</v>
      </c>
      <c r="Y308" s="6">
        <f t="shared" si="38"/>
        <v>4.409919649769093E-2</v>
      </c>
      <c r="AA308" t="s">
        <v>152</v>
      </c>
      <c r="AB308">
        <v>17337</v>
      </c>
      <c r="AC308">
        <v>15582221</v>
      </c>
      <c r="AD308" t="s">
        <v>5</v>
      </c>
      <c r="AE308">
        <v>34</v>
      </c>
      <c r="AF308">
        <v>10</v>
      </c>
      <c r="AH308" t="s">
        <v>4132</v>
      </c>
      <c r="AI308" t="s">
        <v>4131</v>
      </c>
      <c r="AK308" t="s">
        <v>4130</v>
      </c>
      <c r="AL308">
        <v>30</v>
      </c>
      <c r="AM308" s="5">
        <f t="shared" si="42"/>
        <v>0.83333333333333337</v>
      </c>
      <c r="AN308" s="4">
        <f t="shared" si="39"/>
        <v>1.2621481761958854E-3</v>
      </c>
      <c r="AO308" s="3"/>
      <c r="AP308">
        <v>0</v>
      </c>
      <c r="AR308" t="s">
        <v>1</v>
      </c>
      <c r="AT308" s="2" t="s">
        <v>0</v>
      </c>
      <c r="AU308" s="1">
        <f t="shared" si="43"/>
        <v>3.1248082001242414</v>
      </c>
      <c r="AV308" s="1">
        <f t="shared" si="44"/>
        <v>2.268067233694341</v>
      </c>
      <c r="AW308" s="1">
        <f t="shared" si="45"/>
        <v>1.4113262672644398</v>
      </c>
    </row>
    <row r="309" spans="1:49" x14ac:dyDescent="0.2">
      <c r="A309">
        <v>307</v>
      </c>
      <c r="B309" t="s">
        <v>4129</v>
      </c>
      <c r="C309" t="s">
        <v>4128</v>
      </c>
      <c r="D309">
        <v>10465586900330</v>
      </c>
      <c r="F309" t="s">
        <v>4127</v>
      </c>
      <c r="G309" t="s">
        <v>16</v>
      </c>
      <c r="H309" t="s">
        <v>15</v>
      </c>
      <c r="I309" t="s">
        <v>4126</v>
      </c>
      <c r="J309">
        <v>60023748</v>
      </c>
      <c r="K309" t="s">
        <v>4125</v>
      </c>
      <c r="L309" t="s">
        <v>4124</v>
      </c>
      <c r="M309" t="s">
        <v>1409</v>
      </c>
      <c r="N309">
        <v>2</v>
      </c>
      <c r="O309" t="s">
        <v>4123</v>
      </c>
      <c r="P309" t="s">
        <v>4122</v>
      </c>
      <c r="Q309" t="s">
        <v>4121</v>
      </c>
      <c r="R309" s="7">
        <v>31413</v>
      </c>
      <c r="S309" s="8">
        <f t="shared" si="40"/>
        <v>1986</v>
      </c>
      <c r="T309" s="8">
        <v>1986</v>
      </c>
      <c r="U309" s="8">
        <f t="shared" si="41"/>
        <v>36</v>
      </c>
      <c r="V309" s="7">
        <v>31686</v>
      </c>
      <c r="W309" t="s">
        <v>138</v>
      </c>
      <c r="X309" s="2">
        <v>1.319</v>
      </c>
      <c r="Y309" s="6">
        <f t="shared" si="38"/>
        <v>3.5209951683083739E-2</v>
      </c>
      <c r="AA309">
        <v>104655</v>
      </c>
      <c r="AB309">
        <v>13184</v>
      </c>
      <c r="AD309" t="s">
        <v>5</v>
      </c>
      <c r="AE309">
        <v>42</v>
      </c>
      <c r="AF309">
        <v>2</v>
      </c>
      <c r="AH309" t="s">
        <v>4120</v>
      </c>
      <c r="AI309" t="s">
        <v>4119</v>
      </c>
      <c r="AK309" t="s">
        <v>4118</v>
      </c>
      <c r="AL309">
        <v>6</v>
      </c>
      <c r="AM309" s="5">
        <f t="shared" si="42"/>
        <v>0.16666666666666666</v>
      </c>
      <c r="AN309" s="4">
        <f t="shared" si="39"/>
        <v>2.5242963523917705E-4</v>
      </c>
      <c r="AO309" s="3"/>
      <c r="AP309">
        <v>0</v>
      </c>
      <c r="AR309" t="s">
        <v>1</v>
      </c>
      <c r="AT309" s="2">
        <v>4.3899999999999997</v>
      </c>
      <c r="AU309" s="1">
        <f t="shared" si="43"/>
        <v>2.4722695068730367</v>
      </c>
      <c r="AV309" s="1">
        <f t="shared" si="44"/>
        <v>1.773119065916146</v>
      </c>
      <c r="AW309" s="1">
        <f t="shared" si="45"/>
        <v>1.0739686249592544</v>
      </c>
    </row>
    <row r="310" spans="1:49" x14ac:dyDescent="0.2">
      <c r="A310">
        <v>308</v>
      </c>
      <c r="B310" t="s">
        <v>4117</v>
      </c>
      <c r="C310" t="s">
        <v>4116</v>
      </c>
      <c r="F310" t="s">
        <v>4115</v>
      </c>
      <c r="G310" t="s">
        <v>16</v>
      </c>
      <c r="H310" t="s">
        <v>15</v>
      </c>
      <c r="I310" t="s">
        <v>4114</v>
      </c>
      <c r="J310" t="s">
        <v>4113</v>
      </c>
      <c r="K310" t="s">
        <v>4112</v>
      </c>
      <c r="L310" t="s">
        <v>4111</v>
      </c>
      <c r="M310" t="s">
        <v>4110</v>
      </c>
      <c r="N310">
        <v>4</v>
      </c>
      <c r="O310" t="s">
        <v>4109</v>
      </c>
      <c r="P310" t="s">
        <v>4108</v>
      </c>
      <c r="Q310" t="s">
        <v>4107</v>
      </c>
      <c r="R310" s="7">
        <v>31413</v>
      </c>
      <c r="S310" s="8">
        <f t="shared" si="40"/>
        <v>1986</v>
      </c>
      <c r="T310" s="8">
        <v>1986</v>
      </c>
      <c r="U310" s="8">
        <f t="shared" si="41"/>
        <v>36</v>
      </c>
      <c r="V310" s="7">
        <v>1986</v>
      </c>
      <c r="W310" s="11" t="s">
        <v>3326</v>
      </c>
      <c r="X310" s="2">
        <v>2.383</v>
      </c>
      <c r="Y310" s="6">
        <f t="shared" si="38"/>
        <v>6.3612824003630442E-2</v>
      </c>
      <c r="AA310">
        <v>1437070</v>
      </c>
      <c r="AB310">
        <v>39742</v>
      </c>
      <c r="AD310" t="s">
        <v>5</v>
      </c>
      <c r="AE310">
        <v>133</v>
      </c>
      <c r="AF310">
        <v>6</v>
      </c>
      <c r="AH310" t="s">
        <v>4106</v>
      </c>
      <c r="AI310" t="s">
        <v>4105</v>
      </c>
      <c r="AJ310" t="s">
        <v>4104</v>
      </c>
      <c r="AK310" t="s">
        <v>4103</v>
      </c>
      <c r="AL310">
        <v>159</v>
      </c>
      <c r="AM310" s="5">
        <f t="shared" si="42"/>
        <v>4.416666666666667</v>
      </c>
      <c r="AN310" s="4">
        <f t="shared" si="39"/>
        <v>6.6893853338381931E-3</v>
      </c>
      <c r="AO310" s="3"/>
      <c r="AP310">
        <v>0</v>
      </c>
      <c r="AR310" t="s">
        <v>1</v>
      </c>
      <c r="AT310" s="2" t="s">
        <v>0</v>
      </c>
      <c r="AU310" s="1">
        <f t="shared" si="43"/>
        <v>4.6535792402692771</v>
      </c>
      <c r="AV310" s="1">
        <f t="shared" si="44"/>
        <v>3.5151104668734319</v>
      </c>
      <c r="AW310" s="1">
        <f t="shared" si="45"/>
        <v>2.3766416934775867</v>
      </c>
    </row>
    <row r="311" spans="1:49" x14ac:dyDescent="0.2">
      <c r="A311">
        <v>309</v>
      </c>
      <c r="B311" t="s">
        <v>4102</v>
      </c>
      <c r="C311" t="s">
        <v>4101</v>
      </c>
      <c r="F311" t="s">
        <v>4100</v>
      </c>
      <c r="G311" t="s">
        <v>16</v>
      </c>
      <c r="H311" t="s">
        <v>15</v>
      </c>
      <c r="I311" t="s">
        <v>4099</v>
      </c>
      <c r="J311">
        <v>60019702</v>
      </c>
      <c r="K311" t="s">
        <v>1578</v>
      </c>
      <c r="L311" t="s">
        <v>1577</v>
      </c>
      <c r="M311" t="s">
        <v>665</v>
      </c>
      <c r="N311">
        <v>2</v>
      </c>
      <c r="O311" t="s">
        <v>4098</v>
      </c>
      <c r="P311" t="s">
        <v>4097</v>
      </c>
      <c r="Q311" t="s">
        <v>4096</v>
      </c>
      <c r="R311" s="7">
        <v>31413</v>
      </c>
      <c r="S311" s="8">
        <f t="shared" si="40"/>
        <v>1986</v>
      </c>
      <c r="T311" s="8">
        <v>1986</v>
      </c>
      <c r="U311" s="8">
        <f t="shared" si="41"/>
        <v>36</v>
      </c>
      <c r="V311" s="7">
        <v>1986</v>
      </c>
      <c r="W311" t="s">
        <v>580</v>
      </c>
      <c r="X311" s="2">
        <v>0.375</v>
      </c>
      <c r="Y311" s="6">
        <f t="shared" si="38"/>
        <v>1.0010410827260351E-2</v>
      </c>
      <c r="AA311">
        <v>135194</v>
      </c>
      <c r="AB311">
        <v>24918</v>
      </c>
      <c r="AD311" t="s">
        <v>5</v>
      </c>
      <c r="AE311">
        <v>22</v>
      </c>
      <c r="AF311">
        <v>22</v>
      </c>
      <c r="AH311" t="s">
        <v>4095</v>
      </c>
      <c r="AI311" t="s">
        <v>4094</v>
      </c>
      <c r="AJ311" t="s">
        <v>4093</v>
      </c>
      <c r="AK311" t="s">
        <v>4092</v>
      </c>
      <c r="AL311">
        <v>2</v>
      </c>
      <c r="AM311" s="5">
        <f t="shared" si="42"/>
        <v>5.5555555555555552E-2</v>
      </c>
      <c r="AN311" s="4">
        <f t="shared" si="39"/>
        <v>8.4143211746392349E-5</v>
      </c>
      <c r="AO311" s="3"/>
      <c r="AP311">
        <v>0</v>
      </c>
      <c r="AR311" t="s">
        <v>1</v>
      </c>
      <c r="AT311" s="2">
        <v>1.3140000000000001</v>
      </c>
      <c r="AU311" s="1">
        <f t="shared" si="43"/>
        <v>0.70325305426061635</v>
      </c>
      <c r="AV311" s="1">
        <f t="shared" si="44"/>
        <v>0.50472770195033723</v>
      </c>
      <c r="AW311" s="1">
        <f t="shared" si="45"/>
        <v>0.30620234964005794</v>
      </c>
    </row>
    <row r="312" spans="1:49" x14ac:dyDescent="0.2">
      <c r="A312">
        <v>310</v>
      </c>
      <c r="B312" t="s">
        <v>4091</v>
      </c>
      <c r="C312" t="s">
        <v>4090</v>
      </c>
      <c r="F312" t="s">
        <v>4089</v>
      </c>
      <c r="G312" t="s">
        <v>16</v>
      </c>
      <c r="H312" t="s">
        <v>15</v>
      </c>
      <c r="I312" t="s">
        <v>2929</v>
      </c>
      <c r="J312">
        <v>60016983</v>
      </c>
      <c r="K312" t="s">
        <v>2928</v>
      </c>
      <c r="L312" t="s">
        <v>2927</v>
      </c>
      <c r="M312" t="s">
        <v>616</v>
      </c>
      <c r="N312">
        <v>3</v>
      </c>
      <c r="O312" t="s">
        <v>4088</v>
      </c>
      <c r="P312" t="s">
        <v>4087</v>
      </c>
      <c r="Q312" t="s">
        <v>4086</v>
      </c>
      <c r="R312" s="7">
        <v>31413</v>
      </c>
      <c r="S312" s="8">
        <f t="shared" si="40"/>
        <v>1986</v>
      </c>
      <c r="T312" s="8">
        <v>1986</v>
      </c>
      <c r="U312" s="8">
        <f t="shared" si="41"/>
        <v>36</v>
      </c>
      <c r="V312" s="7" t="s">
        <v>4085</v>
      </c>
      <c r="W312" t="s">
        <v>4084</v>
      </c>
      <c r="X312" s="2" t="s">
        <v>0</v>
      </c>
      <c r="Y312" s="6" t="e">
        <f t="shared" si="38"/>
        <v>#VALUE!</v>
      </c>
      <c r="AA312">
        <v>7009216</v>
      </c>
      <c r="AB312">
        <v>39801</v>
      </c>
      <c r="AD312" t="s">
        <v>5</v>
      </c>
      <c r="AE312">
        <v>11</v>
      </c>
      <c r="AF312">
        <v>4</v>
      </c>
      <c r="AH312" t="s">
        <v>4083</v>
      </c>
      <c r="AI312" t="s">
        <v>4082</v>
      </c>
      <c r="AK312" t="s">
        <v>4081</v>
      </c>
      <c r="AL312">
        <v>0</v>
      </c>
      <c r="AM312" s="5">
        <f t="shared" si="42"/>
        <v>0</v>
      </c>
      <c r="AN312" s="4">
        <f t="shared" si="39"/>
        <v>0</v>
      </c>
      <c r="AO312" s="3"/>
      <c r="AP312">
        <v>0</v>
      </c>
      <c r="AR312" t="s">
        <v>1</v>
      </c>
      <c r="AT312" s="2" t="s">
        <v>0</v>
      </c>
      <c r="AU312" s="1" t="e">
        <f t="shared" si="43"/>
        <v>#VALUE!</v>
      </c>
      <c r="AV312" s="1" t="e">
        <f t="shared" si="44"/>
        <v>#VALUE!</v>
      </c>
      <c r="AW312" s="1" t="e">
        <f t="shared" si="45"/>
        <v>#VALUE!</v>
      </c>
    </row>
    <row r="313" spans="1:49" x14ac:dyDescent="0.2">
      <c r="A313">
        <v>311</v>
      </c>
      <c r="B313" t="s">
        <v>4080</v>
      </c>
      <c r="C313" t="s">
        <v>4079</v>
      </c>
      <c r="E313">
        <v>3771930</v>
      </c>
      <c r="F313" t="s">
        <v>4078</v>
      </c>
      <c r="G313" t="s">
        <v>16</v>
      </c>
      <c r="H313" t="s">
        <v>15</v>
      </c>
      <c r="I313" t="s">
        <v>4077</v>
      </c>
      <c r="J313">
        <v>60028673</v>
      </c>
      <c r="K313" t="s">
        <v>4076</v>
      </c>
      <c r="L313" t="s">
        <v>4075</v>
      </c>
      <c r="M313" t="s">
        <v>376</v>
      </c>
      <c r="N313">
        <v>2</v>
      </c>
      <c r="O313" t="s">
        <v>4074</v>
      </c>
      <c r="P313" t="s">
        <v>4073</v>
      </c>
      <c r="Q313" t="s">
        <v>4072</v>
      </c>
      <c r="R313" s="7">
        <v>31413</v>
      </c>
      <c r="S313" s="8">
        <f t="shared" si="40"/>
        <v>1986</v>
      </c>
      <c r="T313" s="8">
        <v>1986</v>
      </c>
      <c r="U313" s="8">
        <f t="shared" si="41"/>
        <v>36</v>
      </c>
      <c r="V313" s="7">
        <v>31686</v>
      </c>
      <c r="W313" t="s">
        <v>686</v>
      </c>
      <c r="X313" s="2">
        <v>0.61899999999999999</v>
      </c>
      <c r="Y313" s="6">
        <f t="shared" si="38"/>
        <v>1.6523851472197752E-2</v>
      </c>
      <c r="AA313">
        <v>14966</v>
      </c>
      <c r="AB313">
        <v>12936</v>
      </c>
      <c r="AC313" t="s">
        <v>685</v>
      </c>
      <c r="AD313" t="s">
        <v>5</v>
      </c>
      <c r="AE313">
        <v>80</v>
      </c>
      <c r="AF313">
        <v>4</v>
      </c>
      <c r="AH313" t="s">
        <v>4071</v>
      </c>
      <c r="AI313" t="s">
        <v>4070</v>
      </c>
      <c r="AK313" t="s">
        <v>4069</v>
      </c>
      <c r="AL313">
        <v>13</v>
      </c>
      <c r="AM313" s="5">
        <f t="shared" si="42"/>
        <v>0.3611111111111111</v>
      </c>
      <c r="AN313" s="4">
        <f t="shared" si="39"/>
        <v>5.469308763515503E-4</v>
      </c>
      <c r="AO313" s="3"/>
      <c r="AP313">
        <v>0</v>
      </c>
      <c r="AR313" t="s">
        <v>1</v>
      </c>
      <c r="AT313" s="2" t="s">
        <v>0</v>
      </c>
      <c r="AU313" s="1">
        <f t="shared" si="43"/>
        <v>1.1730775293443891</v>
      </c>
      <c r="AV313" s="1">
        <f t="shared" si="44"/>
        <v>0.85353911742746513</v>
      </c>
      <c r="AW313" s="1">
        <f t="shared" si="45"/>
        <v>0.53400070551054102</v>
      </c>
    </row>
    <row r="314" spans="1:49" x14ac:dyDescent="0.2">
      <c r="A314">
        <v>312</v>
      </c>
      <c r="B314" t="s">
        <v>4068</v>
      </c>
      <c r="C314" t="s">
        <v>4067</v>
      </c>
      <c r="F314" t="s">
        <v>4066</v>
      </c>
      <c r="G314" t="s">
        <v>16</v>
      </c>
      <c r="H314" t="s">
        <v>15</v>
      </c>
      <c r="I314" t="s">
        <v>1241</v>
      </c>
      <c r="J314">
        <v>118844401</v>
      </c>
      <c r="K314" t="s">
        <v>4065</v>
      </c>
      <c r="L314" t="s">
        <v>1590</v>
      </c>
      <c r="M314" t="s">
        <v>59</v>
      </c>
      <c r="N314">
        <v>2</v>
      </c>
      <c r="O314" t="s">
        <v>4064</v>
      </c>
      <c r="P314" t="s">
        <v>4063</v>
      </c>
      <c r="Q314" t="s">
        <v>4062</v>
      </c>
      <c r="R314" s="7">
        <v>31413</v>
      </c>
      <c r="S314" s="8">
        <f t="shared" si="40"/>
        <v>1986</v>
      </c>
      <c r="T314" s="8">
        <v>1986</v>
      </c>
      <c r="U314" s="8">
        <f t="shared" si="41"/>
        <v>36</v>
      </c>
      <c r="V314" s="7">
        <v>1986</v>
      </c>
      <c r="W314" t="s">
        <v>580</v>
      </c>
      <c r="X314" s="2">
        <v>0.375</v>
      </c>
      <c r="Y314" s="6">
        <f t="shared" si="38"/>
        <v>1.0010410827260351E-2</v>
      </c>
      <c r="AA314">
        <v>135194</v>
      </c>
      <c r="AB314">
        <v>24918</v>
      </c>
      <c r="AD314" t="s">
        <v>5</v>
      </c>
      <c r="AE314">
        <v>22</v>
      </c>
      <c r="AF314">
        <v>22</v>
      </c>
      <c r="AH314" t="s">
        <v>4061</v>
      </c>
      <c r="AI314" t="s">
        <v>4060</v>
      </c>
      <c r="AJ314" t="s">
        <v>1584</v>
      </c>
      <c r="AK314" t="s">
        <v>4059</v>
      </c>
      <c r="AL314">
        <v>6</v>
      </c>
      <c r="AM314" s="5">
        <f t="shared" si="42"/>
        <v>0.16666666666666666</v>
      </c>
      <c r="AN314" s="4">
        <f t="shared" si="39"/>
        <v>2.5242963523917705E-4</v>
      </c>
      <c r="AO314" s="3"/>
      <c r="AP314">
        <v>0</v>
      </c>
      <c r="AR314" t="s">
        <v>1</v>
      </c>
      <c r="AT314" s="2">
        <v>1.3140000000000001</v>
      </c>
      <c r="AU314" s="1">
        <f t="shared" si="43"/>
        <v>0.70830164696539988</v>
      </c>
      <c r="AV314" s="1">
        <f t="shared" si="44"/>
        <v>0.51314202312497648</v>
      </c>
      <c r="AW314" s="1">
        <f t="shared" si="45"/>
        <v>0.31798239928455291</v>
      </c>
    </row>
    <row r="315" spans="1:49" x14ac:dyDescent="0.2">
      <c r="A315">
        <v>313</v>
      </c>
      <c r="B315" t="s">
        <v>4058</v>
      </c>
      <c r="C315" t="s">
        <v>4057</v>
      </c>
      <c r="F315" t="s">
        <v>4056</v>
      </c>
      <c r="G315" t="s">
        <v>16</v>
      </c>
      <c r="H315" t="s">
        <v>15</v>
      </c>
      <c r="I315" t="s">
        <v>4055</v>
      </c>
      <c r="J315">
        <v>60104043</v>
      </c>
      <c r="K315" t="s">
        <v>4054</v>
      </c>
      <c r="L315" t="s">
        <v>4053</v>
      </c>
      <c r="M315" t="s">
        <v>336</v>
      </c>
      <c r="N315">
        <v>2</v>
      </c>
      <c r="O315" t="s">
        <v>4052</v>
      </c>
      <c r="P315" t="s">
        <v>4051</v>
      </c>
      <c r="Q315" t="s">
        <v>4050</v>
      </c>
      <c r="R315" s="7">
        <v>31413</v>
      </c>
      <c r="S315" s="8">
        <f t="shared" si="40"/>
        <v>1986</v>
      </c>
      <c r="T315" s="8">
        <v>1986</v>
      </c>
      <c r="U315" s="8">
        <f t="shared" si="41"/>
        <v>36</v>
      </c>
      <c r="V315" s="7">
        <v>31686</v>
      </c>
      <c r="W315" t="s">
        <v>153</v>
      </c>
      <c r="X315" s="2">
        <v>1.6519999999999999</v>
      </c>
      <c r="Y315" s="6">
        <f t="shared" si="38"/>
        <v>4.409919649769093E-2</v>
      </c>
      <c r="AA315" t="s">
        <v>152</v>
      </c>
      <c r="AB315">
        <v>17337</v>
      </c>
      <c r="AC315">
        <v>15582221</v>
      </c>
      <c r="AD315" t="s">
        <v>5</v>
      </c>
      <c r="AE315">
        <v>34</v>
      </c>
      <c r="AF315">
        <v>10</v>
      </c>
      <c r="AH315" t="s">
        <v>4049</v>
      </c>
      <c r="AI315" t="s">
        <v>4048</v>
      </c>
      <c r="AK315" t="s">
        <v>4047</v>
      </c>
      <c r="AL315">
        <v>38</v>
      </c>
      <c r="AM315" s="5">
        <f t="shared" si="42"/>
        <v>1.0555555555555556</v>
      </c>
      <c r="AN315" s="4">
        <f t="shared" si="39"/>
        <v>1.5987210231814548E-3</v>
      </c>
      <c r="AO315" s="3"/>
      <c r="AP315">
        <v>0</v>
      </c>
      <c r="AR315" t="s">
        <v>1</v>
      </c>
      <c r="AT315" s="2" t="s">
        <v>0</v>
      </c>
      <c r="AU315" s="1">
        <f t="shared" si="43"/>
        <v>3.1349053855338087</v>
      </c>
      <c r="AV315" s="1">
        <f t="shared" si="44"/>
        <v>2.2848958760436191</v>
      </c>
      <c r="AW315" s="1">
        <f t="shared" si="45"/>
        <v>1.4348863665534295</v>
      </c>
    </row>
    <row r="316" spans="1:49" x14ac:dyDescent="0.2">
      <c r="A316">
        <v>314</v>
      </c>
      <c r="B316" t="s">
        <v>4046</v>
      </c>
      <c r="C316" t="s">
        <v>4045</v>
      </c>
      <c r="F316" t="s">
        <v>4044</v>
      </c>
      <c r="G316" t="s">
        <v>16</v>
      </c>
      <c r="H316" t="s">
        <v>15</v>
      </c>
      <c r="I316" t="s">
        <v>3118</v>
      </c>
      <c r="J316">
        <v>60031126</v>
      </c>
      <c r="K316" t="s">
        <v>2435</v>
      </c>
      <c r="L316" t="s">
        <v>886</v>
      </c>
      <c r="M316" t="s">
        <v>71</v>
      </c>
      <c r="N316">
        <v>3</v>
      </c>
      <c r="O316" t="s">
        <v>4043</v>
      </c>
      <c r="P316" t="s">
        <v>4042</v>
      </c>
      <c r="Q316" t="s">
        <v>3115</v>
      </c>
      <c r="R316" s="7">
        <v>31413</v>
      </c>
      <c r="S316" s="8">
        <f t="shared" si="40"/>
        <v>1986</v>
      </c>
      <c r="T316" s="8">
        <v>1986</v>
      </c>
      <c r="U316" s="8">
        <f t="shared" si="41"/>
        <v>36</v>
      </c>
      <c r="V316" s="7">
        <v>31686</v>
      </c>
      <c r="W316" t="s">
        <v>153</v>
      </c>
      <c r="X316" s="2">
        <v>1.6519999999999999</v>
      </c>
      <c r="Y316" s="6">
        <f t="shared" si="38"/>
        <v>4.409919649769093E-2</v>
      </c>
      <c r="AA316" t="s">
        <v>152</v>
      </c>
      <c r="AB316">
        <v>17337</v>
      </c>
      <c r="AC316">
        <v>15582221</v>
      </c>
      <c r="AD316" t="s">
        <v>5</v>
      </c>
      <c r="AE316">
        <v>34</v>
      </c>
      <c r="AF316">
        <v>10</v>
      </c>
      <c r="AH316" t="s">
        <v>4041</v>
      </c>
      <c r="AI316" t="s">
        <v>4040</v>
      </c>
      <c r="AK316" t="s">
        <v>4039</v>
      </c>
      <c r="AL316">
        <v>77</v>
      </c>
      <c r="AM316" s="5">
        <f t="shared" si="42"/>
        <v>2.1388888888888888</v>
      </c>
      <c r="AN316" s="4">
        <f t="shared" si="39"/>
        <v>3.2395136522361057E-3</v>
      </c>
      <c r="AO316" s="3"/>
      <c r="AP316">
        <v>0</v>
      </c>
      <c r="AR316" t="s">
        <v>1</v>
      </c>
      <c r="AT316" s="2" t="s">
        <v>0</v>
      </c>
      <c r="AU316" s="1">
        <f t="shared" si="43"/>
        <v>3.1841291644054484</v>
      </c>
      <c r="AV316" s="1">
        <f t="shared" si="44"/>
        <v>2.3669355074963518</v>
      </c>
      <c r="AW316" s="1">
        <f t="shared" si="45"/>
        <v>1.5497418505872551</v>
      </c>
    </row>
    <row r="317" spans="1:49" x14ac:dyDescent="0.2">
      <c r="A317">
        <v>315</v>
      </c>
      <c r="B317" t="s">
        <v>4038</v>
      </c>
      <c r="C317" t="s">
        <v>4037</v>
      </c>
      <c r="F317" t="s">
        <v>4036</v>
      </c>
      <c r="G317" t="s">
        <v>16</v>
      </c>
      <c r="H317" t="s">
        <v>15</v>
      </c>
      <c r="I317" t="s">
        <v>4035</v>
      </c>
      <c r="J317">
        <v>60029311</v>
      </c>
      <c r="K317" t="s">
        <v>1931</v>
      </c>
      <c r="L317" t="s">
        <v>809</v>
      </c>
      <c r="M317" t="s">
        <v>114</v>
      </c>
      <c r="N317">
        <v>1</v>
      </c>
      <c r="O317" t="s">
        <v>4034</v>
      </c>
      <c r="P317">
        <v>7005829685</v>
      </c>
      <c r="Q317">
        <v>60029311</v>
      </c>
      <c r="R317" s="7">
        <v>31413</v>
      </c>
      <c r="S317" s="8">
        <f t="shared" si="40"/>
        <v>1986</v>
      </c>
      <c r="T317" s="8">
        <v>1986</v>
      </c>
      <c r="U317" s="8">
        <f t="shared" si="41"/>
        <v>36</v>
      </c>
      <c r="V317" s="7">
        <v>31686</v>
      </c>
      <c r="W317" t="s">
        <v>4033</v>
      </c>
      <c r="X317" s="2">
        <v>1.6379999999999999</v>
      </c>
      <c r="Y317" s="6">
        <f t="shared" si="38"/>
        <v>4.3725474493473214E-2</v>
      </c>
      <c r="AA317">
        <v>963518</v>
      </c>
      <c r="AB317">
        <v>31560</v>
      </c>
      <c r="AD317" t="s">
        <v>5</v>
      </c>
      <c r="AE317">
        <v>34</v>
      </c>
      <c r="AF317">
        <v>5</v>
      </c>
      <c r="AH317" t="s">
        <v>4032</v>
      </c>
      <c r="AI317" t="s">
        <v>4031</v>
      </c>
      <c r="AK317" t="s">
        <v>4030</v>
      </c>
      <c r="AL317">
        <v>41</v>
      </c>
      <c r="AM317" s="5">
        <f t="shared" si="42"/>
        <v>1.1388888888888888</v>
      </c>
      <c r="AN317" s="4">
        <f t="shared" si="39"/>
        <v>1.7249358408010433E-3</v>
      </c>
      <c r="AO317" s="3"/>
      <c r="AP317">
        <v>0</v>
      </c>
      <c r="AR317" t="s">
        <v>1</v>
      </c>
      <c r="AT317" s="2" t="s">
        <v>0</v>
      </c>
      <c r="AU317" s="1">
        <f t="shared" si="43"/>
        <v>3.1125312897671562</v>
      </c>
      <c r="AV317" s="1">
        <f t="shared" si="44"/>
        <v>2.2725205167137128</v>
      </c>
      <c r="AW317" s="1">
        <f t="shared" si="45"/>
        <v>1.4325097436602694</v>
      </c>
    </row>
    <row r="318" spans="1:49" x14ac:dyDescent="0.2">
      <c r="A318">
        <v>316</v>
      </c>
      <c r="B318" t="s">
        <v>4029</v>
      </c>
      <c r="C318" t="s">
        <v>4028</v>
      </c>
      <c r="F318" t="s">
        <v>4027</v>
      </c>
      <c r="G318" t="s">
        <v>16</v>
      </c>
      <c r="H318" t="s">
        <v>15</v>
      </c>
      <c r="I318" t="s">
        <v>4026</v>
      </c>
      <c r="J318" t="s">
        <v>4025</v>
      </c>
      <c r="K318" t="s">
        <v>4024</v>
      </c>
      <c r="L318" t="s">
        <v>4023</v>
      </c>
      <c r="M318" t="s">
        <v>783</v>
      </c>
      <c r="N318">
        <v>3</v>
      </c>
      <c r="O318" t="s">
        <v>4022</v>
      </c>
      <c r="P318" t="s">
        <v>4021</v>
      </c>
      <c r="Q318" t="s">
        <v>4020</v>
      </c>
      <c r="R318" s="7">
        <v>31413</v>
      </c>
      <c r="S318" s="8">
        <f t="shared" si="40"/>
        <v>1986</v>
      </c>
      <c r="T318" s="8">
        <v>1986</v>
      </c>
      <c r="U318" s="8">
        <f t="shared" si="41"/>
        <v>36</v>
      </c>
      <c r="V318" s="7">
        <v>31686</v>
      </c>
      <c r="W318" t="s">
        <v>2788</v>
      </c>
      <c r="X318" s="2">
        <v>1.468</v>
      </c>
      <c r="Y318" s="6">
        <f t="shared" si="38"/>
        <v>3.9187421585115186E-2</v>
      </c>
      <c r="AA318">
        <v>906778</v>
      </c>
      <c r="AB318">
        <v>18931</v>
      </c>
      <c r="AD318" t="s">
        <v>5</v>
      </c>
      <c r="AE318">
        <v>34</v>
      </c>
      <c r="AF318">
        <v>10</v>
      </c>
      <c r="AH318" t="s">
        <v>3638</v>
      </c>
      <c r="AI318" t="s">
        <v>4019</v>
      </c>
      <c r="AK318" t="s">
        <v>4018</v>
      </c>
      <c r="AL318">
        <v>9</v>
      </c>
      <c r="AM318" s="5">
        <f t="shared" si="42"/>
        <v>0.25</v>
      </c>
      <c r="AN318" s="4">
        <f t="shared" si="39"/>
        <v>3.786444528587656E-4</v>
      </c>
      <c r="AO318" s="3"/>
      <c r="AP318">
        <v>0</v>
      </c>
      <c r="AR318" t="s">
        <v>1</v>
      </c>
      <c r="AT318" s="2">
        <v>5.0830000000000002</v>
      </c>
      <c r="AU318" s="1">
        <f t="shared" si="43"/>
        <v>2.7544788445438257</v>
      </c>
      <c r="AV318" s="1">
        <f t="shared" si="44"/>
        <v>1.9783033018986977</v>
      </c>
      <c r="AW318" s="1">
        <f t="shared" si="45"/>
        <v>1.2021277592535693</v>
      </c>
    </row>
    <row r="319" spans="1:49" x14ac:dyDescent="0.2">
      <c r="A319">
        <v>317</v>
      </c>
      <c r="B319" t="s">
        <v>4017</v>
      </c>
      <c r="C319" t="s">
        <v>4016</v>
      </c>
      <c r="F319" t="s">
        <v>4015</v>
      </c>
      <c r="G319" t="s">
        <v>16</v>
      </c>
      <c r="H319" t="s">
        <v>15</v>
      </c>
      <c r="I319" t="s">
        <v>4014</v>
      </c>
      <c r="J319">
        <v>60009037</v>
      </c>
      <c r="K319" t="s">
        <v>1642</v>
      </c>
      <c r="L319" t="s">
        <v>1641</v>
      </c>
      <c r="M319" t="s">
        <v>114</v>
      </c>
      <c r="N319">
        <v>1</v>
      </c>
      <c r="O319" t="s">
        <v>4013</v>
      </c>
      <c r="P319">
        <v>7102110120</v>
      </c>
      <c r="Q319">
        <v>60009037</v>
      </c>
      <c r="R319" s="7">
        <v>31413</v>
      </c>
      <c r="S319" s="8">
        <f t="shared" si="40"/>
        <v>1986</v>
      </c>
      <c r="T319" s="8">
        <v>1986</v>
      </c>
      <c r="U319" s="8">
        <f t="shared" si="41"/>
        <v>36</v>
      </c>
      <c r="V319" s="7">
        <v>31686</v>
      </c>
      <c r="W319" t="s">
        <v>153</v>
      </c>
      <c r="X319" s="2">
        <v>1.6519999999999999</v>
      </c>
      <c r="Y319" s="6">
        <f t="shared" si="38"/>
        <v>4.409919649769093E-2</v>
      </c>
      <c r="AA319" t="s">
        <v>152</v>
      </c>
      <c r="AB319">
        <v>17337</v>
      </c>
      <c r="AC319">
        <v>15582221</v>
      </c>
      <c r="AD319" t="s">
        <v>5</v>
      </c>
      <c r="AE319">
        <v>34</v>
      </c>
      <c r="AF319">
        <v>10</v>
      </c>
      <c r="AH319" t="s">
        <v>4012</v>
      </c>
      <c r="AI319" t="s">
        <v>4011</v>
      </c>
      <c r="AK319" t="s">
        <v>4010</v>
      </c>
      <c r="AL319">
        <v>11</v>
      </c>
      <c r="AM319" s="5">
        <f t="shared" si="42"/>
        <v>0.30555555555555558</v>
      </c>
      <c r="AN319" s="4">
        <f t="shared" si="39"/>
        <v>4.62787664605158E-4</v>
      </c>
      <c r="AO319" s="3"/>
      <c r="AP319">
        <v>0</v>
      </c>
      <c r="AR319" t="s">
        <v>1</v>
      </c>
      <c r="AT319" s="2" t="s">
        <v>0</v>
      </c>
      <c r="AU319" s="1">
        <f t="shared" si="43"/>
        <v>3.1008273847765198</v>
      </c>
      <c r="AV319" s="1">
        <f t="shared" si="44"/>
        <v>2.2280992081148043</v>
      </c>
      <c r="AW319" s="1">
        <f t="shared" si="45"/>
        <v>1.3553710314530889</v>
      </c>
    </row>
    <row r="320" spans="1:49" x14ac:dyDescent="0.2">
      <c r="A320">
        <v>318</v>
      </c>
      <c r="B320" t="s">
        <v>4009</v>
      </c>
      <c r="C320" t="s">
        <v>4008</v>
      </c>
      <c r="F320" t="s">
        <v>4007</v>
      </c>
      <c r="G320" t="s">
        <v>16</v>
      </c>
      <c r="H320" t="s">
        <v>15</v>
      </c>
      <c r="I320" t="s">
        <v>4006</v>
      </c>
      <c r="J320">
        <v>60021378</v>
      </c>
      <c r="K320" t="s">
        <v>2699</v>
      </c>
      <c r="L320" t="s">
        <v>2698</v>
      </c>
      <c r="M320" t="s">
        <v>114</v>
      </c>
      <c r="N320">
        <v>1</v>
      </c>
      <c r="O320" t="s">
        <v>4005</v>
      </c>
      <c r="P320">
        <v>7005363564</v>
      </c>
      <c r="Q320">
        <v>60021378</v>
      </c>
      <c r="R320" s="7">
        <v>31413</v>
      </c>
      <c r="S320" s="8">
        <f t="shared" si="40"/>
        <v>1986</v>
      </c>
      <c r="T320" s="8">
        <v>1986</v>
      </c>
      <c r="U320" s="8">
        <f t="shared" si="41"/>
        <v>36</v>
      </c>
      <c r="V320" s="7">
        <v>31686</v>
      </c>
      <c r="W320" t="s">
        <v>2788</v>
      </c>
      <c r="X320" s="2">
        <v>1.468</v>
      </c>
      <c r="Y320" s="6">
        <f t="shared" si="38"/>
        <v>3.9187421585115186E-2</v>
      </c>
      <c r="AA320">
        <v>906778</v>
      </c>
      <c r="AB320">
        <v>18931</v>
      </c>
      <c r="AD320" t="s">
        <v>5</v>
      </c>
      <c r="AE320">
        <v>34</v>
      </c>
      <c r="AF320">
        <v>10</v>
      </c>
      <c r="AH320" t="s">
        <v>4004</v>
      </c>
      <c r="AI320" t="s">
        <v>4003</v>
      </c>
      <c r="AK320" t="s">
        <v>4002</v>
      </c>
      <c r="AL320">
        <v>3</v>
      </c>
      <c r="AM320" s="5">
        <f t="shared" si="42"/>
        <v>8.3333333333333329E-2</v>
      </c>
      <c r="AN320" s="4">
        <f t="shared" si="39"/>
        <v>1.2621481761958852E-4</v>
      </c>
      <c r="AO320" s="3"/>
      <c r="AP320">
        <v>0</v>
      </c>
      <c r="AR320" t="s">
        <v>1</v>
      </c>
      <c r="AT320" s="2">
        <v>5.0830000000000002</v>
      </c>
      <c r="AU320" s="1">
        <f t="shared" si="43"/>
        <v>2.7469059554866506</v>
      </c>
      <c r="AV320" s="1">
        <f t="shared" si="44"/>
        <v>1.9656818201367388</v>
      </c>
      <c r="AW320" s="1">
        <f t="shared" si="45"/>
        <v>1.1844576847868267</v>
      </c>
    </row>
    <row r="321" spans="1:49" x14ac:dyDescent="0.2">
      <c r="A321">
        <v>319</v>
      </c>
      <c r="B321" t="s">
        <v>4001</v>
      </c>
      <c r="C321" t="s">
        <v>4000</v>
      </c>
      <c r="F321" t="s">
        <v>3999</v>
      </c>
      <c r="G321" t="s">
        <v>16</v>
      </c>
      <c r="H321" t="s">
        <v>15</v>
      </c>
      <c r="I321" t="s">
        <v>3998</v>
      </c>
      <c r="J321" t="s">
        <v>3992</v>
      </c>
      <c r="K321" t="s">
        <v>3997</v>
      </c>
      <c r="L321" t="s">
        <v>3996</v>
      </c>
      <c r="M321" t="s">
        <v>3995</v>
      </c>
      <c r="N321">
        <v>2</v>
      </c>
      <c r="O321" t="s">
        <v>3994</v>
      </c>
      <c r="P321" t="s">
        <v>3993</v>
      </c>
      <c r="Q321" t="s">
        <v>3992</v>
      </c>
      <c r="R321" s="7">
        <v>31413</v>
      </c>
      <c r="S321" s="8">
        <f t="shared" si="40"/>
        <v>1986</v>
      </c>
      <c r="T321" s="8">
        <v>1986</v>
      </c>
      <c r="U321" s="8">
        <f t="shared" si="41"/>
        <v>36</v>
      </c>
      <c r="V321" s="7">
        <v>31686</v>
      </c>
      <c r="W321" t="s">
        <v>346</v>
      </c>
      <c r="X321" s="2">
        <v>2.383</v>
      </c>
      <c r="Y321" s="6">
        <f t="shared" si="38"/>
        <v>6.3612824003630442E-2</v>
      </c>
      <c r="AA321">
        <v>189219</v>
      </c>
      <c r="AB321">
        <v>17915</v>
      </c>
      <c r="AC321">
        <v>15582256</v>
      </c>
      <c r="AD321" t="s">
        <v>5</v>
      </c>
      <c r="AE321">
        <v>74</v>
      </c>
      <c r="AF321">
        <v>10</v>
      </c>
      <c r="AH321" t="s">
        <v>3991</v>
      </c>
      <c r="AI321" t="s">
        <v>3990</v>
      </c>
      <c r="AK321" t="s">
        <v>3989</v>
      </c>
      <c r="AL321">
        <v>17</v>
      </c>
      <c r="AM321" s="5">
        <f t="shared" si="42"/>
        <v>0.47222222222222221</v>
      </c>
      <c r="AN321" s="4">
        <f t="shared" si="39"/>
        <v>7.15217299844335E-4</v>
      </c>
      <c r="AO321" s="3"/>
      <c r="AP321">
        <v>0</v>
      </c>
      <c r="AR321" t="s">
        <v>1</v>
      </c>
      <c r="AT321" s="2">
        <v>10.961</v>
      </c>
      <c r="AU321" s="1">
        <f t="shared" si="43"/>
        <v>4.4743541992494613</v>
      </c>
      <c r="AV321" s="1">
        <f t="shared" si="44"/>
        <v>3.2164020651737388</v>
      </c>
      <c r="AW321" s="1">
        <f t="shared" si="45"/>
        <v>1.9584499310980168</v>
      </c>
    </row>
    <row r="322" spans="1:49" x14ac:dyDescent="0.2">
      <c r="A322">
        <v>320</v>
      </c>
      <c r="B322" t="s">
        <v>3988</v>
      </c>
      <c r="C322" t="s">
        <v>3987</v>
      </c>
      <c r="F322" t="s">
        <v>3986</v>
      </c>
      <c r="G322" t="s">
        <v>16</v>
      </c>
      <c r="H322" t="s">
        <v>15</v>
      </c>
      <c r="I322" t="s">
        <v>3985</v>
      </c>
      <c r="J322">
        <v>60031225</v>
      </c>
      <c r="K322" t="s">
        <v>3984</v>
      </c>
      <c r="L322" t="s">
        <v>1898</v>
      </c>
      <c r="M322" t="s">
        <v>71</v>
      </c>
      <c r="N322">
        <v>3</v>
      </c>
      <c r="O322" t="s">
        <v>3983</v>
      </c>
      <c r="P322" t="s">
        <v>3982</v>
      </c>
      <c r="Q322" t="s">
        <v>3981</v>
      </c>
      <c r="R322" s="7">
        <v>31413</v>
      </c>
      <c r="S322" s="8">
        <f t="shared" si="40"/>
        <v>1986</v>
      </c>
      <c r="T322" s="8">
        <v>1986</v>
      </c>
      <c r="U322" s="8">
        <f t="shared" si="41"/>
        <v>36</v>
      </c>
      <c r="V322" s="7">
        <v>31656</v>
      </c>
      <c r="W322" t="s">
        <v>1805</v>
      </c>
      <c r="X322" s="2">
        <v>2.141</v>
      </c>
      <c r="Y322" s="6">
        <f t="shared" ref="Y322:Y385" si="46">(X322-$Z$4)/($Z$3-$Z$4)</f>
        <v>5.7152772216438434E-2</v>
      </c>
      <c r="AA322">
        <v>1962892</v>
      </c>
      <c r="AB322">
        <v>17360</v>
      </c>
      <c r="AC322">
        <v>15580644</v>
      </c>
      <c r="AD322" t="s">
        <v>5</v>
      </c>
      <c r="AE322" t="s">
        <v>1804</v>
      </c>
      <c r="AF322">
        <v>5</v>
      </c>
      <c r="AH322" t="s">
        <v>2593</v>
      </c>
      <c r="AI322" t="s">
        <v>3980</v>
      </c>
      <c r="AK322" t="s">
        <v>3979</v>
      </c>
      <c r="AL322">
        <v>3</v>
      </c>
      <c r="AM322" s="5">
        <f t="shared" si="42"/>
        <v>8.3333333333333329E-2</v>
      </c>
      <c r="AN322" s="4">
        <f t="shared" ref="AN322:AN385" si="47">(AM322-$AO$4)/($AO$3-$AO$4)</f>
        <v>1.2621481761958852E-4</v>
      </c>
      <c r="AO322" s="3"/>
      <c r="AP322">
        <v>0</v>
      </c>
      <c r="AR322" t="s">
        <v>1</v>
      </c>
      <c r="AT322" s="2" t="s">
        <v>0</v>
      </c>
      <c r="AU322" s="1">
        <f t="shared" si="43"/>
        <v>4.0044804996792775</v>
      </c>
      <c r="AV322" s="1">
        <f t="shared" si="44"/>
        <v>2.8639493517029013</v>
      </c>
      <c r="AW322" s="1">
        <f t="shared" si="45"/>
        <v>1.7234182037265244</v>
      </c>
    </row>
    <row r="323" spans="1:49" x14ac:dyDescent="0.2">
      <c r="A323">
        <v>321</v>
      </c>
      <c r="B323" t="s">
        <v>3978</v>
      </c>
      <c r="C323" t="s">
        <v>3977</v>
      </c>
      <c r="F323" t="s">
        <v>3976</v>
      </c>
      <c r="G323" t="s">
        <v>16</v>
      </c>
      <c r="H323" t="s">
        <v>15</v>
      </c>
      <c r="I323" t="s">
        <v>3975</v>
      </c>
      <c r="J323" t="s">
        <v>3974</v>
      </c>
      <c r="K323" t="s">
        <v>3973</v>
      </c>
      <c r="L323" t="s">
        <v>3972</v>
      </c>
      <c r="M323" t="s">
        <v>783</v>
      </c>
      <c r="N323">
        <v>3</v>
      </c>
      <c r="O323" t="s">
        <v>3971</v>
      </c>
      <c r="P323" t="s">
        <v>3970</v>
      </c>
      <c r="Q323" t="s">
        <v>3969</v>
      </c>
      <c r="R323" s="7">
        <v>31413</v>
      </c>
      <c r="S323" s="8">
        <f t="shared" si="40"/>
        <v>1986</v>
      </c>
      <c r="T323" s="8">
        <v>1986</v>
      </c>
      <c r="U323" s="8">
        <f t="shared" si="41"/>
        <v>36</v>
      </c>
      <c r="V323" s="7">
        <v>31656</v>
      </c>
      <c r="W323" t="s">
        <v>1805</v>
      </c>
      <c r="X323" s="2">
        <v>2.141</v>
      </c>
      <c r="Y323" s="6">
        <f t="shared" si="46"/>
        <v>5.7152772216438434E-2</v>
      </c>
      <c r="AA323">
        <v>1962892</v>
      </c>
      <c r="AB323">
        <v>17360</v>
      </c>
      <c r="AC323">
        <v>15580644</v>
      </c>
      <c r="AD323" t="s">
        <v>5</v>
      </c>
      <c r="AE323" t="s">
        <v>1804</v>
      </c>
      <c r="AF323">
        <v>5</v>
      </c>
      <c r="AH323" t="s">
        <v>3968</v>
      </c>
      <c r="AI323" t="s">
        <v>3967</v>
      </c>
      <c r="AK323" t="s">
        <v>3966</v>
      </c>
      <c r="AL323">
        <v>17</v>
      </c>
      <c r="AM323" s="5">
        <f t="shared" si="42"/>
        <v>0.47222222222222221</v>
      </c>
      <c r="AN323" s="4">
        <f t="shared" si="47"/>
        <v>7.15217299844335E-4</v>
      </c>
      <c r="AO323" s="3"/>
      <c r="AP323">
        <v>0</v>
      </c>
      <c r="AR323" t="s">
        <v>1</v>
      </c>
      <c r="AT323" s="2" t="s">
        <v>0</v>
      </c>
      <c r="AU323" s="1">
        <f t="shared" si="43"/>
        <v>4.0221505741460204</v>
      </c>
      <c r="AV323" s="1">
        <f t="shared" si="44"/>
        <v>2.8933994758141384</v>
      </c>
      <c r="AW323" s="1">
        <f t="shared" si="45"/>
        <v>1.7646483774822566</v>
      </c>
    </row>
    <row r="324" spans="1:49" x14ac:dyDescent="0.2">
      <c r="A324">
        <v>322</v>
      </c>
      <c r="B324" t="s">
        <v>3965</v>
      </c>
      <c r="C324" t="s">
        <v>3964</v>
      </c>
      <c r="F324" t="s">
        <v>3963</v>
      </c>
      <c r="G324" t="s">
        <v>16</v>
      </c>
      <c r="H324" t="s">
        <v>15</v>
      </c>
      <c r="I324" t="s">
        <v>3962</v>
      </c>
      <c r="J324">
        <v>60024751</v>
      </c>
      <c r="K324" t="s">
        <v>3961</v>
      </c>
      <c r="L324" t="s">
        <v>3960</v>
      </c>
      <c r="M324" t="s">
        <v>71</v>
      </c>
      <c r="N324">
        <v>1</v>
      </c>
      <c r="O324" t="s">
        <v>3959</v>
      </c>
      <c r="P324">
        <v>57191019450</v>
      </c>
      <c r="Q324">
        <v>60024751</v>
      </c>
      <c r="R324" s="7">
        <v>31413</v>
      </c>
      <c r="S324" s="8">
        <f t="shared" si="40"/>
        <v>1986</v>
      </c>
      <c r="T324" s="8">
        <v>1986</v>
      </c>
      <c r="U324" s="8">
        <f t="shared" si="41"/>
        <v>36</v>
      </c>
      <c r="V324" s="7">
        <v>1986</v>
      </c>
      <c r="W324" t="s">
        <v>483</v>
      </c>
      <c r="X324" s="2">
        <v>0.111</v>
      </c>
      <c r="Y324" s="6">
        <f t="shared" si="46"/>
        <v>2.9630816048690639E-3</v>
      </c>
      <c r="AA324">
        <v>87566621</v>
      </c>
      <c r="AB324">
        <v>24890</v>
      </c>
      <c r="AC324">
        <v>15206424</v>
      </c>
      <c r="AD324" t="s">
        <v>5</v>
      </c>
      <c r="AE324">
        <v>69</v>
      </c>
      <c r="AF324">
        <v>9</v>
      </c>
      <c r="AH324" t="s">
        <v>1030</v>
      </c>
      <c r="AI324" t="s">
        <v>3958</v>
      </c>
      <c r="AK324" t="s">
        <v>3957</v>
      </c>
      <c r="AL324">
        <v>0</v>
      </c>
      <c r="AM324" s="5">
        <f t="shared" si="42"/>
        <v>0</v>
      </c>
      <c r="AN324" s="4">
        <f t="shared" si="47"/>
        <v>0</v>
      </c>
      <c r="AO324" s="3"/>
      <c r="AP324">
        <v>0</v>
      </c>
      <c r="AR324" t="s">
        <v>1</v>
      </c>
      <c r="AT324" s="2" t="s">
        <v>0</v>
      </c>
      <c r="AU324" s="1">
        <f t="shared" si="43"/>
        <v>0.20741571234083445</v>
      </c>
      <c r="AV324" s="1">
        <f t="shared" si="44"/>
        <v>0.1481540802434532</v>
      </c>
      <c r="AW324" s="1">
        <f t="shared" si="45"/>
        <v>8.8892448146071903E-2</v>
      </c>
    </row>
    <row r="325" spans="1:49" x14ac:dyDescent="0.2">
      <c r="A325">
        <v>323</v>
      </c>
      <c r="B325" t="s">
        <v>3956</v>
      </c>
      <c r="C325" t="s">
        <v>3955</v>
      </c>
      <c r="F325" t="s">
        <v>3954</v>
      </c>
      <c r="G325" t="s">
        <v>16</v>
      </c>
      <c r="H325" t="s">
        <v>15</v>
      </c>
      <c r="I325" t="s">
        <v>3953</v>
      </c>
      <c r="J325">
        <v>60015150</v>
      </c>
      <c r="K325" t="s">
        <v>3952</v>
      </c>
      <c r="L325" t="s">
        <v>1486</v>
      </c>
      <c r="M325" t="s">
        <v>665</v>
      </c>
      <c r="N325">
        <v>1</v>
      </c>
      <c r="O325" t="s">
        <v>3951</v>
      </c>
      <c r="P325">
        <v>55432714600</v>
      </c>
      <c r="Q325">
        <v>60015150</v>
      </c>
      <c r="R325" s="7">
        <v>31413</v>
      </c>
      <c r="S325" s="8">
        <f t="shared" si="40"/>
        <v>1986</v>
      </c>
      <c r="T325" s="8">
        <v>1986</v>
      </c>
      <c r="U325" s="8">
        <f t="shared" si="41"/>
        <v>36</v>
      </c>
      <c r="V325" s="7">
        <v>31656</v>
      </c>
      <c r="W325" t="s">
        <v>1136</v>
      </c>
      <c r="X325" s="2">
        <v>0.251</v>
      </c>
      <c r="Y325" s="6">
        <f t="shared" si="46"/>
        <v>6.7003016470462617E-3</v>
      </c>
      <c r="AA325">
        <v>207217</v>
      </c>
      <c r="AB325">
        <v>26145</v>
      </c>
      <c r="AC325">
        <v>13623060</v>
      </c>
      <c r="AD325" t="s">
        <v>5</v>
      </c>
      <c r="AE325">
        <v>61</v>
      </c>
      <c r="AF325">
        <v>3</v>
      </c>
      <c r="AH325" t="s">
        <v>3950</v>
      </c>
      <c r="AI325" t="s">
        <v>3949</v>
      </c>
      <c r="AK325" t="s">
        <v>3948</v>
      </c>
      <c r="AL325">
        <v>1</v>
      </c>
      <c r="AM325" s="5">
        <f t="shared" si="42"/>
        <v>2.7777777777777776E-2</v>
      </c>
      <c r="AN325" s="4">
        <f t="shared" si="47"/>
        <v>4.2071605873196175E-5</v>
      </c>
      <c r="AO325" s="3"/>
      <c r="AP325">
        <v>0</v>
      </c>
      <c r="AR325" t="s">
        <v>1</v>
      </c>
      <c r="AT325" s="2">
        <v>1.3360000000000001</v>
      </c>
      <c r="AU325" s="1">
        <f t="shared" si="43"/>
        <v>0.47028326346943411</v>
      </c>
      <c r="AV325" s="1">
        <f t="shared" si="44"/>
        <v>0.3371186626459729</v>
      </c>
      <c r="AW325" s="1">
        <f t="shared" si="45"/>
        <v>0.20395406182251155</v>
      </c>
    </row>
    <row r="326" spans="1:49" x14ac:dyDescent="0.2">
      <c r="A326">
        <v>324</v>
      </c>
      <c r="B326" t="s">
        <v>3947</v>
      </c>
      <c r="C326" t="s">
        <v>3946</v>
      </c>
      <c r="F326" t="s">
        <v>3945</v>
      </c>
      <c r="G326" t="s">
        <v>16</v>
      </c>
      <c r="H326" t="s">
        <v>15</v>
      </c>
      <c r="I326" t="s">
        <v>3944</v>
      </c>
      <c r="N326">
        <v>2</v>
      </c>
      <c r="O326" t="s">
        <v>3943</v>
      </c>
      <c r="P326" t="s">
        <v>3942</v>
      </c>
      <c r="Q326" t="s">
        <v>313</v>
      </c>
      <c r="R326" s="7">
        <v>31413</v>
      </c>
      <c r="S326" s="8">
        <f t="shared" si="40"/>
        <v>1986</v>
      </c>
      <c r="T326" s="8">
        <v>1986</v>
      </c>
      <c r="U326" s="8">
        <f t="shared" si="41"/>
        <v>36</v>
      </c>
      <c r="V326" s="7" t="s">
        <v>3887</v>
      </c>
      <c r="W326" t="s">
        <v>223</v>
      </c>
      <c r="X326" s="2">
        <v>0.371</v>
      </c>
      <c r="Y326" s="6">
        <f t="shared" si="46"/>
        <v>9.9036331117695747E-3</v>
      </c>
      <c r="AA326">
        <v>486604</v>
      </c>
      <c r="AB326">
        <v>28580</v>
      </c>
      <c r="AC326" t="s">
        <v>222</v>
      </c>
      <c r="AD326" t="s">
        <v>5</v>
      </c>
      <c r="AE326">
        <v>21</v>
      </c>
      <c r="AF326">
        <v>5</v>
      </c>
      <c r="AH326" t="s">
        <v>3941</v>
      </c>
      <c r="AI326" t="s">
        <v>3940</v>
      </c>
      <c r="AK326" t="s">
        <v>3939</v>
      </c>
      <c r="AL326">
        <v>3</v>
      </c>
      <c r="AM326" s="5">
        <f t="shared" si="42"/>
        <v>8.3333333333333329E-2</v>
      </c>
      <c r="AN326" s="4">
        <f t="shared" si="47"/>
        <v>1.2621481761958852E-4</v>
      </c>
      <c r="AO326" s="3"/>
      <c r="AP326">
        <v>0</v>
      </c>
      <c r="AR326" t="s">
        <v>1</v>
      </c>
      <c r="AT326" s="2">
        <v>1.431</v>
      </c>
      <c r="AU326" s="1">
        <f t="shared" si="43"/>
        <v>0.69704076235245782</v>
      </c>
      <c r="AV326" s="1">
        <f t="shared" si="44"/>
        <v>0.50149239646945809</v>
      </c>
      <c r="AW326" s="1">
        <f t="shared" si="45"/>
        <v>0.30594403058645847</v>
      </c>
    </row>
    <row r="327" spans="1:49" x14ac:dyDescent="0.2">
      <c r="A327">
        <v>325</v>
      </c>
      <c r="B327" t="s">
        <v>3938</v>
      </c>
      <c r="C327" t="s">
        <v>3937</v>
      </c>
      <c r="F327" t="s">
        <v>3936</v>
      </c>
      <c r="G327" t="s">
        <v>16</v>
      </c>
      <c r="H327" t="s">
        <v>15</v>
      </c>
      <c r="I327" t="s">
        <v>3935</v>
      </c>
      <c r="J327">
        <v>60027844</v>
      </c>
      <c r="K327" t="s">
        <v>3934</v>
      </c>
      <c r="L327" t="s">
        <v>1707</v>
      </c>
      <c r="M327" t="s">
        <v>1706</v>
      </c>
      <c r="N327">
        <v>3</v>
      </c>
      <c r="O327" t="s">
        <v>3933</v>
      </c>
      <c r="P327" t="s">
        <v>3932</v>
      </c>
      <c r="Q327" t="s">
        <v>3931</v>
      </c>
      <c r="R327" s="7">
        <v>31413</v>
      </c>
      <c r="S327" s="8">
        <f t="shared" si="40"/>
        <v>1986</v>
      </c>
      <c r="T327" s="8">
        <v>1986</v>
      </c>
      <c r="U327" s="8">
        <f t="shared" si="41"/>
        <v>36</v>
      </c>
      <c r="V327" s="7">
        <v>31656</v>
      </c>
      <c r="W327" t="s">
        <v>1136</v>
      </c>
      <c r="X327" s="2">
        <v>0.251</v>
      </c>
      <c r="Y327" s="6">
        <f t="shared" si="46"/>
        <v>6.7003016470462617E-3</v>
      </c>
      <c r="AA327">
        <v>207217</v>
      </c>
      <c r="AB327">
        <v>26145</v>
      </c>
      <c r="AC327">
        <v>13623060</v>
      </c>
      <c r="AD327" t="s">
        <v>5</v>
      </c>
      <c r="AE327">
        <v>61</v>
      </c>
      <c r="AF327">
        <v>3</v>
      </c>
      <c r="AH327" t="s">
        <v>3930</v>
      </c>
      <c r="AI327" t="s">
        <v>3929</v>
      </c>
      <c r="AK327" t="s">
        <v>3928</v>
      </c>
      <c r="AL327">
        <v>7</v>
      </c>
      <c r="AM327" s="5">
        <f t="shared" si="42"/>
        <v>0.19444444444444445</v>
      </c>
      <c r="AN327" s="4">
        <f t="shared" si="47"/>
        <v>2.9450124111237325E-4</v>
      </c>
      <c r="AO327" s="3"/>
      <c r="AP327">
        <v>0</v>
      </c>
      <c r="AR327" t="s">
        <v>1</v>
      </c>
      <c r="AT327" s="2">
        <v>1.3360000000000001</v>
      </c>
      <c r="AU327" s="1">
        <f t="shared" si="43"/>
        <v>0.4778561525266094</v>
      </c>
      <c r="AV327" s="1">
        <f t="shared" si="44"/>
        <v>0.34974014440793172</v>
      </c>
      <c r="AW327" s="1">
        <f t="shared" si="45"/>
        <v>0.22162413628925398</v>
      </c>
    </row>
    <row r="328" spans="1:49" x14ac:dyDescent="0.2">
      <c r="A328">
        <v>326</v>
      </c>
      <c r="B328" t="s">
        <v>3927</v>
      </c>
      <c r="C328" t="s">
        <v>3926</v>
      </c>
      <c r="F328" t="s">
        <v>3925</v>
      </c>
      <c r="G328" t="s">
        <v>16</v>
      </c>
      <c r="H328" t="s">
        <v>15</v>
      </c>
      <c r="I328" t="s">
        <v>3924</v>
      </c>
      <c r="N328">
        <v>2</v>
      </c>
      <c r="O328" t="s">
        <v>3923</v>
      </c>
      <c r="P328" t="s">
        <v>3922</v>
      </c>
      <c r="Q328" t="s">
        <v>313</v>
      </c>
      <c r="R328" s="7">
        <v>31413</v>
      </c>
      <c r="S328" s="8">
        <f t="shared" si="40"/>
        <v>1986</v>
      </c>
      <c r="T328" s="8">
        <v>1986</v>
      </c>
      <c r="U328" s="8">
        <f t="shared" si="41"/>
        <v>36</v>
      </c>
      <c r="V328" s="7" t="s">
        <v>3887</v>
      </c>
      <c r="W328" t="s">
        <v>223</v>
      </c>
      <c r="X328" s="2">
        <v>0.371</v>
      </c>
      <c r="Y328" s="6">
        <f t="shared" si="46"/>
        <v>9.9036331117695747E-3</v>
      </c>
      <c r="AA328">
        <v>486604</v>
      </c>
      <c r="AB328">
        <v>28580</v>
      </c>
      <c r="AC328" t="s">
        <v>222</v>
      </c>
      <c r="AD328" t="s">
        <v>5</v>
      </c>
      <c r="AE328">
        <v>21</v>
      </c>
      <c r="AF328">
        <v>5</v>
      </c>
      <c r="AH328" t="s">
        <v>3921</v>
      </c>
      <c r="AI328" t="s">
        <v>3920</v>
      </c>
      <c r="AK328" t="s">
        <v>3919</v>
      </c>
      <c r="AL328">
        <v>2</v>
      </c>
      <c r="AM328" s="5">
        <f t="shared" si="42"/>
        <v>5.5555555555555552E-2</v>
      </c>
      <c r="AN328" s="4">
        <f t="shared" si="47"/>
        <v>8.4143211746392349E-5</v>
      </c>
      <c r="AO328" s="3"/>
      <c r="AP328">
        <v>0</v>
      </c>
      <c r="AR328" t="s">
        <v>1</v>
      </c>
      <c r="AT328" s="2">
        <v>1.431</v>
      </c>
      <c r="AU328" s="1">
        <f t="shared" si="43"/>
        <v>0.69577861417626197</v>
      </c>
      <c r="AV328" s="1">
        <f t="shared" si="44"/>
        <v>0.49938881617579839</v>
      </c>
      <c r="AW328" s="1">
        <f t="shared" si="45"/>
        <v>0.3029990181753347</v>
      </c>
    </row>
    <row r="329" spans="1:49" x14ac:dyDescent="0.2">
      <c r="A329">
        <v>327</v>
      </c>
      <c r="B329" t="s">
        <v>3918</v>
      </c>
      <c r="C329" t="s">
        <v>3917</v>
      </c>
      <c r="F329" t="s">
        <v>3916</v>
      </c>
      <c r="G329" t="s">
        <v>16</v>
      </c>
      <c r="H329" t="s">
        <v>15</v>
      </c>
      <c r="I329" t="s">
        <v>3915</v>
      </c>
      <c r="J329">
        <v>112645880</v>
      </c>
      <c r="K329" t="s">
        <v>3914</v>
      </c>
      <c r="L329" t="s">
        <v>3913</v>
      </c>
      <c r="M329" t="s">
        <v>59</v>
      </c>
      <c r="N329">
        <v>4</v>
      </c>
      <c r="O329" t="s">
        <v>3912</v>
      </c>
      <c r="P329" t="s">
        <v>3911</v>
      </c>
      <c r="Q329" t="s">
        <v>3910</v>
      </c>
      <c r="R329" s="7">
        <v>31413</v>
      </c>
      <c r="S329" s="8">
        <f t="shared" si="40"/>
        <v>1986</v>
      </c>
      <c r="T329" s="8">
        <v>1986</v>
      </c>
      <c r="U329" s="8">
        <f t="shared" si="41"/>
        <v>36</v>
      </c>
      <c r="V329" s="7">
        <v>31656</v>
      </c>
      <c r="W329" t="s">
        <v>1805</v>
      </c>
      <c r="X329" s="2">
        <v>2.141</v>
      </c>
      <c r="Y329" s="6">
        <f t="shared" si="46"/>
        <v>5.7152772216438434E-2</v>
      </c>
      <c r="AA329">
        <v>1962892</v>
      </c>
      <c r="AB329">
        <v>17360</v>
      </c>
      <c r="AC329">
        <v>15580644</v>
      </c>
      <c r="AD329" t="s">
        <v>5</v>
      </c>
      <c r="AE329" t="s">
        <v>1804</v>
      </c>
      <c r="AF329">
        <v>5</v>
      </c>
      <c r="AH329" t="s">
        <v>3909</v>
      </c>
      <c r="AI329" t="s">
        <v>3908</v>
      </c>
      <c r="AK329" t="s">
        <v>3907</v>
      </c>
      <c r="AL329">
        <v>21</v>
      </c>
      <c r="AM329" s="5">
        <f t="shared" si="42"/>
        <v>0.58333333333333337</v>
      </c>
      <c r="AN329" s="4">
        <f t="shared" si="47"/>
        <v>8.835037233371198E-4</v>
      </c>
      <c r="AO329" s="3"/>
      <c r="AP329">
        <v>0</v>
      </c>
      <c r="AR329" t="s">
        <v>1</v>
      </c>
      <c r="AT329" s="2" t="s">
        <v>0</v>
      </c>
      <c r="AU329" s="1">
        <f t="shared" si="43"/>
        <v>4.0271991668508029</v>
      </c>
      <c r="AV329" s="1">
        <f t="shared" si="44"/>
        <v>2.9018137969887778</v>
      </c>
      <c r="AW329" s="1">
        <f t="shared" si="45"/>
        <v>1.7764284271267514</v>
      </c>
    </row>
    <row r="330" spans="1:49" x14ac:dyDescent="0.2">
      <c r="A330">
        <v>328</v>
      </c>
      <c r="B330" t="s">
        <v>3906</v>
      </c>
      <c r="C330" t="s">
        <v>3905</v>
      </c>
      <c r="F330" t="s">
        <v>3904</v>
      </c>
      <c r="G330" t="s">
        <v>16</v>
      </c>
      <c r="H330" t="s">
        <v>15</v>
      </c>
      <c r="I330" t="s">
        <v>3903</v>
      </c>
      <c r="J330">
        <v>60028900</v>
      </c>
      <c r="K330" t="s">
        <v>3902</v>
      </c>
      <c r="L330" t="s">
        <v>3901</v>
      </c>
      <c r="M330" t="s">
        <v>3900</v>
      </c>
      <c r="N330">
        <v>2</v>
      </c>
      <c r="O330" t="s">
        <v>3899</v>
      </c>
      <c r="P330" t="s">
        <v>3898</v>
      </c>
      <c r="Q330" t="s">
        <v>3897</v>
      </c>
      <c r="R330" s="7">
        <v>31413</v>
      </c>
      <c r="S330" s="8">
        <f t="shared" si="40"/>
        <v>1986</v>
      </c>
      <c r="T330" s="8">
        <v>1986</v>
      </c>
      <c r="U330" s="8">
        <f t="shared" si="41"/>
        <v>36</v>
      </c>
      <c r="V330" s="7">
        <v>31656</v>
      </c>
      <c r="W330" t="s">
        <v>1805</v>
      </c>
      <c r="X330" s="2">
        <v>2.141</v>
      </c>
      <c r="Y330" s="6">
        <f t="shared" si="46"/>
        <v>5.7152772216438434E-2</v>
      </c>
      <c r="AA330">
        <v>1962892</v>
      </c>
      <c r="AB330">
        <v>17360</v>
      </c>
      <c r="AC330">
        <v>15580644</v>
      </c>
      <c r="AD330" t="s">
        <v>5</v>
      </c>
      <c r="AE330" t="s">
        <v>1804</v>
      </c>
      <c r="AF330">
        <v>5</v>
      </c>
      <c r="AH330" t="s">
        <v>3896</v>
      </c>
      <c r="AI330" t="s">
        <v>3895</v>
      </c>
      <c r="AK330" t="s">
        <v>3894</v>
      </c>
      <c r="AL330">
        <v>5</v>
      </c>
      <c r="AM330" s="5">
        <f t="shared" si="42"/>
        <v>0.1388888888888889</v>
      </c>
      <c r="AN330" s="4">
        <f t="shared" si="47"/>
        <v>2.103580293659809E-4</v>
      </c>
      <c r="AO330" s="3"/>
      <c r="AP330">
        <v>0</v>
      </c>
      <c r="AR330" t="s">
        <v>1</v>
      </c>
      <c r="AT330" s="2" t="s">
        <v>0</v>
      </c>
      <c r="AU330" s="1">
        <f t="shared" si="43"/>
        <v>4.0070047960316693</v>
      </c>
      <c r="AV330" s="1">
        <f t="shared" si="44"/>
        <v>2.8681565122902208</v>
      </c>
      <c r="AW330" s="1">
        <f t="shared" si="45"/>
        <v>1.7293082285487718</v>
      </c>
    </row>
    <row r="331" spans="1:49" x14ac:dyDescent="0.2">
      <c r="A331">
        <v>329</v>
      </c>
      <c r="B331" t="s">
        <v>3893</v>
      </c>
      <c r="C331" t="s">
        <v>3892</v>
      </c>
      <c r="F331" t="s">
        <v>3891</v>
      </c>
      <c r="G331" t="s">
        <v>16</v>
      </c>
      <c r="H331" t="s">
        <v>15</v>
      </c>
      <c r="I331" t="s">
        <v>3890</v>
      </c>
      <c r="N331">
        <v>3</v>
      </c>
      <c r="O331" t="s">
        <v>3889</v>
      </c>
      <c r="P331" t="s">
        <v>3888</v>
      </c>
      <c r="Q331" t="s">
        <v>295</v>
      </c>
      <c r="R331" s="7">
        <v>31413</v>
      </c>
      <c r="S331" s="8">
        <f t="shared" si="40"/>
        <v>1986</v>
      </c>
      <c r="T331" s="8">
        <v>1986</v>
      </c>
      <c r="U331" s="8">
        <f t="shared" si="41"/>
        <v>36</v>
      </c>
      <c r="V331" s="7" t="s">
        <v>3887</v>
      </c>
      <c r="W331" t="s">
        <v>223</v>
      </c>
      <c r="X331" s="2">
        <v>0.371</v>
      </c>
      <c r="Y331" s="6">
        <f t="shared" si="46"/>
        <v>9.9036331117695747E-3</v>
      </c>
      <c r="AA331">
        <v>486604</v>
      </c>
      <c r="AB331">
        <v>28580</v>
      </c>
      <c r="AC331" t="s">
        <v>222</v>
      </c>
      <c r="AD331" t="s">
        <v>5</v>
      </c>
      <c r="AE331">
        <v>21</v>
      </c>
      <c r="AF331">
        <v>5</v>
      </c>
      <c r="AH331" t="s">
        <v>3886</v>
      </c>
      <c r="AI331" t="s">
        <v>3885</v>
      </c>
      <c r="AK331" t="s">
        <v>3884</v>
      </c>
      <c r="AL331">
        <v>27</v>
      </c>
      <c r="AM331" s="5">
        <f t="shared" si="42"/>
        <v>0.75</v>
      </c>
      <c r="AN331" s="4">
        <f t="shared" si="47"/>
        <v>1.1359333585762969E-3</v>
      </c>
      <c r="AO331" s="3"/>
      <c r="AP331">
        <v>0</v>
      </c>
      <c r="AR331" t="s">
        <v>1</v>
      </c>
      <c r="AT331" s="2">
        <v>1.431</v>
      </c>
      <c r="AU331" s="1">
        <f t="shared" si="43"/>
        <v>0.7273323185811591</v>
      </c>
      <c r="AV331" s="1">
        <f t="shared" si="44"/>
        <v>0.55197832351729359</v>
      </c>
      <c r="AW331" s="1">
        <f t="shared" si="45"/>
        <v>0.37662432845342808</v>
      </c>
    </row>
    <row r="332" spans="1:49" x14ac:dyDescent="0.2">
      <c r="A332">
        <v>330</v>
      </c>
      <c r="B332" t="s">
        <v>3883</v>
      </c>
      <c r="C332" t="s">
        <v>3882</v>
      </c>
      <c r="F332" t="s">
        <v>3881</v>
      </c>
      <c r="G332" t="s">
        <v>16</v>
      </c>
      <c r="H332" t="s">
        <v>15</v>
      </c>
      <c r="I332" t="s">
        <v>3880</v>
      </c>
      <c r="J332">
        <v>60033154</v>
      </c>
      <c r="K332" t="s">
        <v>3879</v>
      </c>
      <c r="L332" t="s">
        <v>3878</v>
      </c>
      <c r="M332" t="s">
        <v>616</v>
      </c>
      <c r="N332">
        <v>2</v>
      </c>
      <c r="O332" t="s">
        <v>3877</v>
      </c>
      <c r="P332" t="s">
        <v>3876</v>
      </c>
      <c r="Q332" t="s">
        <v>3875</v>
      </c>
      <c r="R332" s="7">
        <v>31413</v>
      </c>
      <c r="S332" s="8">
        <f t="shared" si="40"/>
        <v>1986</v>
      </c>
      <c r="T332" s="8">
        <v>1986</v>
      </c>
      <c r="U332" s="8">
        <f t="shared" si="41"/>
        <v>36</v>
      </c>
      <c r="V332" s="7">
        <v>31656</v>
      </c>
      <c r="W332" t="s">
        <v>1858</v>
      </c>
      <c r="X332" s="2">
        <v>0.78200000000000003</v>
      </c>
      <c r="Y332" s="6">
        <f t="shared" si="46"/>
        <v>2.0875043378446919E-2</v>
      </c>
      <c r="AA332">
        <v>189316</v>
      </c>
      <c r="AB332">
        <v>19901</v>
      </c>
      <c r="AC332">
        <v>15579611</v>
      </c>
      <c r="AD332" t="s">
        <v>5</v>
      </c>
      <c r="AE332" t="s">
        <v>1857</v>
      </c>
      <c r="AF332">
        <v>3</v>
      </c>
      <c r="AH332" t="s">
        <v>3874</v>
      </c>
      <c r="AI332" t="s">
        <v>3873</v>
      </c>
      <c r="AK332" t="s">
        <v>3872</v>
      </c>
      <c r="AL332">
        <v>16</v>
      </c>
      <c r="AM332" s="5">
        <f t="shared" si="42"/>
        <v>0.44444444444444442</v>
      </c>
      <c r="AN332" s="4">
        <f t="shared" si="47"/>
        <v>6.7314569397113879E-4</v>
      </c>
      <c r="AO332" s="3"/>
      <c r="AP332">
        <v>0</v>
      </c>
      <c r="AR332" t="s">
        <v>1</v>
      </c>
      <c r="AT332" s="2">
        <v>3.863</v>
      </c>
      <c r="AU332" s="1">
        <f t="shared" si="43"/>
        <v>1.4814474073104185</v>
      </c>
      <c r="AV332" s="1">
        <f t="shared" si="44"/>
        <v>1.0774094536209029</v>
      </c>
      <c r="AW332" s="1">
        <f t="shared" si="45"/>
        <v>0.67337149993138734</v>
      </c>
    </row>
    <row r="333" spans="1:49" x14ac:dyDescent="0.2">
      <c r="A333">
        <v>331</v>
      </c>
      <c r="B333" t="s">
        <v>3871</v>
      </c>
      <c r="C333" t="s">
        <v>3870</v>
      </c>
      <c r="F333" t="s">
        <v>3869</v>
      </c>
      <c r="G333" t="s">
        <v>16</v>
      </c>
      <c r="H333" t="s">
        <v>15</v>
      </c>
      <c r="I333" t="s">
        <v>3868</v>
      </c>
      <c r="N333">
        <v>2</v>
      </c>
      <c r="O333" t="s">
        <v>3867</v>
      </c>
      <c r="P333" t="s">
        <v>3866</v>
      </c>
      <c r="Q333" t="s">
        <v>313</v>
      </c>
      <c r="R333" s="7">
        <v>31413</v>
      </c>
      <c r="S333" s="8">
        <f t="shared" si="40"/>
        <v>1986</v>
      </c>
      <c r="T333" s="8">
        <v>1986</v>
      </c>
      <c r="U333" s="8">
        <f t="shared" si="41"/>
        <v>36</v>
      </c>
      <c r="V333" s="7">
        <v>31656</v>
      </c>
      <c r="W333" t="s">
        <v>1858</v>
      </c>
      <c r="X333" s="2">
        <v>0.78200000000000003</v>
      </c>
      <c r="Y333" s="6">
        <f t="shared" si="46"/>
        <v>2.0875043378446919E-2</v>
      </c>
      <c r="AA333">
        <v>189316</v>
      </c>
      <c r="AB333">
        <v>19901</v>
      </c>
      <c r="AC333">
        <v>15579611</v>
      </c>
      <c r="AD333" t="s">
        <v>5</v>
      </c>
      <c r="AE333" t="s">
        <v>1857</v>
      </c>
      <c r="AF333">
        <v>3</v>
      </c>
      <c r="AH333" t="s">
        <v>3865</v>
      </c>
      <c r="AI333" t="s">
        <v>3864</v>
      </c>
      <c r="AK333" t="s">
        <v>3863</v>
      </c>
      <c r="AL333">
        <v>1</v>
      </c>
      <c r="AM333" s="5">
        <f t="shared" si="42"/>
        <v>2.7777777777777776E-2</v>
      </c>
      <c r="AN333" s="4">
        <f t="shared" si="47"/>
        <v>4.2071605873196175E-5</v>
      </c>
      <c r="AO333" s="3"/>
      <c r="AP333">
        <v>0</v>
      </c>
      <c r="AR333" t="s">
        <v>1</v>
      </c>
      <c r="AT333" s="2">
        <v>3.863</v>
      </c>
      <c r="AU333" s="1">
        <f t="shared" si="43"/>
        <v>1.46251518466748</v>
      </c>
      <c r="AV333" s="1">
        <f t="shared" si="44"/>
        <v>1.0458557492160059</v>
      </c>
      <c r="AW333" s="1">
        <f t="shared" si="45"/>
        <v>0.62919631376453133</v>
      </c>
    </row>
    <row r="334" spans="1:49" x14ac:dyDescent="0.2">
      <c r="A334">
        <v>332</v>
      </c>
      <c r="B334" t="s">
        <v>3862</v>
      </c>
      <c r="C334" t="s">
        <v>3861</v>
      </c>
      <c r="F334" t="s">
        <v>3860</v>
      </c>
      <c r="G334" t="s">
        <v>16</v>
      </c>
      <c r="H334" t="s">
        <v>15</v>
      </c>
      <c r="I334" t="s">
        <v>3859</v>
      </c>
      <c r="J334">
        <v>60031544</v>
      </c>
      <c r="K334" t="s">
        <v>3858</v>
      </c>
      <c r="L334" t="s">
        <v>3857</v>
      </c>
      <c r="M334" t="s">
        <v>336</v>
      </c>
      <c r="N334">
        <v>2</v>
      </c>
      <c r="O334" t="s">
        <v>3856</v>
      </c>
      <c r="P334" t="s">
        <v>3855</v>
      </c>
      <c r="Q334" t="s">
        <v>3854</v>
      </c>
      <c r="R334" s="7">
        <v>31413</v>
      </c>
      <c r="S334" s="8">
        <f t="shared" si="40"/>
        <v>1986</v>
      </c>
      <c r="T334" s="8">
        <v>1986</v>
      </c>
      <c r="U334" s="8">
        <f t="shared" si="41"/>
        <v>36</v>
      </c>
      <c r="V334" s="7">
        <v>1986</v>
      </c>
      <c r="W334" t="s">
        <v>580</v>
      </c>
      <c r="X334" s="2">
        <v>0.375</v>
      </c>
      <c r="Y334" s="6">
        <f t="shared" si="46"/>
        <v>1.0010410827260351E-2</v>
      </c>
      <c r="AA334">
        <v>135194</v>
      </c>
      <c r="AB334">
        <v>24918</v>
      </c>
      <c r="AD334" t="s">
        <v>5</v>
      </c>
      <c r="AE334">
        <v>22</v>
      </c>
      <c r="AF334">
        <v>20</v>
      </c>
      <c r="AH334" t="s">
        <v>3853</v>
      </c>
      <c r="AI334" t="s">
        <v>3852</v>
      </c>
      <c r="AJ334" t="s">
        <v>3851</v>
      </c>
      <c r="AK334" t="s">
        <v>3850</v>
      </c>
      <c r="AL334">
        <v>31</v>
      </c>
      <c r="AM334" s="5">
        <f t="shared" si="42"/>
        <v>0.86111111111111116</v>
      </c>
      <c r="AN334" s="4">
        <f t="shared" si="47"/>
        <v>1.3042197820690817E-3</v>
      </c>
      <c r="AO334" s="3"/>
      <c r="AP334">
        <v>0</v>
      </c>
      <c r="AR334" t="s">
        <v>1</v>
      </c>
      <c r="AT334" s="2">
        <v>1.3140000000000001</v>
      </c>
      <c r="AU334" s="1">
        <f t="shared" si="43"/>
        <v>0.73985535137029701</v>
      </c>
      <c r="AV334" s="1">
        <f t="shared" si="44"/>
        <v>0.56573153046647162</v>
      </c>
      <c r="AW334" s="1">
        <f t="shared" si="45"/>
        <v>0.39160770956264623</v>
      </c>
    </row>
    <row r="335" spans="1:49" x14ac:dyDescent="0.2">
      <c r="A335">
        <v>333</v>
      </c>
      <c r="B335" t="s">
        <v>3849</v>
      </c>
      <c r="C335" t="s">
        <v>3848</v>
      </c>
      <c r="F335" t="s">
        <v>3847</v>
      </c>
      <c r="G335" t="s">
        <v>16</v>
      </c>
      <c r="H335" t="s">
        <v>15</v>
      </c>
      <c r="I335" t="s">
        <v>3846</v>
      </c>
      <c r="J335">
        <v>60028442</v>
      </c>
      <c r="K335" t="s">
        <v>3845</v>
      </c>
      <c r="L335" t="s">
        <v>3620</v>
      </c>
      <c r="M335" t="s">
        <v>1706</v>
      </c>
      <c r="N335">
        <v>2</v>
      </c>
      <c r="O335" t="s">
        <v>3844</v>
      </c>
      <c r="P335" t="s">
        <v>3843</v>
      </c>
      <c r="Q335" t="s">
        <v>3842</v>
      </c>
      <c r="R335" s="7">
        <v>31413</v>
      </c>
      <c r="S335" s="8">
        <f t="shared" si="40"/>
        <v>1986</v>
      </c>
      <c r="T335" s="8">
        <v>1986</v>
      </c>
      <c r="U335" s="8">
        <f t="shared" si="41"/>
        <v>36</v>
      </c>
      <c r="V335" s="7">
        <v>1986</v>
      </c>
      <c r="W335" t="s">
        <v>580</v>
      </c>
      <c r="X335" s="2">
        <v>0.375</v>
      </c>
      <c r="Y335" s="6">
        <f t="shared" si="46"/>
        <v>1.0010410827260351E-2</v>
      </c>
      <c r="AA335">
        <v>135194</v>
      </c>
      <c r="AB335">
        <v>24918</v>
      </c>
      <c r="AD335" t="s">
        <v>5</v>
      </c>
      <c r="AE335">
        <v>22</v>
      </c>
      <c r="AF335">
        <v>19</v>
      </c>
      <c r="AH335" t="s">
        <v>3841</v>
      </c>
      <c r="AI335" t="s">
        <v>3840</v>
      </c>
      <c r="AJ335" t="s">
        <v>3839</v>
      </c>
      <c r="AK335" t="s">
        <v>3838</v>
      </c>
      <c r="AL335">
        <v>0</v>
      </c>
      <c r="AM335" s="5">
        <f t="shared" si="42"/>
        <v>0</v>
      </c>
      <c r="AN335" s="4">
        <f t="shared" si="47"/>
        <v>0</v>
      </c>
      <c r="AO335" s="3"/>
      <c r="AP335">
        <v>0</v>
      </c>
      <c r="AR335" t="s">
        <v>1</v>
      </c>
      <c r="AT335" s="2">
        <v>1.3140000000000001</v>
      </c>
      <c r="AU335" s="1">
        <f t="shared" si="43"/>
        <v>0.70072875790822453</v>
      </c>
      <c r="AV335" s="1">
        <f t="shared" si="44"/>
        <v>0.5005205413630176</v>
      </c>
      <c r="AW335" s="1">
        <f t="shared" si="45"/>
        <v>0.30031232481781051</v>
      </c>
    </row>
    <row r="336" spans="1:49" x14ac:dyDescent="0.2">
      <c r="A336">
        <v>334</v>
      </c>
      <c r="B336" t="s">
        <v>3837</v>
      </c>
      <c r="C336" t="s">
        <v>3836</v>
      </c>
      <c r="F336" t="s">
        <v>3835</v>
      </c>
      <c r="G336" t="s">
        <v>16</v>
      </c>
      <c r="H336" t="s">
        <v>15</v>
      </c>
      <c r="I336" t="s">
        <v>3834</v>
      </c>
      <c r="J336">
        <v>118848343</v>
      </c>
      <c r="K336" t="s">
        <v>3833</v>
      </c>
      <c r="L336" t="s">
        <v>3832</v>
      </c>
      <c r="M336" t="s">
        <v>71</v>
      </c>
      <c r="N336">
        <v>2</v>
      </c>
      <c r="O336" t="s">
        <v>3831</v>
      </c>
      <c r="P336" t="s">
        <v>3830</v>
      </c>
      <c r="Q336" t="s">
        <v>3829</v>
      </c>
      <c r="R336" s="7">
        <v>31413</v>
      </c>
      <c r="S336" s="8">
        <f t="shared" si="40"/>
        <v>1986</v>
      </c>
      <c r="T336" s="8">
        <v>1986</v>
      </c>
      <c r="U336" s="8">
        <f t="shared" si="41"/>
        <v>36</v>
      </c>
      <c r="V336" s="7">
        <v>1986</v>
      </c>
      <c r="W336" t="s">
        <v>580</v>
      </c>
      <c r="X336" s="2">
        <v>0.375</v>
      </c>
      <c r="Y336" s="6">
        <f t="shared" si="46"/>
        <v>1.0010410827260351E-2</v>
      </c>
      <c r="AA336">
        <v>135194</v>
      </c>
      <c r="AB336">
        <v>24918</v>
      </c>
      <c r="AD336" t="s">
        <v>5</v>
      </c>
      <c r="AE336">
        <v>22</v>
      </c>
      <c r="AF336">
        <v>20</v>
      </c>
      <c r="AH336" t="s">
        <v>3828</v>
      </c>
      <c r="AI336" t="s">
        <v>3827</v>
      </c>
      <c r="AJ336" t="s">
        <v>3826</v>
      </c>
      <c r="AK336" t="s">
        <v>3825</v>
      </c>
      <c r="AL336">
        <v>0</v>
      </c>
      <c r="AM336" s="5">
        <f t="shared" si="42"/>
        <v>0</v>
      </c>
      <c r="AN336" s="4">
        <f t="shared" si="47"/>
        <v>0</v>
      </c>
      <c r="AO336" s="3"/>
      <c r="AP336">
        <v>0</v>
      </c>
      <c r="AR336" t="s">
        <v>1</v>
      </c>
      <c r="AT336" s="2">
        <v>1.3140000000000001</v>
      </c>
      <c r="AU336" s="1">
        <f t="shared" si="43"/>
        <v>0.70072875790822453</v>
      </c>
      <c r="AV336" s="1">
        <f t="shared" si="44"/>
        <v>0.5005205413630176</v>
      </c>
      <c r="AW336" s="1">
        <f t="shared" si="45"/>
        <v>0.30031232481781051</v>
      </c>
    </row>
    <row r="337" spans="1:49" x14ac:dyDescent="0.2">
      <c r="A337">
        <v>335</v>
      </c>
      <c r="B337" t="s">
        <v>3824</v>
      </c>
      <c r="C337" t="s">
        <v>3823</v>
      </c>
      <c r="F337" t="s">
        <v>3822</v>
      </c>
      <c r="G337" t="s">
        <v>16</v>
      </c>
      <c r="H337" t="s">
        <v>15</v>
      </c>
      <c r="I337" t="s">
        <v>3821</v>
      </c>
      <c r="J337">
        <v>60009658</v>
      </c>
      <c r="K337" t="s">
        <v>2321</v>
      </c>
      <c r="L337" t="s">
        <v>2320</v>
      </c>
      <c r="M337" t="s">
        <v>665</v>
      </c>
      <c r="N337">
        <v>2</v>
      </c>
      <c r="O337" t="s">
        <v>3820</v>
      </c>
      <c r="P337" t="s">
        <v>3819</v>
      </c>
      <c r="Q337" t="s">
        <v>3818</v>
      </c>
      <c r="R337" s="7">
        <v>31413</v>
      </c>
      <c r="S337" s="8">
        <f t="shared" si="40"/>
        <v>1986</v>
      </c>
      <c r="T337" s="8">
        <v>1986</v>
      </c>
      <c r="U337" s="8">
        <f t="shared" si="41"/>
        <v>36</v>
      </c>
      <c r="V337" s="7">
        <v>1986</v>
      </c>
      <c r="W337" t="s">
        <v>580</v>
      </c>
      <c r="X337" s="2">
        <v>0.375</v>
      </c>
      <c r="Y337" s="6">
        <f t="shared" si="46"/>
        <v>1.0010410827260351E-2</v>
      </c>
      <c r="AA337">
        <v>135194</v>
      </c>
      <c r="AB337">
        <v>24918</v>
      </c>
      <c r="AD337" t="s">
        <v>5</v>
      </c>
      <c r="AE337">
        <v>22</v>
      </c>
      <c r="AF337">
        <v>20</v>
      </c>
      <c r="AH337" t="s">
        <v>3817</v>
      </c>
      <c r="AI337" t="s">
        <v>3816</v>
      </c>
      <c r="AJ337" t="s">
        <v>3815</v>
      </c>
      <c r="AK337" t="s">
        <v>3814</v>
      </c>
      <c r="AL337">
        <v>4</v>
      </c>
      <c r="AM337" s="5">
        <f t="shared" si="42"/>
        <v>0.1111111111111111</v>
      </c>
      <c r="AN337" s="4">
        <f t="shared" si="47"/>
        <v>1.682864234927847E-4</v>
      </c>
      <c r="AO337" s="3"/>
      <c r="AP337">
        <v>0</v>
      </c>
      <c r="AR337" t="s">
        <v>1</v>
      </c>
      <c r="AT337" s="2">
        <v>1.3140000000000001</v>
      </c>
      <c r="AU337" s="1">
        <f t="shared" si="43"/>
        <v>0.70577735061300817</v>
      </c>
      <c r="AV337" s="1">
        <f t="shared" si="44"/>
        <v>0.50893486253765674</v>
      </c>
      <c r="AW337" s="1">
        <f t="shared" si="45"/>
        <v>0.31209237446230542</v>
      </c>
    </row>
    <row r="338" spans="1:49" x14ac:dyDescent="0.2">
      <c r="A338">
        <v>336</v>
      </c>
      <c r="B338" t="s">
        <v>3813</v>
      </c>
      <c r="C338" t="s">
        <v>3812</v>
      </c>
      <c r="F338" t="s">
        <v>3811</v>
      </c>
      <c r="G338" t="s">
        <v>16</v>
      </c>
      <c r="H338" t="s">
        <v>15</v>
      </c>
      <c r="I338" t="s">
        <v>3810</v>
      </c>
      <c r="J338">
        <v>60002798</v>
      </c>
      <c r="K338" t="s">
        <v>3809</v>
      </c>
      <c r="L338" t="s">
        <v>3808</v>
      </c>
      <c r="M338" t="s">
        <v>3808</v>
      </c>
      <c r="N338">
        <v>2</v>
      </c>
      <c r="O338" t="s">
        <v>3807</v>
      </c>
      <c r="P338" t="s">
        <v>3806</v>
      </c>
      <c r="Q338" t="s">
        <v>3805</v>
      </c>
      <c r="R338" s="7">
        <v>31413</v>
      </c>
      <c r="S338" s="8">
        <f t="shared" si="40"/>
        <v>1986</v>
      </c>
      <c r="T338" s="8">
        <v>1986</v>
      </c>
      <c r="U338" s="8">
        <f t="shared" si="41"/>
        <v>36</v>
      </c>
      <c r="V338" s="7">
        <v>1986</v>
      </c>
      <c r="W338" t="s">
        <v>580</v>
      </c>
      <c r="X338" s="2">
        <v>0.375</v>
      </c>
      <c r="Y338" s="6">
        <f t="shared" si="46"/>
        <v>1.0010410827260351E-2</v>
      </c>
      <c r="AA338">
        <v>135194</v>
      </c>
      <c r="AB338">
        <v>24918</v>
      </c>
      <c r="AD338" t="s">
        <v>5</v>
      </c>
      <c r="AE338">
        <v>22</v>
      </c>
      <c r="AF338">
        <v>19</v>
      </c>
      <c r="AH338" t="s">
        <v>3804</v>
      </c>
      <c r="AI338" t="s">
        <v>3803</v>
      </c>
      <c r="AJ338" t="s">
        <v>3802</v>
      </c>
      <c r="AK338" t="s">
        <v>3801</v>
      </c>
      <c r="AL338">
        <v>1</v>
      </c>
      <c r="AM338" s="5">
        <f t="shared" si="42"/>
        <v>2.7777777777777776E-2</v>
      </c>
      <c r="AN338" s="4">
        <f t="shared" si="47"/>
        <v>4.2071605873196175E-5</v>
      </c>
      <c r="AO338" s="3"/>
      <c r="AP338">
        <v>0</v>
      </c>
      <c r="AR338" t="s">
        <v>1</v>
      </c>
      <c r="AT338" s="2">
        <v>1.3140000000000001</v>
      </c>
      <c r="AU338" s="1">
        <f t="shared" si="43"/>
        <v>0.70199090608442039</v>
      </c>
      <c r="AV338" s="1">
        <f t="shared" si="44"/>
        <v>0.50262412165667736</v>
      </c>
      <c r="AW338" s="1">
        <f t="shared" si="45"/>
        <v>0.30325733722893422</v>
      </c>
    </row>
    <row r="339" spans="1:49" x14ac:dyDescent="0.2">
      <c r="A339">
        <v>337</v>
      </c>
      <c r="B339" t="s">
        <v>3800</v>
      </c>
      <c r="C339" t="s">
        <v>3799</v>
      </c>
      <c r="F339" t="s">
        <v>3798</v>
      </c>
      <c r="G339" t="s">
        <v>16</v>
      </c>
      <c r="H339" t="s">
        <v>15</v>
      </c>
      <c r="I339" t="s">
        <v>3797</v>
      </c>
      <c r="J339">
        <v>60001881</v>
      </c>
      <c r="K339" t="s">
        <v>1204</v>
      </c>
      <c r="L339" t="s">
        <v>1203</v>
      </c>
      <c r="M339" t="s">
        <v>665</v>
      </c>
      <c r="N339">
        <v>2</v>
      </c>
      <c r="O339" t="s">
        <v>3796</v>
      </c>
      <c r="P339" t="s">
        <v>3795</v>
      </c>
      <c r="Q339" t="s">
        <v>1200</v>
      </c>
      <c r="R339" s="7">
        <v>31413</v>
      </c>
      <c r="S339" s="8">
        <f t="shared" ref="S339:S402" si="48">YEAR(R339)</f>
        <v>1986</v>
      </c>
      <c r="T339" s="8">
        <v>1986</v>
      </c>
      <c r="U339" s="8">
        <f t="shared" ref="U339:U402" si="49">2022-T339</f>
        <v>36</v>
      </c>
      <c r="V339" s="7">
        <v>1986</v>
      </c>
      <c r="W339" t="s">
        <v>580</v>
      </c>
      <c r="X339" s="2">
        <v>0.375</v>
      </c>
      <c r="Y339" s="6">
        <f t="shared" si="46"/>
        <v>1.0010410827260351E-2</v>
      </c>
      <c r="AA339">
        <v>135194</v>
      </c>
      <c r="AB339">
        <v>24918</v>
      </c>
      <c r="AD339" t="s">
        <v>5</v>
      </c>
      <c r="AE339">
        <v>22</v>
      </c>
      <c r="AF339">
        <v>19</v>
      </c>
      <c r="AH339" t="s">
        <v>3794</v>
      </c>
      <c r="AI339" t="s">
        <v>3793</v>
      </c>
      <c r="AJ339" t="s">
        <v>3792</v>
      </c>
      <c r="AK339" t="s">
        <v>3791</v>
      </c>
      <c r="AL339">
        <v>2</v>
      </c>
      <c r="AM339" s="5">
        <f t="shared" ref="AM339:AM402" si="50">AL339/U339</f>
        <v>5.5555555555555552E-2</v>
      </c>
      <c r="AN339" s="4">
        <f t="shared" si="47"/>
        <v>8.4143211746392349E-5</v>
      </c>
      <c r="AO339" s="3"/>
      <c r="AP339">
        <v>0</v>
      </c>
      <c r="AR339" t="s">
        <v>1</v>
      </c>
      <c r="AT339" s="2">
        <v>1.3140000000000001</v>
      </c>
      <c r="AU339" s="1">
        <f t="shared" ref="AU339:AU402" si="51">(Y339*0.7+AN339*0.3)*100</f>
        <v>0.70325305426061635</v>
      </c>
      <c r="AV339" s="1">
        <f t="shared" ref="AV339:AV402" si="52">(Y339*0.5+AN339*0.5)*100</f>
        <v>0.50472770195033723</v>
      </c>
      <c r="AW339" s="1">
        <f t="shared" ref="AW339:AW402" si="53">(Y339*0.3+AN339*0.7)*100</f>
        <v>0.30620234964005794</v>
      </c>
    </row>
    <row r="340" spans="1:49" x14ac:dyDescent="0.2">
      <c r="A340">
        <v>338</v>
      </c>
      <c r="B340" t="s">
        <v>3790</v>
      </c>
      <c r="C340" t="s">
        <v>3789</v>
      </c>
      <c r="F340" t="s">
        <v>3788</v>
      </c>
      <c r="G340" t="s">
        <v>16</v>
      </c>
      <c r="H340" t="s">
        <v>15</v>
      </c>
      <c r="I340" t="s">
        <v>3787</v>
      </c>
      <c r="J340">
        <v>60025141</v>
      </c>
      <c r="K340" t="s">
        <v>3786</v>
      </c>
      <c r="L340" t="s">
        <v>886</v>
      </c>
      <c r="M340" t="s">
        <v>71</v>
      </c>
      <c r="N340">
        <v>3</v>
      </c>
      <c r="O340" t="s">
        <v>3785</v>
      </c>
      <c r="P340" t="s">
        <v>3784</v>
      </c>
      <c r="Q340" t="s">
        <v>3783</v>
      </c>
      <c r="R340" s="7">
        <v>31413</v>
      </c>
      <c r="S340" s="8">
        <f t="shared" si="48"/>
        <v>1986</v>
      </c>
      <c r="T340" s="8">
        <v>1986</v>
      </c>
      <c r="U340" s="8">
        <f t="shared" si="49"/>
        <v>36</v>
      </c>
      <c r="V340" s="7" t="s">
        <v>3782</v>
      </c>
      <c r="W340" t="s">
        <v>3093</v>
      </c>
      <c r="X340" s="2">
        <v>0.82</v>
      </c>
      <c r="Y340" s="6">
        <f t="shared" si="46"/>
        <v>2.1889431675609299E-2</v>
      </c>
      <c r="AA340">
        <v>189456</v>
      </c>
      <c r="AB340">
        <v>15361</v>
      </c>
      <c r="AD340" t="s">
        <v>5</v>
      </c>
      <c r="AE340" t="s">
        <v>3092</v>
      </c>
      <c r="AF340">
        <v>3</v>
      </c>
      <c r="AH340" t="s">
        <v>3781</v>
      </c>
      <c r="AI340" t="s">
        <v>3780</v>
      </c>
      <c r="AK340" t="s">
        <v>3779</v>
      </c>
      <c r="AL340">
        <v>0</v>
      </c>
      <c r="AM340" s="5">
        <f t="shared" si="50"/>
        <v>0</v>
      </c>
      <c r="AN340" s="4">
        <f t="shared" si="47"/>
        <v>0</v>
      </c>
      <c r="AO340" s="3"/>
      <c r="AP340">
        <v>0</v>
      </c>
      <c r="AR340" t="s">
        <v>1</v>
      </c>
      <c r="AT340" s="2" t="s">
        <v>0</v>
      </c>
      <c r="AU340" s="1">
        <f t="shared" si="51"/>
        <v>1.5322602172926507</v>
      </c>
      <c r="AV340" s="1">
        <f t="shared" si="52"/>
        <v>1.0944715837804648</v>
      </c>
      <c r="AW340" s="1">
        <f t="shared" si="53"/>
        <v>0.65668295026827894</v>
      </c>
    </row>
    <row r="341" spans="1:49" x14ac:dyDescent="0.2">
      <c r="A341">
        <v>339</v>
      </c>
      <c r="B341" t="s">
        <v>3778</v>
      </c>
      <c r="C341" t="s">
        <v>3777</v>
      </c>
      <c r="F341" t="s">
        <v>3776</v>
      </c>
      <c r="G341" t="s">
        <v>16</v>
      </c>
      <c r="H341" t="s">
        <v>15</v>
      </c>
      <c r="I341" t="s">
        <v>3775</v>
      </c>
      <c r="N341">
        <v>3</v>
      </c>
      <c r="O341" t="s">
        <v>3774</v>
      </c>
      <c r="P341" t="s">
        <v>3773</v>
      </c>
      <c r="Q341" t="s">
        <v>295</v>
      </c>
      <c r="R341" s="7">
        <v>31413</v>
      </c>
      <c r="S341" s="8">
        <f t="shared" si="48"/>
        <v>1986</v>
      </c>
      <c r="T341" s="8">
        <v>1986</v>
      </c>
      <c r="U341" s="8">
        <f t="shared" si="49"/>
        <v>36</v>
      </c>
      <c r="V341" s="7">
        <v>1986</v>
      </c>
      <c r="W341" t="s">
        <v>3772</v>
      </c>
      <c r="X341" s="2" t="s">
        <v>0</v>
      </c>
      <c r="Y341" s="6" t="e">
        <f t="shared" si="46"/>
        <v>#VALUE!</v>
      </c>
      <c r="AA341">
        <v>3875024</v>
      </c>
      <c r="AB341">
        <v>110132</v>
      </c>
      <c r="AD341" t="s">
        <v>5</v>
      </c>
      <c r="AE341">
        <v>52</v>
      </c>
      <c r="AF341">
        <v>481</v>
      </c>
      <c r="AH341" t="s">
        <v>3771</v>
      </c>
      <c r="AI341" t="s">
        <v>3770</v>
      </c>
      <c r="AJ341" t="s">
        <v>3769</v>
      </c>
      <c r="AK341" t="s">
        <v>3768</v>
      </c>
      <c r="AL341">
        <v>0</v>
      </c>
      <c r="AM341" s="5">
        <f t="shared" si="50"/>
        <v>0</v>
      </c>
      <c r="AN341" s="4">
        <f t="shared" si="47"/>
        <v>0</v>
      </c>
      <c r="AO341" s="3"/>
      <c r="AP341">
        <v>1</v>
      </c>
      <c r="AR341" t="s">
        <v>1</v>
      </c>
      <c r="AT341" s="2" t="s">
        <v>0</v>
      </c>
      <c r="AU341" s="1" t="e">
        <f t="shared" si="51"/>
        <v>#VALUE!</v>
      </c>
      <c r="AV341" s="1" t="e">
        <f t="shared" si="52"/>
        <v>#VALUE!</v>
      </c>
      <c r="AW341" s="1" t="e">
        <f t="shared" si="53"/>
        <v>#VALUE!</v>
      </c>
    </row>
    <row r="342" spans="1:49" x14ac:dyDescent="0.2">
      <c r="A342">
        <v>340</v>
      </c>
      <c r="B342" t="s">
        <v>3767</v>
      </c>
      <c r="C342" t="s">
        <v>3766</v>
      </c>
      <c r="F342" t="s">
        <v>3765</v>
      </c>
      <c r="G342" t="s">
        <v>16</v>
      </c>
      <c r="H342" t="s">
        <v>15</v>
      </c>
      <c r="I342" t="s">
        <v>3764</v>
      </c>
      <c r="J342">
        <v>60029470</v>
      </c>
      <c r="K342" t="s">
        <v>3063</v>
      </c>
      <c r="L342" t="s">
        <v>3062</v>
      </c>
      <c r="M342" t="s">
        <v>1409</v>
      </c>
      <c r="N342">
        <v>1</v>
      </c>
      <c r="O342" t="s">
        <v>3763</v>
      </c>
      <c r="P342">
        <v>7003443054</v>
      </c>
      <c r="Q342">
        <v>60029470</v>
      </c>
      <c r="R342" s="7">
        <v>31413</v>
      </c>
      <c r="S342" s="8">
        <f t="shared" si="48"/>
        <v>1986</v>
      </c>
      <c r="T342" s="8">
        <v>1986</v>
      </c>
      <c r="U342" s="8">
        <f t="shared" si="49"/>
        <v>36</v>
      </c>
      <c r="V342" s="7">
        <v>1986</v>
      </c>
      <c r="W342" t="s">
        <v>580</v>
      </c>
      <c r="X342" s="2">
        <v>0.375</v>
      </c>
      <c r="Y342" s="6">
        <f t="shared" si="46"/>
        <v>1.0010410827260351E-2</v>
      </c>
      <c r="AA342">
        <v>135194</v>
      </c>
      <c r="AB342">
        <v>24918</v>
      </c>
      <c r="AD342" t="s">
        <v>5</v>
      </c>
      <c r="AE342">
        <v>22</v>
      </c>
      <c r="AF342">
        <v>20</v>
      </c>
      <c r="AH342" t="s">
        <v>3762</v>
      </c>
      <c r="AI342" t="s">
        <v>3761</v>
      </c>
      <c r="AJ342" t="s">
        <v>3760</v>
      </c>
      <c r="AK342" t="s">
        <v>3759</v>
      </c>
      <c r="AL342">
        <v>20</v>
      </c>
      <c r="AM342" s="5">
        <f t="shared" si="50"/>
        <v>0.55555555555555558</v>
      </c>
      <c r="AN342" s="4">
        <f t="shared" si="47"/>
        <v>8.414321174639236E-4</v>
      </c>
      <c r="AO342" s="3"/>
      <c r="AP342">
        <v>0</v>
      </c>
      <c r="AR342" t="s">
        <v>1</v>
      </c>
      <c r="AT342" s="2">
        <v>1.3140000000000001</v>
      </c>
      <c r="AU342" s="1">
        <f t="shared" si="51"/>
        <v>0.72597172143214228</v>
      </c>
      <c r="AV342" s="1">
        <f t="shared" si="52"/>
        <v>0.54259214723621374</v>
      </c>
      <c r="AW342" s="1">
        <f t="shared" si="53"/>
        <v>0.3592125730402852</v>
      </c>
    </row>
    <row r="343" spans="1:49" x14ac:dyDescent="0.2">
      <c r="A343">
        <v>341</v>
      </c>
      <c r="B343" t="s">
        <v>3758</v>
      </c>
      <c r="C343" t="s">
        <v>3757</v>
      </c>
      <c r="F343" t="s">
        <v>3756</v>
      </c>
      <c r="G343" t="s">
        <v>16</v>
      </c>
      <c r="H343" t="s">
        <v>15</v>
      </c>
      <c r="I343" t="s">
        <v>3755</v>
      </c>
      <c r="J343">
        <v>100328845</v>
      </c>
      <c r="K343" t="s">
        <v>3754</v>
      </c>
      <c r="L343" t="s">
        <v>968</v>
      </c>
      <c r="M343" t="s">
        <v>71</v>
      </c>
      <c r="N343">
        <v>3</v>
      </c>
      <c r="O343" t="s">
        <v>3753</v>
      </c>
      <c r="P343" t="s">
        <v>3752</v>
      </c>
      <c r="Q343" t="s">
        <v>3751</v>
      </c>
      <c r="R343" s="7">
        <v>31413</v>
      </c>
      <c r="S343" s="8">
        <f t="shared" si="48"/>
        <v>1986</v>
      </c>
      <c r="T343" s="8">
        <v>1986</v>
      </c>
      <c r="U343" s="8">
        <f t="shared" si="49"/>
        <v>36</v>
      </c>
      <c r="V343" s="7" t="s">
        <v>3564</v>
      </c>
      <c r="W343" t="s">
        <v>1288</v>
      </c>
      <c r="X343" s="2">
        <v>0.65500000000000003</v>
      </c>
      <c r="Y343" s="6">
        <f t="shared" si="46"/>
        <v>1.7484850911614749E-2</v>
      </c>
      <c r="AA343">
        <v>189375</v>
      </c>
      <c r="AB343">
        <v>26051</v>
      </c>
      <c r="AD343" t="s">
        <v>5</v>
      </c>
      <c r="AE343" t="s">
        <v>1287</v>
      </c>
      <c r="AF343">
        <v>3</v>
      </c>
      <c r="AH343" t="s">
        <v>3750</v>
      </c>
      <c r="AI343" t="s">
        <v>3749</v>
      </c>
      <c r="AK343" t="s">
        <v>3748</v>
      </c>
      <c r="AL343">
        <v>7</v>
      </c>
      <c r="AM343" s="5">
        <f t="shared" si="50"/>
        <v>0.19444444444444445</v>
      </c>
      <c r="AN343" s="4">
        <f t="shared" si="47"/>
        <v>2.9450124111237325E-4</v>
      </c>
      <c r="AO343" s="3"/>
      <c r="AP343">
        <v>0</v>
      </c>
      <c r="AR343" t="s">
        <v>1</v>
      </c>
      <c r="AT343" s="2" t="s">
        <v>0</v>
      </c>
      <c r="AU343" s="1">
        <f t="shared" si="51"/>
        <v>1.2327746010464036</v>
      </c>
      <c r="AV343" s="1">
        <f t="shared" si="52"/>
        <v>0.88896760763635607</v>
      </c>
      <c r="AW343" s="1">
        <f t="shared" si="53"/>
        <v>0.54516061422630857</v>
      </c>
    </row>
    <row r="344" spans="1:49" x14ac:dyDescent="0.2">
      <c r="A344">
        <v>342</v>
      </c>
      <c r="B344" t="s">
        <v>3747</v>
      </c>
      <c r="C344" t="s">
        <v>3746</v>
      </c>
      <c r="F344" t="s">
        <v>3745</v>
      </c>
      <c r="G344" t="s">
        <v>16</v>
      </c>
      <c r="H344" t="s">
        <v>15</v>
      </c>
      <c r="I344" t="s">
        <v>3744</v>
      </c>
      <c r="J344">
        <v>60009037</v>
      </c>
      <c r="K344" t="s">
        <v>1642</v>
      </c>
      <c r="L344" t="s">
        <v>1641</v>
      </c>
      <c r="M344" t="s">
        <v>114</v>
      </c>
      <c r="N344">
        <v>1</v>
      </c>
      <c r="O344" t="s">
        <v>3743</v>
      </c>
      <c r="P344">
        <v>57193752819</v>
      </c>
      <c r="Q344">
        <v>60009037</v>
      </c>
      <c r="R344" s="7">
        <v>31413</v>
      </c>
      <c r="S344" s="8">
        <f t="shared" si="48"/>
        <v>1986</v>
      </c>
      <c r="T344" s="8">
        <v>1986</v>
      </c>
      <c r="U344" s="8">
        <f t="shared" si="49"/>
        <v>36</v>
      </c>
      <c r="V344" s="7">
        <v>31625</v>
      </c>
      <c r="W344" t="s">
        <v>153</v>
      </c>
      <c r="X344" s="2">
        <v>1.6519999999999999</v>
      </c>
      <c r="Y344" s="6">
        <f t="shared" si="46"/>
        <v>4.409919649769093E-2</v>
      </c>
      <c r="AA344" t="s">
        <v>152</v>
      </c>
      <c r="AB344">
        <v>17337</v>
      </c>
      <c r="AC344">
        <v>15582221</v>
      </c>
      <c r="AD344" t="s">
        <v>5</v>
      </c>
      <c r="AE344">
        <v>34</v>
      </c>
      <c r="AF344">
        <v>8</v>
      </c>
      <c r="AH344" t="s">
        <v>3742</v>
      </c>
      <c r="AI344" t="s">
        <v>3741</v>
      </c>
      <c r="AK344" t="s">
        <v>3740</v>
      </c>
      <c r="AL344">
        <v>3</v>
      </c>
      <c r="AM344" s="5">
        <f t="shared" si="50"/>
        <v>8.3333333333333329E-2</v>
      </c>
      <c r="AN344" s="4">
        <f t="shared" si="47"/>
        <v>1.2621481761958852E-4</v>
      </c>
      <c r="AO344" s="3"/>
      <c r="AP344">
        <v>0</v>
      </c>
      <c r="AR344" t="s">
        <v>1</v>
      </c>
      <c r="AT344" s="2" t="s">
        <v>0</v>
      </c>
      <c r="AU344" s="1">
        <f t="shared" si="51"/>
        <v>3.0907301993669525</v>
      </c>
      <c r="AV344" s="1">
        <f t="shared" si="52"/>
        <v>2.2112705657655258</v>
      </c>
      <c r="AW344" s="1">
        <f t="shared" si="53"/>
        <v>1.331810932164099</v>
      </c>
    </row>
    <row r="345" spans="1:49" x14ac:dyDescent="0.2">
      <c r="A345">
        <v>343</v>
      </c>
      <c r="B345" t="s">
        <v>3739</v>
      </c>
      <c r="C345" t="s">
        <v>3738</v>
      </c>
      <c r="F345" t="s">
        <v>3737</v>
      </c>
      <c r="G345" t="s">
        <v>16</v>
      </c>
      <c r="H345" t="s">
        <v>15</v>
      </c>
      <c r="I345" t="s">
        <v>3736</v>
      </c>
      <c r="J345">
        <v>115596775</v>
      </c>
      <c r="K345" t="s">
        <v>3735</v>
      </c>
      <c r="M345" t="s">
        <v>114</v>
      </c>
      <c r="N345">
        <v>1</v>
      </c>
      <c r="O345" t="s">
        <v>1919</v>
      </c>
      <c r="P345">
        <v>6602465952</v>
      </c>
      <c r="Q345">
        <v>115596775</v>
      </c>
      <c r="R345" s="7">
        <v>31413</v>
      </c>
      <c r="S345" s="8">
        <f t="shared" si="48"/>
        <v>1986</v>
      </c>
      <c r="T345" s="8">
        <v>1986</v>
      </c>
      <c r="U345" s="8">
        <f t="shared" si="49"/>
        <v>36</v>
      </c>
      <c r="V345" s="7">
        <v>31625</v>
      </c>
      <c r="W345" t="s">
        <v>153</v>
      </c>
      <c r="X345" s="2">
        <v>1.6519999999999999</v>
      </c>
      <c r="Y345" s="6">
        <f t="shared" si="46"/>
        <v>4.409919649769093E-2</v>
      </c>
      <c r="AA345" t="s">
        <v>152</v>
      </c>
      <c r="AB345">
        <v>17337</v>
      </c>
      <c r="AC345">
        <v>15582221</v>
      </c>
      <c r="AD345" t="s">
        <v>5</v>
      </c>
      <c r="AE345">
        <v>34</v>
      </c>
      <c r="AF345">
        <v>8</v>
      </c>
      <c r="AH345" t="s">
        <v>3734</v>
      </c>
      <c r="AI345" t="s">
        <v>3733</v>
      </c>
      <c r="AK345" t="s">
        <v>3732</v>
      </c>
      <c r="AL345">
        <v>172</v>
      </c>
      <c r="AM345" s="5">
        <f t="shared" si="50"/>
        <v>4.7777777777777777</v>
      </c>
      <c r="AN345" s="4">
        <f t="shared" si="47"/>
        <v>7.2363162101897428E-3</v>
      </c>
      <c r="AO345" s="3"/>
      <c r="AP345">
        <v>0</v>
      </c>
      <c r="AR345" t="s">
        <v>1</v>
      </c>
      <c r="AT345" s="2" t="s">
        <v>0</v>
      </c>
      <c r="AU345" s="1">
        <f t="shared" si="51"/>
        <v>3.3040332411440576</v>
      </c>
      <c r="AV345" s="1">
        <f t="shared" si="52"/>
        <v>2.5667756353940336</v>
      </c>
      <c r="AW345" s="1">
        <f t="shared" si="53"/>
        <v>1.8295180296440097</v>
      </c>
    </row>
    <row r="346" spans="1:49" x14ac:dyDescent="0.2">
      <c r="A346">
        <v>344</v>
      </c>
      <c r="B346" t="s">
        <v>3731</v>
      </c>
      <c r="C346" t="s">
        <v>3730</v>
      </c>
      <c r="F346" t="s">
        <v>3729</v>
      </c>
      <c r="G346" t="s">
        <v>16</v>
      </c>
      <c r="H346" t="s">
        <v>15</v>
      </c>
      <c r="I346" t="s">
        <v>3728</v>
      </c>
      <c r="J346" t="s">
        <v>3727</v>
      </c>
      <c r="K346" t="s">
        <v>3726</v>
      </c>
      <c r="L346" t="s">
        <v>3725</v>
      </c>
      <c r="M346" t="s">
        <v>157</v>
      </c>
      <c r="N346">
        <v>3</v>
      </c>
      <c r="O346" t="s">
        <v>3724</v>
      </c>
      <c r="P346" t="s">
        <v>3723</v>
      </c>
      <c r="Q346" t="s">
        <v>3722</v>
      </c>
      <c r="R346" s="7">
        <v>31413</v>
      </c>
      <c r="S346" s="8">
        <f t="shared" si="48"/>
        <v>1986</v>
      </c>
      <c r="T346" s="8">
        <v>1986</v>
      </c>
      <c r="U346" s="8">
        <f t="shared" si="49"/>
        <v>36</v>
      </c>
      <c r="V346" s="7">
        <v>31625</v>
      </c>
      <c r="W346" t="s">
        <v>153</v>
      </c>
      <c r="X346" s="2">
        <v>1.6519999999999999</v>
      </c>
      <c r="Y346" s="6">
        <f t="shared" si="46"/>
        <v>4.409919649769093E-2</v>
      </c>
      <c r="AA346" t="s">
        <v>152</v>
      </c>
      <c r="AB346">
        <v>17337</v>
      </c>
      <c r="AC346">
        <v>15582221</v>
      </c>
      <c r="AD346" t="s">
        <v>5</v>
      </c>
      <c r="AE346">
        <v>34</v>
      </c>
      <c r="AF346">
        <v>8</v>
      </c>
      <c r="AH346" t="s">
        <v>3721</v>
      </c>
      <c r="AI346" t="s">
        <v>3720</v>
      </c>
      <c r="AK346" t="s">
        <v>3719</v>
      </c>
      <c r="AL346">
        <v>18</v>
      </c>
      <c r="AM346" s="5">
        <f t="shared" si="50"/>
        <v>0.5</v>
      </c>
      <c r="AN346" s="4">
        <f t="shared" si="47"/>
        <v>7.572889057175312E-4</v>
      </c>
      <c r="AO346" s="3"/>
      <c r="AP346">
        <v>0</v>
      </c>
      <c r="AR346" t="s">
        <v>1</v>
      </c>
      <c r="AT346" s="2" t="s">
        <v>0</v>
      </c>
      <c r="AU346" s="1">
        <f t="shared" si="51"/>
        <v>3.1096624220098912</v>
      </c>
      <c r="AV346" s="1">
        <f t="shared" si="52"/>
        <v>2.2428242701704231</v>
      </c>
      <c r="AW346" s="1">
        <f t="shared" si="53"/>
        <v>1.375986118330955</v>
      </c>
    </row>
    <row r="347" spans="1:49" x14ac:dyDescent="0.2">
      <c r="A347">
        <v>345</v>
      </c>
      <c r="B347" t="s">
        <v>3718</v>
      </c>
      <c r="C347" t="s">
        <v>3717</v>
      </c>
      <c r="F347" t="s">
        <v>3716</v>
      </c>
      <c r="G347" t="s">
        <v>16</v>
      </c>
      <c r="H347" t="s">
        <v>15</v>
      </c>
      <c r="I347" t="s">
        <v>3715</v>
      </c>
      <c r="J347" t="s">
        <v>3714</v>
      </c>
      <c r="K347" t="s">
        <v>3713</v>
      </c>
      <c r="L347" t="s">
        <v>3712</v>
      </c>
      <c r="M347" t="s">
        <v>3711</v>
      </c>
      <c r="N347">
        <v>4</v>
      </c>
      <c r="O347" t="s">
        <v>3710</v>
      </c>
      <c r="P347" t="s">
        <v>3709</v>
      </c>
      <c r="Q347" t="s">
        <v>3708</v>
      </c>
      <c r="R347" s="7">
        <v>31413</v>
      </c>
      <c r="S347" s="8">
        <f t="shared" si="48"/>
        <v>1986</v>
      </c>
      <c r="T347" s="8">
        <v>1986</v>
      </c>
      <c r="U347" s="8">
        <f t="shared" si="49"/>
        <v>36</v>
      </c>
      <c r="V347" s="7">
        <v>1986</v>
      </c>
      <c r="W347" t="s">
        <v>580</v>
      </c>
      <c r="X347" s="2">
        <v>0.375</v>
      </c>
      <c r="Y347" s="6">
        <f t="shared" si="46"/>
        <v>1.0010410827260351E-2</v>
      </c>
      <c r="AA347">
        <v>135194</v>
      </c>
      <c r="AB347">
        <v>24918</v>
      </c>
      <c r="AD347" t="s">
        <v>5</v>
      </c>
      <c r="AE347">
        <v>22</v>
      </c>
      <c r="AF347">
        <v>17</v>
      </c>
      <c r="AH347" t="s">
        <v>3707</v>
      </c>
      <c r="AI347" t="s">
        <v>3706</v>
      </c>
      <c r="AJ347" t="s">
        <v>3705</v>
      </c>
      <c r="AK347" t="s">
        <v>3704</v>
      </c>
      <c r="AL347">
        <v>2</v>
      </c>
      <c r="AM347" s="5">
        <f t="shared" si="50"/>
        <v>5.5555555555555552E-2</v>
      </c>
      <c r="AN347" s="4">
        <f t="shared" si="47"/>
        <v>8.4143211746392349E-5</v>
      </c>
      <c r="AO347" s="3"/>
      <c r="AP347">
        <v>0</v>
      </c>
      <c r="AR347" t="s">
        <v>1</v>
      </c>
      <c r="AT347" s="2">
        <v>1.3140000000000001</v>
      </c>
      <c r="AU347" s="1">
        <f t="shared" si="51"/>
        <v>0.70325305426061635</v>
      </c>
      <c r="AV347" s="1">
        <f t="shared" si="52"/>
        <v>0.50472770195033723</v>
      </c>
      <c r="AW347" s="1">
        <f t="shared" si="53"/>
        <v>0.30620234964005794</v>
      </c>
    </row>
    <row r="348" spans="1:49" x14ac:dyDescent="0.2">
      <c r="A348">
        <v>346</v>
      </c>
      <c r="B348" t="s">
        <v>3703</v>
      </c>
      <c r="C348" t="s">
        <v>3702</v>
      </c>
      <c r="F348" t="s">
        <v>3701</v>
      </c>
      <c r="G348" t="s">
        <v>16</v>
      </c>
      <c r="H348" t="s">
        <v>15</v>
      </c>
      <c r="I348" t="s">
        <v>3043</v>
      </c>
      <c r="J348">
        <v>60021097</v>
      </c>
      <c r="K348" t="s">
        <v>3042</v>
      </c>
      <c r="L348" t="s">
        <v>3041</v>
      </c>
      <c r="M348" t="s">
        <v>665</v>
      </c>
      <c r="N348">
        <v>1</v>
      </c>
      <c r="O348" t="s">
        <v>3700</v>
      </c>
      <c r="P348">
        <v>7004675477</v>
      </c>
      <c r="Q348">
        <v>60021097</v>
      </c>
      <c r="R348" s="7">
        <v>31413</v>
      </c>
      <c r="S348" s="8">
        <f t="shared" si="48"/>
        <v>1986</v>
      </c>
      <c r="T348" s="8">
        <v>1986</v>
      </c>
      <c r="U348" s="8">
        <f t="shared" si="49"/>
        <v>36</v>
      </c>
      <c r="V348" s="7" t="s">
        <v>3564</v>
      </c>
      <c r="W348" s="11" t="s">
        <v>1017</v>
      </c>
      <c r="X348" s="2">
        <v>2.383</v>
      </c>
      <c r="Y348" s="6">
        <f t="shared" si="46"/>
        <v>6.3612824003630442E-2</v>
      </c>
      <c r="AA348" t="s">
        <v>1016</v>
      </c>
      <c r="AB348">
        <v>101151</v>
      </c>
      <c r="AD348" t="s">
        <v>5</v>
      </c>
      <c r="AE348">
        <v>133</v>
      </c>
      <c r="AF348">
        <v>4</v>
      </c>
      <c r="AH348" t="s">
        <v>3699</v>
      </c>
      <c r="AI348" t="s">
        <v>3698</v>
      </c>
      <c r="AK348" t="s">
        <v>3697</v>
      </c>
      <c r="AL348">
        <v>0</v>
      </c>
      <c r="AM348" s="5">
        <f t="shared" si="50"/>
        <v>0</v>
      </c>
      <c r="AN348" s="4">
        <f t="shared" si="47"/>
        <v>0</v>
      </c>
      <c r="AO348" s="3"/>
      <c r="AP348">
        <v>0</v>
      </c>
      <c r="AR348" t="s">
        <v>1</v>
      </c>
      <c r="AT348" s="2" t="s">
        <v>0</v>
      </c>
      <c r="AU348" s="1">
        <f t="shared" si="51"/>
        <v>4.4528976802541305</v>
      </c>
      <c r="AV348" s="1">
        <f t="shared" si="52"/>
        <v>3.1806412001815221</v>
      </c>
      <c r="AW348" s="1">
        <f t="shared" si="53"/>
        <v>1.9083847201089132</v>
      </c>
    </row>
    <row r="349" spans="1:49" x14ac:dyDescent="0.2">
      <c r="A349">
        <v>347</v>
      </c>
      <c r="B349" t="s">
        <v>3696</v>
      </c>
      <c r="C349" t="s">
        <v>3695</v>
      </c>
      <c r="F349" t="s">
        <v>3694</v>
      </c>
      <c r="G349" t="s">
        <v>16</v>
      </c>
      <c r="H349" t="s">
        <v>15</v>
      </c>
      <c r="I349" t="s">
        <v>3693</v>
      </c>
      <c r="J349">
        <v>60038812</v>
      </c>
      <c r="K349" t="s">
        <v>2586</v>
      </c>
      <c r="L349" t="s">
        <v>2585</v>
      </c>
      <c r="M349" t="s">
        <v>955</v>
      </c>
      <c r="N349">
        <v>1</v>
      </c>
      <c r="O349" t="s">
        <v>3692</v>
      </c>
      <c r="P349">
        <v>7103398199</v>
      </c>
      <c r="Q349">
        <v>60038812</v>
      </c>
      <c r="R349" s="7">
        <v>31413</v>
      </c>
      <c r="S349" s="8">
        <f t="shared" si="48"/>
        <v>1986</v>
      </c>
      <c r="T349" s="8">
        <v>1986</v>
      </c>
      <c r="U349" s="8">
        <f t="shared" si="49"/>
        <v>36</v>
      </c>
      <c r="V349" s="7" t="s">
        <v>3564</v>
      </c>
      <c r="W349" t="s">
        <v>1288</v>
      </c>
      <c r="X349" s="2">
        <v>0.65500000000000003</v>
      </c>
      <c r="Y349" s="6">
        <f t="shared" si="46"/>
        <v>1.7484850911614749E-2</v>
      </c>
      <c r="AA349">
        <v>189375</v>
      </c>
      <c r="AB349">
        <v>26051</v>
      </c>
      <c r="AD349" t="s">
        <v>5</v>
      </c>
      <c r="AE349" t="s">
        <v>1287</v>
      </c>
      <c r="AF349">
        <v>3</v>
      </c>
      <c r="AH349" t="s">
        <v>3691</v>
      </c>
      <c r="AI349" t="s">
        <v>3690</v>
      </c>
      <c r="AK349" t="s">
        <v>3689</v>
      </c>
      <c r="AL349">
        <v>2</v>
      </c>
      <c r="AM349" s="5">
        <f t="shared" si="50"/>
        <v>5.5555555555555552E-2</v>
      </c>
      <c r="AN349" s="4">
        <f t="shared" si="47"/>
        <v>8.4143211746392349E-5</v>
      </c>
      <c r="AO349" s="3"/>
      <c r="AP349">
        <v>0</v>
      </c>
      <c r="AR349" t="s">
        <v>1</v>
      </c>
      <c r="AT349" s="2" t="s">
        <v>0</v>
      </c>
      <c r="AU349" s="1">
        <f t="shared" si="51"/>
        <v>1.2264638601654241</v>
      </c>
      <c r="AV349" s="1">
        <f t="shared" si="52"/>
        <v>0.87844970616805707</v>
      </c>
      <c r="AW349" s="1">
        <f t="shared" si="53"/>
        <v>0.53043555217068994</v>
      </c>
    </row>
    <row r="350" spans="1:49" x14ac:dyDescent="0.2">
      <c r="A350">
        <v>348</v>
      </c>
      <c r="B350" t="s">
        <v>3688</v>
      </c>
      <c r="C350" t="s">
        <v>3687</v>
      </c>
      <c r="F350" t="s">
        <v>3686</v>
      </c>
      <c r="G350" t="s">
        <v>16</v>
      </c>
      <c r="H350" t="s">
        <v>15</v>
      </c>
      <c r="I350" t="s">
        <v>3064</v>
      </c>
      <c r="J350">
        <v>60029470</v>
      </c>
      <c r="K350" t="s">
        <v>3063</v>
      </c>
      <c r="L350" t="s">
        <v>3062</v>
      </c>
      <c r="M350" t="s">
        <v>1409</v>
      </c>
      <c r="N350">
        <v>3</v>
      </c>
      <c r="O350" t="s">
        <v>3685</v>
      </c>
      <c r="P350" t="s">
        <v>3684</v>
      </c>
      <c r="Q350" t="s">
        <v>3202</v>
      </c>
      <c r="R350" s="7">
        <v>31413</v>
      </c>
      <c r="S350" s="8">
        <f t="shared" si="48"/>
        <v>1986</v>
      </c>
      <c r="T350" s="8">
        <v>1986</v>
      </c>
      <c r="U350" s="8">
        <f t="shared" si="49"/>
        <v>36</v>
      </c>
      <c r="V350" s="7">
        <v>31625</v>
      </c>
      <c r="W350" t="s">
        <v>153</v>
      </c>
      <c r="X350" s="2">
        <v>1.6519999999999999</v>
      </c>
      <c r="Y350" s="6">
        <f t="shared" si="46"/>
        <v>4.409919649769093E-2</v>
      </c>
      <c r="AA350" t="s">
        <v>152</v>
      </c>
      <c r="AB350">
        <v>17337</v>
      </c>
      <c r="AC350">
        <v>15582221</v>
      </c>
      <c r="AD350" t="s">
        <v>5</v>
      </c>
      <c r="AE350">
        <v>34</v>
      </c>
      <c r="AF350">
        <v>8</v>
      </c>
      <c r="AH350" t="s">
        <v>3683</v>
      </c>
      <c r="AI350" t="s">
        <v>3682</v>
      </c>
      <c r="AK350" t="s">
        <v>3681</v>
      </c>
      <c r="AL350">
        <v>25</v>
      </c>
      <c r="AM350" s="5">
        <f t="shared" si="50"/>
        <v>0.69444444444444442</v>
      </c>
      <c r="AN350" s="4">
        <f t="shared" si="47"/>
        <v>1.0517901468299045E-3</v>
      </c>
      <c r="AO350" s="3"/>
      <c r="AP350">
        <v>0</v>
      </c>
      <c r="AR350" t="s">
        <v>1</v>
      </c>
      <c r="AT350" s="2" t="s">
        <v>0</v>
      </c>
      <c r="AU350" s="1">
        <f t="shared" si="51"/>
        <v>3.1184974592432622</v>
      </c>
      <c r="AV350" s="1">
        <f t="shared" si="52"/>
        <v>2.2575493322260418</v>
      </c>
      <c r="AW350" s="1">
        <f t="shared" si="53"/>
        <v>1.3966012052088213</v>
      </c>
    </row>
    <row r="351" spans="1:49" x14ac:dyDescent="0.2">
      <c r="A351">
        <v>349</v>
      </c>
      <c r="B351" t="s">
        <v>3680</v>
      </c>
      <c r="C351" t="s">
        <v>3679</v>
      </c>
      <c r="F351" t="s">
        <v>3678</v>
      </c>
      <c r="G351" t="s">
        <v>16</v>
      </c>
      <c r="H351" t="s">
        <v>15</v>
      </c>
      <c r="I351" t="s">
        <v>3677</v>
      </c>
      <c r="J351">
        <v>60011373</v>
      </c>
      <c r="K351" t="s">
        <v>3676</v>
      </c>
      <c r="L351" t="s">
        <v>3675</v>
      </c>
      <c r="M351" t="s">
        <v>2657</v>
      </c>
      <c r="N351">
        <v>2</v>
      </c>
      <c r="O351" t="s">
        <v>3674</v>
      </c>
      <c r="P351" t="s">
        <v>3673</v>
      </c>
      <c r="Q351" t="s">
        <v>3672</v>
      </c>
      <c r="R351" s="7">
        <v>31413</v>
      </c>
      <c r="S351" s="8">
        <f t="shared" si="48"/>
        <v>1986</v>
      </c>
      <c r="T351" s="8">
        <v>1986</v>
      </c>
      <c r="U351" s="8">
        <f t="shared" si="49"/>
        <v>36</v>
      </c>
      <c r="V351" s="7" t="s">
        <v>3564</v>
      </c>
      <c r="W351" s="11" t="s">
        <v>1017</v>
      </c>
      <c r="X351" s="2">
        <v>2.383</v>
      </c>
      <c r="Y351" s="6">
        <f t="shared" si="46"/>
        <v>6.3612824003630442E-2</v>
      </c>
      <c r="AA351" t="s">
        <v>1016</v>
      </c>
      <c r="AB351">
        <v>101151</v>
      </c>
      <c r="AD351" t="s">
        <v>5</v>
      </c>
      <c r="AE351">
        <v>133</v>
      </c>
      <c r="AF351">
        <v>4</v>
      </c>
      <c r="AH351" t="s">
        <v>3671</v>
      </c>
      <c r="AI351" t="s">
        <v>3670</v>
      </c>
      <c r="AK351" t="s">
        <v>3669</v>
      </c>
      <c r="AL351">
        <v>6</v>
      </c>
      <c r="AM351" s="5">
        <f t="shared" si="50"/>
        <v>0.16666666666666666</v>
      </c>
      <c r="AN351" s="4">
        <f t="shared" si="47"/>
        <v>2.5242963523917705E-4</v>
      </c>
      <c r="AO351" s="3"/>
      <c r="AP351">
        <v>0</v>
      </c>
      <c r="AR351" t="s">
        <v>1</v>
      </c>
      <c r="AT351" s="2" t="s">
        <v>0</v>
      </c>
      <c r="AU351" s="1">
        <f t="shared" si="51"/>
        <v>4.4604705693113065</v>
      </c>
      <c r="AV351" s="1">
        <f t="shared" si="52"/>
        <v>3.1932626819434811</v>
      </c>
      <c r="AW351" s="1">
        <f t="shared" si="53"/>
        <v>1.9260547945756556</v>
      </c>
    </row>
    <row r="352" spans="1:49" x14ac:dyDescent="0.2">
      <c r="A352">
        <v>350</v>
      </c>
      <c r="B352" t="s">
        <v>3668</v>
      </c>
      <c r="C352" t="s">
        <v>3667</v>
      </c>
      <c r="F352" t="s">
        <v>3666</v>
      </c>
      <c r="G352" t="s">
        <v>16</v>
      </c>
      <c r="H352" t="s">
        <v>15</v>
      </c>
      <c r="I352" t="s">
        <v>3665</v>
      </c>
      <c r="J352">
        <v>115596922</v>
      </c>
      <c r="K352" t="s">
        <v>3664</v>
      </c>
      <c r="L352" t="s">
        <v>3663</v>
      </c>
      <c r="M352" t="s">
        <v>376</v>
      </c>
      <c r="N352">
        <v>1</v>
      </c>
      <c r="O352" t="s">
        <v>3662</v>
      </c>
      <c r="P352">
        <v>7003495221</v>
      </c>
      <c r="Q352">
        <v>115596922</v>
      </c>
      <c r="R352" s="7">
        <v>31413</v>
      </c>
      <c r="S352" s="8">
        <f t="shared" si="48"/>
        <v>1986</v>
      </c>
      <c r="T352" s="8">
        <v>1986</v>
      </c>
      <c r="U352" s="8">
        <f t="shared" si="49"/>
        <v>36</v>
      </c>
      <c r="V352" s="7">
        <v>31625</v>
      </c>
      <c r="W352" t="s">
        <v>153</v>
      </c>
      <c r="X352" s="2">
        <v>1.6519999999999999</v>
      </c>
      <c r="Y352" s="6">
        <f t="shared" si="46"/>
        <v>4.409919649769093E-2</v>
      </c>
      <c r="AA352" t="s">
        <v>152</v>
      </c>
      <c r="AB352">
        <v>17337</v>
      </c>
      <c r="AC352">
        <v>15582221</v>
      </c>
      <c r="AD352" t="s">
        <v>5</v>
      </c>
      <c r="AE352">
        <v>34</v>
      </c>
      <c r="AF352">
        <v>8</v>
      </c>
      <c r="AH352" t="s">
        <v>3661</v>
      </c>
      <c r="AI352" t="s">
        <v>3660</v>
      </c>
      <c r="AK352" t="s">
        <v>3659</v>
      </c>
      <c r="AL352">
        <v>9</v>
      </c>
      <c r="AM352" s="5">
        <f t="shared" si="50"/>
        <v>0.25</v>
      </c>
      <c r="AN352" s="4">
        <f t="shared" si="47"/>
        <v>3.786444528587656E-4</v>
      </c>
      <c r="AO352" s="3"/>
      <c r="AP352">
        <v>0</v>
      </c>
      <c r="AR352" t="s">
        <v>1</v>
      </c>
      <c r="AT352" s="2" t="s">
        <v>0</v>
      </c>
      <c r="AU352" s="1">
        <f t="shared" si="51"/>
        <v>3.098303088424128</v>
      </c>
      <c r="AV352" s="1">
        <f t="shared" si="52"/>
        <v>2.2238920475274848</v>
      </c>
      <c r="AW352" s="1">
        <f t="shared" si="53"/>
        <v>1.3494810066308416</v>
      </c>
    </row>
    <row r="353" spans="1:49" x14ac:dyDescent="0.2">
      <c r="A353">
        <v>351</v>
      </c>
      <c r="B353" t="s">
        <v>3658</v>
      </c>
      <c r="C353" t="s">
        <v>3657</v>
      </c>
      <c r="F353" t="s">
        <v>3656</v>
      </c>
      <c r="G353" t="s">
        <v>16</v>
      </c>
      <c r="H353" t="s">
        <v>15</v>
      </c>
      <c r="I353" t="s">
        <v>3655</v>
      </c>
      <c r="J353">
        <v>60020444</v>
      </c>
      <c r="K353" t="s">
        <v>3654</v>
      </c>
      <c r="L353" t="s">
        <v>502</v>
      </c>
      <c r="M353" t="s">
        <v>114</v>
      </c>
      <c r="N353">
        <v>3</v>
      </c>
      <c r="O353" t="s">
        <v>3653</v>
      </c>
      <c r="P353" t="s">
        <v>3652</v>
      </c>
      <c r="Q353" t="s">
        <v>3651</v>
      </c>
      <c r="R353" s="7">
        <v>31413</v>
      </c>
      <c r="S353" s="8">
        <f t="shared" si="48"/>
        <v>1986</v>
      </c>
      <c r="T353" s="8">
        <v>1986</v>
      </c>
      <c r="U353" s="8">
        <f t="shared" si="49"/>
        <v>36</v>
      </c>
      <c r="V353" s="7" t="s">
        <v>3564</v>
      </c>
      <c r="W353" t="s">
        <v>1288</v>
      </c>
      <c r="X353" s="2">
        <v>0.65500000000000003</v>
      </c>
      <c r="Y353" s="6">
        <f t="shared" si="46"/>
        <v>1.7484850911614749E-2</v>
      </c>
      <c r="AA353">
        <v>189375</v>
      </c>
      <c r="AB353">
        <v>26051</v>
      </c>
      <c r="AD353" t="s">
        <v>5</v>
      </c>
      <c r="AE353" t="s">
        <v>1287</v>
      </c>
      <c r="AF353">
        <v>3</v>
      </c>
      <c r="AH353" t="s">
        <v>3650</v>
      </c>
      <c r="AI353" t="s">
        <v>3649</v>
      </c>
      <c r="AK353" t="s">
        <v>3648</v>
      </c>
      <c r="AL353">
        <v>2</v>
      </c>
      <c r="AM353" s="5">
        <f t="shared" si="50"/>
        <v>5.5555555555555552E-2</v>
      </c>
      <c r="AN353" s="4">
        <f t="shared" si="47"/>
        <v>8.4143211746392349E-5</v>
      </c>
      <c r="AO353" s="3"/>
      <c r="AP353">
        <v>0</v>
      </c>
      <c r="AR353" t="s">
        <v>1</v>
      </c>
      <c r="AT353" s="2" t="s">
        <v>0</v>
      </c>
      <c r="AU353" s="1">
        <f t="shared" si="51"/>
        <v>1.2264638601654241</v>
      </c>
      <c r="AV353" s="1">
        <f t="shared" si="52"/>
        <v>0.87844970616805707</v>
      </c>
      <c r="AW353" s="1">
        <f t="shared" si="53"/>
        <v>0.53043555217068994</v>
      </c>
    </row>
    <row r="354" spans="1:49" x14ac:dyDescent="0.2">
      <c r="A354">
        <v>352</v>
      </c>
      <c r="B354" t="s">
        <v>3647</v>
      </c>
      <c r="C354" t="s">
        <v>3646</v>
      </c>
      <c r="F354" t="s">
        <v>3645</v>
      </c>
      <c r="G354" t="s">
        <v>16</v>
      </c>
      <c r="H354" t="s">
        <v>15</v>
      </c>
      <c r="I354" t="s">
        <v>3644</v>
      </c>
      <c r="J354" t="s">
        <v>3639</v>
      </c>
      <c r="K354" t="s">
        <v>3643</v>
      </c>
      <c r="L354" t="s">
        <v>3642</v>
      </c>
      <c r="M354" t="s">
        <v>783</v>
      </c>
      <c r="N354">
        <v>2</v>
      </c>
      <c r="O354" t="s">
        <v>3641</v>
      </c>
      <c r="P354" t="s">
        <v>3640</v>
      </c>
      <c r="Q354" t="s">
        <v>3639</v>
      </c>
      <c r="R354" s="7">
        <v>31413</v>
      </c>
      <c r="S354" s="8">
        <f t="shared" si="48"/>
        <v>1986</v>
      </c>
      <c r="T354" s="8">
        <v>1986</v>
      </c>
      <c r="U354" s="8">
        <f t="shared" si="49"/>
        <v>36</v>
      </c>
      <c r="V354" s="7">
        <v>31625</v>
      </c>
      <c r="W354" t="s">
        <v>153</v>
      </c>
      <c r="X354" s="2">
        <v>1.6519999999999999</v>
      </c>
      <c r="Y354" s="6">
        <f t="shared" si="46"/>
        <v>4.409919649769093E-2</v>
      </c>
      <c r="AA354" t="s">
        <v>152</v>
      </c>
      <c r="AB354">
        <v>17337</v>
      </c>
      <c r="AC354">
        <v>15582221</v>
      </c>
      <c r="AD354" t="s">
        <v>5</v>
      </c>
      <c r="AE354">
        <v>34</v>
      </c>
      <c r="AF354">
        <v>8</v>
      </c>
      <c r="AH354" t="s">
        <v>3638</v>
      </c>
      <c r="AI354" t="s">
        <v>3637</v>
      </c>
      <c r="AK354" t="s">
        <v>3636</v>
      </c>
      <c r="AL354">
        <v>267</v>
      </c>
      <c r="AM354" s="5">
        <f t="shared" si="50"/>
        <v>7.416666666666667</v>
      </c>
      <c r="AN354" s="4">
        <f t="shared" si="47"/>
        <v>1.1233118768143381E-2</v>
      </c>
      <c r="AO354" s="3"/>
      <c r="AP354">
        <v>0</v>
      </c>
      <c r="AR354" t="s">
        <v>1</v>
      </c>
      <c r="AT354" s="2" t="s">
        <v>0</v>
      </c>
      <c r="AU354" s="1">
        <f t="shared" si="51"/>
        <v>3.4239373178826664</v>
      </c>
      <c r="AV354" s="1">
        <f t="shared" si="52"/>
        <v>2.7666157632917154</v>
      </c>
      <c r="AW354" s="1">
        <f t="shared" si="53"/>
        <v>2.1092942087007645</v>
      </c>
    </row>
    <row r="355" spans="1:49" x14ac:dyDescent="0.2">
      <c r="A355">
        <v>353</v>
      </c>
      <c r="B355" t="s">
        <v>3635</v>
      </c>
      <c r="C355" t="s">
        <v>3634</v>
      </c>
      <c r="F355" t="s">
        <v>3633</v>
      </c>
      <c r="G355" t="s">
        <v>16</v>
      </c>
      <c r="H355" t="s">
        <v>15</v>
      </c>
      <c r="I355" t="s">
        <v>3632</v>
      </c>
      <c r="J355">
        <v>60019118</v>
      </c>
      <c r="K355" t="s">
        <v>3631</v>
      </c>
      <c r="L355" t="s">
        <v>3630</v>
      </c>
      <c r="M355" t="s">
        <v>460</v>
      </c>
      <c r="N355">
        <v>1</v>
      </c>
      <c r="O355" t="s">
        <v>3629</v>
      </c>
      <c r="P355">
        <v>7202965195</v>
      </c>
      <c r="Q355">
        <v>60019118</v>
      </c>
      <c r="R355" s="7">
        <v>31413</v>
      </c>
      <c r="S355" s="8">
        <f t="shared" si="48"/>
        <v>1986</v>
      </c>
      <c r="T355" s="8">
        <v>1986</v>
      </c>
      <c r="U355" s="8">
        <f t="shared" si="49"/>
        <v>36</v>
      </c>
      <c r="V355" s="7" t="s">
        <v>3564</v>
      </c>
      <c r="W355" s="11" t="s">
        <v>1017</v>
      </c>
      <c r="X355" s="2">
        <v>2.383</v>
      </c>
      <c r="Y355" s="6">
        <f t="shared" si="46"/>
        <v>6.3612824003630442E-2</v>
      </c>
      <c r="AA355" t="s">
        <v>1016</v>
      </c>
      <c r="AB355">
        <v>101151</v>
      </c>
      <c r="AD355" t="s">
        <v>5</v>
      </c>
      <c r="AE355">
        <v>133</v>
      </c>
      <c r="AF355">
        <v>4</v>
      </c>
      <c r="AH355" t="s">
        <v>3628</v>
      </c>
      <c r="AI355" t="s">
        <v>3627</v>
      </c>
      <c r="AK355" t="s">
        <v>3626</v>
      </c>
      <c r="AL355">
        <v>2</v>
      </c>
      <c r="AM355" s="5">
        <f t="shared" si="50"/>
        <v>5.5555555555555552E-2</v>
      </c>
      <c r="AN355" s="4">
        <f t="shared" si="47"/>
        <v>8.4143211746392349E-5</v>
      </c>
      <c r="AO355" s="3"/>
      <c r="AP355">
        <v>0</v>
      </c>
      <c r="AR355" t="s">
        <v>1</v>
      </c>
      <c r="AT355" s="2" t="s">
        <v>0</v>
      </c>
      <c r="AU355" s="1">
        <f t="shared" si="51"/>
        <v>4.4554219766065222</v>
      </c>
      <c r="AV355" s="1">
        <f t="shared" si="52"/>
        <v>3.1848483607688416</v>
      </c>
      <c r="AW355" s="1">
        <f t="shared" si="53"/>
        <v>1.9142747449311608</v>
      </c>
    </row>
    <row r="356" spans="1:49" x14ac:dyDescent="0.2">
      <c r="A356">
        <v>354</v>
      </c>
      <c r="B356" t="s">
        <v>3625</v>
      </c>
      <c r="C356" t="s">
        <v>3624</v>
      </c>
      <c r="F356" t="s">
        <v>3623</v>
      </c>
      <c r="G356" t="s">
        <v>16</v>
      </c>
      <c r="H356" t="s">
        <v>15</v>
      </c>
      <c r="I356" t="s">
        <v>3622</v>
      </c>
      <c r="J356">
        <v>60009455</v>
      </c>
      <c r="K356" t="s">
        <v>3621</v>
      </c>
      <c r="L356" t="s">
        <v>3620</v>
      </c>
      <c r="M356" t="s">
        <v>1706</v>
      </c>
      <c r="N356">
        <v>2</v>
      </c>
      <c r="O356" t="s">
        <v>3619</v>
      </c>
      <c r="P356" t="s">
        <v>3618</v>
      </c>
      <c r="Q356" t="s">
        <v>3617</v>
      </c>
      <c r="R356" s="7">
        <v>31413</v>
      </c>
      <c r="S356" s="8">
        <f t="shared" si="48"/>
        <v>1986</v>
      </c>
      <c r="T356" s="8">
        <v>1986</v>
      </c>
      <c r="U356" s="8">
        <f t="shared" si="49"/>
        <v>36</v>
      </c>
      <c r="V356" s="7">
        <v>31625</v>
      </c>
      <c r="W356" t="s">
        <v>153</v>
      </c>
      <c r="X356" s="2">
        <v>1.6519999999999999</v>
      </c>
      <c r="Y356" s="6">
        <f t="shared" si="46"/>
        <v>4.409919649769093E-2</v>
      </c>
      <c r="AA356" t="s">
        <v>152</v>
      </c>
      <c r="AB356">
        <v>17337</v>
      </c>
      <c r="AC356">
        <v>15582221</v>
      </c>
      <c r="AD356" t="s">
        <v>5</v>
      </c>
      <c r="AE356">
        <v>34</v>
      </c>
      <c r="AF356">
        <v>8</v>
      </c>
      <c r="AH356" t="s">
        <v>3616</v>
      </c>
      <c r="AI356" t="s">
        <v>3615</v>
      </c>
      <c r="AK356" t="s">
        <v>3614</v>
      </c>
      <c r="AL356">
        <v>27</v>
      </c>
      <c r="AM356" s="5">
        <f t="shared" si="50"/>
        <v>0.75</v>
      </c>
      <c r="AN356" s="4">
        <f t="shared" si="47"/>
        <v>1.1359333585762969E-3</v>
      </c>
      <c r="AO356" s="3"/>
      <c r="AP356">
        <v>0</v>
      </c>
      <c r="AR356" t="s">
        <v>1</v>
      </c>
      <c r="AT356" s="2" t="s">
        <v>0</v>
      </c>
      <c r="AU356" s="1">
        <f t="shared" si="51"/>
        <v>3.1210217555956539</v>
      </c>
      <c r="AV356" s="1">
        <f t="shared" si="52"/>
        <v>2.2617564928133613</v>
      </c>
      <c r="AW356" s="1">
        <f t="shared" si="53"/>
        <v>1.4024912300310686</v>
      </c>
    </row>
    <row r="357" spans="1:49" x14ac:dyDescent="0.2">
      <c r="A357">
        <v>355</v>
      </c>
      <c r="B357" t="s">
        <v>3613</v>
      </c>
      <c r="C357" t="s">
        <v>3612</v>
      </c>
      <c r="F357" t="s">
        <v>3611</v>
      </c>
      <c r="G357" t="s">
        <v>16</v>
      </c>
      <c r="H357" t="s">
        <v>15</v>
      </c>
      <c r="I357" t="s">
        <v>3610</v>
      </c>
      <c r="J357">
        <v>60022195</v>
      </c>
      <c r="K357" t="s">
        <v>1941</v>
      </c>
      <c r="L357" t="s">
        <v>1940</v>
      </c>
      <c r="M357" t="s">
        <v>114</v>
      </c>
      <c r="N357">
        <v>1</v>
      </c>
      <c r="O357" t="s">
        <v>3609</v>
      </c>
      <c r="P357">
        <v>6602670717</v>
      </c>
      <c r="Q357">
        <v>60022195</v>
      </c>
      <c r="R357" s="7">
        <v>31413</v>
      </c>
      <c r="S357" s="8">
        <f t="shared" si="48"/>
        <v>1986</v>
      </c>
      <c r="T357" s="8">
        <v>1986</v>
      </c>
      <c r="U357" s="8">
        <f t="shared" si="49"/>
        <v>36</v>
      </c>
      <c r="V357" s="7">
        <v>31625</v>
      </c>
      <c r="W357" t="s">
        <v>153</v>
      </c>
      <c r="X357" s="2">
        <v>1.6519999999999999</v>
      </c>
      <c r="Y357" s="6">
        <f t="shared" si="46"/>
        <v>4.409919649769093E-2</v>
      </c>
      <c r="AA357" t="s">
        <v>152</v>
      </c>
      <c r="AB357">
        <v>17337</v>
      </c>
      <c r="AC357">
        <v>15582221</v>
      </c>
      <c r="AD357" t="s">
        <v>5</v>
      </c>
      <c r="AE357">
        <v>34</v>
      </c>
      <c r="AF357">
        <v>8</v>
      </c>
      <c r="AH357" t="s">
        <v>3608</v>
      </c>
      <c r="AI357" t="s">
        <v>3607</v>
      </c>
      <c r="AK357" t="s">
        <v>3606</v>
      </c>
      <c r="AL357">
        <v>31</v>
      </c>
      <c r="AM357" s="5">
        <f t="shared" si="50"/>
        <v>0.86111111111111116</v>
      </c>
      <c r="AN357" s="4">
        <f t="shared" si="47"/>
        <v>1.3042197820690817E-3</v>
      </c>
      <c r="AO357" s="3"/>
      <c r="AP357">
        <v>0</v>
      </c>
      <c r="AR357" t="s">
        <v>1</v>
      </c>
      <c r="AT357" s="2" t="s">
        <v>0</v>
      </c>
      <c r="AU357" s="1">
        <f t="shared" si="51"/>
        <v>3.1260703483004373</v>
      </c>
      <c r="AV357" s="1">
        <f t="shared" si="52"/>
        <v>2.2701708139880004</v>
      </c>
      <c r="AW357" s="1">
        <f t="shared" si="53"/>
        <v>1.4142712796755634</v>
      </c>
    </row>
    <row r="358" spans="1:49" x14ac:dyDescent="0.2">
      <c r="A358">
        <v>356</v>
      </c>
      <c r="B358" t="s">
        <v>3605</v>
      </c>
      <c r="C358" t="s">
        <v>3604</v>
      </c>
      <c r="F358" t="s">
        <v>3603</v>
      </c>
      <c r="G358" t="s">
        <v>16</v>
      </c>
      <c r="H358" t="s">
        <v>15</v>
      </c>
      <c r="I358" t="s">
        <v>3602</v>
      </c>
      <c r="J358">
        <v>60009697</v>
      </c>
      <c r="K358" t="s">
        <v>1131</v>
      </c>
      <c r="L358" t="s">
        <v>1140</v>
      </c>
      <c r="M358" t="s">
        <v>616</v>
      </c>
      <c r="N358">
        <v>2</v>
      </c>
      <c r="O358" t="s">
        <v>2733</v>
      </c>
      <c r="P358" t="s">
        <v>2732</v>
      </c>
      <c r="Q358" t="s">
        <v>1564</v>
      </c>
      <c r="R358" s="7">
        <v>31413</v>
      </c>
      <c r="S358" s="8">
        <f t="shared" si="48"/>
        <v>1986</v>
      </c>
      <c r="T358" s="8">
        <v>1986</v>
      </c>
      <c r="U358" s="8">
        <f t="shared" si="49"/>
        <v>36</v>
      </c>
      <c r="V358" s="7">
        <v>31625</v>
      </c>
      <c r="W358" t="s">
        <v>153</v>
      </c>
      <c r="X358" s="2">
        <v>1.6519999999999999</v>
      </c>
      <c r="Y358" s="6">
        <f t="shared" si="46"/>
        <v>4.409919649769093E-2</v>
      </c>
      <c r="AA358" t="s">
        <v>152</v>
      </c>
      <c r="AB358">
        <v>17337</v>
      </c>
      <c r="AC358">
        <v>15582221</v>
      </c>
      <c r="AD358" t="s">
        <v>5</v>
      </c>
      <c r="AE358">
        <v>34</v>
      </c>
      <c r="AF358">
        <v>8</v>
      </c>
      <c r="AH358" t="s">
        <v>3601</v>
      </c>
      <c r="AI358" t="s">
        <v>3600</v>
      </c>
      <c r="AK358" t="s">
        <v>3599</v>
      </c>
      <c r="AL358">
        <v>85</v>
      </c>
      <c r="AM358" s="5">
        <f t="shared" si="50"/>
        <v>2.3611111111111112</v>
      </c>
      <c r="AN358" s="4">
        <f t="shared" si="47"/>
        <v>3.5760864992216753E-3</v>
      </c>
      <c r="AO358" s="3"/>
      <c r="AP358">
        <v>0</v>
      </c>
      <c r="AR358" t="s">
        <v>1</v>
      </c>
      <c r="AT358" s="2" t="s">
        <v>0</v>
      </c>
      <c r="AU358" s="1">
        <f t="shared" si="51"/>
        <v>3.1942263498150152</v>
      </c>
      <c r="AV358" s="1">
        <f t="shared" si="52"/>
        <v>2.3837641498456303</v>
      </c>
      <c r="AW358" s="1">
        <f t="shared" si="53"/>
        <v>1.5733019498762448</v>
      </c>
    </row>
    <row r="359" spans="1:49" x14ac:dyDescent="0.2">
      <c r="A359">
        <v>357</v>
      </c>
      <c r="B359" t="s">
        <v>3598</v>
      </c>
      <c r="C359" t="s">
        <v>3597</v>
      </c>
      <c r="F359" t="s">
        <v>3596</v>
      </c>
      <c r="G359" t="s">
        <v>16</v>
      </c>
      <c r="H359" t="s">
        <v>15</v>
      </c>
      <c r="I359" t="s">
        <v>2532</v>
      </c>
      <c r="J359">
        <v>60103653</v>
      </c>
      <c r="K359" t="s">
        <v>1253</v>
      </c>
      <c r="L359" t="s">
        <v>1252</v>
      </c>
      <c r="M359" t="s">
        <v>1251</v>
      </c>
      <c r="N359">
        <v>3</v>
      </c>
      <c r="O359" t="s">
        <v>3595</v>
      </c>
      <c r="P359" t="s">
        <v>3594</v>
      </c>
      <c r="Q359" t="s">
        <v>1248</v>
      </c>
      <c r="R359" s="7">
        <v>31413</v>
      </c>
      <c r="S359" s="8">
        <f t="shared" si="48"/>
        <v>1986</v>
      </c>
      <c r="T359" s="8">
        <v>1986</v>
      </c>
      <c r="U359" s="8">
        <f t="shared" si="49"/>
        <v>36</v>
      </c>
      <c r="V359" s="7" t="s">
        <v>3564</v>
      </c>
      <c r="W359" s="11" t="s">
        <v>1017</v>
      </c>
      <c r="X359" s="2">
        <v>2.383</v>
      </c>
      <c r="Y359" s="6">
        <f t="shared" si="46"/>
        <v>6.3612824003630442E-2</v>
      </c>
      <c r="AA359" t="s">
        <v>1016</v>
      </c>
      <c r="AB359">
        <v>101151</v>
      </c>
      <c r="AD359" t="s">
        <v>5</v>
      </c>
      <c r="AE359">
        <v>133</v>
      </c>
      <c r="AF359">
        <v>4</v>
      </c>
      <c r="AH359" t="s">
        <v>3593</v>
      </c>
      <c r="AI359" t="s">
        <v>3592</v>
      </c>
      <c r="AK359" t="s">
        <v>3591</v>
      </c>
      <c r="AL359">
        <v>10</v>
      </c>
      <c r="AM359" s="5">
        <f t="shared" si="50"/>
        <v>0.27777777777777779</v>
      </c>
      <c r="AN359" s="4">
        <f t="shared" si="47"/>
        <v>4.207160587319618E-4</v>
      </c>
      <c r="AO359" s="3"/>
      <c r="AP359">
        <v>0</v>
      </c>
      <c r="AR359" t="s">
        <v>1</v>
      </c>
      <c r="AT359" s="2" t="s">
        <v>0</v>
      </c>
      <c r="AU359" s="1">
        <f t="shared" si="51"/>
        <v>4.4655191620160899</v>
      </c>
      <c r="AV359" s="1">
        <f t="shared" si="52"/>
        <v>3.2016770031181205</v>
      </c>
      <c r="AW359" s="1">
        <f t="shared" si="53"/>
        <v>1.9378348442201505</v>
      </c>
    </row>
    <row r="360" spans="1:49" x14ac:dyDescent="0.2">
      <c r="A360">
        <v>358</v>
      </c>
      <c r="B360" t="s">
        <v>3590</v>
      </c>
      <c r="C360" t="s">
        <v>3589</v>
      </c>
      <c r="F360" t="s">
        <v>3588</v>
      </c>
      <c r="G360" t="s">
        <v>16</v>
      </c>
      <c r="H360" t="s">
        <v>15</v>
      </c>
      <c r="I360" t="s">
        <v>3587</v>
      </c>
      <c r="J360" t="s">
        <v>3581</v>
      </c>
      <c r="K360" t="s">
        <v>3586</v>
      </c>
      <c r="L360" t="s">
        <v>3585</v>
      </c>
      <c r="M360" t="s">
        <v>3584</v>
      </c>
      <c r="N360">
        <v>2</v>
      </c>
      <c r="O360" t="s">
        <v>3583</v>
      </c>
      <c r="P360" t="s">
        <v>3582</v>
      </c>
      <c r="Q360" t="s">
        <v>3581</v>
      </c>
      <c r="R360" s="7">
        <v>31413</v>
      </c>
      <c r="S360" s="8">
        <f t="shared" si="48"/>
        <v>1986</v>
      </c>
      <c r="T360" s="8">
        <v>1986</v>
      </c>
      <c r="U360" s="8">
        <f t="shared" si="49"/>
        <v>36</v>
      </c>
      <c r="V360" s="7">
        <v>31625</v>
      </c>
      <c r="W360" t="s">
        <v>1136</v>
      </c>
      <c r="X360" s="2">
        <v>0.251</v>
      </c>
      <c r="Y360" s="6">
        <f t="shared" si="46"/>
        <v>6.7003016470462617E-3</v>
      </c>
      <c r="AA360">
        <v>207217</v>
      </c>
      <c r="AB360">
        <v>26145</v>
      </c>
      <c r="AC360">
        <v>13623060</v>
      </c>
      <c r="AD360" t="s">
        <v>5</v>
      </c>
      <c r="AE360">
        <v>61</v>
      </c>
      <c r="AF360">
        <v>2</v>
      </c>
      <c r="AH360" t="s">
        <v>3580</v>
      </c>
      <c r="AI360" t="s">
        <v>3579</v>
      </c>
      <c r="AK360" t="s">
        <v>3578</v>
      </c>
      <c r="AL360">
        <v>9</v>
      </c>
      <c r="AM360" s="5">
        <f t="shared" si="50"/>
        <v>0.25</v>
      </c>
      <c r="AN360" s="4">
        <f t="shared" si="47"/>
        <v>3.786444528587656E-4</v>
      </c>
      <c r="AO360" s="3"/>
      <c r="AP360">
        <v>0</v>
      </c>
      <c r="AR360" t="s">
        <v>1</v>
      </c>
      <c r="AT360" s="2">
        <v>1.3360000000000001</v>
      </c>
      <c r="AU360" s="1">
        <f t="shared" si="51"/>
        <v>0.48038044887900122</v>
      </c>
      <c r="AV360" s="1">
        <f t="shared" si="52"/>
        <v>0.35394730499525134</v>
      </c>
      <c r="AW360" s="1">
        <f t="shared" si="53"/>
        <v>0.22751416111150141</v>
      </c>
    </row>
    <row r="361" spans="1:49" x14ac:dyDescent="0.2">
      <c r="A361">
        <v>359</v>
      </c>
      <c r="B361" t="s">
        <v>3577</v>
      </c>
      <c r="C361" t="s">
        <v>3576</v>
      </c>
      <c r="F361" t="s">
        <v>3575</v>
      </c>
      <c r="G361" t="s">
        <v>16</v>
      </c>
      <c r="H361" t="s">
        <v>15</v>
      </c>
      <c r="I361" t="s">
        <v>3574</v>
      </c>
      <c r="J361">
        <v>60019983</v>
      </c>
      <c r="K361" t="s">
        <v>3309</v>
      </c>
      <c r="L361" t="s">
        <v>3308</v>
      </c>
      <c r="M361" t="s">
        <v>71</v>
      </c>
      <c r="N361">
        <v>2</v>
      </c>
      <c r="O361" t="s">
        <v>3573</v>
      </c>
      <c r="P361" t="s">
        <v>3572</v>
      </c>
      <c r="Q361" t="s">
        <v>3571</v>
      </c>
      <c r="R361" s="7">
        <v>31413</v>
      </c>
      <c r="S361" s="8">
        <f t="shared" si="48"/>
        <v>1986</v>
      </c>
      <c r="T361" s="8">
        <v>1986</v>
      </c>
      <c r="U361" s="8">
        <f t="shared" si="49"/>
        <v>36</v>
      </c>
      <c r="V361" s="7">
        <v>31625</v>
      </c>
      <c r="W361" t="s">
        <v>153</v>
      </c>
      <c r="X361" s="2">
        <v>1.6519999999999999</v>
      </c>
      <c r="Y361" s="6">
        <f t="shared" si="46"/>
        <v>4.409919649769093E-2</v>
      </c>
      <c r="AA361" t="s">
        <v>152</v>
      </c>
      <c r="AB361">
        <v>17337</v>
      </c>
      <c r="AC361">
        <v>15582221</v>
      </c>
      <c r="AD361" t="s">
        <v>5</v>
      </c>
      <c r="AE361">
        <v>34</v>
      </c>
      <c r="AF361">
        <v>8</v>
      </c>
      <c r="AH361" t="s">
        <v>3570</v>
      </c>
      <c r="AI361" t="s">
        <v>3569</v>
      </c>
      <c r="AK361" t="s">
        <v>3568</v>
      </c>
      <c r="AL361">
        <v>16</v>
      </c>
      <c r="AM361" s="5">
        <f t="shared" si="50"/>
        <v>0.44444444444444442</v>
      </c>
      <c r="AN361" s="4">
        <f t="shared" si="47"/>
        <v>6.7314569397113879E-4</v>
      </c>
      <c r="AO361" s="3"/>
      <c r="AP361">
        <v>0</v>
      </c>
      <c r="AR361" t="s">
        <v>1</v>
      </c>
      <c r="AT361" s="2" t="s">
        <v>0</v>
      </c>
      <c r="AU361" s="1">
        <f t="shared" si="51"/>
        <v>3.1071381256574995</v>
      </c>
      <c r="AV361" s="1">
        <f t="shared" si="52"/>
        <v>2.2386171095831036</v>
      </c>
      <c r="AW361" s="1">
        <f t="shared" si="53"/>
        <v>1.3700960935087076</v>
      </c>
    </row>
    <row r="362" spans="1:49" x14ac:dyDescent="0.2">
      <c r="A362">
        <v>360</v>
      </c>
      <c r="B362" t="s">
        <v>3567</v>
      </c>
      <c r="C362" t="s">
        <v>3566</v>
      </c>
      <c r="F362" t="s">
        <v>3565</v>
      </c>
      <c r="G362" t="s">
        <v>16</v>
      </c>
      <c r="H362" t="s">
        <v>15</v>
      </c>
      <c r="I362" t="s">
        <v>2398</v>
      </c>
      <c r="J362">
        <v>60032882</v>
      </c>
      <c r="K362" t="s">
        <v>326</v>
      </c>
      <c r="L362" t="s">
        <v>325</v>
      </c>
      <c r="M362" t="s">
        <v>212</v>
      </c>
      <c r="N362">
        <v>1</v>
      </c>
      <c r="O362" t="s">
        <v>2397</v>
      </c>
      <c r="P362">
        <v>7007183627</v>
      </c>
      <c r="Q362">
        <v>60032882</v>
      </c>
      <c r="R362" s="7">
        <v>31413</v>
      </c>
      <c r="S362" s="8">
        <f t="shared" si="48"/>
        <v>1986</v>
      </c>
      <c r="T362" s="8">
        <v>1986</v>
      </c>
      <c r="U362" s="8">
        <f t="shared" si="49"/>
        <v>36</v>
      </c>
      <c r="V362" s="7" t="s">
        <v>3564</v>
      </c>
      <c r="W362" s="11" t="s">
        <v>1017</v>
      </c>
      <c r="X362" s="2">
        <v>2.383</v>
      </c>
      <c r="Y362" s="6">
        <f t="shared" si="46"/>
        <v>6.3612824003630442E-2</v>
      </c>
      <c r="AA362" t="s">
        <v>1016</v>
      </c>
      <c r="AB362">
        <v>101151</v>
      </c>
      <c r="AD362" t="s">
        <v>5</v>
      </c>
      <c r="AE362">
        <v>133</v>
      </c>
      <c r="AF362">
        <v>4</v>
      </c>
      <c r="AH362" t="s">
        <v>3563</v>
      </c>
      <c r="AI362" t="s">
        <v>3562</v>
      </c>
      <c r="AK362" t="s">
        <v>3561</v>
      </c>
      <c r="AL362">
        <v>4</v>
      </c>
      <c r="AM362" s="5">
        <f t="shared" si="50"/>
        <v>0.1111111111111111</v>
      </c>
      <c r="AN362" s="4">
        <f t="shared" si="47"/>
        <v>1.682864234927847E-4</v>
      </c>
      <c r="AO362" s="3"/>
      <c r="AP362">
        <v>0</v>
      </c>
      <c r="AR362" t="s">
        <v>1</v>
      </c>
      <c r="AT362" s="2" t="s">
        <v>0</v>
      </c>
      <c r="AU362" s="1">
        <f t="shared" si="51"/>
        <v>4.4579462729589148</v>
      </c>
      <c r="AV362" s="1">
        <f t="shared" si="52"/>
        <v>3.1890555213561615</v>
      </c>
      <c r="AW362" s="1">
        <f t="shared" si="53"/>
        <v>1.9201647697534081</v>
      </c>
    </row>
    <row r="363" spans="1:49" x14ac:dyDescent="0.2">
      <c r="A363">
        <v>361</v>
      </c>
      <c r="B363" t="s">
        <v>3560</v>
      </c>
      <c r="C363" t="s">
        <v>3559</v>
      </c>
      <c r="F363" t="s">
        <v>3558</v>
      </c>
      <c r="G363" t="s">
        <v>16</v>
      </c>
      <c r="H363" t="s">
        <v>15</v>
      </c>
      <c r="I363" t="s">
        <v>3557</v>
      </c>
      <c r="J363">
        <v>60009697</v>
      </c>
      <c r="K363" t="s">
        <v>1131</v>
      </c>
      <c r="L363" t="s">
        <v>1140</v>
      </c>
      <c r="M363" t="s">
        <v>616</v>
      </c>
      <c r="N363">
        <v>2</v>
      </c>
      <c r="O363" t="s">
        <v>3556</v>
      </c>
      <c r="P363" t="s">
        <v>3555</v>
      </c>
      <c r="Q363" t="s">
        <v>1564</v>
      </c>
      <c r="R363" s="7">
        <v>31413</v>
      </c>
      <c r="S363" s="8">
        <f t="shared" si="48"/>
        <v>1986</v>
      </c>
      <c r="T363" s="8">
        <v>1986</v>
      </c>
      <c r="U363" s="8">
        <f t="shared" si="49"/>
        <v>36</v>
      </c>
      <c r="V363" s="7">
        <v>1986</v>
      </c>
      <c r="W363" t="s">
        <v>580</v>
      </c>
      <c r="X363" s="2">
        <v>0.375</v>
      </c>
      <c r="Y363" s="6">
        <f t="shared" si="46"/>
        <v>1.0010410827260351E-2</v>
      </c>
      <c r="AA363">
        <v>135194</v>
      </c>
      <c r="AB363">
        <v>24918</v>
      </c>
      <c r="AD363" t="s">
        <v>5</v>
      </c>
      <c r="AE363">
        <v>22</v>
      </c>
      <c r="AF363">
        <v>17</v>
      </c>
      <c r="AH363" t="s">
        <v>3554</v>
      </c>
      <c r="AI363" t="s">
        <v>3553</v>
      </c>
      <c r="AJ363" t="s">
        <v>1160</v>
      </c>
      <c r="AK363" t="s">
        <v>3552</v>
      </c>
      <c r="AL363">
        <v>1</v>
      </c>
      <c r="AM363" s="5">
        <f t="shared" si="50"/>
        <v>2.7777777777777776E-2</v>
      </c>
      <c r="AN363" s="4">
        <f t="shared" si="47"/>
        <v>4.2071605873196175E-5</v>
      </c>
      <c r="AO363" s="3"/>
      <c r="AP363">
        <v>0</v>
      </c>
      <c r="AR363" t="s">
        <v>1</v>
      </c>
      <c r="AT363" s="2">
        <v>1.3140000000000001</v>
      </c>
      <c r="AU363" s="1">
        <f t="shared" si="51"/>
        <v>0.70199090608442039</v>
      </c>
      <c r="AV363" s="1">
        <f t="shared" si="52"/>
        <v>0.50262412165667736</v>
      </c>
      <c r="AW363" s="1">
        <f t="shared" si="53"/>
        <v>0.30325733722893422</v>
      </c>
    </row>
    <row r="364" spans="1:49" x14ac:dyDescent="0.2">
      <c r="A364">
        <v>362</v>
      </c>
      <c r="B364" t="s">
        <v>3551</v>
      </c>
      <c r="C364" t="s">
        <v>3550</v>
      </c>
      <c r="F364" t="s">
        <v>3549</v>
      </c>
      <c r="G364" t="s">
        <v>16</v>
      </c>
      <c r="H364" t="s">
        <v>15</v>
      </c>
      <c r="I364" t="s">
        <v>3548</v>
      </c>
      <c r="J364">
        <v>105199357</v>
      </c>
      <c r="K364" t="s">
        <v>3547</v>
      </c>
      <c r="L364" t="s">
        <v>1733</v>
      </c>
      <c r="M364" t="s">
        <v>665</v>
      </c>
      <c r="N364">
        <v>2</v>
      </c>
      <c r="O364" t="s">
        <v>3546</v>
      </c>
      <c r="P364" t="s">
        <v>3545</v>
      </c>
      <c r="Q364" t="s">
        <v>3544</v>
      </c>
      <c r="R364" s="7">
        <v>31413</v>
      </c>
      <c r="S364" s="8">
        <f t="shared" si="48"/>
        <v>1986</v>
      </c>
      <c r="T364" s="8">
        <v>1986</v>
      </c>
      <c r="U364" s="8">
        <f t="shared" si="49"/>
        <v>36</v>
      </c>
      <c r="V364" s="7">
        <v>31625</v>
      </c>
      <c r="W364" t="s">
        <v>1136</v>
      </c>
      <c r="X364" s="2">
        <v>0.251</v>
      </c>
      <c r="Y364" s="6">
        <f t="shared" si="46"/>
        <v>6.7003016470462617E-3</v>
      </c>
      <c r="AA364">
        <v>207217</v>
      </c>
      <c r="AB364">
        <v>26145</v>
      </c>
      <c r="AC364">
        <v>13623060</v>
      </c>
      <c r="AD364" t="s">
        <v>5</v>
      </c>
      <c r="AE364">
        <v>61</v>
      </c>
      <c r="AF364">
        <v>2</v>
      </c>
      <c r="AH364" t="s">
        <v>3543</v>
      </c>
      <c r="AI364" t="s">
        <v>3542</v>
      </c>
      <c r="AK364" t="s">
        <v>3541</v>
      </c>
      <c r="AL364">
        <v>6</v>
      </c>
      <c r="AM364" s="5">
        <f t="shared" si="50"/>
        <v>0.16666666666666666</v>
      </c>
      <c r="AN364" s="4">
        <f t="shared" si="47"/>
        <v>2.5242963523917705E-4</v>
      </c>
      <c r="AO364" s="3"/>
      <c r="AP364">
        <v>0</v>
      </c>
      <c r="AR364" t="s">
        <v>1</v>
      </c>
      <c r="AT364" s="2">
        <v>1.3360000000000001</v>
      </c>
      <c r="AU364" s="1">
        <f t="shared" si="51"/>
        <v>0.4765940043504136</v>
      </c>
      <c r="AV364" s="1">
        <f t="shared" si="52"/>
        <v>0.34763656411427196</v>
      </c>
      <c r="AW364" s="1">
        <f t="shared" si="53"/>
        <v>0.21867912387813021</v>
      </c>
    </row>
    <row r="365" spans="1:49" x14ac:dyDescent="0.2">
      <c r="A365">
        <v>363</v>
      </c>
      <c r="B365" t="s">
        <v>3540</v>
      </c>
      <c r="C365" t="s">
        <v>3539</v>
      </c>
      <c r="D365" t="s">
        <v>3538</v>
      </c>
      <c r="F365" t="s">
        <v>3537</v>
      </c>
      <c r="G365" t="s">
        <v>16</v>
      </c>
      <c r="H365" t="s">
        <v>15</v>
      </c>
      <c r="I365" t="s">
        <v>3536</v>
      </c>
      <c r="J365">
        <v>60025331</v>
      </c>
      <c r="K365" t="s">
        <v>3535</v>
      </c>
      <c r="L365" t="s">
        <v>3534</v>
      </c>
      <c r="M365" t="s">
        <v>114</v>
      </c>
      <c r="N365">
        <v>1</v>
      </c>
      <c r="O365" t="s">
        <v>3533</v>
      </c>
      <c r="P365">
        <v>55939297200</v>
      </c>
      <c r="Q365">
        <v>60025331</v>
      </c>
      <c r="R365" s="7">
        <v>31413</v>
      </c>
      <c r="S365" s="8">
        <f t="shared" si="48"/>
        <v>1986</v>
      </c>
      <c r="T365" s="8">
        <v>1986</v>
      </c>
      <c r="U365" s="8">
        <f t="shared" si="49"/>
        <v>36</v>
      </c>
      <c r="V365" s="7">
        <v>31625</v>
      </c>
      <c r="W365" t="s">
        <v>835</v>
      </c>
      <c r="X365" s="2">
        <v>1.1339999999999999</v>
      </c>
      <c r="Y365" s="6">
        <f t="shared" si="46"/>
        <v>3.0271482341635299E-2</v>
      </c>
      <c r="AA365">
        <v>945765</v>
      </c>
      <c r="AB365">
        <v>12372</v>
      </c>
      <c r="AD365" t="s">
        <v>5</v>
      </c>
      <c r="AE365">
        <v>13</v>
      </c>
      <c r="AF365">
        <v>8</v>
      </c>
      <c r="AH365" t="s">
        <v>3532</v>
      </c>
      <c r="AI365" t="s">
        <v>3531</v>
      </c>
      <c r="AK365" t="s">
        <v>3530</v>
      </c>
      <c r="AL365">
        <v>10</v>
      </c>
      <c r="AM365" s="5">
        <f t="shared" si="50"/>
        <v>0.27777777777777779</v>
      </c>
      <c r="AN365" s="4">
        <f t="shared" si="47"/>
        <v>4.207160587319618E-4</v>
      </c>
      <c r="AO365" s="3"/>
      <c r="AP365">
        <v>0</v>
      </c>
      <c r="AQ365" t="s">
        <v>3529</v>
      </c>
      <c r="AR365" t="s">
        <v>3528</v>
      </c>
      <c r="AS365" t="s">
        <v>3527</v>
      </c>
      <c r="AT365" s="2">
        <v>2.4129999999999998</v>
      </c>
      <c r="AU365" s="1">
        <f t="shared" si="51"/>
        <v>2.1316252456764295</v>
      </c>
      <c r="AV365" s="1">
        <f t="shared" si="52"/>
        <v>1.5346099200183629</v>
      </c>
      <c r="AW365" s="1">
        <f t="shared" si="53"/>
        <v>0.93759459436029635</v>
      </c>
    </row>
    <row r="366" spans="1:49" x14ac:dyDescent="0.2">
      <c r="A366">
        <v>364</v>
      </c>
      <c r="B366" t="s">
        <v>3526</v>
      </c>
      <c r="C366" t="s">
        <v>3525</v>
      </c>
      <c r="F366" t="s">
        <v>3524</v>
      </c>
      <c r="G366" t="s">
        <v>16</v>
      </c>
      <c r="H366" t="s">
        <v>15</v>
      </c>
      <c r="I366" t="s">
        <v>3523</v>
      </c>
      <c r="N366">
        <v>1</v>
      </c>
      <c r="O366" t="s">
        <v>3522</v>
      </c>
      <c r="P366">
        <v>57196654491</v>
      </c>
      <c r="R366" s="7">
        <v>31413</v>
      </c>
      <c r="S366" s="8">
        <f t="shared" si="48"/>
        <v>1986</v>
      </c>
      <c r="T366" s="8">
        <v>1986</v>
      </c>
      <c r="U366" s="8">
        <f t="shared" si="49"/>
        <v>36</v>
      </c>
      <c r="V366" s="7">
        <v>31594</v>
      </c>
      <c r="W366" t="s">
        <v>153</v>
      </c>
      <c r="X366" s="2">
        <v>1.6519999999999999</v>
      </c>
      <c r="Y366" s="6">
        <f t="shared" si="46"/>
        <v>4.409919649769093E-2</v>
      </c>
      <c r="AA366" t="s">
        <v>152</v>
      </c>
      <c r="AB366">
        <v>17337</v>
      </c>
      <c r="AC366">
        <v>15582221</v>
      </c>
      <c r="AD366" t="s">
        <v>5</v>
      </c>
      <c r="AE366">
        <v>34</v>
      </c>
      <c r="AF366">
        <v>7</v>
      </c>
      <c r="AH366" t="s">
        <v>3521</v>
      </c>
      <c r="AI366" t="s">
        <v>3520</v>
      </c>
      <c r="AK366" t="s">
        <v>3519</v>
      </c>
      <c r="AL366">
        <v>0</v>
      </c>
      <c r="AM366" s="5">
        <f t="shared" si="50"/>
        <v>0</v>
      </c>
      <c r="AN366" s="4">
        <f t="shared" si="47"/>
        <v>0</v>
      </c>
      <c r="AO366" s="3"/>
      <c r="AP366">
        <v>0</v>
      </c>
      <c r="AR366" t="s">
        <v>1</v>
      </c>
      <c r="AT366" s="2" t="s">
        <v>0</v>
      </c>
      <c r="AU366" s="1">
        <f t="shared" si="51"/>
        <v>3.0869437548383649</v>
      </c>
      <c r="AV366" s="1">
        <f t="shared" si="52"/>
        <v>2.2049598248845466</v>
      </c>
      <c r="AW366" s="1">
        <f t="shared" si="53"/>
        <v>1.3229758949307278</v>
      </c>
    </row>
    <row r="367" spans="1:49" x14ac:dyDescent="0.2">
      <c r="A367">
        <v>365</v>
      </c>
      <c r="B367" t="s">
        <v>3518</v>
      </c>
      <c r="C367" t="s">
        <v>3517</v>
      </c>
      <c r="F367" t="s">
        <v>3516</v>
      </c>
      <c r="G367" t="s">
        <v>16</v>
      </c>
      <c r="H367" t="s">
        <v>15</v>
      </c>
      <c r="I367" t="s">
        <v>3515</v>
      </c>
      <c r="J367" t="s">
        <v>3367</v>
      </c>
      <c r="K367" t="s">
        <v>3366</v>
      </c>
      <c r="L367" t="s">
        <v>3365</v>
      </c>
      <c r="M367" t="s">
        <v>3364</v>
      </c>
      <c r="N367">
        <v>4</v>
      </c>
      <c r="O367" t="s">
        <v>3514</v>
      </c>
      <c r="P367" t="s">
        <v>3513</v>
      </c>
      <c r="Q367" t="s">
        <v>3512</v>
      </c>
      <c r="R367" s="7">
        <v>31413</v>
      </c>
      <c r="S367" s="8">
        <f t="shared" si="48"/>
        <v>1986</v>
      </c>
      <c r="T367" s="8">
        <v>1986</v>
      </c>
      <c r="U367" s="8">
        <f t="shared" si="49"/>
        <v>36</v>
      </c>
      <c r="V367" s="7">
        <v>1986</v>
      </c>
      <c r="W367" t="s">
        <v>580</v>
      </c>
      <c r="X367" s="2">
        <v>0.375</v>
      </c>
      <c r="Y367" s="6">
        <f t="shared" si="46"/>
        <v>1.0010410827260351E-2</v>
      </c>
      <c r="AA367">
        <v>135194</v>
      </c>
      <c r="AB367">
        <v>24918</v>
      </c>
      <c r="AD367" t="s">
        <v>5</v>
      </c>
      <c r="AE367">
        <v>22</v>
      </c>
      <c r="AF367">
        <v>16</v>
      </c>
      <c r="AH367" t="s">
        <v>3511</v>
      </c>
      <c r="AI367" t="s">
        <v>3510</v>
      </c>
      <c r="AJ367" t="s">
        <v>1571</v>
      </c>
      <c r="AK367" t="s">
        <v>3509</v>
      </c>
      <c r="AL367">
        <v>32</v>
      </c>
      <c r="AM367" s="5">
        <f t="shared" si="50"/>
        <v>0.88888888888888884</v>
      </c>
      <c r="AN367" s="4">
        <f t="shared" si="47"/>
        <v>1.3462913879422776E-3</v>
      </c>
      <c r="AO367" s="3"/>
      <c r="AP367">
        <v>0</v>
      </c>
      <c r="AR367" t="s">
        <v>1</v>
      </c>
      <c r="AT367" s="2">
        <v>1.3140000000000001</v>
      </c>
      <c r="AU367" s="1">
        <f t="shared" si="51"/>
        <v>0.74111749954649286</v>
      </c>
      <c r="AV367" s="1">
        <f t="shared" si="52"/>
        <v>0.56783511076013149</v>
      </c>
      <c r="AW367" s="1">
        <f t="shared" si="53"/>
        <v>0.39455272197376995</v>
      </c>
    </row>
    <row r="368" spans="1:49" x14ac:dyDescent="0.2">
      <c r="A368">
        <v>366</v>
      </c>
      <c r="B368" t="s">
        <v>3508</v>
      </c>
      <c r="C368" t="s">
        <v>3507</v>
      </c>
      <c r="F368" t="s">
        <v>3506</v>
      </c>
      <c r="G368" t="s">
        <v>16</v>
      </c>
      <c r="H368" t="s">
        <v>15</v>
      </c>
      <c r="I368" t="s">
        <v>3505</v>
      </c>
      <c r="J368">
        <v>60011604</v>
      </c>
      <c r="K368" t="s">
        <v>3504</v>
      </c>
      <c r="L368" t="s">
        <v>377</v>
      </c>
      <c r="M368" t="s">
        <v>376</v>
      </c>
      <c r="N368">
        <v>2</v>
      </c>
      <c r="O368" t="s">
        <v>3503</v>
      </c>
      <c r="P368" t="s">
        <v>3502</v>
      </c>
      <c r="Q368" t="s">
        <v>3501</v>
      </c>
      <c r="R368" s="7">
        <v>31413</v>
      </c>
      <c r="S368" s="8">
        <f t="shared" si="48"/>
        <v>1986</v>
      </c>
      <c r="T368" s="8">
        <v>1986</v>
      </c>
      <c r="U368" s="8">
        <f t="shared" si="49"/>
        <v>36</v>
      </c>
      <c r="V368" s="7">
        <v>1986</v>
      </c>
      <c r="W368" t="s">
        <v>580</v>
      </c>
      <c r="X368" s="2">
        <v>0.375</v>
      </c>
      <c r="Y368" s="6">
        <f t="shared" si="46"/>
        <v>1.0010410827260351E-2</v>
      </c>
      <c r="AA368">
        <v>135194</v>
      </c>
      <c r="AB368">
        <v>24918</v>
      </c>
      <c r="AD368" t="s">
        <v>5</v>
      </c>
      <c r="AE368">
        <v>22</v>
      </c>
      <c r="AF368">
        <v>15</v>
      </c>
      <c r="AH368" t="s">
        <v>3500</v>
      </c>
      <c r="AI368" t="s">
        <v>3499</v>
      </c>
      <c r="AJ368" t="s">
        <v>3498</v>
      </c>
      <c r="AK368" t="s">
        <v>3497</v>
      </c>
      <c r="AL368">
        <v>1</v>
      </c>
      <c r="AM368" s="5">
        <f t="shared" si="50"/>
        <v>2.7777777777777776E-2</v>
      </c>
      <c r="AN368" s="4">
        <f t="shared" si="47"/>
        <v>4.2071605873196175E-5</v>
      </c>
      <c r="AO368" s="3"/>
      <c r="AP368">
        <v>0</v>
      </c>
      <c r="AR368" t="s">
        <v>1</v>
      </c>
      <c r="AT368" s="2">
        <v>1.3140000000000001</v>
      </c>
      <c r="AU368" s="1">
        <f t="shared" si="51"/>
        <v>0.70199090608442039</v>
      </c>
      <c r="AV368" s="1">
        <f t="shared" si="52"/>
        <v>0.50262412165667736</v>
      </c>
      <c r="AW368" s="1">
        <f t="shared" si="53"/>
        <v>0.30325733722893422</v>
      </c>
    </row>
    <row r="369" spans="1:49" x14ac:dyDescent="0.2">
      <c r="A369">
        <v>367</v>
      </c>
      <c r="B369" t="s">
        <v>3496</v>
      </c>
      <c r="C369" t="s">
        <v>3495</v>
      </c>
      <c r="F369" t="s">
        <v>3494</v>
      </c>
      <c r="G369" t="s">
        <v>16</v>
      </c>
      <c r="H369" t="s">
        <v>15</v>
      </c>
      <c r="I369" t="s">
        <v>3493</v>
      </c>
      <c r="J369" t="s">
        <v>3492</v>
      </c>
      <c r="K369" t="s">
        <v>3491</v>
      </c>
      <c r="L369" t="s">
        <v>3490</v>
      </c>
      <c r="M369" t="s">
        <v>403</v>
      </c>
      <c r="N369">
        <v>3</v>
      </c>
      <c r="O369" t="s">
        <v>3489</v>
      </c>
      <c r="P369" t="s">
        <v>3488</v>
      </c>
      <c r="Q369" t="s">
        <v>3487</v>
      </c>
      <c r="R369" s="7">
        <v>31413</v>
      </c>
      <c r="S369" s="8">
        <f t="shared" si="48"/>
        <v>1986</v>
      </c>
      <c r="T369" s="8">
        <v>1986</v>
      </c>
      <c r="U369" s="8">
        <f t="shared" si="49"/>
        <v>36</v>
      </c>
      <c r="V369" s="7">
        <v>31594</v>
      </c>
      <c r="W369" t="s">
        <v>1805</v>
      </c>
      <c r="X369" s="2">
        <v>2.141</v>
      </c>
      <c r="Y369" s="6">
        <f t="shared" si="46"/>
        <v>5.7152772216438434E-2</v>
      </c>
      <c r="AA369">
        <v>1962892</v>
      </c>
      <c r="AB369">
        <v>17360</v>
      </c>
      <c r="AC369">
        <v>15580644</v>
      </c>
      <c r="AD369" t="s">
        <v>5</v>
      </c>
      <c r="AE369" t="s">
        <v>1804</v>
      </c>
      <c r="AF369">
        <v>4</v>
      </c>
      <c r="AH369" t="s">
        <v>3486</v>
      </c>
      <c r="AI369" t="s">
        <v>3485</v>
      </c>
      <c r="AK369" t="s">
        <v>3484</v>
      </c>
      <c r="AL369">
        <v>38</v>
      </c>
      <c r="AM369" s="5">
        <f t="shared" si="50"/>
        <v>1.0555555555555556</v>
      </c>
      <c r="AN369" s="4">
        <f t="shared" si="47"/>
        <v>1.5987210231814548E-3</v>
      </c>
      <c r="AO369" s="3"/>
      <c r="AP369">
        <v>0</v>
      </c>
      <c r="AR369" t="s">
        <v>1</v>
      </c>
      <c r="AT369" s="2" t="s">
        <v>0</v>
      </c>
      <c r="AU369" s="1">
        <f t="shared" si="51"/>
        <v>4.0486556858461338</v>
      </c>
      <c r="AV369" s="1">
        <f t="shared" si="52"/>
        <v>2.9375746619809946</v>
      </c>
      <c r="AW369" s="1">
        <f t="shared" si="53"/>
        <v>1.8264936381158547</v>
      </c>
    </row>
    <row r="370" spans="1:49" x14ac:dyDescent="0.2">
      <c r="A370">
        <v>368</v>
      </c>
      <c r="B370" t="s">
        <v>3483</v>
      </c>
      <c r="C370" t="s">
        <v>3482</v>
      </c>
      <c r="F370" t="s">
        <v>3481</v>
      </c>
      <c r="G370" t="s">
        <v>16</v>
      </c>
      <c r="H370" t="s">
        <v>15</v>
      </c>
      <c r="I370" t="s">
        <v>3480</v>
      </c>
      <c r="J370">
        <v>60022313</v>
      </c>
      <c r="K370" t="s">
        <v>3479</v>
      </c>
      <c r="L370" t="s">
        <v>3478</v>
      </c>
      <c r="M370" t="s">
        <v>71</v>
      </c>
      <c r="N370">
        <v>4</v>
      </c>
      <c r="O370" t="s">
        <v>3477</v>
      </c>
      <c r="P370" t="s">
        <v>3476</v>
      </c>
      <c r="Q370" t="s">
        <v>3475</v>
      </c>
      <c r="R370" s="7">
        <v>31413</v>
      </c>
      <c r="S370" s="8">
        <f t="shared" si="48"/>
        <v>1986</v>
      </c>
      <c r="T370" s="8">
        <v>1986</v>
      </c>
      <c r="U370" s="8">
        <f t="shared" si="49"/>
        <v>36</v>
      </c>
      <c r="V370" s="7">
        <v>1986</v>
      </c>
      <c r="W370" t="s">
        <v>580</v>
      </c>
      <c r="X370" s="2">
        <v>0.375</v>
      </c>
      <c r="Y370" s="6">
        <f t="shared" si="46"/>
        <v>1.0010410827260351E-2</v>
      </c>
      <c r="AA370">
        <v>135194</v>
      </c>
      <c r="AB370">
        <v>24918</v>
      </c>
      <c r="AD370" t="s">
        <v>5</v>
      </c>
      <c r="AE370">
        <v>22</v>
      </c>
      <c r="AF370">
        <v>15</v>
      </c>
      <c r="AH370" t="s">
        <v>3474</v>
      </c>
      <c r="AI370" t="s">
        <v>3473</v>
      </c>
      <c r="AJ370" t="s">
        <v>3472</v>
      </c>
      <c r="AK370" t="s">
        <v>3471</v>
      </c>
      <c r="AL370">
        <v>0</v>
      </c>
      <c r="AM370" s="5">
        <f t="shared" si="50"/>
        <v>0</v>
      </c>
      <c r="AN370" s="4">
        <f t="shared" si="47"/>
        <v>0</v>
      </c>
      <c r="AO370" s="3"/>
      <c r="AP370">
        <v>0</v>
      </c>
      <c r="AR370" t="s">
        <v>1</v>
      </c>
      <c r="AT370" s="2">
        <v>1.3140000000000001</v>
      </c>
      <c r="AU370" s="1">
        <f t="shared" si="51"/>
        <v>0.70072875790822453</v>
      </c>
      <c r="AV370" s="1">
        <f t="shared" si="52"/>
        <v>0.5005205413630176</v>
      </c>
      <c r="AW370" s="1">
        <f t="shared" si="53"/>
        <v>0.30031232481781051</v>
      </c>
    </row>
    <row r="371" spans="1:49" x14ac:dyDescent="0.2">
      <c r="A371">
        <v>369</v>
      </c>
      <c r="B371" t="s">
        <v>3470</v>
      </c>
      <c r="C371" t="s">
        <v>3469</v>
      </c>
      <c r="F371" t="s">
        <v>3468</v>
      </c>
      <c r="G371" t="s">
        <v>16</v>
      </c>
      <c r="H371" t="s">
        <v>15</v>
      </c>
      <c r="I371" t="s">
        <v>3467</v>
      </c>
      <c r="J371" t="s">
        <v>3466</v>
      </c>
      <c r="K371" t="s">
        <v>3465</v>
      </c>
      <c r="L371" t="s">
        <v>3464</v>
      </c>
      <c r="M371" t="s">
        <v>3463</v>
      </c>
      <c r="N371">
        <v>4</v>
      </c>
      <c r="O371" t="s">
        <v>3462</v>
      </c>
      <c r="P371" t="s">
        <v>3461</v>
      </c>
      <c r="Q371" t="s">
        <v>3460</v>
      </c>
      <c r="R371" s="7">
        <v>31413</v>
      </c>
      <c r="S371" s="8">
        <f t="shared" si="48"/>
        <v>1986</v>
      </c>
      <c r="T371" s="8">
        <v>1986</v>
      </c>
      <c r="U371" s="8">
        <f t="shared" si="49"/>
        <v>36</v>
      </c>
      <c r="V371" s="7">
        <v>1986</v>
      </c>
      <c r="W371" s="11" t="s">
        <v>3326</v>
      </c>
      <c r="X371" s="2">
        <v>2.383</v>
      </c>
      <c r="Y371" s="6">
        <f t="shared" si="46"/>
        <v>6.3612824003630442E-2</v>
      </c>
      <c r="AA371">
        <v>1437070</v>
      </c>
      <c r="AB371">
        <v>39742</v>
      </c>
      <c r="AD371" t="s">
        <v>5</v>
      </c>
      <c r="AE371">
        <v>133</v>
      </c>
      <c r="AF371">
        <v>4</v>
      </c>
      <c r="AH371" t="s">
        <v>3459</v>
      </c>
      <c r="AI371" t="s">
        <v>3458</v>
      </c>
      <c r="AJ371" t="s">
        <v>3457</v>
      </c>
      <c r="AK371" t="s">
        <v>3456</v>
      </c>
      <c r="AL371">
        <v>0</v>
      </c>
      <c r="AM371" s="5">
        <f t="shared" si="50"/>
        <v>0</v>
      </c>
      <c r="AN371" s="4">
        <f t="shared" si="47"/>
        <v>0</v>
      </c>
      <c r="AO371" s="3"/>
      <c r="AP371">
        <v>0</v>
      </c>
      <c r="AR371" t="s">
        <v>1</v>
      </c>
      <c r="AT371" s="2" t="s">
        <v>0</v>
      </c>
      <c r="AU371" s="1">
        <f t="shared" si="51"/>
        <v>4.4528976802541305</v>
      </c>
      <c r="AV371" s="1">
        <f t="shared" si="52"/>
        <v>3.1806412001815221</v>
      </c>
      <c r="AW371" s="1">
        <f t="shared" si="53"/>
        <v>1.9083847201089132</v>
      </c>
    </row>
    <row r="372" spans="1:49" x14ac:dyDescent="0.2">
      <c r="A372">
        <v>370</v>
      </c>
      <c r="B372" t="s">
        <v>3455</v>
      </c>
      <c r="C372" t="s">
        <v>3454</v>
      </c>
      <c r="F372" t="s">
        <v>3453</v>
      </c>
      <c r="G372" t="s">
        <v>16</v>
      </c>
      <c r="H372" t="s">
        <v>15</v>
      </c>
      <c r="I372" t="s">
        <v>3452</v>
      </c>
      <c r="J372">
        <v>60012708</v>
      </c>
      <c r="K372" t="s">
        <v>1920</v>
      </c>
      <c r="L372" t="s">
        <v>441</v>
      </c>
      <c r="M372" t="s">
        <v>114</v>
      </c>
      <c r="N372">
        <v>3</v>
      </c>
      <c r="O372" t="s">
        <v>3451</v>
      </c>
      <c r="P372" t="s">
        <v>3450</v>
      </c>
      <c r="Q372" t="s">
        <v>3449</v>
      </c>
      <c r="R372" s="7">
        <v>31413</v>
      </c>
      <c r="S372" s="8">
        <f t="shared" si="48"/>
        <v>1986</v>
      </c>
      <c r="T372" s="8">
        <v>1986</v>
      </c>
      <c r="U372" s="8">
        <f t="shared" si="49"/>
        <v>36</v>
      </c>
      <c r="V372" s="7">
        <v>31594</v>
      </c>
      <c r="W372" t="s">
        <v>346</v>
      </c>
      <c r="X372" s="2">
        <v>2.383</v>
      </c>
      <c r="Y372" s="6">
        <f t="shared" si="46"/>
        <v>6.3612824003630442E-2</v>
      </c>
      <c r="AA372">
        <v>189219</v>
      </c>
      <c r="AB372">
        <v>17915</v>
      </c>
      <c r="AC372">
        <v>15582256</v>
      </c>
      <c r="AD372" t="s">
        <v>5</v>
      </c>
      <c r="AE372">
        <v>74</v>
      </c>
      <c r="AF372">
        <v>7</v>
      </c>
      <c r="AH372" t="s">
        <v>3448</v>
      </c>
      <c r="AI372" t="s">
        <v>3447</v>
      </c>
      <c r="AK372" t="s">
        <v>3446</v>
      </c>
      <c r="AL372">
        <v>239</v>
      </c>
      <c r="AM372" s="5">
        <f t="shared" si="50"/>
        <v>6.6388888888888893</v>
      </c>
      <c r="AN372" s="4">
        <f t="shared" si="47"/>
        <v>1.0055113803693888E-2</v>
      </c>
      <c r="AO372" s="3"/>
      <c r="AP372">
        <v>0</v>
      </c>
      <c r="AR372" t="s">
        <v>1</v>
      </c>
      <c r="AT372" s="2">
        <v>10.961</v>
      </c>
      <c r="AU372" s="1">
        <f t="shared" si="51"/>
        <v>4.754551094364948</v>
      </c>
      <c r="AV372" s="1">
        <f t="shared" si="52"/>
        <v>3.6833968903662169</v>
      </c>
      <c r="AW372" s="1">
        <f t="shared" si="53"/>
        <v>2.6122426863674852</v>
      </c>
    </row>
    <row r="373" spans="1:49" x14ac:dyDescent="0.2">
      <c r="A373">
        <v>371</v>
      </c>
      <c r="B373" t="s">
        <v>3445</v>
      </c>
      <c r="C373" t="s">
        <v>3444</v>
      </c>
      <c r="F373" t="s">
        <v>3443</v>
      </c>
      <c r="G373" t="s">
        <v>16</v>
      </c>
      <c r="H373" t="s">
        <v>15</v>
      </c>
      <c r="I373" t="s">
        <v>3442</v>
      </c>
      <c r="J373">
        <v>100499409</v>
      </c>
      <c r="K373" t="s">
        <v>3441</v>
      </c>
      <c r="L373" t="s">
        <v>3440</v>
      </c>
      <c r="M373" t="s">
        <v>665</v>
      </c>
      <c r="N373">
        <v>2</v>
      </c>
      <c r="O373" t="s">
        <v>3439</v>
      </c>
      <c r="P373" t="s">
        <v>3438</v>
      </c>
      <c r="Q373" t="s">
        <v>3437</v>
      </c>
      <c r="R373" s="7">
        <v>31413</v>
      </c>
      <c r="S373" s="8">
        <f t="shared" si="48"/>
        <v>1986</v>
      </c>
      <c r="T373" s="8">
        <v>1986</v>
      </c>
      <c r="U373" s="8">
        <f t="shared" si="49"/>
        <v>36</v>
      </c>
      <c r="V373" s="7">
        <v>1986</v>
      </c>
      <c r="W373" s="11" t="s">
        <v>3326</v>
      </c>
      <c r="X373" s="2">
        <v>2.383</v>
      </c>
      <c r="Y373" s="6">
        <f t="shared" si="46"/>
        <v>6.3612824003630442E-2</v>
      </c>
      <c r="AA373">
        <v>1437070</v>
      </c>
      <c r="AB373">
        <v>39742</v>
      </c>
      <c r="AD373" t="s">
        <v>5</v>
      </c>
      <c r="AE373">
        <v>133</v>
      </c>
      <c r="AF373">
        <v>4</v>
      </c>
      <c r="AH373" t="s">
        <v>3436</v>
      </c>
      <c r="AI373" t="s">
        <v>3435</v>
      </c>
      <c r="AJ373" t="s">
        <v>3434</v>
      </c>
      <c r="AK373" t="s">
        <v>3433</v>
      </c>
      <c r="AL373">
        <v>1</v>
      </c>
      <c r="AM373" s="5">
        <f t="shared" si="50"/>
        <v>2.7777777777777776E-2</v>
      </c>
      <c r="AN373" s="4">
        <f t="shared" si="47"/>
        <v>4.2071605873196175E-5</v>
      </c>
      <c r="AO373" s="3"/>
      <c r="AP373">
        <v>0</v>
      </c>
      <c r="AR373" t="s">
        <v>1</v>
      </c>
      <c r="AT373" s="2" t="s">
        <v>0</v>
      </c>
      <c r="AU373" s="1">
        <f t="shared" si="51"/>
        <v>4.4541598284303268</v>
      </c>
      <c r="AV373" s="1">
        <f t="shared" si="52"/>
        <v>3.1827447804751814</v>
      </c>
      <c r="AW373" s="1">
        <f t="shared" si="53"/>
        <v>1.9113297325200371</v>
      </c>
    </row>
    <row r="374" spans="1:49" x14ac:dyDescent="0.2">
      <c r="A374">
        <v>372</v>
      </c>
      <c r="B374" t="s">
        <v>3432</v>
      </c>
      <c r="C374" t="s">
        <v>3431</v>
      </c>
      <c r="F374" t="s">
        <v>3430</v>
      </c>
      <c r="G374" t="s">
        <v>16</v>
      </c>
      <c r="H374" t="s">
        <v>15</v>
      </c>
      <c r="I374" t="s">
        <v>3429</v>
      </c>
      <c r="J374">
        <v>60011533</v>
      </c>
      <c r="K374" t="s">
        <v>3428</v>
      </c>
      <c r="L374" t="s">
        <v>3427</v>
      </c>
      <c r="M374" t="s">
        <v>114</v>
      </c>
      <c r="N374">
        <v>2</v>
      </c>
      <c r="O374" t="s">
        <v>3426</v>
      </c>
      <c r="P374" t="s">
        <v>3425</v>
      </c>
      <c r="Q374" t="s">
        <v>3424</v>
      </c>
      <c r="R374" s="7">
        <v>31413</v>
      </c>
      <c r="S374" s="8">
        <f t="shared" si="48"/>
        <v>1986</v>
      </c>
      <c r="T374" s="8">
        <v>1986</v>
      </c>
      <c r="U374" s="8">
        <f t="shared" si="49"/>
        <v>36</v>
      </c>
      <c r="V374" s="7">
        <v>31594</v>
      </c>
      <c r="W374" t="s">
        <v>1815</v>
      </c>
      <c r="X374" s="2">
        <v>1.137</v>
      </c>
      <c r="Y374" s="6">
        <f t="shared" si="46"/>
        <v>3.0351565628253384E-2</v>
      </c>
      <c r="AA374">
        <v>189251</v>
      </c>
      <c r="AB374">
        <v>17336</v>
      </c>
      <c r="AD374" t="s">
        <v>5</v>
      </c>
      <c r="AE374" t="s">
        <v>1814</v>
      </c>
      <c r="AF374">
        <v>4</v>
      </c>
      <c r="AH374" t="s">
        <v>3423</v>
      </c>
      <c r="AI374" t="s">
        <v>3422</v>
      </c>
      <c r="AK374" t="s">
        <v>3421</v>
      </c>
      <c r="AL374">
        <v>23</v>
      </c>
      <c r="AM374" s="5">
        <f t="shared" si="50"/>
        <v>0.63888888888888884</v>
      </c>
      <c r="AN374" s="4">
        <f t="shared" si="47"/>
        <v>9.676469350835121E-4</v>
      </c>
      <c r="AO374" s="3"/>
      <c r="AP374">
        <v>0</v>
      </c>
      <c r="AR374" t="s">
        <v>1</v>
      </c>
      <c r="AT374" s="2" t="s">
        <v>0</v>
      </c>
      <c r="AU374" s="1">
        <f t="shared" si="51"/>
        <v>2.1536390020302423</v>
      </c>
      <c r="AV374" s="1">
        <f t="shared" si="52"/>
        <v>1.5659606281668448</v>
      </c>
      <c r="AW374" s="1">
        <f t="shared" si="53"/>
        <v>0.97828225430344729</v>
      </c>
    </row>
    <row r="375" spans="1:49" x14ac:dyDescent="0.2">
      <c r="A375">
        <v>373</v>
      </c>
      <c r="B375" t="s">
        <v>3420</v>
      </c>
      <c r="C375" t="s">
        <v>3419</v>
      </c>
      <c r="F375" t="s">
        <v>3418</v>
      </c>
      <c r="G375" t="s">
        <v>16</v>
      </c>
      <c r="H375" t="s">
        <v>15</v>
      </c>
      <c r="I375" t="s">
        <v>693</v>
      </c>
      <c r="J375">
        <v>60022193</v>
      </c>
      <c r="K375" t="s">
        <v>1877</v>
      </c>
      <c r="L375" t="s">
        <v>1876</v>
      </c>
      <c r="M375" t="s">
        <v>1409</v>
      </c>
      <c r="N375">
        <v>1</v>
      </c>
      <c r="O375" t="s">
        <v>3417</v>
      </c>
      <c r="P375">
        <v>7003446625</v>
      </c>
      <c r="Q375">
        <v>60022193</v>
      </c>
      <c r="R375" s="7">
        <v>31413</v>
      </c>
      <c r="S375" s="8">
        <f t="shared" si="48"/>
        <v>1986</v>
      </c>
      <c r="T375" s="8">
        <v>1986</v>
      </c>
      <c r="U375" s="8">
        <f t="shared" si="49"/>
        <v>36</v>
      </c>
      <c r="V375" s="7">
        <v>31594</v>
      </c>
      <c r="W375" t="s">
        <v>1815</v>
      </c>
      <c r="X375" s="2">
        <v>1.137</v>
      </c>
      <c r="Y375" s="6">
        <f t="shared" si="46"/>
        <v>3.0351565628253384E-2</v>
      </c>
      <c r="AA375">
        <v>189251</v>
      </c>
      <c r="AB375">
        <v>17336</v>
      </c>
      <c r="AD375" t="s">
        <v>5</v>
      </c>
      <c r="AE375" t="s">
        <v>1814</v>
      </c>
      <c r="AF375">
        <v>4</v>
      </c>
      <c r="AH375" t="s">
        <v>3416</v>
      </c>
      <c r="AI375" t="s">
        <v>3415</v>
      </c>
      <c r="AK375" t="s">
        <v>3414</v>
      </c>
      <c r="AL375">
        <v>76</v>
      </c>
      <c r="AM375" s="5">
        <f t="shared" si="50"/>
        <v>2.1111111111111112</v>
      </c>
      <c r="AN375" s="4">
        <f t="shared" si="47"/>
        <v>3.1974420463629096E-3</v>
      </c>
      <c r="AO375" s="3"/>
      <c r="AP375">
        <v>0</v>
      </c>
      <c r="AR375" t="s">
        <v>1</v>
      </c>
      <c r="AT375" s="2" t="s">
        <v>0</v>
      </c>
      <c r="AU375" s="1">
        <f t="shared" si="51"/>
        <v>2.2205328553686239</v>
      </c>
      <c r="AV375" s="1">
        <f t="shared" si="52"/>
        <v>1.6774503837308146</v>
      </c>
      <c r="AW375" s="1">
        <f t="shared" si="53"/>
        <v>1.1343679120930052</v>
      </c>
    </row>
    <row r="376" spans="1:49" x14ac:dyDescent="0.2">
      <c r="A376">
        <v>374</v>
      </c>
      <c r="B376" t="s">
        <v>3413</v>
      </c>
      <c r="C376" t="s">
        <v>3412</v>
      </c>
      <c r="F376" t="s">
        <v>3411</v>
      </c>
      <c r="G376" t="s">
        <v>16</v>
      </c>
      <c r="H376" t="s">
        <v>15</v>
      </c>
      <c r="I376" t="s">
        <v>3410</v>
      </c>
      <c r="J376">
        <v>60006297</v>
      </c>
      <c r="K376" t="s">
        <v>1911</v>
      </c>
      <c r="L376" t="s">
        <v>1910</v>
      </c>
      <c r="M376" t="s">
        <v>114</v>
      </c>
      <c r="N376">
        <v>1</v>
      </c>
      <c r="O376" t="s">
        <v>3409</v>
      </c>
      <c r="P376">
        <v>7004257851</v>
      </c>
      <c r="Q376">
        <v>60006297</v>
      </c>
      <c r="R376" s="7">
        <v>31413</v>
      </c>
      <c r="S376" s="8">
        <f t="shared" si="48"/>
        <v>1986</v>
      </c>
      <c r="T376" s="8">
        <v>1986</v>
      </c>
      <c r="U376" s="8">
        <f t="shared" si="49"/>
        <v>36</v>
      </c>
      <c r="V376" s="7">
        <v>31594</v>
      </c>
      <c r="W376" t="s">
        <v>346</v>
      </c>
      <c r="X376" s="2">
        <v>2.383</v>
      </c>
      <c r="Y376" s="6">
        <f t="shared" si="46"/>
        <v>6.3612824003630442E-2</v>
      </c>
      <c r="AA376">
        <v>189219</v>
      </c>
      <c r="AB376">
        <v>17915</v>
      </c>
      <c r="AC376">
        <v>15582256</v>
      </c>
      <c r="AD376" t="s">
        <v>5</v>
      </c>
      <c r="AE376">
        <v>74</v>
      </c>
      <c r="AF376">
        <v>7</v>
      </c>
      <c r="AH376" t="s">
        <v>3408</v>
      </c>
      <c r="AI376" t="s">
        <v>3407</v>
      </c>
      <c r="AK376" t="s">
        <v>3406</v>
      </c>
      <c r="AL376">
        <v>14</v>
      </c>
      <c r="AM376" s="5">
        <f t="shared" si="50"/>
        <v>0.3888888888888889</v>
      </c>
      <c r="AN376" s="4">
        <f t="shared" si="47"/>
        <v>5.890024822247465E-4</v>
      </c>
      <c r="AO376" s="3"/>
      <c r="AP376">
        <v>0</v>
      </c>
      <c r="AR376" t="s">
        <v>1</v>
      </c>
      <c r="AT376" s="2">
        <v>10.961</v>
      </c>
      <c r="AU376" s="1">
        <f t="shared" si="51"/>
        <v>4.4705677547208733</v>
      </c>
      <c r="AV376" s="1">
        <f t="shared" si="52"/>
        <v>3.2100913242927596</v>
      </c>
      <c r="AW376" s="1">
        <f t="shared" si="53"/>
        <v>1.9496148938646454</v>
      </c>
    </row>
    <row r="377" spans="1:49" x14ac:dyDescent="0.2">
      <c r="A377">
        <v>375</v>
      </c>
      <c r="B377" t="s">
        <v>3405</v>
      </c>
      <c r="C377" t="s">
        <v>3404</v>
      </c>
      <c r="F377" t="s">
        <v>3403</v>
      </c>
      <c r="G377" t="s">
        <v>16</v>
      </c>
      <c r="H377" t="s">
        <v>15</v>
      </c>
      <c r="I377" t="s">
        <v>3402</v>
      </c>
      <c r="J377">
        <v>60016983</v>
      </c>
      <c r="K377" t="s">
        <v>2928</v>
      </c>
      <c r="L377" t="s">
        <v>2927</v>
      </c>
      <c r="M377" t="s">
        <v>616</v>
      </c>
      <c r="N377">
        <v>2</v>
      </c>
      <c r="O377" t="s">
        <v>2926</v>
      </c>
      <c r="P377" t="s">
        <v>2925</v>
      </c>
      <c r="Q377" t="s">
        <v>2924</v>
      </c>
      <c r="R377" s="7">
        <v>31413</v>
      </c>
      <c r="S377" s="8">
        <f t="shared" si="48"/>
        <v>1986</v>
      </c>
      <c r="T377" s="8">
        <v>1986</v>
      </c>
      <c r="U377" s="8">
        <f t="shared" si="49"/>
        <v>36</v>
      </c>
      <c r="V377" s="7">
        <v>31594</v>
      </c>
      <c r="W377" t="s">
        <v>2046</v>
      </c>
      <c r="X377" s="2">
        <v>0.752</v>
      </c>
      <c r="Y377" s="6">
        <f t="shared" si="46"/>
        <v>2.0074210512266089E-2</v>
      </c>
      <c r="AA377">
        <v>3649059</v>
      </c>
      <c r="AB377">
        <v>17277</v>
      </c>
      <c r="AC377">
        <v>15581691</v>
      </c>
      <c r="AD377" t="s">
        <v>5</v>
      </c>
      <c r="AE377">
        <v>11</v>
      </c>
      <c r="AF377">
        <v>3</v>
      </c>
      <c r="AH377" t="s">
        <v>3401</v>
      </c>
      <c r="AI377" t="s">
        <v>3400</v>
      </c>
      <c r="AK377" t="s">
        <v>3399</v>
      </c>
      <c r="AL377">
        <v>2</v>
      </c>
      <c r="AM377" s="5">
        <f t="shared" si="50"/>
        <v>5.5555555555555552E-2</v>
      </c>
      <c r="AN377" s="4">
        <f t="shared" si="47"/>
        <v>8.4143211746392349E-5</v>
      </c>
      <c r="AO377" s="3"/>
      <c r="AP377">
        <v>0</v>
      </c>
      <c r="AR377" t="s">
        <v>1</v>
      </c>
      <c r="AT377" s="2">
        <v>3.5539999999999998</v>
      </c>
      <c r="AU377" s="1">
        <f t="shared" si="51"/>
        <v>1.4077190322110178</v>
      </c>
      <c r="AV377" s="1">
        <f t="shared" si="52"/>
        <v>1.0079176862006241</v>
      </c>
      <c r="AW377" s="1">
        <f t="shared" si="53"/>
        <v>0.60811634019023009</v>
      </c>
    </row>
    <row r="378" spans="1:49" x14ac:dyDescent="0.2">
      <c r="A378">
        <v>376</v>
      </c>
      <c r="B378" t="s">
        <v>3398</v>
      </c>
      <c r="C378" t="s">
        <v>3397</v>
      </c>
      <c r="F378" t="s">
        <v>3396</v>
      </c>
      <c r="G378" t="s">
        <v>16</v>
      </c>
      <c r="H378" t="s">
        <v>15</v>
      </c>
      <c r="I378" t="s">
        <v>3395</v>
      </c>
      <c r="J378" t="s">
        <v>3394</v>
      </c>
      <c r="K378" t="s">
        <v>3393</v>
      </c>
      <c r="L378" t="s">
        <v>3392</v>
      </c>
      <c r="M378" t="s">
        <v>1667</v>
      </c>
      <c r="N378">
        <v>3</v>
      </c>
      <c r="O378" t="s">
        <v>3391</v>
      </c>
      <c r="P378" t="s">
        <v>3390</v>
      </c>
      <c r="Q378" t="s">
        <v>3389</v>
      </c>
      <c r="R378" s="7">
        <v>31413</v>
      </c>
      <c r="S378" s="8">
        <f t="shared" si="48"/>
        <v>1986</v>
      </c>
      <c r="T378" s="8">
        <v>1986</v>
      </c>
      <c r="U378" s="8">
        <f t="shared" si="49"/>
        <v>36</v>
      </c>
      <c r="V378" s="7">
        <v>31594</v>
      </c>
      <c r="W378" t="s">
        <v>520</v>
      </c>
      <c r="X378" s="2">
        <v>0.75800000000000001</v>
      </c>
      <c r="Y378" s="6">
        <f t="shared" si="46"/>
        <v>2.0234377085502256E-2</v>
      </c>
      <c r="AA378">
        <v>224650</v>
      </c>
      <c r="AB378">
        <v>29589</v>
      </c>
      <c r="AD378" t="s">
        <v>5</v>
      </c>
      <c r="AE378">
        <v>23</v>
      </c>
      <c r="AF378">
        <v>4</v>
      </c>
      <c r="AH378" t="s">
        <v>3388</v>
      </c>
      <c r="AI378" t="s">
        <v>3387</v>
      </c>
      <c r="AK378" t="s">
        <v>3386</v>
      </c>
      <c r="AL378">
        <v>2</v>
      </c>
      <c r="AM378" s="5">
        <f t="shared" si="50"/>
        <v>5.5555555555555552E-2</v>
      </c>
      <c r="AN378" s="4">
        <f t="shared" si="47"/>
        <v>8.4143211746392349E-5</v>
      </c>
      <c r="AO378" s="3"/>
      <c r="AP378">
        <v>0</v>
      </c>
      <c r="AQ378" t="s">
        <v>3385</v>
      </c>
      <c r="AR378" t="s">
        <v>3384</v>
      </c>
      <c r="AS378" t="s">
        <v>3383</v>
      </c>
      <c r="AT378" s="2">
        <v>1.282</v>
      </c>
      <c r="AU378" s="1">
        <f t="shared" si="51"/>
        <v>1.4189306923375495</v>
      </c>
      <c r="AV378" s="1">
        <f t="shared" si="52"/>
        <v>1.0159260148624325</v>
      </c>
      <c r="AW378" s="1">
        <f t="shared" si="53"/>
        <v>0.61292133738731513</v>
      </c>
    </row>
    <row r="379" spans="1:49" x14ac:dyDescent="0.2">
      <c r="A379">
        <v>377</v>
      </c>
      <c r="B379" t="s">
        <v>3382</v>
      </c>
      <c r="C379" t="s">
        <v>3381</v>
      </c>
      <c r="F379" t="s">
        <v>3380</v>
      </c>
      <c r="G379" t="s">
        <v>16</v>
      </c>
      <c r="H379" t="s">
        <v>15</v>
      </c>
      <c r="I379" t="s">
        <v>3379</v>
      </c>
      <c r="J379">
        <v>60021032</v>
      </c>
      <c r="K379" t="s">
        <v>3378</v>
      </c>
      <c r="L379" t="s">
        <v>234</v>
      </c>
      <c r="M379" t="s">
        <v>114</v>
      </c>
      <c r="N379">
        <v>2</v>
      </c>
      <c r="O379" t="s">
        <v>3377</v>
      </c>
      <c r="P379" t="s">
        <v>3376</v>
      </c>
      <c r="Q379" t="s">
        <v>3375</v>
      </c>
      <c r="R379" s="7">
        <v>31413</v>
      </c>
      <c r="S379" s="8">
        <f t="shared" si="48"/>
        <v>1986</v>
      </c>
      <c r="T379" s="8">
        <v>1986</v>
      </c>
      <c r="U379" s="8">
        <f t="shared" si="49"/>
        <v>36</v>
      </c>
      <c r="V379" s="7">
        <v>31594</v>
      </c>
      <c r="W379" t="s">
        <v>153</v>
      </c>
      <c r="X379" s="2">
        <v>1.6519999999999999</v>
      </c>
      <c r="Y379" s="6">
        <f t="shared" si="46"/>
        <v>4.409919649769093E-2</v>
      </c>
      <c r="AA379" t="s">
        <v>152</v>
      </c>
      <c r="AB379">
        <v>17337</v>
      </c>
      <c r="AC379">
        <v>15582221</v>
      </c>
      <c r="AD379" t="s">
        <v>5</v>
      </c>
      <c r="AE379">
        <v>34</v>
      </c>
      <c r="AF379">
        <v>7</v>
      </c>
      <c r="AH379" t="s">
        <v>3374</v>
      </c>
      <c r="AI379" t="s">
        <v>3373</v>
      </c>
      <c r="AK379" t="s">
        <v>3372</v>
      </c>
      <c r="AL379">
        <v>11</v>
      </c>
      <c r="AM379" s="5">
        <f t="shared" si="50"/>
        <v>0.30555555555555558</v>
      </c>
      <c r="AN379" s="4">
        <f t="shared" si="47"/>
        <v>4.62787664605158E-4</v>
      </c>
      <c r="AO379" s="3"/>
      <c r="AP379">
        <v>0</v>
      </c>
      <c r="AR379" t="s">
        <v>1</v>
      </c>
      <c r="AT379" s="2" t="s">
        <v>0</v>
      </c>
      <c r="AU379" s="1">
        <f t="shared" si="51"/>
        <v>3.1008273847765198</v>
      </c>
      <c r="AV379" s="1">
        <f t="shared" si="52"/>
        <v>2.2280992081148043</v>
      </c>
      <c r="AW379" s="1">
        <f t="shared" si="53"/>
        <v>1.3553710314530889</v>
      </c>
    </row>
    <row r="380" spans="1:49" x14ac:dyDescent="0.2">
      <c r="A380">
        <v>378</v>
      </c>
      <c r="B380" t="s">
        <v>3371</v>
      </c>
      <c r="C380" t="s">
        <v>3370</v>
      </c>
      <c r="F380" t="s">
        <v>3369</v>
      </c>
      <c r="G380" t="s">
        <v>16</v>
      </c>
      <c r="H380" t="s">
        <v>15</v>
      </c>
      <c r="I380" t="s">
        <v>3368</v>
      </c>
      <c r="J380" t="s">
        <v>3367</v>
      </c>
      <c r="K380" t="s">
        <v>3366</v>
      </c>
      <c r="L380" t="s">
        <v>3365</v>
      </c>
      <c r="M380" t="s">
        <v>3364</v>
      </c>
      <c r="N380">
        <v>4</v>
      </c>
      <c r="O380" t="s">
        <v>3363</v>
      </c>
      <c r="P380" t="s">
        <v>3362</v>
      </c>
      <c r="Q380" t="s">
        <v>3361</v>
      </c>
      <c r="R380" s="7">
        <v>31413</v>
      </c>
      <c r="S380" s="8">
        <f t="shared" si="48"/>
        <v>1986</v>
      </c>
      <c r="T380" s="8">
        <v>1986</v>
      </c>
      <c r="U380" s="8">
        <f t="shared" si="49"/>
        <v>36</v>
      </c>
      <c r="V380" s="7">
        <v>1986</v>
      </c>
      <c r="W380" t="s">
        <v>580</v>
      </c>
      <c r="X380" s="2">
        <v>0.375</v>
      </c>
      <c r="Y380" s="6">
        <f t="shared" si="46"/>
        <v>1.0010410827260351E-2</v>
      </c>
      <c r="AA380">
        <v>135194</v>
      </c>
      <c r="AB380">
        <v>24918</v>
      </c>
      <c r="AD380" t="s">
        <v>5</v>
      </c>
      <c r="AE380">
        <v>22</v>
      </c>
      <c r="AF380">
        <v>16</v>
      </c>
      <c r="AH380" t="s">
        <v>3360</v>
      </c>
      <c r="AI380" t="s">
        <v>3359</v>
      </c>
      <c r="AJ380" t="s">
        <v>1571</v>
      </c>
      <c r="AK380" t="s">
        <v>3358</v>
      </c>
      <c r="AL380">
        <v>11</v>
      </c>
      <c r="AM380" s="5">
        <f t="shared" si="50"/>
        <v>0.30555555555555558</v>
      </c>
      <c r="AN380" s="4">
        <f t="shared" si="47"/>
        <v>4.62787664605158E-4</v>
      </c>
      <c r="AO380" s="3"/>
      <c r="AP380">
        <v>0</v>
      </c>
      <c r="AR380" t="s">
        <v>1</v>
      </c>
      <c r="AT380" s="2">
        <v>1.3140000000000001</v>
      </c>
      <c r="AU380" s="1">
        <f t="shared" si="51"/>
        <v>0.71461238784637926</v>
      </c>
      <c r="AV380" s="1">
        <f t="shared" si="52"/>
        <v>0.52365992459327548</v>
      </c>
      <c r="AW380" s="1">
        <f t="shared" si="53"/>
        <v>0.3327074613401716</v>
      </c>
    </row>
    <row r="381" spans="1:49" x14ac:dyDescent="0.2">
      <c r="A381">
        <v>379</v>
      </c>
      <c r="B381" t="s">
        <v>3357</v>
      </c>
      <c r="C381" t="s">
        <v>3356</v>
      </c>
      <c r="F381" t="s">
        <v>3355</v>
      </c>
      <c r="G381" t="s">
        <v>16</v>
      </c>
      <c r="H381" t="s">
        <v>15</v>
      </c>
      <c r="I381" t="s">
        <v>3354</v>
      </c>
      <c r="J381">
        <v>60102558</v>
      </c>
      <c r="K381" t="s">
        <v>3353</v>
      </c>
      <c r="L381" t="s">
        <v>3352</v>
      </c>
      <c r="M381" t="s">
        <v>114</v>
      </c>
      <c r="N381">
        <v>3</v>
      </c>
      <c r="O381" t="s">
        <v>3351</v>
      </c>
      <c r="P381" t="s">
        <v>3350</v>
      </c>
      <c r="Q381" t="s">
        <v>3349</v>
      </c>
      <c r="R381" s="7">
        <v>31413</v>
      </c>
      <c r="S381" s="8">
        <f t="shared" si="48"/>
        <v>1986</v>
      </c>
      <c r="T381" s="8">
        <v>1986</v>
      </c>
      <c r="U381" s="8">
        <f t="shared" si="49"/>
        <v>36</v>
      </c>
      <c r="V381" s="7">
        <v>31594</v>
      </c>
      <c r="W381" t="s">
        <v>6</v>
      </c>
      <c r="X381" s="2">
        <v>1.3720000000000001</v>
      </c>
      <c r="Y381" s="6">
        <f t="shared" si="46"/>
        <v>3.662475641333654E-2</v>
      </c>
      <c r="AA381">
        <v>189480</v>
      </c>
      <c r="AB381">
        <v>17366</v>
      </c>
      <c r="AC381">
        <v>15579670</v>
      </c>
      <c r="AD381" t="s">
        <v>5</v>
      </c>
      <c r="AE381">
        <v>34</v>
      </c>
      <c r="AF381">
        <v>7</v>
      </c>
      <c r="AH381" t="s">
        <v>3348</v>
      </c>
      <c r="AI381" t="s">
        <v>3347</v>
      </c>
      <c r="AK381" t="s">
        <v>3346</v>
      </c>
      <c r="AL381">
        <v>8</v>
      </c>
      <c r="AM381" s="5">
        <f t="shared" si="50"/>
        <v>0.22222222222222221</v>
      </c>
      <c r="AN381" s="4">
        <f t="shared" si="47"/>
        <v>3.365728469855694E-4</v>
      </c>
      <c r="AO381" s="3"/>
      <c r="AP381">
        <v>0</v>
      </c>
      <c r="AR381" t="s">
        <v>1</v>
      </c>
      <c r="AT381" s="2" t="s">
        <v>0</v>
      </c>
      <c r="AU381" s="1">
        <f t="shared" si="51"/>
        <v>2.5738301343431247</v>
      </c>
      <c r="AV381" s="1">
        <f t="shared" si="52"/>
        <v>1.8480664630161057</v>
      </c>
      <c r="AW381" s="1">
        <f t="shared" si="53"/>
        <v>1.122302791689086</v>
      </c>
    </row>
    <row r="382" spans="1:49" x14ac:dyDescent="0.2">
      <c r="A382">
        <v>380</v>
      </c>
      <c r="B382" t="s">
        <v>3345</v>
      </c>
      <c r="C382" t="s">
        <v>3344</v>
      </c>
      <c r="F382" t="s">
        <v>3343</v>
      </c>
      <c r="G382" t="s">
        <v>16</v>
      </c>
      <c r="H382" t="s">
        <v>15</v>
      </c>
      <c r="I382" t="s">
        <v>3342</v>
      </c>
      <c r="J382" t="s">
        <v>3341</v>
      </c>
      <c r="K382" t="s">
        <v>3340</v>
      </c>
      <c r="L382" t="s">
        <v>3339</v>
      </c>
      <c r="M382" t="s">
        <v>899</v>
      </c>
      <c r="N382">
        <v>4</v>
      </c>
      <c r="O382" t="s">
        <v>3338</v>
      </c>
      <c r="P382" t="s">
        <v>3337</v>
      </c>
      <c r="Q382" t="s">
        <v>3336</v>
      </c>
      <c r="R382" s="7">
        <v>31413</v>
      </c>
      <c r="S382" s="8">
        <f t="shared" si="48"/>
        <v>1986</v>
      </c>
      <c r="T382" s="8">
        <v>1986</v>
      </c>
      <c r="U382" s="8">
        <f t="shared" si="49"/>
        <v>36</v>
      </c>
      <c r="V382" s="7">
        <v>31594</v>
      </c>
      <c r="W382" t="s">
        <v>1805</v>
      </c>
      <c r="X382" s="2">
        <v>2.141</v>
      </c>
      <c r="Y382" s="6">
        <f t="shared" si="46"/>
        <v>5.7152772216438434E-2</v>
      </c>
      <c r="AA382">
        <v>1962892</v>
      </c>
      <c r="AB382">
        <v>17360</v>
      </c>
      <c r="AC382">
        <v>15580644</v>
      </c>
      <c r="AD382" t="s">
        <v>5</v>
      </c>
      <c r="AE382" t="s">
        <v>1804</v>
      </c>
      <c r="AF382">
        <v>4</v>
      </c>
      <c r="AH382" t="s">
        <v>3335</v>
      </c>
      <c r="AI382" t="s">
        <v>3334</v>
      </c>
      <c r="AK382" t="s">
        <v>3333</v>
      </c>
      <c r="AL382">
        <v>26</v>
      </c>
      <c r="AM382" s="5">
        <f t="shared" si="50"/>
        <v>0.72222222222222221</v>
      </c>
      <c r="AN382" s="4">
        <f t="shared" si="47"/>
        <v>1.0938617527031006E-3</v>
      </c>
      <c r="AO382" s="3"/>
      <c r="AP382">
        <v>0</v>
      </c>
      <c r="AR382" t="s">
        <v>1</v>
      </c>
      <c r="AT382" s="2" t="s">
        <v>0</v>
      </c>
      <c r="AU382" s="1">
        <f t="shared" si="51"/>
        <v>4.0335099077317835</v>
      </c>
      <c r="AV382" s="1">
        <f t="shared" si="52"/>
        <v>2.9123316984570771</v>
      </c>
      <c r="AW382" s="1">
        <f t="shared" si="53"/>
        <v>1.7911534891823702</v>
      </c>
    </row>
    <row r="383" spans="1:49" x14ac:dyDescent="0.2">
      <c r="A383">
        <v>381</v>
      </c>
      <c r="B383" t="s">
        <v>3332</v>
      </c>
      <c r="C383" t="s">
        <v>3331</v>
      </c>
      <c r="F383" t="s">
        <v>3330</v>
      </c>
      <c r="G383" t="s">
        <v>16</v>
      </c>
      <c r="H383" t="s">
        <v>15</v>
      </c>
      <c r="I383" t="s">
        <v>3329</v>
      </c>
      <c r="J383">
        <v>100488910</v>
      </c>
      <c r="K383" t="s">
        <v>3328</v>
      </c>
      <c r="L383" t="s">
        <v>666</v>
      </c>
      <c r="M383" t="s">
        <v>665</v>
      </c>
      <c r="N383">
        <v>1</v>
      </c>
      <c r="O383" t="s">
        <v>3327</v>
      </c>
      <c r="P383">
        <v>7004947293</v>
      </c>
      <c r="Q383">
        <v>100488910</v>
      </c>
      <c r="R383" s="7">
        <v>31413</v>
      </c>
      <c r="S383" s="8">
        <f t="shared" si="48"/>
        <v>1986</v>
      </c>
      <c r="T383" s="8">
        <v>1986</v>
      </c>
      <c r="U383" s="8">
        <f t="shared" si="49"/>
        <v>36</v>
      </c>
      <c r="V383" s="7">
        <v>1986</v>
      </c>
      <c r="W383" s="11" t="s">
        <v>3326</v>
      </c>
      <c r="X383" s="2">
        <v>2.383</v>
      </c>
      <c r="Y383" s="6">
        <f t="shared" si="46"/>
        <v>6.3612824003630442E-2</v>
      </c>
      <c r="AA383">
        <v>1437070</v>
      </c>
      <c r="AB383">
        <v>39742</v>
      </c>
      <c r="AD383" t="s">
        <v>5</v>
      </c>
      <c r="AE383">
        <v>133</v>
      </c>
      <c r="AF383">
        <v>4</v>
      </c>
      <c r="AH383" t="s">
        <v>3325</v>
      </c>
      <c r="AI383" t="s">
        <v>3324</v>
      </c>
      <c r="AJ383" t="s">
        <v>3323</v>
      </c>
      <c r="AK383" t="s">
        <v>3322</v>
      </c>
      <c r="AL383">
        <v>0</v>
      </c>
      <c r="AM383" s="5">
        <f t="shared" si="50"/>
        <v>0</v>
      </c>
      <c r="AN383" s="4">
        <f t="shared" si="47"/>
        <v>0</v>
      </c>
      <c r="AO383" s="3"/>
      <c r="AP383">
        <v>0</v>
      </c>
      <c r="AR383" t="s">
        <v>1</v>
      </c>
      <c r="AT383" s="2" t="s">
        <v>0</v>
      </c>
      <c r="AU383" s="1">
        <f t="shared" si="51"/>
        <v>4.4528976802541305</v>
      </c>
      <c r="AV383" s="1">
        <f t="shared" si="52"/>
        <v>3.1806412001815221</v>
      </c>
      <c r="AW383" s="1">
        <f t="shared" si="53"/>
        <v>1.9083847201089132</v>
      </c>
    </row>
    <row r="384" spans="1:49" x14ac:dyDescent="0.2">
      <c r="A384">
        <v>382</v>
      </c>
      <c r="B384" t="s">
        <v>3321</v>
      </c>
      <c r="C384" t="s">
        <v>3320</v>
      </c>
      <c r="F384" t="s">
        <v>3319</v>
      </c>
      <c r="G384" t="s">
        <v>16</v>
      </c>
      <c r="H384" t="s">
        <v>15</v>
      </c>
      <c r="I384" t="s">
        <v>1241</v>
      </c>
      <c r="J384">
        <v>60008134</v>
      </c>
      <c r="K384" t="s">
        <v>200</v>
      </c>
      <c r="L384" t="s">
        <v>199</v>
      </c>
      <c r="M384" t="s">
        <v>59</v>
      </c>
      <c r="N384">
        <v>1</v>
      </c>
      <c r="O384" t="s">
        <v>3318</v>
      </c>
      <c r="P384">
        <v>7006052449</v>
      </c>
      <c r="Q384">
        <v>60008134</v>
      </c>
      <c r="R384" s="7">
        <v>31413</v>
      </c>
      <c r="S384" s="8">
        <f t="shared" si="48"/>
        <v>1986</v>
      </c>
      <c r="T384" s="8">
        <v>1986</v>
      </c>
      <c r="U384" s="8">
        <f t="shared" si="49"/>
        <v>36</v>
      </c>
      <c r="V384" s="7">
        <v>1986</v>
      </c>
      <c r="W384" t="s">
        <v>580</v>
      </c>
      <c r="X384" s="2">
        <v>0.375</v>
      </c>
      <c r="Y384" s="6">
        <f t="shared" si="46"/>
        <v>1.0010410827260351E-2</v>
      </c>
      <c r="AA384">
        <v>135194</v>
      </c>
      <c r="AB384">
        <v>24918</v>
      </c>
      <c r="AD384" t="s">
        <v>5</v>
      </c>
      <c r="AE384">
        <v>22</v>
      </c>
      <c r="AF384">
        <v>15</v>
      </c>
      <c r="AH384" t="s">
        <v>3317</v>
      </c>
      <c r="AI384" t="s">
        <v>3316</v>
      </c>
      <c r="AJ384" t="s">
        <v>3315</v>
      </c>
      <c r="AK384" t="s">
        <v>3314</v>
      </c>
      <c r="AL384">
        <v>9</v>
      </c>
      <c r="AM384" s="5">
        <f t="shared" si="50"/>
        <v>0.25</v>
      </c>
      <c r="AN384" s="4">
        <f t="shared" si="47"/>
        <v>3.786444528587656E-4</v>
      </c>
      <c r="AO384" s="3"/>
      <c r="AP384">
        <v>0</v>
      </c>
      <c r="AR384" t="s">
        <v>1</v>
      </c>
      <c r="AT384" s="2">
        <v>1.3140000000000001</v>
      </c>
      <c r="AU384" s="1">
        <f t="shared" si="51"/>
        <v>0.71208809149398755</v>
      </c>
      <c r="AV384" s="1">
        <f t="shared" si="52"/>
        <v>0.51945276400595586</v>
      </c>
      <c r="AW384" s="1">
        <f t="shared" si="53"/>
        <v>0.32681743651792411</v>
      </c>
    </row>
    <row r="385" spans="1:49" x14ac:dyDescent="0.2">
      <c r="A385">
        <v>383</v>
      </c>
      <c r="B385" t="s">
        <v>3313</v>
      </c>
      <c r="C385" t="s">
        <v>3312</v>
      </c>
      <c r="F385" t="s">
        <v>3311</v>
      </c>
      <c r="G385" t="s">
        <v>16</v>
      </c>
      <c r="H385" t="s">
        <v>15</v>
      </c>
      <c r="I385" t="s">
        <v>3310</v>
      </c>
      <c r="J385">
        <v>60019983</v>
      </c>
      <c r="K385" t="s">
        <v>3309</v>
      </c>
      <c r="L385" t="s">
        <v>3308</v>
      </c>
      <c r="M385" t="s">
        <v>71</v>
      </c>
      <c r="N385">
        <v>1</v>
      </c>
      <c r="O385" t="s">
        <v>3307</v>
      </c>
      <c r="P385">
        <v>7402316805</v>
      </c>
      <c r="Q385">
        <v>60019983</v>
      </c>
      <c r="R385" s="7">
        <v>31413</v>
      </c>
      <c r="S385" s="8">
        <f t="shared" si="48"/>
        <v>1986</v>
      </c>
      <c r="T385" s="8">
        <v>1986</v>
      </c>
      <c r="U385" s="8">
        <f t="shared" si="49"/>
        <v>36</v>
      </c>
      <c r="V385" s="7">
        <v>31594</v>
      </c>
      <c r="W385" t="s">
        <v>1136</v>
      </c>
      <c r="X385" s="2">
        <v>0.251</v>
      </c>
      <c r="Y385" s="6">
        <f t="shared" si="46"/>
        <v>6.7003016470462617E-3</v>
      </c>
      <c r="AA385">
        <v>207217</v>
      </c>
      <c r="AB385">
        <v>26145</v>
      </c>
      <c r="AC385">
        <v>13623060</v>
      </c>
      <c r="AD385" t="s">
        <v>5</v>
      </c>
      <c r="AE385">
        <v>61</v>
      </c>
      <c r="AF385">
        <v>1</v>
      </c>
      <c r="AH385" t="s">
        <v>3306</v>
      </c>
      <c r="AI385" t="s">
        <v>3305</v>
      </c>
      <c r="AK385" t="s">
        <v>3304</v>
      </c>
      <c r="AL385">
        <v>1</v>
      </c>
      <c r="AM385" s="5">
        <f t="shared" si="50"/>
        <v>2.7777777777777776E-2</v>
      </c>
      <c r="AN385" s="4">
        <f t="shared" si="47"/>
        <v>4.2071605873196175E-5</v>
      </c>
      <c r="AO385" s="3"/>
      <c r="AP385">
        <v>0</v>
      </c>
      <c r="AR385" t="s">
        <v>1</v>
      </c>
      <c r="AT385" s="2">
        <v>1.3360000000000001</v>
      </c>
      <c r="AU385" s="1">
        <f t="shared" si="51"/>
        <v>0.47028326346943411</v>
      </c>
      <c r="AV385" s="1">
        <f t="shared" si="52"/>
        <v>0.3371186626459729</v>
      </c>
      <c r="AW385" s="1">
        <f t="shared" si="53"/>
        <v>0.20395406182251155</v>
      </c>
    </row>
    <row r="386" spans="1:49" x14ac:dyDescent="0.2">
      <c r="A386">
        <v>384</v>
      </c>
      <c r="B386" t="s">
        <v>3303</v>
      </c>
      <c r="C386" t="s">
        <v>3302</v>
      </c>
      <c r="F386" t="s">
        <v>3301</v>
      </c>
      <c r="G386" t="s">
        <v>16</v>
      </c>
      <c r="H386" t="s">
        <v>15</v>
      </c>
      <c r="I386" t="s">
        <v>3300</v>
      </c>
      <c r="J386">
        <v>60109826</v>
      </c>
      <c r="K386" t="s">
        <v>3299</v>
      </c>
      <c r="L386" t="s">
        <v>3298</v>
      </c>
      <c r="M386" t="s">
        <v>376</v>
      </c>
      <c r="N386">
        <v>1</v>
      </c>
      <c r="O386" t="s">
        <v>3297</v>
      </c>
      <c r="P386">
        <v>57217914408</v>
      </c>
      <c r="Q386">
        <v>60109826</v>
      </c>
      <c r="R386" s="7">
        <v>31413</v>
      </c>
      <c r="S386" s="8">
        <f t="shared" si="48"/>
        <v>1986</v>
      </c>
      <c r="T386" s="8">
        <v>1986</v>
      </c>
      <c r="U386" s="8">
        <f t="shared" si="49"/>
        <v>36</v>
      </c>
      <c r="V386" s="7">
        <v>31594</v>
      </c>
      <c r="W386" t="s">
        <v>1815</v>
      </c>
      <c r="X386" s="2">
        <v>1.137</v>
      </c>
      <c r="Y386" s="6">
        <f t="shared" ref="Y386:Y449" si="54">(X386-$Z$4)/($Z$3-$Z$4)</f>
        <v>3.0351565628253384E-2</v>
      </c>
      <c r="AA386">
        <v>189251</v>
      </c>
      <c r="AB386">
        <v>17336</v>
      </c>
      <c r="AD386" t="s">
        <v>5</v>
      </c>
      <c r="AE386" t="s">
        <v>1814</v>
      </c>
      <c r="AF386">
        <v>4</v>
      </c>
      <c r="AH386" t="s">
        <v>3296</v>
      </c>
      <c r="AI386" t="s">
        <v>3295</v>
      </c>
      <c r="AK386" t="s">
        <v>3294</v>
      </c>
      <c r="AL386">
        <v>0</v>
      </c>
      <c r="AM386" s="5">
        <f t="shared" si="50"/>
        <v>0</v>
      </c>
      <c r="AN386" s="4">
        <f t="shared" ref="AN386:AN449" si="55">(AM386-$AO$4)/($AO$3-$AO$4)</f>
        <v>0</v>
      </c>
      <c r="AO386" s="3"/>
      <c r="AP386">
        <v>0</v>
      </c>
      <c r="AR386" t="s">
        <v>1</v>
      </c>
      <c r="AT386" s="2" t="s">
        <v>0</v>
      </c>
      <c r="AU386" s="1">
        <f t="shared" si="51"/>
        <v>2.1246095939777367</v>
      </c>
      <c r="AV386" s="1">
        <f t="shared" si="52"/>
        <v>1.5175782814126693</v>
      </c>
      <c r="AW386" s="1">
        <f t="shared" si="53"/>
        <v>0.91054696884760156</v>
      </c>
    </row>
    <row r="387" spans="1:49" x14ac:dyDescent="0.2">
      <c r="A387">
        <v>385</v>
      </c>
      <c r="B387" t="s">
        <v>3293</v>
      </c>
      <c r="C387" t="s">
        <v>3292</v>
      </c>
      <c r="F387" t="s">
        <v>3291</v>
      </c>
      <c r="G387" t="s">
        <v>16</v>
      </c>
      <c r="H387" t="s">
        <v>15</v>
      </c>
      <c r="I387" t="s">
        <v>3290</v>
      </c>
      <c r="J387">
        <v>60029470</v>
      </c>
      <c r="K387" t="s">
        <v>3063</v>
      </c>
      <c r="L387" t="s">
        <v>3062</v>
      </c>
      <c r="M387" t="s">
        <v>1409</v>
      </c>
      <c r="N387">
        <v>1</v>
      </c>
      <c r="O387" t="s">
        <v>3289</v>
      </c>
      <c r="P387">
        <v>35571763900</v>
      </c>
      <c r="Q387">
        <v>60029470</v>
      </c>
      <c r="R387" s="7">
        <v>31413</v>
      </c>
      <c r="S387" s="8">
        <f t="shared" si="48"/>
        <v>1986</v>
      </c>
      <c r="T387" s="8">
        <v>1986</v>
      </c>
      <c r="U387" s="8">
        <f t="shared" si="49"/>
        <v>36</v>
      </c>
      <c r="V387" s="7">
        <v>31594</v>
      </c>
      <c r="W387" t="s">
        <v>153</v>
      </c>
      <c r="X387" s="2">
        <v>1.6519999999999999</v>
      </c>
      <c r="Y387" s="6">
        <f t="shared" si="54"/>
        <v>4.409919649769093E-2</v>
      </c>
      <c r="AA387" t="s">
        <v>152</v>
      </c>
      <c r="AB387">
        <v>17337</v>
      </c>
      <c r="AC387">
        <v>15582221</v>
      </c>
      <c r="AD387" t="s">
        <v>5</v>
      </c>
      <c r="AE387">
        <v>34</v>
      </c>
      <c r="AF387">
        <v>7</v>
      </c>
      <c r="AH387" t="s">
        <v>3288</v>
      </c>
      <c r="AI387" t="s">
        <v>3287</v>
      </c>
      <c r="AK387" t="s">
        <v>3286</v>
      </c>
      <c r="AL387">
        <v>8</v>
      </c>
      <c r="AM387" s="5">
        <f t="shared" si="50"/>
        <v>0.22222222222222221</v>
      </c>
      <c r="AN387" s="4">
        <f t="shared" si="55"/>
        <v>3.365728469855694E-4</v>
      </c>
      <c r="AO387" s="3"/>
      <c r="AP387">
        <v>0</v>
      </c>
      <c r="AR387" t="s">
        <v>1</v>
      </c>
      <c r="AT387" s="2" t="s">
        <v>0</v>
      </c>
      <c r="AU387" s="1">
        <f t="shared" si="51"/>
        <v>3.0970409402479322</v>
      </c>
      <c r="AV387" s="1">
        <f t="shared" si="52"/>
        <v>2.2217884672338251</v>
      </c>
      <c r="AW387" s="1">
        <f t="shared" si="53"/>
        <v>1.3465359942197175</v>
      </c>
    </row>
    <row r="388" spans="1:49" x14ac:dyDescent="0.2">
      <c r="A388">
        <v>386</v>
      </c>
      <c r="B388" t="s">
        <v>3285</v>
      </c>
      <c r="C388" t="s">
        <v>3284</v>
      </c>
      <c r="F388" t="s">
        <v>3283</v>
      </c>
      <c r="G388" t="s">
        <v>16</v>
      </c>
      <c r="H388" t="s">
        <v>15</v>
      </c>
      <c r="I388" t="s">
        <v>2221</v>
      </c>
      <c r="J388">
        <v>60000745</v>
      </c>
      <c r="K388" t="s">
        <v>2821</v>
      </c>
      <c r="L388" t="s">
        <v>2820</v>
      </c>
      <c r="M388" t="s">
        <v>114</v>
      </c>
      <c r="N388">
        <v>2</v>
      </c>
      <c r="O388" t="s">
        <v>3282</v>
      </c>
      <c r="P388" t="s">
        <v>3281</v>
      </c>
      <c r="Q388" t="s">
        <v>3280</v>
      </c>
      <c r="R388" s="7">
        <v>31413</v>
      </c>
      <c r="S388" s="8">
        <f t="shared" si="48"/>
        <v>1986</v>
      </c>
      <c r="T388" s="8">
        <v>1986</v>
      </c>
      <c r="U388" s="8">
        <f t="shared" si="49"/>
        <v>36</v>
      </c>
      <c r="V388" s="7">
        <v>31594</v>
      </c>
      <c r="W388" t="s">
        <v>153</v>
      </c>
      <c r="X388" s="2">
        <v>1.6519999999999999</v>
      </c>
      <c r="Y388" s="6">
        <f t="shared" si="54"/>
        <v>4.409919649769093E-2</v>
      </c>
      <c r="AA388" t="s">
        <v>152</v>
      </c>
      <c r="AB388">
        <v>17337</v>
      </c>
      <c r="AC388">
        <v>15582221</v>
      </c>
      <c r="AD388" t="s">
        <v>5</v>
      </c>
      <c r="AE388">
        <v>34</v>
      </c>
      <c r="AF388">
        <v>7</v>
      </c>
      <c r="AH388" t="s">
        <v>3279</v>
      </c>
      <c r="AI388" t="s">
        <v>3278</v>
      </c>
      <c r="AK388" t="s">
        <v>3277</v>
      </c>
      <c r="AL388">
        <v>54</v>
      </c>
      <c r="AM388" s="5">
        <f t="shared" si="50"/>
        <v>1.5</v>
      </c>
      <c r="AN388" s="4">
        <f t="shared" si="55"/>
        <v>2.2718667171525938E-3</v>
      </c>
      <c r="AO388" s="3"/>
      <c r="AP388">
        <v>0</v>
      </c>
      <c r="AR388" t="s">
        <v>1</v>
      </c>
      <c r="AT388" s="2" t="s">
        <v>0</v>
      </c>
      <c r="AU388" s="1">
        <f t="shared" si="51"/>
        <v>3.1550997563529428</v>
      </c>
      <c r="AV388" s="1">
        <f t="shared" si="52"/>
        <v>2.3185531607421761</v>
      </c>
      <c r="AW388" s="1">
        <f t="shared" si="53"/>
        <v>1.4820065651314094</v>
      </c>
    </row>
    <row r="389" spans="1:49" x14ac:dyDescent="0.2">
      <c r="A389">
        <v>387</v>
      </c>
      <c r="B389" t="s">
        <v>3276</v>
      </c>
      <c r="C389" t="s">
        <v>3275</v>
      </c>
      <c r="F389" t="s">
        <v>3274</v>
      </c>
      <c r="G389" t="s">
        <v>16</v>
      </c>
      <c r="H389" t="s">
        <v>15</v>
      </c>
      <c r="I389" t="s">
        <v>3273</v>
      </c>
      <c r="J389">
        <v>60008787</v>
      </c>
      <c r="K389" t="s">
        <v>3272</v>
      </c>
      <c r="L389" t="s">
        <v>3271</v>
      </c>
      <c r="M389" t="s">
        <v>114</v>
      </c>
      <c r="N389">
        <v>1</v>
      </c>
      <c r="O389" t="s">
        <v>3270</v>
      </c>
      <c r="P389">
        <v>7402161111</v>
      </c>
      <c r="Q389">
        <v>60008787</v>
      </c>
      <c r="R389" s="7">
        <v>31413</v>
      </c>
      <c r="S389" s="8">
        <f t="shared" si="48"/>
        <v>1986</v>
      </c>
      <c r="T389" s="8">
        <v>1986</v>
      </c>
      <c r="U389" s="8">
        <f t="shared" si="49"/>
        <v>36</v>
      </c>
      <c r="V389" s="7">
        <v>31594</v>
      </c>
      <c r="W389" t="s">
        <v>6</v>
      </c>
      <c r="X389" s="2">
        <v>1.3720000000000001</v>
      </c>
      <c r="Y389" s="6">
        <f t="shared" si="54"/>
        <v>3.662475641333654E-2</v>
      </c>
      <c r="AA389">
        <v>189480</v>
      </c>
      <c r="AB389">
        <v>17366</v>
      </c>
      <c r="AC389">
        <v>15579670</v>
      </c>
      <c r="AD389" t="s">
        <v>5</v>
      </c>
      <c r="AE389">
        <v>34</v>
      </c>
      <c r="AF389">
        <v>7</v>
      </c>
      <c r="AH389" t="s">
        <v>3269</v>
      </c>
      <c r="AI389" t="s">
        <v>3268</v>
      </c>
      <c r="AK389" t="s">
        <v>3267</v>
      </c>
      <c r="AL389">
        <v>0</v>
      </c>
      <c r="AM389" s="5">
        <f t="shared" si="50"/>
        <v>0</v>
      </c>
      <c r="AN389" s="4">
        <f t="shared" si="55"/>
        <v>0</v>
      </c>
      <c r="AO389" s="3"/>
      <c r="AP389">
        <v>0</v>
      </c>
      <c r="AR389" t="s">
        <v>1</v>
      </c>
      <c r="AT389" s="2" t="s">
        <v>0</v>
      </c>
      <c r="AU389" s="1">
        <f t="shared" si="51"/>
        <v>2.5637329489335574</v>
      </c>
      <c r="AV389" s="1">
        <f t="shared" si="52"/>
        <v>1.8312378206668269</v>
      </c>
      <c r="AW389" s="1">
        <f t="shared" si="53"/>
        <v>1.0987426924000963</v>
      </c>
    </row>
    <row r="390" spans="1:49" x14ac:dyDescent="0.2">
      <c r="A390">
        <v>388</v>
      </c>
      <c r="B390" t="s">
        <v>3266</v>
      </c>
      <c r="C390" t="s">
        <v>3265</v>
      </c>
      <c r="F390" t="s">
        <v>3264</v>
      </c>
      <c r="G390" t="s">
        <v>16</v>
      </c>
      <c r="H390" t="s">
        <v>15</v>
      </c>
      <c r="I390" t="s">
        <v>3263</v>
      </c>
      <c r="J390">
        <v>60023053</v>
      </c>
      <c r="K390" t="s">
        <v>606</v>
      </c>
      <c r="L390" t="s">
        <v>605</v>
      </c>
      <c r="M390" t="s">
        <v>114</v>
      </c>
      <c r="N390">
        <v>2</v>
      </c>
      <c r="O390" t="s">
        <v>3262</v>
      </c>
      <c r="P390" t="s">
        <v>3261</v>
      </c>
      <c r="Q390" t="s">
        <v>3260</v>
      </c>
      <c r="R390" s="7">
        <v>31413</v>
      </c>
      <c r="S390" s="8">
        <f t="shared" si="48"/>
        <v>1986</v>
      </c>
      <c r="T390" s="8">
        <v>1986</v>
      </c>
      <c r="U390" s="8">
        <f t="shared" si="49"/>
        <v>36</v>
      </c>
      <c r="V390" s="7">
        <v>31594</v>
      </c>
      <c r="W390" t="s">
        <v>153</v>
      </c>
      <c r="X390" s="2">
        <v>1.6519999999999999</v>
      </c>
      <c r="Y390" s="6">
        <f t="shared" si="54"/>
        <v>4.409919649769093E-2</v>
      </c>
      <c r="AA390" t="s">
        <v>152</v>
      </c>
      <c r="AB390">
        <v>17337</v>
      </c>
      <c r="AC390">
        <v>15582221</v>
      </c>
      <c r="AD390" t="s">
        <v>5</v>
      </c>
      <c r="AE390">
        <v>34</v>
      </c>
      <c r="AF390">
        <v>7</v>
      </c>
      <c r="AH390" t="s">
        <v>3259</v>
      </c>
      <c r="AI390" t="s">
        <v>3258</v>
      </c>
      <c r="AK390" t="s">
        <v>3257</v>
      </c>
      <c r="AL390">
        <v>6</v>
      </c>
      <c r="AM390" s="5">
        <f t="shared" si="50"/>
        <v>0.16666666666666666</v>
      </c>
      <c r="AN390" s="4">
        <f t="shared" si="55"/>
        <v>2.5242963523917705E-4</v>
      </c>
      <c r="AO390" s="3"/>
      <c r="AP390">
        <v>0</v>
      </c>
      <c r="AR390" t="s">
        <v>1</v>
      </c>
      <c r="AT390" s="2" t="s">
        <v>0</v>
      </c>
      <c r="AU390" s="1">
        <f t="shared" si="51"/>
        <v>3.0945166438955405</v>
      </c>
      <c r="AV390" s="1">
        <f t="shared" si="52"/>
        <v>2.2175813066465055</v>
      </c>
      <c r="AW390" s="1">
        <f t="shared" si="53"/>
        <v>1.3406459693974702</v>
      </c>
    </row>
    <row r="391" spans="1:49" x14ac:dyDescent="0.2">
      <c r="A391">
        <v>389</v>
      </c>
      <c r="B391" t="s">
        <v>3256</v>
      </c>
      <c r="C391" t="s">
        <v>3255</v>
      </c>
      <c r="F391" t="s">
        <v>3254</v>
      </c>
      <c r="G391" t="s">
        <v>16</v>
      </c>
      <c r="H391" t="s">
        <v>15</v>
      </c>
      <c r="I391" t="s">
        <v>3253</v>
      </c>
      <c r="N391">
        <v>1</v>
      </c>
      <c r="O391" t="s">
        <v>3252</v>
      </c>
      <c r="P391">
        <v>56614264100</v>
      </c>
      <c r="R391" s="7">
        <v>31413</v>
      </c>
      <c r="S391" s="8">
        <f t="shared" si="48"/>
        <v>1986</v>
      </c>
      <c r="T391" s="8">
        <v>1986</v>
      </c>
      <c r="U391" s="8">
        <f t="shared" si="49"/>
        <v>36</v>
      </c>
      <c r="V391" s="7" t="s">
        <v>3220</v>
      </c>
      <c r="W391" t="s">
        <v>223</v>
      </c>
      <c r="X391" s="2">
        <v>0.371</v>
      </c>
      <c r="Y391" s="6">
        <f t="shared" si="54"/>
        <v>9.9036331117695747E-3</v>
      </c>
      <c r="AA391">
        <v>486604</v>
      </c>
      <c r="AB391">
        <v>28580</v>
      </c>
      <c r="AC391" t="s">
        <v>222</v>
      </c>
      <c r="AD391" t="s">
        <v>5</v>
      </c>
      <c r="AE391">
        <v>21</v>
      </c>
      <c r="AF391">
        <v>4</v>
      </c>
      <c r="AH391" t="s">
        <v>3251</v>
      </c>
      <c r="AI391" t="s">
        <v>3250</v>
      </c>
      <c r="AK391" t="s">
        <v>3249</v>
      </c>
      <c r="AL391">
        <v>6</v>
      </c>
      <c r="AM391" s="5">
        <f t="shared" si="50"/>
        <v>0.16666666666666666</v>
      </c>
      <c r="AN391" s="4">
        <f t="shared" si="55"/>
        <v>2.5242963523917705E-4</v>
      </c>
      <c r="AO391" s="3"/>
      <c r="AP391">
        <v>0</v>
      </c>
      <c r="AR391" t="s">
        <v>1</v>
      </c>
      <c r="AT391" s="2">
        <v>1.431</v>
      </c>
      <c r="AU391" s="1">
        <f t="shared" si="51"/>
        <v>0.70082720688104549</v>
      </c>
      <c r="AV391" s="1">
        <f t="shared" si="52"/>
        <v>0.50780313735043758</v>
      </c>
      <c r="AW391" s="1">
        <f t="shared" si="53"/>
        <v>0.31477906781982962</v>
      </c>
    </row>
    <row r="392" spans="1:49" x14ac:dyDescent="0.2">
      <c r="A392">
        <v>390</v>
      </c>
      <c r="B392" t="s">
        <v>3248</v>
      </c>
      <c r="C392" t="s">
        <v>3247</v>
      </c>
      <c r="D392" t="s">
        <v>3246</v>
      </c>
      <c r="E392">
        <v>3460344</v>
      </c>
      <c r="F392" t="s">
        <v>3245</v>
      </c>
      <c r="G392" t="s">
        <v>16</v>
      </c>
      <c r="H392" t="s">
        <v>15</v>
      </c>
      <c r="I392" t="s">
        <v>3244</v>
      </c>
      <c r="J392">
        <v>60033316</v>
      </c>
      <c r="K392" t="s">
        <v>3243</v>
      </c>
      <c r="L392" t="s">
        <v>3242</v>
      </c>
      <c r="M392" t="s">
        <v>142</v>
      </c>
      <c r="N392">
        <v>3</v>
      </c>
      <c r="O392" t="s">
        <v>3241</v>
      </c>
      <c r="P392" t="s">
        <v>3240</v>
      </c>
      <c r="Q392" t="s">
        <v>3239</v>
      </c>
      <c r="R392" s="7">
        <v>31413</v>
      </c>
      <c r="S392" s="8">
        <f t="shared" si="48"/>
        <v>1986</v>
      </c>
      <c r="T392" s="8">
        <v>1986</v>
      </c>
      <c r="U392" s="8">
        <f t="shared" si="49"/>
        <v>36</v>
      </c>
      <c r="V392" s="7">
        <v>31594</v>
      </c>
      <c r="W392" t="s">
        <v>3238</v>
      </c>
      <c r="X392" s="2">
        <v>1.1830000000000001</v>
      </c>
      <c r="Y392" s="6">
        <f t="shared" si="54"/>
        <v>3.157950935639732E-2</v>
      </c>
      <c r="AA392">
        <v>8895406</v>
      </c>
      <c r="AB392">
        <v>23807</v>
      </c>
      <c r="AD392" t="s">
        <v>5</v>
      </c>
      <c r="AE392">
        <v>90</v>
      </c>
      <c r="AF392">
        <v>1</v>
      </c>
      <c r="AH392" t="s">
        <v>3237</v>
      </c>
      <c r="AI392" t="s">
        <v>3236</v>
      </c>
      <c r="AJ392" t="s">
        <v>3235</v>
      </c>
      <c r="AK392" t="s">
        <v>3234</v>
      </c>
      <c r="AL392">
        <v>57</v>
      </c>
      <c r="AM392" s="5">
        <f t="shared" si="50"/>
        <v>1.5833333333333333</v>
      </c>
      <c r="AN392" s="4">
        <f t="shared" si="55"/>
        <v>2.3980815347721821E-3</v>
      </c>
      <c r="AO392" s="3"/>
      <c r="AP392">
        <v>0</v>
      </c>
      <c r="AR392" t="s">
        <v>1</v>
      </c>
      <c r="AT392" s="2" t="s">
        <v>0</v>
      </c>
      <c r="AU392" s="1">
        <f t="shared" si="51"/>
        <v>2.2825081009909778</v>
      </c>
      <c r="AV392" s="1">
        <f t="shared" si="52"/>
        <v>1.698879544558475</v>
      </c>
      <c r="AW392" s="1">
        <f t="shared" si="53"/>
        <v>1.1152509881259722</v>
      </c>
    </row>
    <row r="393" spans="1:49" x14ac:dyDescent="0.2">
      <c r="A393">
        <v>391</v>
      </c>
      <c r="B393" t="s">
        <v>3233</v>
      </c>
      <c r="C393" t="s">
        <v>3232</v>
      </c>
      <c r="F393" t="s">
        <v>3231</v>
      </c>
      <c r="G393" t="s">
        <v>16</v>
      </c>
      <c r="H393" t="s">
        <v>15</v>
      </c>
      <c r="I393" t="s">
        <v>3230</v>
      </c>
      <c r="N393">
        <v>1</v>
      </c>
      <c r="O393" t="s">
        <v>3229</v>
      </c>
      <c r="P393">
        <v>7006842497</v>
      </c>
      <c r="R393" s="7">
        <v>31413</v>
      </c>
      <c r="S393" s="8">
        <f t="shared" si="48"/>
        <v>1986</v>
      </c>
      <c r="T393" s="8">
        <v>1986</v>
      </c>
      <c r="U393" s="8">
        <f t="shared" si="49"/>
        <v>36</v>
      </c>
      <c r="V393" s="7" t="s">
        <v>3220</v>
      </c>
      <c r="W393" t="s">
        <v>223</v>
      </c>
      <c r="X393" s="2">
        <v>0.371</v>
      </c>
      <c r="Y393" s="6">
        <f t="shared" si="54"/>
        <v>9.9036331117695747E-3</v>
      </c>
      <c r="AA393">
        <v>486604</v>
      </c>
      <c r="AB393">
        <v>28580</v>
      </c>
      <c r="AC393" t="s">
        <v>222</v>
      </c>
      <c r="AD393" t="s">
        <v>5</v>
      </c>
      <c r="AE393">
        <v>21</v>
      </c>
      <c r="AF393">
        <v>4</v>
      </c>
      <c r="AH393" t="s">
        <v>3228</v>
      </c>
      <c r="AI393" t="s">
        <v>3227</v>
      </c>
      <c r="AK393" t="s">
        <v>3226</v>
      </c>
      <c r="AL393">
        <v>52</v>
      </c>
      <c r="AM393" s="5">
        <f t="shared" si="50"/>
        <v>1.4444444444444444</v>
      </c>
      <c r="AN393" s="4">
        <f t="shared" si="55"/>
        <v>2.1877235054062012E-3</v>
      </c>
      <c r="AO393" s="3"/>
      <c r="AP393">
        <v>0</v>
      </c>
      <c r="AR393" t="s">
        <v>1</v>
      </c>
      <c r="AT393" s="2">
        <v>1.431</v>
      </c>
      <c r="AU393" s="1">
        <f t="shared" si="51"/>
        <v>0.75888602298605623</v>
      </c>
      <c r="AV393" s="1">
        <f t="shared" si="52"/>
        <v>0.60456783085878885</v>
      </c>
      <c r="AW393" s="1">
        <f t="shared" si="53"/>
        <v>0.4502496387315213</v>
      </c>
    </row>
    <row r="394" spans="1:49" x14ac:dyDescent="0.2">
      <c r="A394">
        <v>392</v>
      </c>
      <c r="B394" t="s">
        <v>3225</v>
      </c>
      <c r="C394" t="s">
        <v>3224</v>
      </c>
      <c r="F394" t="s">
        <v>3223</v>
      </c>
      <c r="G394" t="s">
        <v>16</v>
      </c>
      <c r="H394" t="s">
        <v>15</v>
      </c>
      <c r="I394" t="s">
        <v>3222</v>
      </c>
      <c r="N394">
        <v>1</v>
      </c>
      <c r="O394" t="s">
        <v>3221</v>
      </c>
      <c r="P394">
        <v>56918181300</v>
      </c>
      <c r="R394" s="7">
        <v>31413</v>
      </c>
      <c r="S394" s="8">
        <f t="shared" si="48"/>
        <v>1986</v>
      </c>
      <c r="T394" s="8">
        <v>1986</v>
      </c>
      <c r="U394" s="8">
        <f t="shared" si="49"/>
        <v>36</v>
      </c>
      <c r="V394" s="7" t="s">
        <v>3220</v>
      </c>
      <c r="W394" t="s">
        <v>223</v>
      </c>
      <c r="X394" s="2">
        <v>0.371</v>
      </c>
      <c r="Y394" s="6">
        <f t="shared" si="54"/>
        <v>9.9036331117695747E-3</v>
      </c>
      <c r="AA394">
        <v>486604</v>
      </c>
      <c r="AB394">
        <v>28580</v>
      </c>
      <c r="AC394" t="s">
        <v>222</v>
      </c>
      <c r="AD394" t="s">
        <v>5</v>
      </c>
      <c r="AE394">
        <v>21</v>
      </c>
      <c r="AF394">
        <v>4</v>
      </c>
      <c r="AH394" t="s">
        <v>3219</v>
      </c>
      <c r="AI394" t="s">
        <v>3218</v>
      </c>
      <c r="AK394" t="s">
        <v>3217</v>
      </c>
      <c r="AL394">
        <v>5</v>
      </c>
      <c r="AM394" s="5">
        <f t="shared" si="50"/>
        <v>0.1388888888888889</v>
      </c>
      <c r="AN394" s="4">
        <f t="shared" si="55"/>
        <v>2.103580293659809E-4</v>
      </c>
      <c r="AO394" s="3"/>
      <c r="AP394">
        <v>0</v>
      </c>
      <c r="AR394" t="s">
        <v>1</v>
      </c>
      <c r="AT394" s="2">
        <v>1.431</v>
      </c>
      <c r="AU394" s="1">
        <f t="shared" si="51"/>
        <v>0.69956505870484953</v>
      </c>
      <c r="AV394" s="1">
        <f t="shared" si="52"/>
        <v>0.50569955705677783</v>
      </c>
      <c r="AW394" s="1">
        <f t="shared" si="53"/>
        <v>0.3118340554087059</v>
      </c>
    </row>
    <row r="395" spans="1:49" x14ac:dyDescent="0.2">
      <c r="A395">
        <v>393</v>
      </c>
      <c r="B395" t="s">
        <v>3216</v>
      </c>
      <c r="C395" t="s">
        <v>3215</v>
      </c>
      <c r="F395" t="s">
        <v>3214</v>
      </c>
      <c r="G395" t="s">
        <v>16</v>
      </c>
      <c r="H395" t="s">
        <v>15</v>
      </c>
      <c r="I395" t="s">
        <v>2899</v>
      </c>
      <c r="J395" t="s">
        <v>2898</v>
      </c>
      <c r="K395" t="s">
        <v>2897</v>
      </c>
      <c r="L395" t="s">
        <v>2896</v>
      </c>
      <c r="M395" t="s">
        <v>783</v>
      </c>
      <c r="N395">
        <v>2</v>
      </c>
      <c r="O395" t="s">
        <v>3213</v>
      </c>
      <c r="P395" t="s">
        <v>3212</v>
      </c>
      <c r="Q395" t="s">
        <v>2898</v>
      </c>
      <c r="R395" s="7">
        <v>31413</v>
      </c>
      <c r="S395" s="8">
        <f t="shared" si="48"/>
        <v>1986</v>
      </c>
      <c r="T395" s="8">
        <v>1986</v>
      </c>
      <c r="U395" s="8">
        <f t="shared" si="49"/>
        <v>36</v>
      </c>
      <c r="V395" s="7">
        <v>31564</v>
      </c>
      <c r="W395" t="s">
        <v>6</v>
      </c>
      <c r="X395" s="2">
        <v>1.3720000000000001</v>
      </c>
      <c r="Y395" s="6">
        <f t="shared" si="54"/>
        <v>3.662475641333654E-2</v>
      </c>
      <c r="AA395">
        <v>189480</v>
      </c>
      <c r="AB395">
        <v>17366</v>
      </c>
      <c r="AC395">
        <v>15579670</v>
      </c>
      <c r="AD395" t="s">
        <v>5</v>
      </c>
      <c r="AE395">
        <v>34</v>
      </c>
      <c r="AF395">
        <v>6</v>
      </c>
      <c r="AH395" t="s">
        <v>3211</v>
      </c>
      <c r="AI395" t="s">
        <v>3210</v>
      </c>
      <c r="AK395" t="s">
        <v>3209</v>
      </c>
      <c r="AL395">
        <v>62</v>
      </c>
      <c r="AM395" s="5">
        <f t="shared" si="50"/>
        <v>1.7222222222222223</v>
      </c>
      <c r="AN395" s="4">
        <f t="shared" si="55"/>
        <v>2.6084395641381634E-3</v>
      </c>
      <c r="AO395" s="3"/>
      <c r="AP395">
        <v>0</v>
      </c>
      <c r="AR395" t="s">
        <v>1</v>
      </c>
      <c r="AT395" s="2" t="s">
        <v>0</v>
      </c>
      <c r="AU395" s="1">
        <f t="shared" si="51"/>
        <v>2.6419861358577026</v>
      </c>
      <c r="AV395" s="1">
        <f t="shared" si="52"/>
        <v>1.9616597988737352</v>
      </c>
      <c r="AW395" s="1">
        <f t="shared" si="53"/>
        <v>1.2813334618897676</v>
      </c>
    </row>
    <row r="396" spans="1:49" x14ac:dyDescent="0.2">
      <c r="A396">
        <v>394</v>
      </c>
      <c r="B396" t="s">
        <v>3208</v>
      </c>
      <c r="C396" t="s">
        <v>3207</v>
      </c>
      <c r="F396" t="s">
        <v>3206</v>
      </c>
      <c r="G396" t="s">
        <v>16</v>
      </c>
      <c r="H396" t="s">
        <v>15</v>
      </c>
      <c r="I396" t="s">
        <v>3205</v>
      </c>
      <c r="J396">
        <v>60029470</v>
      </c>
      <c r="K396" t="s">
        <v>3063</v>
      </c>
      <c r="L396" t="s">
        <v>3062</v>
      </c>
      <c r="M396" t="s">
        <v>1409</v>
      </c>
      <c r="N396">
        <v>3</v>
      </c>
      <c r="O396" t="s">
        <v>3204</v>
      </c>
      <c r="P396" t="s">
        <v>3203</v>
      </c>
      <c r="Q396" t="s">
        <v>3202</v>
      </c>
      <c r="R396" s="7">
        <v>31413</v>
      </c>
      <c r="S396" s="8">
        <f t="shared" si="48"/>
        <v>1986</v>
      </c>
      <c r="T396" s="8">
        <v>1986</v>
      </c>
      <c r="U396" s="8">
        <f t="shared" si="49"/>
        <v>36</v>
      </c>
      <c r="V396" s="7">
        <v>31564</v>
      </c>
      <c r="W396" t="s">
        <v>153</v>
      </c>
      <c r="X396" s="2">
        <v>1.6519999999999999</v>
      </c>
      <c r="Y396" s="6">
        <f t="shared" si="54"/>
        <v>4.409919649769093E-2</v>
      </c>
      <c r="AA396" t="s">
        <v>152</v>
      </c>
      <c r="AB396">
        <v>17337</v>
      </c>
      <c r="AC396">
        <v>15582221</v>
      </c>
      <c r="AD396" t="s">
        <v>5</v>
      </c>
      <c r="AE396">
        <v>34</v>
      </c>
      <c r="AF396">
        <v>6</v>
      </c>
      <c r="AH396" t="s">
        <v>3201</v>
      </c>
      <c r="AI396" t="s">
        <v>3200</v>
      </c>
      <c r="AK396" t="s">
        <v>3199</v>
      </c>
      <c r="AL396">
        <v>57</v>
      </c>
      <c r="AM396" s="5">
        <f t="shared" si="50"/>
        <v>1.5833333333333333</v>
      </c>
      <c r="AN396" s="4">
        <f t="shared" si="55"/>
        <v>2.3980815347721821E-3</v>
      </c>
      <c r="AO396" s="3"/>
      <c r="AP396">
        <v>0</v>
      </c>
      <c r="AR396" t="s">
        <v>1</v>
      </c>
      <c r="AT396" s="2" t="s">
        <v>0</v>
      </c>
      <c r="AU396" s="1">
        <f t="shared" si="51"/>
        <v>3.1588862008815304</v>
      </c>
      <c r="AV396" s="1">
        <f t="shared" si="52"/>
        <v>2.3248639016231554</v>
      </c>
      <c r="AW396" s="1">
        <f t="shared" si="53"/>
        <v>1.4908416023647806</v>
      </c>
    </row>
    <row r="397" spans="1:49" x14ac:dyDescent="0.2">
      <c r="A397">
        <v>395</v>
      </c>
      <c r="B397" t="s">
        <v>3198</v>
      </c>
      <c r="C397" t="s">
        <v>3197</v>
      </c>
      <c r="F397" t="s">
        <v>3196</v>
      </c>
      <c r="G397" t="s">
        <v>16</v>
      </c>
      <c r="H397" t="s">
        <v>15</v>
      </c>
      <c r="I397" t="s">
        <v>3195</v>
      </c>
      <c r="J397">
        <v>60000990</v>
      </c>
      <c r="K397" t="s">
        <v>3194</v>
      </c>
      <c r="L397" t="s">
        <v>3193</v>
      </c>
      <c r="M397" t="s">
        <v>3192</v>
      </c>
      <c r="N397">
        <v>1</v>
      </c>
      <c r="O397" t="s">
        <v>3191</v>
      </c>
      <c r="P397">
        <v>6506761034</v>
      </c>
      <c r="Q397">
        <v>60000990</v>
      </c>
      <c r="R397" s="7">
        <v>31413</v>
      </c>
      <c r="S397" s="8">
        <f t="shared" si="48"/>
        <v>1986</v>
      </c>
      <c r="T397" s="8">
        <v>1986</v>
      </c>
      <c r="U397" s="8">
        <f t="shared" si="49"/>
        <v>36</v>
      </c>
      <c r="V397" s="7" t="s">
        <v>3037</v>
      </c>
      <c r="W397" s="11" t="s">
        <v>1017</v>
      </c>
      <c r="X397" s="2">
        <v>2.383</v>
      </c>
      <c r="Y397" s="6">
        <f t="shared" si="54"/>
        <v>6.3612824003630442E-2</v>
      </c>
      <c r="AA397" t="s">
        <v>1016</v>
      </c>
      <c r="AB397">
        <v>101151</v>
      </c>
      <c r="AD397" t="s">
        <v>5</v>
      </c>
      <c r="AE397">
        <v>133</v>
      </c>
      <c r="AF397">
        <v>3</v>
      </c>
      <c r="AH397" t="s">
        <v>3190</v>
      </c>
      <c r="AI397" t="s">
        <v>3189</v>
      </c>
      <c r="AK397" t="s">
        <v>3188</v>
      </c>
      <c r="AL397">
        <v>3</v>
      </c>
      <c r="AM397" s="5">
        <f t="shared" si="50"/>
        <v>8.3333333333333329E-2</v>
      </c>
      <c r="AN397" s="4">
        <f t="shared" si="55"/>
        <v>1.2621481761958852E-4</v>
      </c>
      <c r="AO397" s="3"/>
      <c r="AP397">
        <v>0</v>
      </c>
      <c r="AR397" t="s">
        <v>1</v>
      </c>
      <c r="AT397" s="2" t="s">
        <v>0</v>
      </c>
      <c r="AU397" s="1">
        <f t="shared" si="51"/>
        <v>4.4566841247827185</v>
      </c>
      <c r="AV397" s="1">
        <f t="shared" si="52"/>
        <v>3.1869519410625013</v>
      </c>
      <c r="AW397" s="1">
        <f t="shared" si="53"/>
        <v>1.9172197573422847</v>
      </c>
    </row>
    <row r="398" spans="1:49" x14ac:dyDescent="0.2">
      <c r="A398">
        <v>396</v>
      </c>
      <c r="B398" t="s">
        <v>3187</v>
      </c>
      <c r="C398" t="s">
        <v>3186</v>
      </c>
      <c r="F398" t="s">
        <v>3185</v>
      </c>
      <c r="G398" t="s">
        <v>16</v>
      </c>
      <c r="H398" t="s">
        <v>15</v>
      </c>
      <c r="I398" t="s">
        <v>3184</v>
      </c>
      <c r="J398">
        <v>60009037</v>
      </c>
      <c r="K398" t="s">
        <v>1642</v>
      </c>
      <c r="L398" t="s">
        <v>1641</v>
      </c>
      <c r="M398" t="s">
        <v>114</v>
      </c>
      <c r="N398">
        <v>3</v>
      </c>
      <c r="O398" t="s">
        <v>3183</v>
      </c>
      <c r="P398" t="s">
        <v>3182</v>
      </c>
      <c r="Q398" t="s">
        <v>1638</v>
      </c>
      <c r="R398" s="7">
        <v>31413</v>
      </c>
      <c r="S398" s="8">
        <f t="shared" si="48"/>
        <v>1986</v>
      </c>
      <c r="T398" s="8">
        <v>1986</v>
      </c>
      <c r="U398" s="8">
        <f t="shared" si="49"/>
        <v>36</v>
      </c>
      <c r="V398" s="7" t="s">
        <v>3037</v>
      </c>
      <c r="W398" t="s">
        <v>3181</v>
      </c>
      <c r="X398" s="2">
        <v>0.22500000000000001</v>
      </c>
      <c r="Y398" s="6">
        <f t="shared" si="54"/>
        <v>6.0062464963562111E-3</v>
      </c>
      <c r="AA398">
        <v>189235</v>
      </c>
      <c r="AB398">
        <v>17318</v>
      </c>
      <c r="AD398" t="s">
        <v>5</v>
      </c>
      <c r="AE398">
        <v>23</v>
      </c>
      <c r="AF398">
        <v>6</v>
      </c>
      <c r="AH398" t="s">
        <v>3180</v>
      </c>
      <c r="AI398" t="s">
        <v>3179</v>
      </c>
      <c r="AK398" t="s">
        <v>3178</v>
      </c>
      <c r="AL398">
        <v>1</v>
      </c>
      <c r="AM398" s="5">
        <f t="shared" si="50"/>
        <v>2.7777777777777776E-2</v>
      </c>
      <c r="AN398" s="4">
        <f t="shared" si="55"/>
        <v>4.2071605873196175E-5</v>
      </c>
      <c r="AO398" s="3"/>
      <c r="AP398">
        <v>0</v>
      </c>
      <c r="AR398" t="s">
        <v>1</v>
      </c>
      <c r="AT398" s="2">
        <v>2.875</v>
      </c>
      <c r="AU398" s="1">
        <f t="shared" si="51"/>
        <v>0.42169940292113062</v>
      </c>
      <c r="AV398" s="1">
        <f t="shared" si="52"/>
        <v>0.30241590511147037</v>
      </c>
      <c r="AW398" s="1">
        <f t="shared" si="53"/>
        <v>0.18313240730181005</v>
      </c>
    </row>
    <row r="399" spans="1:49" x14ac:dyDescent="0.2">
      <c r="A399">
        <v>397</v>
      </c>
      <c r="B399" t="s">
        <v>3177</v>
      </c>
      <c r="C399" t="s">
        <v>3176</v>
      </c>
      <c r="F399" t="s">
        <v>3175</v>
      </c>
      <c r="G399" t="s">
        <v>16</v>
      </c>
      <c r="H399" t="s">
        <v>15</v>
      </c>
      <c r="I399" t="s">
        <v>3174</v>
      </c>
      <c r="J399">
        <v>60009697</v>
      </c>
      <c r="K399" t="s">
        <v>1131</v>
      </c>
      <c r="L399" t="s">
        <v>1140</v>
      </c>
      <c r="M399" t="s">
        <v>616</v>
      </c>
      <c r="N399">
        <v>2</v>
      </c>
      <c r="O399" t="s">
        <v>3173</v>
      </c>
      <c r="P399" t="s">
        <v>3172</v>
      </c>
      <c r="Q399" t="s">
        <v>1564</v>
      </c>
      <c r="R399" s="7">
        <v>31413</v>
      </c>
      <c r="S399" s="8">
        <f t="shared" si="48"/>
        <v>1986</v>
      </c>
      <c r="T399" s="8">
        <v>1986</v>
      </c>
      <c r="U399" s="8">
        <f t="shared" si="49"/>
        <v>36</v>
      </c>
      <c r="V399" s="7" t="s">
        <v>3037</v>
      </c>
      <c r="W399" t="s">
        <v>1562</v>
      </c>
      <c r="X399" s="2" t="s">
        <v>0</v>
      </c>
      <c r="Y399" s="6" t="e">
        <f t="shared" si="54"/>
        <v>#VALUE!</v>
      </c>
      <c r="AA399">
        <v>84204</v>
      </c>
      <c r="AB399">
        <v>27420</v>
      </c>
      <c r="AD399" t="s">
        <v>5</v>
      </c>
      <c r="AE399">
        <v>64</v>
      </c>
      <c r="AF399">
        <v>6</v>
      </c>
      <c r="AH399" t="s">
        <v>3171</v>
      </c>
      <c r="AI399" t="s">
        <v>3170</v>
      </c>
      <c r="AK399" t="s">
        <v>3169</v>
      </c>
      <c r="AL399">
        <v>4</v>
      </c>
      <c r="AM399" s="5">
        <f t="shared" si="50"/>
        <v>0.1111111111111111</v>
      </c>
      <c r="AN399" s="4">
        <f t="shared" si="55"/>
        <v>1.682864234927847E-4</v>
      </c>
      <c r="AO399" s="3"/>
      <c r="AP399">
        <v>0</v>
      </c>
      <c r="AR399" t="s">
        <v>1</v>
      </c>
      <c r="AT399" s="2">
        <v>1.24</v>
      </c>
      <c r="AU399" s="1" t="e">
        <f t="shared" si="51"/>
        <v>#VALUE!</v>
      </c>
      <c r="AV399" s="1" t="e">
        <f t="shared" si="52"/>
        <v>#VALUE!</v>
      </c>
      <c r="AW399" s="1" t="e">
        <f t="shared" si="53"/>
        <v>#VALUE!</v>
      </c>
    </row>
    <row r="400" spans="1:49" x14ac:dyDescent="0.2">
      <c r="A400">
        <v>398</v>
      </c>
      <c r="B400" t="s">
        <v>3168</v>
      </c>
      <c r="C400" t="s">
        <v>3167</v>
      </c>
      <c r="F400" t="s">
        <v>3166</v>
      </c>
      <c r="G400" t="s">
        <v>16</v>
      </c>
      <c r="H400" t="s">
        <v>15</v>
      </c>
      <c r="I400" t="s">
        <v>3165</v>
      </c>
      <c r="J400" t="s">
        <v>3164</v>
      </c>
      <c r="K400" t="s">
        <v>3163</v>
      </c>
      <c r="L400" t="s">
        <v>3162</v>
      </c>
      <c r="M400" t="s">
        <v>783</v>
      </c>
      <c r="N400">
        <v>3</v>
      </c>
      <c r="O400" t="s">
        <v>3161</v>
      </c>
      <c r="P400" t="s">
        <v>3160</v>
      </c>
      <c r="Q400" t="s">
        <v>3159</v>
      </c>
      <c r="R400" s="7">
        <v>31413</v>
      </c>
      <c r="S400" s="8">
        <f t="shared" si="48"/>
        <v>1986</v>
      </c>
      <c r="T400" s="8">
        <v>1986</v>
      </c>
      <c r="U400" s="8">
        <f t="shared" si="49"/>
        <v>36</v>
      </c>
      <c r="V400" s="7">
        <v>31564</v>
      </c>
      <c r="W400" t="s">
        <v>153</v>
      </c>
      <c r="X400" s="2">
        <v>1.6519999999999999</v>
      </c>
      <c r="Y400" s="6">
        <f t="shared" si="54"/>
        <v>4.409919649769093E-2</v>
      </c>
      <c r="AA400" t="s">
        <v>152</v>
      </c>
      <c r="AB400">
        <v>17337</v>
      </c>
      <c r="AC400">
        <v>15582221</v>
      </c>
      <c r="AD400" t="s">
        <v>5</v>
      </c>
      <c r="AE400">
        <v>34</v>
      </c>
      <c r="AF400">
        <v>6</v>
      </c>
      <c r="AH400" t="s">
        <v>3158</v>
      </c>
      <c r="AI400" t="s">
        <v>3157</v>
      </c>
      <c r="AK400" t="s">
        <v>3156</v>
      </c>
      <c r="AL400">
        <v>273</v>
      </c>
      <c r="AM400" s="5">
        <f t="shared" si="50"/>
        <v>7.583333333333333</v>
      </c>
      <c r="AN400" s="4">
        <f t="shared" si="55"/>
        <v>1.1485548403382556E-2</v>
      </c>
      <c r="AO400" s="3"/>
      <c r="AP400">
        <v>0</v>
      </c>
      <c r="AR400" t="s">
        <v>1</v>
      </c>
      <c r="AT400" s="2" t="s">
        <v>0</v>
      </c>
      <c r="AU400" s="1">
        <f t="shared" si="51"/>
        <v>3.4315102069398415</v>
      </c>
      <c r="AV400" s="1">
        <f t="shared" si="52"/>
        <v>2.7792372450536744</v>
      </c>
      <c r="AW400" s="1">
        <f t="shared" si="53"/>
        <v>2.1269642831675069</v>
      </c>
    </row>
    <row r="401" spans="1:49" x14ac:dyDescent="0.2">
      <c r="A401">
        <v>399</v>
      </c>
      <c r="B401" t="s">
        <v>3155</v>
      </c>
      <c r="C401" t="s">
        <v>3154</v>
      </c>
      <c r="F401" t="s">
        <v>3153</v>
      </c>
      <c r="G401" t="s">
        <v>16</v>
      </c>
      <c r="H401" t="s">
        <v>15</v>
      </c>
      <c r="I401" t="s">
        <v>3152</v>
      </c>
      <c r="J401">
        <v>60025757</v>
      </c>
      <c r="K401" t="s">
        <v>3151</v>
      </c>
      <c r="L401" t="s">
        <v>3150</v>
      </c>
      <c r="M401" t="s">
        <v>336</v>
      </c>
      <c r="N401">
        <v>3</v>
      </c>
      <c r="O401" t="s">
        <v>3149</v>
      </c>
      <c r="P401" t="s">
        <v>3148</v>
      </c>
      <c r="Q401" t="s">
        <v>3147</v>
      </c>
      <c r="R401" s="7">
        <v>31413</v>
      </c>
      <c r="S401" s="8">
        <f t="shared" si="48"/>
        <v>1986</v>
      </c>
      <c r="T401" s="8">
        <v>1986</v>
      </c>
      <c r="U401" s="8">
        <f t="shared" si="49"/>
        <v>36</v>
      </c>
      <c r="V401" s="7">
        <v>31564</v>
      </c>
      <c r="W401" t="s">
        <v>153</v>
      </c>
      <c r="X401" s="2">
        <v>1.6519999999999999</v>
      </c>
      <c r="Y401" s="6">
        <f t="shared" si="54"/>
        <v>4.409919649769093E-2</v>
      </c>
      <c r="AA401" t="s">
        <v>152</v>
      </c>
      <c r="AB401">
        <v>17337</v>
      </c>
      <c r="AC401">
        <v>15582221</v>
      </c>
      <c r="AD401" t="s">
        <v>5</v>
      </c>
      <c r="AE401">
        <v>34</v>
      </c>
      <c r="AF401">
        <v>6</v>
      </c>
      <c r="AH401" t="s">
        <v>3146</v>
      </c>
      <c r="AI401" t="s">
        <v>3145</v>
      </c>
      <c r="AK401" t="s">
        <v>3144</v>
      </c>
      <c r="AL401">
        <v>5</v>
      </c>
      <c r="AM401" s="5">
        <f t="shared" si="50"/>
        <v>0.1388888888888889</v>
      </c>
      <c r="AN401" s="4">
        <f t="shared" si="55"/>
        <v>2.103580293659809E-4</v>
      </c>
      <c r="AO401" s="3"/>
      <c r="AP401">
        <v>0</v>
      </c>
      <c r="AR401" t="s">
        <v>1</v>
      </c>
      <c r="AT401" s="2" t="s">
        <v>0</v>
      </c>
      <c r="AU401" s="1">
        <f t="shared" si="51"/>
        <v>3.0932544957193446</v>
      </c>
      <c r="AV401" s="1">
        <f t="shared" si="52"/>
        <v>2.2154777263528458</v>
      </c>
      <c r="AW401" s="1">
        <f t="shared" si="53"/>
        <v>1.3377009569863465</v>
      </c>
    </row>
    <row r="402" spans="1:49" x14ac:dyDescent="0.2">
      <c r="A402">
        <v>400</v>
      </c>
      <c r="B402" t="s">
        <v>3143</v>
      </c>
      <c r="C402" t="s">
        <v>3142</v>
      </c>
      <c r="F402" t="s">
        <v>3141</v>
      </c>
      <c r="G402" t="s">
        <v>16</v>
      </c>
      <c r="H402" t="s">
        <v>15</v>
      </c>
      <c r="I402" t="s">
        <v>3140</v>
      </c>
      <c r="J402">
        <v>60005510</v>
      </c>
      <c r="K402" t="s">
        <v>3139</v>
      </c>
      <c r="L402" t="s">
        <v>3138</v>
      </c>
      <c r="M402" t="s">
        <v>3137</v>
      </c>
      <c r="N402">
        <v>2</v>
      </c>
      <c r="O402" t="s">
        <v>3136</v>
      </c>
      <c r="P402" t="s">
        <v>3135</v>
      </c>
      <c r="Q402" t="s">
        <v>3134</v>
      </c>
      <c r="R402" s="7">
        <v>31413</v>
      </c>
      <c r="S402" s="8">
        <f t="shared" si="48"/>
        <v>1986</v>
      </c>
      <c r="T402" s="8">
        <v>1986</v>
      </c>
      <c r="U402" s="8">
        <f t="shared" si="49"/>
        <v>36</v>
      </c>
      <c r="V402" s="7" t="s">
        <v>3037</v>
      </c>
      <c r="W402" s="11" t="s">
        <v>1017</v>
      </c>
      <c r="X402" s="2">
        <v>2.383</v>
      </c>
      <c r="Y402" s="6">
        <f t="shared" si="54"/>
        <v>6.3612824003630442E-2</v>
      </c>
      <c r="AA402" t="s">
        <v>1016</v>
      </c>
      <c r="AB402">
        <v>101151</v>
      </c>
      <c r="AD402" t="s">
        <v>5</v>
      </c>
      <c r="AE402">
        <v>133</v>
      </c>
      <c r="AF402">
        <v>3</v>
      </c>
      <c r="AH402" t="s">
        <v>3133</v>
      </c>
      <c r="AI402" t="s">
        <v>3132</v>
      </c>
      <c r="AK402" t="s">
        <v>3131</v>
      </c>
      <c r="AL402">
        <v>2</v>
      </c>
      <c r="AM402" s="5">
        <f t="shared" si="50"/>
        <v>5.5555555555555552E-2</v>
      </c>
      <c r="AN402" s="4">
        <f t="shared" si="55"/>
        <v>8.4143211746392349E-5</v>
      </c>
      <c r="AO402" s="3"/>
      <c r="AP402">
        <v>0</v>
      </c>
      <c r="AR402" t="s">
        <v>1</v>
      </c>
      <c r="AT402" s="2" t="s">
        <v>0</v>
      </c>
      <c r="AU402" s="1">
        <f t="shared" si="51"/>
        <v>4.4554219766065222</v>
      </c>
      <c r="AV402" s="1">
        <f t="shared" si="52"/>
        <v>3.1848483607688416</v>
      </c>
      <c r="AW402" s="1">
        <f t="shared" si="53"/>
        <v>1.9142747449311608</v>
      </c>
    </row>
    <row r="403" spans="1:49" x14ac:dyDescent="0.2">
      <c r="A403">
        <v>401</v>
      </c>
      <c r="B403" t="s">
        <v>3130</v>
      </c>
      <c r="C403" t="s">
        <v>3129</v>
      </c>
      <c r="F403" t="s">
        <v>3128</v>
      </c>
      <c r="G403" t="s">
        <v>16</v>
      </c>
      <c r="H403" t="s">
        <v>15</v>
      </c>
      <c r="I403" t="s">
        <v>3127</v>
      </c>
      <c r="J403">
        <v>60025272</v>
      </c>
      <c r="K403" t="s">
        <v>887</v>
      </c>
      <c r="L403" t="s">
        <v>886</v>
      </c>
      <c r="M403" t="s">
        <v>71</v>
      </c>
      <c r="N403">
        <v>3</v>
      </c>
      <c r="O403" t="s">
        <v>3126</v>
      </c>
      <c r="P403" t="s">
        <v>3125</v>
      </c>
      <c r="Q403" t="s">
        <v>2309</v>
      </c>
      <c r="R403" s="7">
        <v>31413</v>
      </c>
      <c r="S403" s="8">
        <f t="shared" ref="S403:S466" si="56">YEAR(R403)</f>
        <v>1986</v>
      </c>
      <c r="T403" s="8">
        <v>1986</v>
      </c>
      <c r="U403" s="8">
        <f t="shared" ref="U403:U466" si="57">2022-T403</f>
        <v>36</v>
      </c>
      <c r="V403" s="7">
        <v>31564</v>
      </c>
      <c r="W403" t="s">
        <v>153</v>
      </c>
      <c r="X403" s="2">
        <v>1.6519999999999999</v>
      </c>
      <c r="Y403" s="6">
        <f t="shared" si="54"/>
        <v>4.409919649769093E-2</v>
      </c>
      <c r="AA403" t="s">
        <v>152</v>
      </c>
      <c r="AB403">
        <v>17337</v>
      </c>
      <c r="AC403">
        <v>15582221</v>
      </c>
      <c r="AD403" t="s">
        <v>5</v>
      </c>
      <c r="AE403">
        <v>34</v>
      </c>
      <c r="AF403">
        <v>6</v>
      </c>
      <c r="AH403" t="s">
        <v>3124</v>
      </c>
      <c r="AI403" t="s">
        <v>3123</v>
      </c>
      <c r="AK403" t="s">
        <v>3122</v>
      </c>
      <c r="AL403">
        <v>14</v>
      </c>
      <c r="AM403" s="5">
        <f t="shared" ref="AM403:AM466" si="58">AL403/U403</f>
        <v>0.3888888888888889</v>
      </c>
      <c r="AN403" s="4">
        <f t="shared" si="55"/>
        <v>5.890024822247465E-4</v>
      </c>
      <c r="AO403" s="3"/>
      <c r="AP403">
        <v>0</v>
      </c>
      <c r="AR403" t="s">
        <v>1</v>
      </c>
      <c r="AT403" s="2" t="s">
        <v>0</v>
      </c>
      <c r="AU403" s="1">
        <f t="shared" ref="AU403:AU466" si="59">(Y403*0.7+AN403*0.3)*100</f>
        <v>3.1046138293051073</v>
      </c>
      <c r="AV403" s="1">
        <f t="shared" ref="AV403:AV466" si="60">(Y403*0.5+AN403*0.5)*100</f>
        <v>2.2344099489957836</v>
      </c>
      <c r="AW403" s="1">
        <f t="shared" ref="AW403:AW466" si="61">(Y403*0.3+AN403*0.7)*100</f>
        <v>1.3642060686864601</v>
      </c>
    </row>
    <row r="404" spans="1:49" x14ac:dyDescent="0.2">
      <c r="A404">
        <v>402</v>
      </c>
      <c r="B404" t="s">
        <v>3121</v>
      </c>
      <c r="C404" t="s">
        <v>3120</v>
      </c>
      <c r="F404" t="s">
        <v>3119</v>
      </c>
      <c r="G404" t="s">
        <v>16</v>
      </c>
      <c r="H404" t="s">
        <v>15</v>
      </c>
      <c r="I404" t="s">
        <v>3118</v>
      </c>
      <c r="J404">
        <v>60031126</v>
      </c>
      <c r="K404" t="s">
        <v>2435</v>
      </c>
      <c r="L404" t="s">
        <v>886</v>
      </c>
      <c r="M404" t="s">
        <v>71</v>
      </c>
      <c r="N404">
        <v>3</v>
      </c>
      <c r="O404" t="s">
        <v>3117</v>
      </c>
      <c r="P404" t="s">
        <v>3116</v>
      </c>
      <c r="Q404" t="s">
        <v>3115</v>
      </c>
      <c r="R404" s="7">
        <v>31413</v>
      </c>
      <c r="S404" s="8">
        <f t="shared" si="56"/>
        <v>1986</v>
      </c>
      <c r="T404" s="8">
        <v>1986</v>
      </c>
      <c r="U404" s="8">
        <f t="shared" si="57"/>
        <v>36</v>
      </c>
      <c r="V404" s="7" t="s">
        <v>3037</v>
      </c>
      <c r="W404" s="11" t="s">
        <v>1017</v>
      </c>
      <c r="X404" s="2">
        <v>2.383</v>
      </c>
      <c r="Y404" s="6">
        <f t="shared" si="54"/>
        <v>6.3612824003630442E-2</v>
      </c>
      <c r="AA404" t="s">
        <v>1016</v>
      </c>
      <c r="AB404">
        <v>101151</v>
      </c>
      <c r="AD404" t="s">
        <v>5</v>
      </c>
      <c r="AE404">
        <v>133</v>
      </c>
      <c r="AF404">
        <v>3</v>
      </c>
      <c r="AH404" t="s">
        <v>3114</v>
      </c>
      <c r="AI404" t="s">
        <v>3113</v>
      </c>
      <c r="AK404" t="s">
        <v>3112</v>
      </c>
      <c r="AL404">
        <v>11</v>
      </c>
      <c r="AM404" s="5">
        <f t="shared" si="58"/>
        <v>0.30555555555555558</v>
      </c>
      <c r="AN404" s="4">
        <f t="shared" si="55"/>
        <v>4.62787664605158E-4</v>
      </c>
      <c r="AO404" s="3"/>
      <c r="AP404">
        <v>0</v>
      </c>
      <c r="AR404" t="s">
        <v>1</v>
      </c>
      <c r="AT404" s="2" t="s">
        <v>0</v>
      </c>
      <c r="AU404" s="1">
        <f t="shared" si="59"/>
        <v>4.4667813101922862</v>
      </c>
      <c r="AV404" s="1">
        <f t="shared" si="60"/>
        <v>3.2037805834117798</v>
      </c>
      <c r="AW404" s="1">
        <f t="shared" si="61"/>
        <v>1.9407798566312744</v>
      </c>
    </row>
    <row r="405" spans="1:49" x14ac:dyDescent="0.2">
      <c r="A405">
        <v>403</v>
      </c>
      <c r="B405" t="s">
        <v>3111</v>
      </c>
      <c r="C405" t="s">
        <v>3110</v>
      </c>
      <c r="F405" t="s">
        <v>3109</v>
      </c>
      <c r="G405" t="s">
        <v>16</v>
      </c>
      <c r="H405" t="s">
        <v>15</v>
      </c>
      <c r="I405" t="s">
        <v>161</v>
      </c>
      <c r="J405" t="s">
        <v>160</v>
      </c>
      <c r="K405" t="s">
        <v>159</v>
      </c>
      <c r="L405" t="s">
        <v>158</v>
      </c>
      <c r="M405" t="s">
        <v>157</v>
      </c>
      <c r="N405">
        <v>5</v>
      </c>
      <c r="O405" t="s">
        <v>3108</v>
      </c>
      <c r="P405" t="s">
        <v>3107</v>
      </c>
      <c r="Q405" t="s">
        <v>3106</v>
      </c>
      <c r="R405" s="7">
        <v>31413</v>
      </c>
      <c r="S405" s="8">
        <f t="shared" si="56"/>
        <v>1986</v>
      </c>
      <c r="T405" s="8">
        <v>1986</v>
      </c>
      <c r="U405" s="8">
        <f t="shared" si="57"/>
        <v>36</v>
      </c>
      <c r="V405" s="7">
        <v>31564</v>
      </c>
      <c r="W405" t="s">
        <v>153</v>
      </c>
      <c r="X405" s="2">
        <v>1.6519999999999999</v>
      </c>
      <c r="Y405" s="6">
        <f t="shared" si="54"/>
        <v>4.409919649769093E-2</v>
      </c>
      <c r="AA405" t="s">
        <v>152</v>
      </c>
      <c r="AB405">
        <v>17337</v>
      </c>
      <c r="AC405">
        <v>15582221</v>
      </c>
      <c r="AD405" t="s">
        <v>5</v>
      </c>
      <c r="AE405">
        <v>34</v>
      </c>
      <c r="AF405">
        <v>6</v>
      </c>
      <c r="AH405" t="s">
        <v>3105</v>
      </c>
      <c r="AI405" t="s">
        <v>3104</v>
      </c>
      <c r="AK405" t="s">
        <v>3103</v>
      </c>
      <c r="AL405">
        <v>187</v>
      </c>
      <c r="AM405" s="5">
        <f t="shared" si="58"/>
        <v>5.1944444444444446</v>
      </c>
      <c r="AN405" s="4">
        <f t="shared" si="55"/>
        <v>7.8673902982876864E-3</v>
      </c>
      <c r="AO405" s="3"/>
      <c r="AP405">
        <v>0</v>
      </c>
      <c r="AR405" t="s">
        <v>1</v>
      </c>
      <c r="AT405" s="2" t="s">
        <v>0</v>
      </c>
      <c r="AU405" s="1">
        <f t="shared" si="59"/>
        <v>3.3229654637869954</v>
      </c>
      <c r="AV405" s="1">
        <f t="shared" si="60"/>
        <v>2.5983293397989309</v>
      </c>
      <c r="AW405" s="1">
        <f t="shared" si="61"/>
        <v>1.8736932158108659</v>
      </c>
    </row>
    <row r="406" spans="1:49" x14ac:dyDescent="0.2">
      <c r="A406">
        <v>404</v>
      </c>
      <c r="B406" t="s">
        <v>3102</v>
      </c>
      <c r="C406" t="s">
        <v>3101</v>
      </c>
      <c r="F406" t="s">
        <v>3100</v>
      </c>
      <c r="G406" t="s">
        <v>16</v>
      </c>
      <c r="H406" t="s">
        <v>15</v>
      </c>
      <c r="I406" t="s">
        <v>3099</v>
      </c>
      <c r="J406">
        <v>60021988</v>
      </c>
      <c r="K406" t="s">
        <v>3098</v>
      </c>
      <c r="L406" t="s">
        <v>3097</v>
      </c>
      <c r="M406" t="s">
        <v>336</v>
      </c>
      <c r="N406">
        <v>2</v>
      </c>
      <c r="O406" t="s">
        <v>3096</v>
      </c>
      <c r="P406" t="s">
        <v>3095</v>
      </c>
      <c r="Q406" t="s">
        <v>3094</v>
      </c>
      <c r="R406" s="7">
        <v>31413</v>
      </c>
      <c r="S406" s="8">
        <f t="shared" si="56"/>
        <v>1986</v>
      </c>
      <c r="T406" s="8">
        <v>1986</v>
      </c>
      <c r="U406" s="8">
        <f t="shared" si="57"/>
        <v>36</v>
      </c>
      <c r="V406" s="7" t="s">
        <v>3037</v>
      </c>
      <c r="W406" t="s">
        <v>3093</v>
      </c>
      <c r="X406" s="2">
        <v>0.82</v>
      </c>
      <c r="Y406" s="6">
        <f t="shared" si="54"/>
        <v>2.1889431675609299E-2</v>
      </c>
      <c r="AA406">
        <v>189456</v>
      </c>
      <c r="AB406">
        <v>15361</v>
      </c>
      <c r="AD406" t="s">
        <v>5</v>
      </c>
      <c r="AE406" t="s">
        <v>3092</v>
      </c>
      <c r="AF406">
        <v>2</v>
      </c>
      <c r="AH406" t="s">
        <v>3091</v>
      </c>
      <c r="AI406" t="s">
        <v>3090</v>
      </c>
      <c r="AK406" t="s">
        <v>3089</v>
      </c>
      <c r="AL406">
        <v>0</v>
      </c>
      <c r="AM406" s="5">
        <f t="shared" si="58"/>
        <v>0</v>
      </c>
      <c r="AN406" s="4">
        <f t="shared" si="55"/>
        <v>0</v>
      </c>
      <c r="AO406" s="3"/>
      <c r="AP406">
        <v>0</v>
      </c>
      <c r="AR406" t="s">
        <v>1</v>
      </c>
      <c r="AT406" s="2" t="s">
        <v>0</v>
      </c>
      <c r="AU406" s="1">
        <f t="shared" si="59"/>
        <v>1.5322602172926507</v>
      </c>
      <c r="AV406" s="1">
        <f t="shared" si="60"/>
        <v>1.0944715837804648</v>
      </c>
      <c r="AW406" s="1">
        <f t="shared" si="61"/>
        <v>0.65668295026827894</v>
      </c>
    </row>
    <row r="407" spans="1:49" x14ac:dyDescent="0.2">
      <c r="A407">
        <v>405</v>
      </c>
      <c r="B407" t="s">
        <v>3088</v>
      </c>
      <c r="C407" t="s">
        <v>3087</v>
      </c>
      <c r="F407" t="s">
        <v>3086</v>
      </c>
      <c r="G407" t="s">
        <v>16</v>
      </c>
      <c r="H407" t="s">
        <v>15</v>
      </c>
      <c r="I407" t="s">
        <v>1579</v>
      </c>
      <c r="J407">
        <v>60019702</v>
      </c>
      <c r="K407" t="s">
        <v>1578</v>
      </c>
      <c r="L407" t="s">
        <v>1577</v>
      </c>
      <c r="M407" t="s">
        <v>665</v>
      </c>
      <c r="N407">
        <v>3</v>
      </c>
      <c r="O407" t="s">
        <v>3085</v>
      </c>
      <c r="P407" t="s">
        <v>3084</v>
      </c>
      <c r="Q407" t="s">
        <v>1574</v>
      </c>
      <c r="R407" s="7">
        <v>31413</v>
      </c>
      <c r="S407" s="8">
        <f t="shared" si="56"/>
        <v>1986</v>
      </c>
      <c r="T407" s="8">
        <v>1986</v>
      </c>
      <c r="U407" s="8">
        <f t="shared" si="57"/>
        <v>36</v>
      </c>
      <c r="V407" s="7" t="s">
        <v>3037</v>
      </c>
      <c r="W407" s="11" t="s">
        <v>1017</v>
      </c>
      <c r="X407" s="2">
        <v>2.383</v>
      </c>
      <c r="Y407" s="6">
        <f t="shared" si="54"/>
        <v>6.3612824003630442E-2</v>
      </c>
      <c r="AA407" t="s">
        <v>1016</v>
      </c>
      <c r="AB407">
        <v>101151</v>
      </c>
      <c r="AD407" t="s">
        <v>5</v>
      </c>
      <c r="AE407">
        <v>133</v>
      </c>
      <c r="AF407">
        <v>3</v>
      </c>
      <c r="AH407" t="s">
        <v>3083</v>
      </c>
      <c r="AI407" t="s">
        <v>3082</v>
      </c>
      <c r="AK407" t="s">
        <v>3081</v>
      </c>
      <c r="AL407">
        <v>6</v>
      </c>
      <c r="AM407" s="5">
        <f t="shared" si="58"/>
        <v>0.16666666666666666</v>
      </c>
      <c r="AN407" s="4">
        <f t="shared" si="55"/>
        <v>2.5242963523917705E-4</v>
      </c>
      <c r="AO407" s="3"/>
      <c r="AP407">
        <v>0</v>
      </c>
      <c r="AR407" t="s">
        <v>1</v>
      </c>
      <c r="AT407" s="2" t="s">
        <v>0</v>
      </c>
      <c r="AU407" s="1">
        <f t="shared" si="59"/>
        <v>4.4604705693113065</v>
      </c>
      <c r="AV407" s="1">
        <f t="shared" si="60"/>
        <v>3.1932626819434811</v>
      </c>
      <c r="AW407" s="1">
        <f t="shared" si="61"/>
        <v>1.9260547945756556</v>
      </c>
    </row>
    <row r="408" spans="1:49" x14ac:dyDescent="0.2">
      <c r="A408">
        <v>406</v>
      </c>
      <c r="B408" t="s">
        <v>3080</v>
      </c>
      <c r="C408" t="s">
        <v>3079</v>
      </c>
      <c r="F408" t="s">
        <v>3078</v>
      </c>
      <c r="G408" t="s">
        <v>16</v>
      </c>
      <c r="H408" t="s">
        <v>15</v>
      </c>
      <c r="I408" t="s">
        <v>3077</v>
      </c>
      <c r="J408">
        <v>60025779</v>
      </c>
      <c r="K408" t="s">
        <v>3076</v>
      </c>
      <c r="L408" t="s">
        <v>3075</v>
      </c>
      <c r="M408" t="s">
        <v>665</v>
      </c>
      <c r="N408">
        <v>2</v>
      </c>
      <c r="O408" t="s">
        <v>3074</v>
      </c>
      <c r="P408" t="s">
        <v>3073</v>
      </c>
      <c r="Q408" t="s">
        <v>3072</v>
      </c>
      <c r="R408" s="7">
        <v>31413</v>
      </c>
      <c r="S408" s="8">
        <f t="shared" si="56"/>
        <v>1986</v>
      </c>
      <c r="T408" s="8">
        <v>1986</v>
      </c>
      <c r="U408" s="8">
        <f t="shared" si="57"/>
        <v>36</v>
      </c>
      <c r="V408" s="7" t="s">
        <v>3071</v>
      </c>
      <c r="W408" t="s">
        <v>921</v>
      </c>
      <c r="X408" s="2" t="s">
        <v>0</v>
      </c>
      <c r="Y408" s="6" t="e">
        <f t="shared" si="54"/>
        <v>#VALUE!</v>
      </c>
      <c r="AA408">
        <v>2671689</v>
      </c>
      <c r="AB408">
        <v>87645</v>
      </c>
      <c r="AD408" t="s">
        <v>5</v>
      </c>
      <c r="AE408">
        <v>56</v>
      </c>
      <c r="AF408" s="9">
        <v>44383</v>
      </c>
      <c r="AH408" t="s">
        <v>3070</v>
      </c>
      <c r="AI408" t="s">
        <v>3069</v>
      </c>
      <c r="AK408" t="s">
        <v>3068</v>
      </c>
      <c r="AL408">
        <v>1</v>
      </c>
      <c r="AM408" s="5">
        <f t="shared" si="58"/>
        <v>2.7777777777777776E-2</v>
      </c>
      <c r="AN408" s="4">
        <f t="shared" si="55"/>
        <v>4.2071605873196175E-5</v>
      </c>
      <c r="AO408" s="3"/>
      <c r="AP408">
        <v>0</v>
      </c>
      <c r="AR408" t="s">
        <v>1</v>
      </c>
      <c r="AT408" s="2" t="s">
        <v>0</v>
      </c>
      <c r="AU408" s="1" t="e">
        <f t="shared" si="59"/>
        <v>#VALUE!</v>
      </c>
      <c r="AV408" s="1" t="e">
        <f t="shared" si="60"/>
        <v>#VALUE!</v>
      </c>
      <c r="AW408" s="1" t="e">
        <f t="shared" si="61"/>
        <v>#VALUE!</v>
      </c>
    </row>
    <row r="409" spans="1:49" x14ac:dyDescent="0.2">
      <c r="A409">
        <v>407</v>
      </c>
      <c r="B409" t="s">
        <v>3067</v>
      </c>
      <c r="C409" t="s">
        <v>3066</v>
      </c>
      <c r="F409" t="s">
        <v>3065</v>
      </c>
      <c r="G409" t="s">
        <v>16</v>
      </c>
      <c r="H409" t="s">
        <v>15</v>
      </c>
      <c r="I409" t="s">
        <v>3064</v>
      </c>
      <c r="J409">
        <v>60029470</v>
      </c>
      <c r="K409" t="s">
        <v>3063</v>
      </c>
      <c r="L409" t="s">
        <v>3062</v>
      </c>
      <c r="M409" t="s">
        <v>1409</v>
      </c>
      <c r="N409">
        <v>1</v>
      </c>
      <c r="O409" t="s">
        <v>3061</v>
      </c>
      <c r="P409">
        <v>7202832083</v>
      </c>
      <c r="Q409">
        <v>60029470</v>
      </c>
      <c r="R409" s="7">
        <v>31413</v>
      </c>
      <c r="S409" s="8">
        <f t="shared" si="56"/>
        <v>1986</v>
      </c>
      <c r="T409" s="8">
        <v>1986</v>
      </c>
      <c r="U409" s="8">
        <f t="shared" si="57"/>
        <v>36</v>
      </c>
      <c r="V409" s="7">
        <v>1986</v>
      </c>
      <c r="W409" t="s">
        <v>580</v>
      </c>
      <c r="X409" s="2">
        <v>0.375</v>
      </c>
      <c r="Y409" s="6">
        <f t="shared" si="54"/>
        <v>1.0010410827260351E-2</v>
      </c>
      <c r="AA409">
        <v>135194</v>
      </c>
      <c r="AB409">
        <v>24918</v>
      </c>
      <c r="AD409" t="s">
        <v>5</v>
      </c>
      <c r="AE409">
        <v>22</v>
      </c>
      <c r="AF409">
        <v>13</v>
      </c>
      <c r="AH409" t="s">
        <v>3060</v>
      </c>
      <c r="AI409" t="s">
        <v>3059</v>
      </c>
      <c r="AJ409" t="s">
        <v>3058</v>
      </c>
      <c r="AK409" t="s">
        <v>3057</v>
      </c>
      <c r="AL409">
        <v>1</v>
      </c>
      <c r="AM409" s="5">
        <f t="shared" si="58"/>
        <v>2.7777777777777776E-2</v>
      </c>
      <c r="AN409" s="4">
        <f t="shared" si="55"/>
        <v>4.2071605873196175E-5</v>
      </c>
      <c r="AO409" s="3"/>
      <c r="AP409">
        <v>0</v>
      </c>
      <c r="AR409" t="s">
        <v>1</v>
      </c>
      <c r="AT409" s="2">
        <v>1.3140000000000001</v>
      </c>
      <c r="AU409" s="1">
        <f t="shared" si="59"/>
        <v>0.70199090608442039</v>
      </c>
      <c r="AV409" s="1">
        <f t="shared" si="60"/>
        <v>0.50262412165667736</v>
      </c>
      <c r="AW409" s="1">
        <f t="shared" si="61"/>
        <v>0.30325733722893422</v>
      </c>
    </row>
    <row r="410" spans="1:49" x14ac:dyDescent="0.2">
      <c r="A410">
        <v>408</v>
      </c>
      <c r="B410" t="s">
        <v>3056</v>
      </c>
      <c r="C410" t="s">
        <v>3055</v>
      </c>
      <c r="F410" t="s">
        <v>3054</v>
      </c>
      <c r="G410" t="s">
        <v>16</v>
      </c>
      <c r="H410" t="s">
        <v>15</v>
      </c>
      <c r="I410" t="s">
        <v>3053</v>
      </c>
      <c r="N410">
        <v>3</v>
      </c>
      <c r="O410" t="s">
        <v>3052</v>
      </c>
      <c r="P410" t="s">
        <v>3051</v>
      </c>
      <c r="Q410" t="s">
        <v>295</v>
      </c>
      <c r="R410" s="7">
        <v>31413</v>
      </c>
      <c r="S410" s="8">
        <f t="shared" si="56"/>
        <v>1986</v>
      </c>
      <c r="T410" s="8">
        <v>1986</v>
      </c>
      <c r="U410" s="8">
        <f t="shared" si="57"/>
        <v>36</v>
      </c>
      <c r="V410" s="7">
        <v>1986</v>
      </c>
      <c r="W410" t="s">
        <v>580</v>
      </c>
      <c r="X410" s="2">
        <v>0.375</v>
      </c>
      <c r="Y410" s="6">
        <f t="shared" si="54"/>
        <v>1.0010410827260351E-2</v>
      </c>
      <c r="AA410">
        <v>135194</v>
      </c>
      <c r="AB410">
        <v>24918</v>
      </c>
      <c r="AD410" t="s">
        <v>5</v>
      </c>
      <c r="AE410">
        <v>22</v>
      </c>
      <c r="AF410">
        <v>13</v>
      </c>
      <c r="AH410" t="s">
        <v>3050</v>
      </c>
      <c r="AI410" t="s">
        <v>3049</v>
      </c>
      <c r="AJ410" t="s">
        <v>3048</v>
      </c>
      <c r="AK410" t="s">
        <v>3047</v>
      </c>
      <c r="AL410">
        <v>0</v>
      </c>
      <c r="AM410" s="5">
        <f t="shared" si="58"/>
        <v>0</v>
      </c>
      <c r="AN410" s="4">
        <f t="shared" si="55"/>
        <v>0</v>
      </c>
      <c r="AO410" s="3"/>
      <c r="AP410">
        <v>0</v>
      </c>
      <c r="AR410" t="s">
        <v>1</v>
      </c>
      <c r="AT410" s="2">
        <v>1.3140000000000001</v>
      </c>
      <c r="AU410" s="1">
        <f t="shared" si="59"/>
        <v>0.70072875790822453</v>
      </c>
      <c r="AV410" s="1">
        <f t="shared" si="60"/>
        <v>0.5005205413630176</v>
      </c>
      <c r="AW410" s="1">
        <f t="shared" si="61"/>
        <v>0.30031232481781051</v>
      </c>
    </row>
    <row r="411" spans="1:49" x14ac:dyDescent="0.2">
      <c r="A411">
        <v>409</v>
      </c>
      <c r="B411" t="s">
        <v>3046</v>
      </c>
      <c r="C411" t="s">
        <v>3045</v>
      </c>
      <c r="F411" t="s">
        <v>3044</v>
      </c>
      <c r="G411" t="s">
        <v>16</v>
      </c>
      <c r="H411" t="s">
        <v>15</v>
      </c>
      <c r="I411" t="s">
        <v>3043</v>
      </c>
      <c r="J411">
        <v>60021097</v>
      </c>
      <c r="K411" t="s">
        <v>3042</v>
      </c>
      <c r="L411" t="s">
        <v>3041</v>
      </c>
      <c r="M411" t="s">
        <v>665</v>
      </c>
      <c r="N411">
        <v>2</v>
      </c>
      <c r="O411" t="s">
        <v>3040</v>
      </c>
      <c r="P411" t="s">
        <v>3039</v>
      </c>
      <c r="Q411" t="s">
        <v>3038</v>
      </c>
      <c r="R411" s="7">
        <v>31413</v>
      </c>
      <c r="S411" s="8">
        <f t="shared" si="56"/>
        <v>1986</v>
      </c>
      <c r="T411" s="8">
        <v>1986</v>
      </c>
      <c r="U411" s="8">
        <f t="shared" si="57"/>
        <v>36</v>
      </c>
      <c r="V411" s="7" t="s">
        <v>3037</v>
      </c>
      <c r="W411" s="11" t="s">
        <v>1017</v>
      </c>
      <c r="X411" s="2">
        <v>2.383</v>
      </c>
      <c r="Y411" s="6">
        <f t="shared" si="54"/>
        <v>6.3612824003630442E-2</v>
      </c>
      <c r="AA411" t="s">
        <v>1016</v>
      </c>
      <c r="AB411">
        <v>101151</v>
      </c>
      <c r="AD411" t="s">
        <v>5</v>
      </c>
      <c r="AE411">
        <v>133</v>
      </c>
      <c r="AF411">
        <v>3</v>
      </c>
      <c r="AH411" t="s">
        <v>3036</v>
      </c>
      <c r="AI411" t="s">
        <v>3035</v>
      </c>
      <c r="AK411" t="s">
        <v>3034</v>
      </c>
      <c r="AL411">
        <v>1</v>
      </c>
      <c r="AM411" s="5">
        <f t="shared" si="58"/>
        <v>2.7777777777777776E-2</v>
      </c>
      <c r="AN411" s="4">
        <f t="shared" si="55"/>
        <v>4.2071605873196175E-5</v>
      </c>
      <c r="AO411" s="3"/>
      <c r="AP411">
        <v>0</v>
      </c>
      <c r="AR411" t="s">
        <v>1</v>
      </c>
      <c r="AT411" s="2" t="s">
        <v>0</v>
      </c>
      <c r="AU411" s="1">
        <f t="shared" si="59"/>
        <v>4.4541598284303268</v>
      </c>
      <c r="AV411" s="1">
        <f t="shared" si="60"/>
        <v>3.1827447804751814</v>
      </c>
      <c r="AW411" s="1">
        <f t="shared" si="61"/>
        <v>1.9113297325200371</v>
      </c>
    </row>
    <row r="412" spans="1:49" x14ac:dyDescent="0.2">
      <c r="A412">
        <v>410</v>
      </c>
      <c r="B412" t="s">
        <v>3033</v>
      </c>
      <c r="C412" t="s">
        <v>3032</v>
      </c>
      <c r="F412" t="s">
        <v>3031</v>
      </c>
      <c r="G412" t="s">
        <v>16</v>
      </c>
      <c r="H412" t="s">
        <v>15</v>
      </c>
      <c r="I412" t="s">
        <v>3030</v>
      </c>
      <c r="J412">
        <v>100329568</v>
      </c>
      <c r="K412" t="s">
        <v>3029</v>
      </c>
      <c r="L412" t="s">
        <v>3028</v>
      </c>
      <c r="M412" t="s">
        <v>533</v>
      </c>
      <c r="N412">
        <v>1</v>
      </c>
      <c r="O412" t="s">
        <v>3027</v>
      </c>
      <c r="P412">
        <v>6507529267</v>
      </c>
      <c r="Q412">
        <v>100329568</v>
      </c>
      <c r="R412" s="7">
        <v>31413</v>
      </c>
      <c r="S412" s="8">
        <f t="shared" si="56"/>
        <v>1986</v>
      </c>
      <c r="T412" s="8">
        <v>1986</v>
      </c>
      <c r="U412" s="8">
        <f t="shared" si="57"/>
        <v>36</v>
      </c>
      <c r="V412" s="7">
        <v>31564</v>
      </c>
      <c r="W412" t="s">
        <v>153</v>
      </c>
      <c r="X412" s="2">
        <v>1.6519999999999999</v>
      </c>
      <c r="Y412" s="6">
        <f t="shared" si="54"/>
        <v>4.409919649769093E-2</v>
      </c>
      <c r="AA412" t="s">
        <v>152</v>
      </c>
      <c r="AB412">
        <v>17337</v>
      </c>
      <c r="AC412">
        <v>15582221</v>
      </c>
      <c r="AD412" t="s">
        <v>5</v>
      </c>
      <c r="AE412">
        <v>34</v>
      </c>
      <c r="AF412">
        <v>6</v>
      </c>
      <c r="AH412" t="s">
        <v>3026</v>
      </c>
      <c r="AI412" t="s">
        <v>3025</v>
      </c>
      <c r="AK412" t="s">
        <v>3024</v>
      </c>
      <c r="AL412">
        <v>11</v>
      </c>
      <c r="AM412" s="5">
        <f t="shared" si="58"/>
        <v>0.30555555555555558</v>
      </c>
      <c r="AN412" s="4">
        <f t="shared" si="55"/>
        <v>4.62787664605158E-4</v>
      </c>
      <c r="AO412" s="3"/>
      <c r="AP412">
        <v>0</v>
      </c>
      <c r="AR412" t="s">
        <v>1</v>
      </c>
      <c r="AT412" s="2" t="s">
        <v>0</v>
      </c>
      <c r="AU412" s="1">
        <f t="shared" si="59"/>
        <v>3.1008273847765198</v>
      </c>
      <c r="AV412" s="1">
        <f t="shared" si="60"/>
        <v>2.2280992081148043</v>
      </c>
      <c r="AW412" s="1">
        <f t="shared" si="61"/>
        <v>1.3553710314530889</v>
      </c>
    </row>
    <row r="413" spans="1:49" x14ac:dyDescent="0.2">
      <c r="A413">
        <v>411</v>
      </c>
      <c r="B413" t="s">
        <v>3023</v>
      </c>
      <c r="C413" t="s">
        <v>3022</v>
      </c>
      <c r="D413" t="s">
        <v>3021</v>
      </c>
      <c r="E413">
        <v>11542833</v>
      </c>
      <c r="F413" t="s">
        <v>3020</v>
      </c>
      <c r="G413" t="s">
        <v>16</v>
      </c>
      <c r="H413" t="s">
        <v>15</v>
      </c>
      <c r="I413" t="s">
        <v>3019</v>
      </c>
      <c r="J413" t="s">
        <v>3018</v>
      </c>
      <c r="K413" t="s">
        <v>3017</v>
      </c>
      <c r="L413" t="s">
        <v>158</v>
      </c>
      <c r="M413" t="s">
        <v>157</v>
      </c>
      <c r="N413">
        <v>6</v>
      </c>
      <c r="O413" t="s">
        <v>3016</v>
      </c>
      <c r="P413" t="s">
        <v>3015</v>
      </c>
      <c r="Q413" t="s">
        <v>3014</v>
      </c>
      <c r="R413" s="7">
        <v>31413</v>
      </c>
      <c r="S413" s="8">
        <f t="shared" si="56"/>
        <v>1986</v>
      </c>
      <c r="T413" s="8">
        <v>1986</v>
      </c>
      <c r="U413" s="8">
        <f t="shared" si="57"/>
        <v>36</v>
      </c>
      <c r="V413" s="7" t="s">
        <v>3013</v>
      </c>
      <c r="W413" t="s">
        <v>835</v>
      </c>
      <c r="X413" s="2">
        <v>1.1339999999999999</v>
      </c>
      <c r="Y413" s="6">
        <f t="shared" si="54"/>
        <v>3.0271482341635299E-2</v>
      </c>
      <c r="AA413">
        <v>945765</v>
      </c>
      <c r="AB413">
        <v>12372</v>
      </c>
      <c r="AD413" t="s">
        <v>5</v>
      </c>
      <c r="AE413">
        <v>13</v>
      </c>
      <c r="AF413" s="9">
        <v>44383</v>
      </c>
      <c r="AH413" t="s">
        <v>3012</v>
      </c>
      <c r="AI413" t="s">
        <v>3011</v>
      </c>
      <c r="AK413" t="s">
        <v>3010</v>
      </c>
      <c r="AL413">
        <v>1</v>
      </c>
      <c r="AM413" s="5">
        <f t="shared" si="58"/>
        <v>2.7777777777777776E-2</v>
      </c>
      <c r="AN413" s="4">
        <f t="shared" si="55"/>
        <v>4.2071605873196175E-5</v>
      </c>
      <c r="AO413" s="3"/>
      <c r="AP413">
        <v>0</v>
      </c>
      <c r="AR413" t="s">
        <v>1</v>
      </c>
      <c r="AT413" s="2">
        <v>2.4129999999999998</v>
      </c>
      <c r="AU413" s="1">
        <f t="shared" si="59"/>
        <v>2.1202659120906664</v>
      </c>
      <c r="AV413" s="1">
        <f t="shared" si="60"/>
        <v>1.5156776973754247</v>
      </c>
      <c r="AW413" s="1">
        <f t="shared" si="61"/>
        <v>0.91108948266018264</v>
      </c>
    </row>
    <row r="414" spans="1:49" x14ac:dyDescent="0.2">
      <c r="A414">
        <v>412</v>
      </c>
      <c r="B414" t="s">
        <v>3009</v>
      </c>
      <c r="C414" t="s">
        <v>3008</v>
      </c>
      <c r="D414" t="s">
        <v>3007</v>
      </c>
      <c r="F414" t="s">
        <v>3006</v>
      </c>
      <c r="G414" t="s">
        <v>16</v>
      </c>
      <c r="H414" t="s">
        <v>15</v>
      </c>
      <c r="I414" t="s">
        <v>3005</v>
      </c>
      <c r="J414" t="s">
        <v>3004</v>
      </c>
      <c r="K414" t="s">
        <v>3003</v>
      </c>
      <c r="L414" t="s">
        <v>3002</v>
      </c>
      <c r="M414" t="s">
        <v>3001</v>
      </c>
      <c r="N414">
        <v>2</v>
      </c>
      <c r="O414" t="s">
        <v>3000</v>
      </c>
      <c r="P414" t="s">
        <v>2999</v>
      </c>
      <c r="Q414" t="s">
        <v>2998</v>
      </c>
      <c r="R414" s="7">
        <v>31413</v>
      </c>
      <c r="S414" s="8">
        <f t="shared" si="56"/>
        <v>1986</v>
      </c>
      <c r="T414" s="8">
        <v>1986</v>
      </c>
      <c r="U414" s="8">
        <f t="shared" si="57"/>
        <v>36</v>
      </c>
      <c r="V414" s="7">
        <v>1986</v>
      </c>
      <c r="W414" t="s">
        <v>835</v>
      </c>
      <c r="X414" s="2">
        <v>1.1339999999999999</v>
      </c>
      <c r="Y414" s="6">
        <f t="shared" si="54"/>
        <v>3.0271482341635299E-2</v>
      </c>
      <c r="AA414">
        <v>945765</v>
      </c>
      <c r="AB414">
        <v>12372</v>
      </c>
      <c r="AD414" t="s">
        <v>5</v>
      </c>
      <c r="AE414">
        <v>14</v>
      </c>
      <c r="AF414" t="s">
        <v>254</v>
      </c>
      <c r="AH414" t="s">
        <v>2997</v>
      </c>
      <c r="AI414" t="s">
        <v>2996</v>
      </c>
      <c r="AK414" t="s">
        <v>2995</v>
      </c>
      <c r="AL414">
        <v>18</v>
      </c>
      <c r="AM414" s="5">
        <f t="shared" si="58"/>
        <v>0.5</v>
      </c>
      <c r="AN414" s="4">
        <f t="shared" si="55"/>
        <v>7.572889057175312E-4</v>
      </c>
      <c r="AO414" s="3"/>
      <c r="AP414">
        <v>0</v>
      </c>
      <c r="AR414" t="s">
        <v>1</v>
      </c>
      <c r="AT414" s="2">
        <v>2.4129999999999998</v>
      </c>
      <c r="AU414" s="1">
        <f t="shared" si="59"/>
        <v>2.1417224310859968</v>
      </c>
      <c r="AV414" s="1">
        <f t="shared" si="60"/>
        <v>1.5514385623676414</v>
      </c>
      <c r="AW414" s="1">
        <f t="shared" si="61"/>
        <v>0.96115469364928607</v>
      </c>
    </row>
    <row r="415" spans="1:49" x14ac:dyDescent="0.2">
      <c r="A415">
        <v>413</v>
      </c>
      <c r="B415" t="s">
        <v>2994</v>
      </c>
      <c r="C415" t="s">
        <v>2993</v>
      </c>
      <c r="F415" t="s">
        <v>2992</v>
      </c>
      <c r="G415" t="s">
        <v>16</v>
      </c>
      <c r="H415" t="s">
        <v>15</v>
      </c>
      <c r="I415" t="s">
        <v>2991</v>
      </c>
      <c r="J415">
        <v>60010384</v>
      </c>
      <c r="K415" t="s">
        <v>2990</v>
      </c>
      <c r="L415" t="s">
        <v>2989</v>
      </c>
      <c r="M415" t="s">
        <v>114</v>
      </c>
      <c r="N415">
        <v>1</v>
      </c>
      <c r="O415" t="s">
        <v>2988</v>
      </c>
      <c r="P415">
        <v>7407085969</v>
      </c>
      <c r="Q415">
        <v>60010384</v>
      </c>
      <c r="R415" s="7">
        <v>31413</v>
      </c>
      <c r="S415" s="8">
        <f t="shared" si="56"/>
        <v>1986</v>
      </c>
      <c r="T415" s="8">
        <v>1986</v>
      </c>
      <c r="U415" s="8">
        <f t="shared" si="57"/>
        <v>36</v>
      </c>
      <c r="V415" s="7">
        <v>31533</v>
      </c>
      <c r="W415" t="s">
        <v>1344</v>
      </c>
      <c r="X415" s="2">
        <v>1.365</v>
      </c>
      <c r="Y415" s="6">
        <f t="shared" si="54"/>
        <v>3.6437895411227675E-2</v>
      </c>
      <c r="AA415">
        <v>189545</v>
      </c>
      <c r="AB415">
        <v>17393</v>
      </c>
      <c r="AC415">
        <v>19399359</v>
      </c>
      <c r="AD415" t="s">
        <v>5</v>
      </c>
      <c r="AE415">
        <v>35</v>
      </c>
      <c r="AF415">
        <v>2</v>
      </c>
      <c r="AH415" t="s">
        <v>2987</v>
      </c>
      <c r="AI415" t="s">
        <v>2986</v>
      </c>
      <c r="AK415" t="s">
        <v>2985</v>
      </c>
      <c r="AL415">
        <v>109</v>
      </c>
      <c r="AM415" s="5">
        <f t="shared" si="58"/>
        <v>3.0277777777777777</v>
      </c>
      <c r="AN415" s="4">
        <f t="shared" si="55"/>
        <v>4.5858050401783833E-3</v>
      </c>
      <c r="AO415" s="3"/>
      <c r="AP415">
        <v>0</v>
      </c>
      <c r="AR415" t="s">
        <v>1</v>
      </c>
      <c r="AT415" s="2" t="s">
        <v>0</v>
      </c>
      <c r="AU415" s="1">
        <f t="shared" si="59"/>
        <v>2.6882268299912884</v>
      </c>
      <c r="AV415" s="1">
        <f t="shared" si="60"/>
        <v>2.0511850225703032</v>
      </c>
      <c r="AW415" s="1">
        <f t="shared" si="61"/>
        <v>1.414143215149317</v>
      </c>
    </row>
    <row r="416" spans="1:49" x14ac:dyDescent="0.2">
      <c r="A416">
        <v>414</v>
      </c>
      <c r="B416" t="s">
        <v>2984</v>
      </c>
      <c r="C416" t="s">
        <v>2983</v>
      </c>
      <c r="F416" t="s">
        <v>2982</v>
      </c>
      <c r="G416" t="s">
        <v>16</v>
      </c>
      <c r="H416" t="s">
        <v>15</v>
      </c>
      <c r="I416" t="s">
        <v>2981</v>
      </c>
      <c r="J416">
        <v>60077231</v>
      </c>
      <c r="K416" t="s">
        <v>2980</v>
      </c>
      <c r="L416" t="s">
        <v>234</v>
      </c>
      <c r="M416" t="s">
        <v>114</v>
      </c>
      <c r="N416">
        <v>1</v>
      </c>
      <c r="O416" t="s">
        <v>2979</v>
      </c>
      <c r="P416">
        <v>7403730116</v>
      </c>
      <c r="Q416">
        <v>60077231</v>
      </c>
      <c r="R416" s="7">
        <v>31413</v>
      </c>
      <c r="S416" s="8">
        <f t="shared" si="56"/>
        <v>1986</v>
      </c>
      <c r="T416" s="8">
        <v>1986</v>
      </c>
      <c r="U416" s="8">
        <f t="shared" si="57"/>
        <v>36</v>
      </c>
      <c r="V416" s="7" t="s">
        <v>2490</v>
      </c>
      <c r="W416" t="s">
        <v>2844</v>
      </c>
      <c r="X416" s="2">
        <v>0.76700000000000002</v>
      </c>
      <c r="Y416" s="6">
        <f t="shared" si="54"/>
        <v>2.0474626945356504E-2</v>
      </c>
      <c r="AA416">
        <v>983063</v>
      </c>
      <c r="AB416">
        <v>26048</v>
      </c>
      <c r="AD416" t="s">
        <v>5</v>
      </c>
      <c r="AE416" t="s">
        <v>2843</v>
      </c>
      <c r="AF416">
        <v>2</v>
      </c>
      <c r="AH416" t="s">
        <v>2978</v>
      </c>
      <c r="AI416" t="s">
        <v>2977</v>
      </c>
      <c r="AK416" t="s">
        <v>2976</v>
      </c>
      <c r="AL416">
        <v>0</v>
      </c>
      <c r="AM416" s="5">
        <f t="shared" si="58"/>
        <v>0</v>
      </c>
      <c r="AN416" s="4">
        <f t="shared" si="55"/>
        <v>0</v>
      </c>
      <c r="AO416" s="3"/>
      <c r="AP416">
        <v>0</v>
      </c>
      <c r="AR416" t="s">
        <v>1</v>
      </c>
      <c r="AT416" s="2" t="s">
        <v>0</v>
      </c>
      <c r="AU416" s="1">
        <f t="shared" si="59"/>
        <v>1.4332238861749553</v>
      </c>
      <c r="AV416" s="1">
        <f t="shared" si="60"/>
        <v>1.0237313472678251</v>
      </c>
      <c r="AW416" s="1">
        <f t="shared" si="61"/>
        <v>0.61423880836069511</v>
      </c>
    </row>
    <row r="417" spans="1:49" x14ac:dyDescent="0.2">
      <c r="A417">
        <v>415</v>
      </c>
      <c r="B417" t="s">
        <v>2975</v>
      </c>
      <c r="C417" t="s">
        <v>2974</v>
      </c>
      <c r="F417" t="s">
        <v>2973</v>
      </c>
      <c r="G417" t="s">
        <v>16</v>
      </c>
      <c r="H417" t="s">
        <v>15</v>
      </c>
      <c r="I417" t="s">
        <v>2972</v>
      </c>
      <c r="J417" t="s">
        <v>2971</v>
      </c>
      <c r="K417" t="s">
        <v>2970</v>
      </c>
      <c r="L417" t="s">
        <v>2969</v>
      </c>
      <c r="M417" t="s">
        <v>2609</v>
      </c>
      <c r="N417">
        <v>4</v>
      </c>
      <c r="O417" t="s">
        <v>2968</v>
      </c>
      <c r="P417" t="s">
        <v>2967</v>
      </c>
      <c r="Q417" t="s">
        <v>2966</v>
      </c>
      <c r="R417" s="7">
        <v>31413</v>
      </c>
      <c r="S417" s="8">
        <f t="shared" si="56"/>
        <v>1986</v>
      </c>
      <c r="T417" s="8">
        <v>1986</v>
      </c>
      <c r="U417" s="8">
        <f t="shared" si="57"/>
        <v>36</v>
      </c>
      <c r="V417" s="7">
        <v>31533</v>
      </c>
      <c r="W417" t="s">
        <v>6</v>
      </c>
      <c r="X417" s="2">
        <v>1.3720000000000001</v>
      </c>
      <c r="Y417" s="6">
        <f t="shared" si="54"/>
        <v>3.662475641333654E-2</v>
      </c>
      <c r="AA417">
        <v>189480</v>
      </c>
      <c r="AB417">
        <v>17366</v>
      </c>
      <c r="AC417">
        <v>15579670</v>
      </c>
      <c r="AD417" t="s">
        <v>5</v>
      </c>
      <c r="AE417">
        <v>34</v>
      </c>
      <c r="AF417">
        <v>5</v>
      </c>
      <c r="AH417" t="s">
        <v>2965</v>
      </c>
      <c r="AI417" t="s">
        <v>2964</v>
      </c>
      <c r="AK417" t="s">
        <v>2963</v>
      </c>
      <c r="AL417">
        <v>10</v>
      </c>
      <c r="AM417" s="5">
        <f t="shared" si="58"/>
        <v>0.27777777777777779</v>
      </c>
      <c r="AN417" s="4">
        <f t="shared" si="55"/>
        <v>4.207160587319618E-4</v>
      </c>
      <c r="AO417" s="3"/>
      <c r="AP417">
        <v>0</v>
      </c>
      <c r="AR417" t="s">
        <v>1</v>
      </c>
      <c r="AT417" s="2" t="s">
        <v>0</v>
      </c>
      <c r="AU417" s="1">
        <f t="shared" si="59"/>
        <v>2.5763544306955164</v>
      </c>
      <c r="AV417" s="1">
        <f t="shared" si="60"/>
        <v>1.8522736236034252</v>
      </c>
      <c r="AW417" s="1">
        <f t="shared" si="61"/>
        <v>1.1281928165113335</v>
      </c>
    </row>
    <row r="418" spans="1:49" x14ac:dyDescent="0.2">
      <c r="A418">
        <v>416</v>
      </c>
      <c r="B418" t="s">
        <v>2962</v>
      </c>
      <c r="C418" t="s">
        <v>2961</v>
      </c>
      <c r="F418" t="s">
        <v>2960</v>
      </c>
      <c r="G418" t="s">
        <v>16</v>
      </c>
      <c r="H418" t="s">
        <v>15</v>
      </c>
      <c r="I418" t="s">
        <v>2959</v>
      </c>
      <c r="J418">
        <v>60023053</v>
      </c>
      <c r="K418" t="s">
        <v>606</v>
      </c>
      <c r="L418" t="s">
        <v>605</v>
      </c>
      <c r="M418" t="s">
        <v>114</v>
      </c>
      <c r="N418">
        <v>1</v>
      </c>
      <c r="O418" t="s">
        <v>2958</v>
      </c>
      <c r="P418">
        <v>56050028200</v>
      </c>
      <c r="Q418">
        <v>60023053</v>
      </c>
      <c r="R418" s="7">
        <v>31413</v>
      </c>
      <c r="S418" s="8">
        <f t="shared" si="56"/>
        <v>1986</v>
      </c>
      <c r="T418" s="8">
        <v>1986</v>
      </c>
      <c r="U418" s="8">
        <f t="shared" si="57"/>
        <v>36</v>
      </c>
      <c r="V418" s="7" t="s">
        <v>2490</v>
      </c>
      <c r="W418" t="s">
        <v>1288</v>
      </c>
      <c r="X418" s="2">
        <v>0.65500000000000003</v>
      </c>
      <c r="Y418" s="6">
        <f t="shared" si="54"/>
        <v>1.7484850911614749E-2</v>
      </c>
      <c r="AA418">
        <v>189375</v>
      </c>
      <c r="AB418">
        <v>26051</v>
      </c>
      <c r="AD418" t="s">
        <v>5</v>
      </c>
      <c r="AE418" t="s">
        <v>1287</v>
      </c>
      <c r="AF418">
        <v>2</v>
      </c>
      <c r="AH418" t="s">
        <v>2957</v>
      </c>
      <c r="AI418" t="s">
        <v>2956</v>
      </c>
      <c r="AK418" t="s">
        <v>2955</v>
      </c>
      <c r="AL418">
        <v>5</v>
      </c>
      <c r="AM418" s="5">
        <f t="shared" si="58"/>
        <v>0.1388888888888889</v>
      </c>
      <c r="AN418" s="4">
        <f t="shared" si="55"/>
        <v>2.103580293659809E-4</v>
      </c>
      <c r="AO418" s="3"/>
      <c r="AP418">
        <v>0</v>
      </c>
      <c r="AR418" t="s">
        <v>1</v>
      </c>
      <c r="AT418" s="2" t="s">
        <v>0</v>
      </c>
      <c r="AU418" s="1">
        <f t="shared" si="59"/>
        <v>1.2302503046940119</v>
      </c>
      <c r="AV418" s="1">
        <f t="shared" si="60"/>
        <v>0.88476044704903645</v>
      </c>
      <c r="AW418" s="1">
        <f t="shared" si="61"/>
        <v>0.53927058940406114</v>
      </c>
    </row>
    <row r="419" spans="1:49" x14ac:dyDescent="0.2">
      <c r="A419">
        <v>417</v>
      </c>
      <c r="B419" t="s">
        <v>2954</v>
      </c>
      <c r="C419" t="s">
        <v>2953</v>
      </c>
      <c r="F419" t="s">
        <v>2952</v>
      </c>
      <c r="G419" t="s">
        <v>16</v>
      </c>
      <c r="H419" t="s">
        <v>15</v>
      </c>
      <c r="I419" t="s">
        <v>2725</v>
      </c>
      <c r="J419" t="s">
        <v>2951</v>
      </c>
      <c r="K419" t="s">
        <v>2950</v>
      </c>
      <c r="L419" t="s">
        <v>2949</v>
      </c>
      <c r="M419" t="s">
        <v>157</v>
      </c>
      <c r="N419">
        <v>4</v>
      </c>
      <c r="O419" t="s">
        <v>2948</v>
      </c>
      <c r="P419" t="s">
        <v>2947</v>
      </c>
      <c r="Q419" t="s">
        <v>2946</v>
      </c>
      <c r="R419" s="7">
        <v>31413</v>
      </c>
      <c r="S419" s="8">
        <f t="shared" si="56"/>
        <v>1986</v>
      </c>
      <c r="T419" s="8">
        <v>1986</v>
      </c>
      <c r="U419" s="8">
        <f t="shared" si="57"/>
        <v>36</v>
      </c>
      <c r="V419" s="7">
        <v>31533</v>
      </c>
      <c r="W419" t="s">
        <v>6</v>
      </c>
      <c r="X419" s="2">
        <v>1.3720000000000001</v>
      </c>
      <c r="Y419" s="6">
        <f t="shared" si="54"/>
        <v>3.662475641333654E-2</v>
      </c>
      <c r="AA419">
        <v>189480</v>
      </c>
      <c r="AB419">
        <v>17366</v>
      </c>
      <c r="AC419">
        <v>15579670</v>
      </c>
      <c r="AD419" t="s">
        <v>5</v>
      </c>
      <c r="AE419">
        <v>34</v>
      </c>
      <c r="AF419">
        <v>5</v>
      </c>
      <c r="AH419" t="s">
        <v>2945</v>
      </c>
      <c r="AI419" t="s">
        <v>2944</v>
      </c>
      <c r="AK419" t="s">
        <v>2943</v>
      </c>
      <c r="AL419">
        <v>27</v>
      </c>
      <c r="AM419" s="5">
        <f t="shared" si="58"/>
        <v>0.75</v>
      </c>
      <c r="AN419" s="4">
        <f t="shared" si="55"/>
        <v>1.1359333585762969E-3</v>
      </c>
      <c r="AO419" s="3"/>
      <c r="AP419">
        <v>0</v>
      </c>
      <c r="AR419" t="s">
        <v>1</v>
      </c>
      <c r="AT419" s="2" t="s">
        <v>0</v>
      </c>
      <c r="AU419" s="1">
        <f t="shared" si="59"/>
        <v>2.5978109496908464</v>
      </c>
      <c r="AV419" s="1">
        <f t="shared" si="60"/>
        <v>1.8880344885956419</v>
      </c>
      <c r="AW419" s="1">
        <f t="shared" si="61"/>
        <v>1.1782580275004371</v>
      </c>
    </row>
    <row r="420" spans="1:49" x14ac:dyDescent="0.2">
      <c r="A420">
        <v>418</v>
      </c>
      <c r="B420" t="s">
        <v>2942</v>
      </c>
      <c r="C420" t="s">
        <v>2941</v>
      </c>
      <c r="F420" t="s">
        <v>2940</v>
      </c>
      <c r="G420" t="s">
        <v>16</v>
      </c>
      <c r="H420" t="s">
        <v>15</v>
      </c>
      <c r="I420" t="s">
        <v>2939</v>
      </c>
      <c r="J420">
        <v>60030443</v>
      </c>
      <c r="K420" t="s">
        <v>2671</v>
      </c>
      <c r="L420" t="s">
        <v>2670</v>
      </c>
      <c r="M420" t="s">
        <v>114</v>
      </c>
      <c r="N420">
        <v>6</v>
      </c>
      <c r="O420" t="s">
        <v>2938</v>
      </c>
      <c r="P420" t="s">
        <v>2937</v>
      </c>
      <c r="Q420" t="s">
        <v>2936</v>
      </c>
      <c r="R420" s="7">
        <v>31413</v>
      </c>
      <c r="S420" s="8">
        <f t="shared" si="56"/>
        <v>1986</v>
      </c>
      <c r="T420" s="8">
        <v>1986</v>
      </c>
      <c r="U420" s="8">
        <f t="shared" si="57"/>
        <v>36</v>
      </c>
      <c r="V420" s="7">
        <v>31533</v>
      </c>
      <c r="W420" t="s">
        <v>6</v>
      </c>
      <c r="X420" s="2">
        <v>1.3720000000000001</v>
      </c>
      <c r="Y420" s="6">
        <f t="shared" si="54"/>
        <v>3.662475641333654E-2</v>
      </c>
      <c r="AA420">
        <v>189480</v>
      </c>
      <c r="AB420">
        <v>17366</v>
      </c>
      <c r="AC420">
        <v>15579670</v>
      </c>
      <c r="AD420" t="s">
        <v>5</v>
      </c>
      <c r="AE420">
        <v>34</v>
      </c>
      <c r="AF420">
        <v>5</v>
      </c>
      <c r="AH420" t="s">
        <v>2935</v>
      </c>
      <c r="AI420" t="s">
        <v>2934</v>
      </c>
      <c r="AK420" t="s">
        <v>2933</v>
      </c>
      <c r="AL420">
        <v>32</v>
      </c>
      <c r="AM420" s="5">
        <f t="shared" si="58"/>
        <v>0.88888888888888884</v>
      </c>
      <c r="AN420" s="4">
        <f t="shared" si="55"/>
        <v>1.3462913879422776E-3</v>
      </c>
      <c r="AO420" s="3"/>
      <c r="AP420">
        <v>0</v>
      </c>
      <c r="AR420" t="s">
        <v>1</v>
      </c>
      <c r="AT420" s="2" t="s">
        <v>0</v>
      </c>
      <c r="AU420" s="1">
        <f t="shared" si="59"/>
        <v>2.6041216905718261</v>
      </c>
      <c r="AV420" s="1">
        <f t="shared" si="60"/>
        <v>1.8985523900639407</v>
      </c>
      <c r="AW420" s="1">
        <f t="shared" si="61"/>
        <v>1.1929830895560556</v>
      </c>
    </row>
    <row r="421" spans="1:49" x14ac:dyDescent="0.2">
      <c r="A421">
        <v>419</v>
      </c>
      <c r="B421" t="s">
        <v>2932</v>
      </c>
      <c r="C421" t="s">
        <v>2931</v>
      </c>
      <c r="F421" t="s">
        <v>2930</v>
      </c>
      <c r="G421" t="s">
        <v>16</v>
      </c>
      <c r="H421" t="s">
        <v>15</v>
      </c>
      <c r="I421" t="s">
        <v>2929</v>
      </c>
      <c r="J421">
        <v>60016983</v>
      </c>
      <c r="K421" t="s">
        <v>2928</v>
      </c>
      <c r="L421" t="s">
        <v>2927</v>
      </c>
      <c r="M421" t="s">
        <v>616</v>
      </c>
      <c r="N421">
        <v>2</v>
      </c>
      <c r="O421" t="s">
        <v>2926</v>
      </c>
      <c r="P421" t="s">
        <v>2925</v>
      </c>
      <c r="Q421" t="s">
        <v>2924</v>
      </c>
      <c r="R421" s="7">
        <v>31413</v>
      </c>
      <c r="S421" s="8">
        <f t="shared" si="56"/>
        <v>1986</v>
      </c>
      <c r="T421" s="8">
        <v>1986</v>
      </c>
      <c r="U421" s="8">
        <f t="shared" si="57"/>
        <v>36</v>
      </c>
      <c r="V421" s="7">
        <v>31533</v>
      </c>
      <c r="W421" t="s">
        <v>153</v>
      </c>
      <c r="X421" s="2">
        <v>1.6519999999999999</v>
      </c>
      <c r="Y421" s="6">
        <f t="shared" si="54"/>
        <v>4.409919649769093E-2</v>
      </c>
      <c r="AA421" t="s">
        <v>152</v>
      </c>
      <c r="AB421">
        <v>17337</v>
      </c>
      <c r="AC421">
        <v>15582221</v>
      </c>
      <c r="AD421" t="s">
        <v>5</v>
      </c>
      <c r="AE421">
        <v>34</v>
      </c>
      <c r="AF421">
        <v>5</v>
      </c>
      <c r="AH421" t="s">
        <v>2923</v>
      </c>
      <c r="AI421" t="s">
        <v>2922</v>
      </c>
      <c r="AK421" t="s">
        <v>2921</v>
      </c>
      <c r="AL421">
        <v>8</v>
      </c>
      <c r="AM421" s="5">
        <f t="shared" si="58"/>
        <v>0.22222222222222221</v>
      </c>
      <c r="AN421" s="4">
        <f t="shared" si="55"/>
        <v>3.365728469855694E-4</v>
      </c>
      <c r="AO421" s="3"/>
      <c r="AP421">
        <v>0</v>
      </c>
      <c r="AR421" t="s">
        <v>1</v>
      </c>
      <c r="AT421" s="2" t="s">
        <v>0</v>
      </c>
      <c r="AU421" s="1">
        <f t="shared" si="59"/>
        <v>3.0970409402479322</v>
      </c>
      <c r="AV421" s="1">
        <f t="shared" si="60"/>
        <v>2.2217884672338251</v>
      </c>
      <c r="AW421" s="1">
        <f t="shared" si="61"/>
        <v>1.3465359942197175</v>
      </c>
    </row>
    <row r="422" spans="1:49" x14ac:dyDescent="0.2">
      <c r="A422">
        <v>420</v>
      </c>
      <c r="B422" t="s">
        <v>2920</v>
      </c>
      <c r="C422" t="s">
        <v>2919</v>
      </c>
      <c r="F422" t="s">
        <v>2918</v>
      </c>
      <c r="G422" t="s">
        <v>16</v>
      </c>
      <c r="H422" t="s">
        <v>15</v>
      </c>
      <c r="I422" t="s">
        <v>747</v>
      </c>
      <c r="J422">
        <v>109541487</v>
      </c>
      <c r="K422" t="s">
        <v>746</v>
      </c>
      <c r="L422" t="s">
        <v>745</v>
      </c>
      <c r="M422" t="s">
        <v>114</v>
      </c>
      <c r="N422">
        <v>1</v>
      </c>
      <c r="O422" t="s">
        <v>744</v>
      </c>
      <c r="P422">
        <v>7005431123</v>
      </c>
      <c r="Q422">
        <v>109541487</v>
      </c>
      <c r="R422" s="7">
        <v>31413</v>
      </c>
      <c r="S422" s="8">
        <f t="shared" si="56"/>
        <v>1986</v>
      </c>
      <c r="T422" s="8">
        <v>1986</v>
      </c>
      <c r="U422" s="8">
        <f t="shared" si="57"/>
        <v>36</v>
      </c>
      <c r="V422" s="7">
        <v>31533</v>
      </c>
      <c r="W422" t="s">
        <v>1805</v>
      </c>
      <c r="X422" s="2">
        <v>2.141</v>
      </c>
      <c r="Y422" s="6">
        <f t="shared" si="54"/>
        <v>5.7152772216438434E-2</v>
      </c>
      <c r="AA422">
        <v>1962892</v>
      </c>
      <c r="AB422">
        <v>17360</v>
      </c>
      <c r="AC422">
        <v>15580644</v>
      </c>
      <c r="AD422" t="s">
        <v>5</v>
      </c>
      <c r="AE422" t="s">
        <v>1804</v>
      </c>
      <c r="AF422">
        <v>3</v>
      </c>
      <c r="AH422" t="s">
        <v>2917</v>
      </c>
      <c r="AI422" t="s">
        <v>2916</v>
      </c>
      <c r="AK422" t="s">
        <v>2915</v>
      </c>
      <c r="AL422">
        <v>4</v>
      </c>
      <c r="AM422" s="5">
        <f t="shared" si="58"/>
        <v>0.1111111111111111</v>
      </c>
      <c r="AN422" s="4">
        <f t="shared" si="55"/>
        <v>1.682864234927847E-4</v>
      </c>
      <c r="AO422" s="3"/>
      <c r="AP422">
        <v>0</v>
      </c>
      <c r="AR422" t="s">
        <v>1</v>
      </c>
      <c r="AT422" s="2" t="s">
        <v>0</v>
      </c>
      <c r="AU422" s="1">
        <f t="shared" si="59"/>
        <v>4.0057426478554738</v>
      </c>
      <c r="AV422" s="1">
        <f t="shared" si="60"/>
        <v>2.8660529319965611</v>
      </c>
      <c r="AW422" s="1">
        <f t="shared" si="61"/>
        <v>1.7263632161376479</v>
      </c>
    </row>
    <row r="423" spans="1:49" x14ac:dyDescent="0.2">
      <c r="A423">
        <v>421</v>
      </c>
      <c r="B423" t="s">
        <v>2914</v>
      </c>
      <c r="C423" t="s">
        <v>2913</v>
      </c>
      <c r="F423" t="s">
        <v>2912</v>
      </c>
      <c r="G423" t="s">
        <v>16</v>
      </c>
      <c r="H423" t="s">
        <v>15</v>
      </c>
      <c r="I423" t="s">
        <v>2911</v>
      </c>
      <c r="J423">
        <v>60014256</v>
      </c>
      <c r="K423" t="s">
        <v>2910</v>
      </c>
      <c r="L423" t="s">
        <v>2909</v>
      </c>
      <c r="M423" t="s">
        <v>71</v>
      </c>
      <c r="N423">
        <v>3</v>
      </c>
      <c r="O423" t="s">
        <v>2908</v>
      </c>
      <c r="P423" t="s">
        <v>2907</v>
      </c>
      <c r="Q423" t="s">
        <v>2906</v>
      </c>
      <c r="R423" s="7">
        <v>31413</v>
      </c>
      <c r="S423" s="8">
        <f t="shared" si="56"/>
        <v>1986</v>
      </c>
      <c r="T423" s="8">
        <v>1986</v>
      </c>
      <c r="U423" s="8">
        <f t="shared" si="57"/>
        <v>36</v>
      </c>
      <c r="V423" s="7">
        <v>31533</v>
      </c>
      <c r="W423" t="s">
        <v>153</v>
      </c>
      <c r="X423" s="2">
        <v>1.6519999999999999</v>
      </c>
      <c r="Y423" s="6">
        <f t="shared" si="54"/>
        <v>4.409919649769093E-2</v>
      </c>
      <c r="AA423" t="s">
        <v>152</v>
      </c>
      <c r="AB423">
        <v>17337</v>
      </c>
      <c r="AC423">
        <v>15582221</v>
      </c>
      <c r="AD423" t="s">
        <v>5</v>
      </c>
      <c r="AE423">
        <v>34</v>
      </c>
      <c r="AF423">
        <v>5</v>
      </c>
      <c r="AH423" t="s">
        <v>2905</v>
      </c>
      <c r="AI423" t="s">
        <v>2904</v>
      </c>
      <c r="AK423" t="s">
        <v>2903</v>
      </c>
      <c r="AL423">
        <v>5</v>
      </c>
      <c r="AM423" s="5">
        <f t="shared" si="58"/>
        <v>0.1388888888888889</v>
      </c>
      <c r="AN423" s="4">
        <f t="shared" si="55"/>
        <v>2.103580293659809E-4</v>
      </c>
      <c r="AO423" s="3"/>
      <c r="AP423">
        <v>0</v>
      </c>
      <c r="AR423" t="s">
        <v>1</v>
      </c>
      <c r="AT423" s="2" t="s">
        <v>0</v>
      </c>
      <c r="AU423" s="1">
        <f t="shared" si="59"/>
        <v>3.0932544957193446</v>
      </c>
      <c r="AV423" s="1">
        <f t="shared" si="60"/>
        <v>2.2154777263528458</v>
      </c>
      <c r="AW423" s="1">
        <f t="shared" si="61"/>
        <v>1.3377009569863465</v>
      </c>
    </row>
    <row r="424" spans="1:49" x14ac:dyDescent="0.2">
      <c r="A424">
        <v>422</v>
      </c>
      <c r="B424" t="s">
        <v>2902</v>
      </c>
      <c r="C424" t="s">
        <v>2901</v>
      </c>
      <c r="F424" t="s">
        <v>2900</v>
      </c>
      <c r="G424" t="s">
        <v>16</v>
      </c>
      <c r="H424" t="s">
        <v>15</v>
      </c>
      <c r="I424" t="s">
        <v>2899</v>
      </c>
      <c r="J424" t="s">
        <v>2898</v>
      </c>
      <c r="K424" t="s">
        <v>2897</v>
      </c>
      <c r="L424" t="s">
        <v>2896</v>
      </c>
      <c r="M424" t="s">
        <v>783</v>
      </c>
      <c r="N424">
        <v>3</v>
      </c>
      <c r="O424" t="s">
        <v>2895</v>
      </c>
      <c r="P424" t="s">
        <v>2894</v>
      </c>
      <c r="Q424" t="s">
        <v>2893</v>
      </c>
      <c r="R424" s="7">
        <v>31413</v>
      </c>
      <c r="S424" s="8">
        <f t="shared" si="56"/>
        <v>1986</v>
      </c>
      <c r="T424" s="8">
        <v>1986</v>
      </c>
      <c r="U424" s="8">
        <f t="shared" si="57"/>
        <v>36</v>
      </c>
      <c r="V424" s="7">
        <v>31533</v>
      </c>
      <c r="W424" t="s">
        <v>6</v>
      </c>
      <c r="X424" s="2">
        <v>1.3720000000000001</v>
      </c>
      <c r="Y424" s="6">
        <f t="shared" si="54"/>
        <v>3.662475641333654E-2</v>
      </c>
      <c r="AA424">
        <v>189480</v>
      </c>
      <c r="AB424">
        <v>17366</v>
      </c>
      <c r="AC424">
        <v>15579670</v>
      </c>
      <c r="AD424" t="s">
        <v>5</v>
      </c>
      <c r="AE424">
        <v>34</v>
      </c>
      <c r="AF424">
        <v>5</v>
      </c>
      <c r="AH424" t="s">
        <v>2892</v>
      </c>
      <c r="AI424" t="s">
        <v>2891</v>
      </c>
      <c r="AK424" t="s">
        <v>2890</v>
      </c>
      <c r="AL424">
        <v>16</v>
      </c>
      <c r="AM424" s="5">
        <f t="shared" si="58"/>
        <v>0.44444444444444442</v>
      </c>
      <c r="AN424" s="4">
        <f t="shared" si="55"/>
        <v>6.7314569397113879E-4</v>
      </c>
      <c r="AO424" s="3"/>
      <c r="AP424">
        <v>0</v>
      </c>
      <c r="AR424" t="s">
        <v>1</v>
      </c>
      <c r="AT424" s="2" t="s">
        <v>0</v>
      </c>
      <c r="AU424" s="1">
        <f t="shared" si="59"/>
        <v>2.583927319752692</v>
      </c>
      <c r="AV424" s="1">
        <f t="shared" si="60"/>
        <v>1.8648951053653839</v>
      </c>
      <c r="AW424" s="1">
        <f t="shared" si="61"/>
        <v>1.1458628909780759</v>
      </c>
    </row>
    <row r="425" spans="1:49" x14ac:dyDescent="0.2">
      <c r="A425">
        <v>423</v>
      </c>
      <c r="B425" t="s">
        <v>2889</v>
      </c>
      <c r="C425" t="s">
        <v>2888</v>
      </c>
      <c r="F425" t="s">
        <v>2887</v>
      </c>
      <c r="G425" t="s">
        <v>16</v>
      </c>
      <c r="H425" t="s">
        <v>15</v>
      </c>
      <c r="I425" t="s">
        <v>2886</v>
      </c>
      <c r="J425">
        <v>60005304</v>
      </c>
      <c r="K425" t="s">
        <v>1421</v>
      </c>
      <c r="L425" t="s">
        <v>1420</v>
      </c>
      <c r="M425" t="s">
        <v>114</v>
      </c>
      <c r="N425">
        <v>4</v>
      </c>
      <c r="O425" t="s">
        <v>2885</v>
      </c>
      <c r="P425" t="s">
        <v>2884</v>
      </c>
      <c r="Q425" t="s">
        <v>2883</v>
      </c>
      <c r="R425" s="7">
        <v>31413</v>
      </c>
      <c r="S425" s="8">
        <f t="shared" si="56"/>
        <v>1986</v>
      </c>
      <c r="T425" s="8">
        <v>1986</v>
      </c>
      <c r="U425" s="8">
        <f t="shared" si="57"/>
        <v>36</v>
      </c>
      <c r="V425" s="7">
        <v>31533</v>
      </c>
      <c r="W425" t="s">
        <v>520</v>
      </c>
      <c r="X425" s="2">
        <v>0.75800000000000001</v>
      </c>
      <c r="Y425" s="6">
        <f t="shared" si="54"/>
        <v>2.0234377085502256E-2</v>
      </c>
      <c r="AA425">
        <v>224650</v>
      </c>
      <c r="AB425">
        <v>29589</v>
      </c>
      <c r="AD425" t="s">
        <v>5</v>
      </c>
      <c r="AE425">
        <v>23</v>
      </c>
      <c r="AF425">
        <v>3</v>
      </c>
      <c r="AH425" t="s">
        <v>2882</v>
      </c>
      <c r="AI425" t="s">
        <v>2881</v>
      </c>
      <c r="AK425" t="s">
        <v>2880</v>
      </c>
      <c r="AL425">
        <v>0</v>
      </c>
      <c r="AM425" s="5">
        <f t="shared" si="58"/>
        <v>0</v>
      </c>
      <c r="AN425" s="4">
        <f t="shared" si="55"/>
        <v>0</v>
      </c>
      <c r="AO425" s="3"/>
      <c r="AP425">
        <v>0</v>
      </c>
      <c r="AR425" t="s">
        <v>1</v>
      </c>
      <c r="AT425" s="2">
        <v>1.282</v>
      </c>
      <c r="AU425" s="1">
        <f t="shared" si="59"/>
        <v>1.4164063959851578</v>
      </c>
      <c r="AV425" s="1">
        <f t="shared" si="60"/>
        <v>1.0117188542751128</v>
      </c>
      <c r="AW425" s="1">
        <f t="shared" si="61"/>
        <v>0.60703131256506759</v>
      </c>
    </row>
    <row r="426" spans="1:49" x14ac:dyDescent="0.2">
      <c r="A426">
        <v>424</v>
      </c>
      <c r="B426" t="s">
        <v>2879</v>
      </c>
      <c r="C426" t="s">
        <v>2878</v>
      </c>
      <c r="F426" t="s">
        <v>2877</v>
      </c>
      <c r="G426" t="s">
        <v>16</v>
      </c>
      <c r="H426" t="s">
        <v>15</v>
      </c>
      <c r="I426" t="s">
        <v>2876</v>
      </c>
      <c r="N426">
        <v>1</v>
      </c>
      <c r="O426" t="s">
        <v>2875</v>
      </c>
      <c r="P426">
        <v>57204345637</v>
      </c>
      <c r="R426" s="7">
        <v>31413</v>
      </c>
      <c r="S426" s="8">
        <f t="shared" si="56"/>
        <v>1986</v>
      </c>
      <c r="T426" s="8">
        <v>1986</v>
      </c>
      <c r="U426" s="8">
        <f t="shared" si="57"/>
        <v>36</v>
      </c>
      <c r="V426" s="7" t="s">
        <v>224</v>
      </c>
      <c r="W426" t="s">
        <v>223</v>
      </c>
      <c r="X426" s="2">
        <v>0.371</v>
      </c>
      <c r="Y426" s="6">
        <f t="shared" si="54"/>
        <v>9.9036331117695747E-3</v>
      </c>
      <c r="AA426">
        <v>486604</v>
      </c>
      <c r="AB426">
        <v>28580</v>
      </c>
      <c r="AC426" t="s">
        <v>222</v>
      </c>
      <c r="AD426" t="s">
        <v>5</v>
      </c>
      <c r="AE426">
        <v>21</v>
      </c>
      <c r="AF426">
        <v>3</v>
      </c>
      <c r="AH426" t="s">
        <v>2874</v>
      </c>
      <c r="AI426" t="s">
        <v>2873</v>
      </c>
      <c r="AK426" t="s">
        <v>2872</v>
      </c>
      <c r="AL426">
        <v>17</v>
      </c>
      <c r="AM426" s="5">
        <f t="shared" si="58"/>
        <v>0.47222222222222221</v>
      </c>
      <c r="AN426" s="4">
        <f t="shared" si="55"/>
        <v>7.15217299844335E-4</v>
      </c>
      <c r="AO426" s="3"/>
      <c r="AP426">
        <v>0</v>
      </c>
      <c r="AR426" t="s">
        <v>1</v>
      </c>
      <c r="AT426" s="2">
        <v>1.431</v>
      </c>
      <c r="AU426" s="1">
        <f t="shared" si="59"/>
        <v>0.71471083681920022</v>
      </c>
      <c r="AV426" s="1">
        <f t="shared" si="60"/>
        <v>0.53094252058069558</v>
      </c>
      <c r="AW426" s="1">
        <f t="shared" si="61"/>
        <v>0.34717420434219071</v>
      </c>
    </row>
    <row r="427" spans="1:49" x14ac:dyDescent="0.2">
      <c r="A427">
        <v>425</v>
      </c>
      <c r="B427" t="s">
        <v>2871</v>
      </c>
      <c r="C427" t="s">
        <v>2870</v>
      </c>
      <c r="F427" t="s">
        <v>2869</v>
      </c>
      <c r="G427" t="s">
        <v>16</v>
      </c>
      <c r="H427" t="s">
        <v>15</v>
      </c>
      <c r="I427" t="s">
        <v>1757</v>
      </c>
      <c r="J427">
        <v>60010065</v>
      </c>
      <c r="K427" t="s">
        <v>1756</v>
      </c>
      <c r="L427" t="s">
        <v>1755</v>
      </c>
      <c r="M427" t="s">
        <v>114</v>
      </c>
      <c r="N427">
        <v>1</v>
      </c>
      <c r="O427" t="s">
        <v>2868</v>
      </c>
      <c r="P427">
        <v>7103195054</v>
      </c>
      <c r="Q427">
        <v>60010065</v>
      </c>
      <c r="R427" s="7">
        <v>31413</v>
      </c>
      <c r="S427" s="8">
        <f t="shared" si="56"/>
        <v>1986</v>
      </c>
      <c r="T427" s="8">
        <v>1986</v>
      </c>
      <c r="U427" s="8">
        <f t="shared" si="57"/>
        <v>36</v>
      </c>
      <c r="V427" s="7">
        <v>31533</v>
      </c>
      <c r="W427" t="s">
        <v>6</v>
      </c>
      <c r="X427" s="2">
        <v>1.3720000000000001</v>
      </c>
      <c r="Y427" s="6">
        <f t="shared" si="54"/>
        <v>3.662475641333654E-2</v>
      </c>
      <c r="AA427">
        <v>189480</v>
      </c>
      <c r="AB427">
        <v>17366</v>
      </c>
      <c r="AC427">
        <v>15579670</v>
      </c>
      <c r="AD427" t="s">
        <v>5</v>
      </c>
      <c r="AE427">
        <v>34</v>
      </c>
      <c r="AF427">
        <v>5</v>
      </c>
      <c r="AH427" t="s">
        <v>2867</v>
      </c>
      <c r="AI427" t="s">
        <v>2866</v>
      </c>
      <c r="AK427" t="s">
        <v>2865</v>
      </c>
      <c r="AL427">
        <v>4</v>
      </c>
      <c r="AM427" s="5">
        <f t="shared" si="58"/>
        <v>0.1111111111111111</v>
      </c>
      <c r="AN427" s="4">
        <f t="shared" si="55"/>
        <v>1.682864234927847E-4</v>
      </c>
      <c r="AO427" s="3"/>
      <c r="AP427">
        <v>0</v>
      </c>
      <c r="AR427" t="s">
        <v>1</v>
      </c>
      <c r="AT427" s="2" t="s">
        <v>0</v>
      </c>
      <c r="AU427" s="1">
        <f t="shared" si="59"/>
        <v>2.5687815416383408</v>
      </c>
      <c r="AV427" s="1">
        <f t="shared" si="60"/>
        <v>1.8396521418414662</v>
      </c>
      <c r="AW427" s="1">
        <f t="shared" si="61"/>
        <v>1.1105227420445911</v>
      </c>
    </row>
    <row r="428" spans="1:49" x14ac:dyDescent="0.2">
      <c r="A428">
        <v>426</v>
      </c>
      <c r="B428" t="s">
        <v>2864</v>
      </c>
      <c r="C428" t="s">
        <v>2863</v>
      </c>
      <c r="F428" t="s">
        <v>2862</v>
      </c>
      <c r="G428" t="s">
        <v>16</v>
      </c>
      <c r="H428" t="s">
        <v>15</v>
      </c>
      <c r="I428" t="s">
        <v>407</v>
      </c>
      <c r="J428" t="s">
        <v>2861</v>
      </c>
      <c r="K428" t="s">
        <v>2860</v>
      </c>
      <c r="L428" t="s">
        <v>2859</v>
      </c>
      <c r="M428" t="s">
        <v>783</v>
      </c>
      <c r="N428">
        <v>2</v>
      </c>
      <c r="O428" t="s">
        <v>2858</v>
      </c>
      <c r="P428" t="s">
        <v>2857</v>
      </c>
      <c r="Q428" t="s">
        <v>2856</v>
      </c>
      <c r="R428" s="7">
        <v>31413</v>
      </c>
      <c r="S428" s="8">
        <f t="shared" si="56"/>
        <v>1986</v>
      </c>
      <c r="T428" s="8">
        <v>1986</v>
      </c>
      <c r="U428" s="8">
        <f t="shared" si="57"/>
        <v>36</v>
      </c>
      <c r="V428" s="7">
        <v>31533</v>
      </c>
      <c r="W428" t="s">
        <v>520</v>
      </c>
      <c r="X428" s="2">
        <v>0.75800000000000001</v>
      </c>
      <c r="Y428" s="6">
        <f t="shared" si="54"/>
        <v>2.0234377085502256E-2</v>
      </c>
      <c r="AA428">
        <v>224650</v>
      </c>
      <c r="AB428">
        <v>29589</v>
      </c>
      <c r="AD428" t="s">
        <v>5</v>
      </c>
      <c r="AE428">
        <v>23</v>
      </c>
      <c r="AF428">
        <v>3</v>
      </c>
      <c r="AH428" t="s">
        <v>2855</v>
      </c>
      <c r="AI428" t="s">
        <v>2854</v>
      </c>
      <c r="AK428" t="s">
        <v>2853</v>
      </c>
      <c r="AL428">
        <v>5</v>
      </c>
      <c r="AM428" s="5">
        <f t="shared" si="58"/>
        <v>0.1388888888888889</v>
      </c>
      <c r="AN428" s="4">
        <f t="shared" si="55"/>
        <v>2.103580293659809E-4</v>
      </c>
      <c r="AO428" s="3"/>
      <c r="AP428">
        <v>0</v>
      </c>
      <c r="AR428" t="s">
        <v>1</v>
      </c>
      <c r="AT428" s="2">
        <v>1.282</v>
      </c>
      <c r="AU428" s="1">
        <f t="shared" si="59"/>
        <v>1.4227171368661373</v>
      </c>
      <c r="AV428" s="1">
        <f t="shared" si="60"/>
        <v>1.022236755743412</v>
      </c>
      <c r="AW428" s="1">
        <f t="shared" si="61"/>
        <v>0.62175637462068634</v>
      </c>
    </row>
    <row r="429" spans="1:49" x14ac:dyDescent="0.2">
      <c r="A429">
        <v>427</v>
      </c>
      <c r="B429" t="s">
        <v>2852</v>
      </c>
      <c r="C429" t="s">
        <v>2851</v>
      </c>
      <c r="F429" t="s">
        <v>2850</v>
      </c>
      <c r="G429" t="s">
        <v>16</v>
      </c>
      <c r="H429" t="s">
        <v>15</v>
      </c>
      <c r="I429" t="s">
        <v>2849</v>
      </c>
      <c r="J429">
        <v>60013361</v>
      </c>
      <c r="K429" t="s">
        <v>2848</v>
      </c>
      <c r="L429" t="s">
        <v>2847</v>
      </c>
      <c r="M429" t="s">
        <v>2846</v>
      </c>
      <c r="N429">
        <v>1</v>
      </c>
      <c r="O429" t="s">
        <v>2845</v>
      </c>
      <c r="P429">
        <v>57208266029</v>
      </c>
      <c r="Q429">
        <v>60013361</v>
      </c>
      <c r="R429" s="7">
        <v>31413</v>
      </c>
      <c r="S429" s="8">
        <f t="shared" si="56"/>
        <v>1986</v>
      </c>
      <c r="T429" s="8">
        <v>1986</v>
      </c>
      <c r="U429" s="8">
        <f t="shared" si="57"/>
        <v>36</v>
      </c>
      <c r="V429" s="7" t="s">
        <v>2490</v>
      </c>
      <c r="W429" t="s">
        <v>2844</v>
      </c>
      <c r="X429" s="2">
        <v>0.76700000000000002</v>
      </c>
      <c r="Y429" s="6">
        <f t="shared" si="54"/>
        <v>2.0474626945356504E-2</v>
      </c>
      <c r="AA429">
        <v>983063</v>
      </c>
      <c r="AB429">
        <v>26048</v>
      </c>
      <c r="AD429" t="s">
        <v>5</v>
      </c>
      <c r="AE429" t="s">
        <v>2843</v>
      </c>
      <c r="AF429">
        <v>2</v>
      </c>
      <c r="AH429" t="s">
        <v>2842</v>
      </c>
      <c r="AI429" t="s">
        <v>2841</v>
      </c>
      <c r="AK429" t="s">
        <v>2840</v>
      </c>
      <c r="AL429">
        <v>0</v>
      </c>
      <c r="AM429" s="5">
        <f t="shared" si="58"/>
        <v>0</v>
      </c>
      <c r="AN429" s="4">
        <f t="shared" si="55"/>
        <v>0</v>
      </c>
      <c r="AO429" s="3"/>
      <c r="AP429">
        <v>0</v>
      </c>
      <c r="AR429" t="s">
        <v>1</v>
      </c>
      <c r="AT429" s="2" t="s">
        <v>0</v>
      </c>
      <c r="AU429" s="1">
        <f t="shared" si="59"/>
        <v>1.4332238861749553</v>
      </c>
      <c r="AV429" s="1">
        <f t="shared" si="60"/>
        <v>1.0237313472678251</v>
      </c>
      <c r="AW429" s="1">
        <f t="shared" si="61"/>
        <v>0.61423880836069511</v>
      </c>
    </row>
    <row r="430" spans="1:49" x14ac:dyDescent="0.2">
      <c r="A430">
        <v>428</v>
      </c>
      <c r="B430" t="s">
        <v>2839</v>
      </c>
      <c r="C430" t="s">
        <v>2838</v>
      </c>
      <c r="F430" t="s">
        <v>2837</v>
      </c>
      <c r="G430" t="s">
        <v>16</v>
      </c>
      <c r="H430" t="s">
        <v>15</v>
      </c>
      <c r="I430" t="s">
        <v>2836</v>
      </c>
      <c r="J430" t="s">
        <v>2835</v>
      </c>
      <c r="K430" t="s">
        <v>2834</v>
      </c>
      <c r="L430" t="s">
        <v>2833</v>
      </c>
      <c r="M430" t="s">
        <v>2832</v>
      </c>
      <c r="N430">
        <v>2</v>
      </c>
      <c r="O430" t="s">
        <v>2831</v>
      </c>
      <c r="P430" t="s">
        <v>2830</v>
      </c>
      <c r="Q430" t="s">
        <v>2829</v>
      </c>
      <c r="R430" s="7">
        <v>31413</v>
      </c>
      <c r="S430" s="8">
        <f t="shared" si="56"/>
        <v>1986</v>
      </c>
      <c r="T430" s="8">
        <v>1986</v>
      </c>
      <c r="U430" s="8">
        <f t="shared" si="57"/>
        <v>36</v>
      </c>
      <c r="V430" s="7">
        <v>31533</v>
      </c>
      <c r="W430" t="s">
        <v>6</v>
      </c>
      <c r="X430" s="2">
        <v>1.3720000000000001</v>
      </c>
      <c r="Y430" s="6">
        <f t="shared" si="54"/>
        <v>3.662475641333654E-2</v>
      </c>
      <c r="AA430">
        <v>189480</v>
      </c>
      <c r="AB430">
        <v>17366</v>
      </c>
      <c r="AC430">
        <v>15579670</v>
      </c>
      <c r="AD430" t="s">
        <v>5</v>
      </c>
      <c r="AE430">
        <v>34</v>
      </c>
      <c r="AF430">
        <v>5</v>
      </c>
      <c r="AH430" t="s">
        <v>2828</v>
      </c>
      <c r="AI430" t="s">
        <v>2827</v>
      </c>
      <c r="AK430" t="s">
        <v>2826</v>
      </c>
      <c r="AL430">
        <v>154</v>
      </c>
      <c r="AM430" s="5">
        <f t="shared" si="58"/>
        <v>4.2777777777777777</v>
      </c>
      <c r="AN430" s="4">
        <f t="shared" si="55"/>
        <v>6.4790273044722114E-3</v>
      </c>
      <c r="AO430" s="3"/>
      <c r="AP430">
        <v>0</v>
      </c>
      <c r="AR430" t="s">
        <v>1</v>
      </c>
      <c r="AT430" s="2" t="s">
        <v>0</v>
      </c>
      <c r="AU430" s="1">
        <f t="shared" si="59"/>
        <v>2.7581037680677238</v>
      </c>
      <c r="AV430" s="1">
        <f t="shared" si="60"/>
        <v>2.1551891858904373</v>
      </c>
      <c r="AW430" s="1">
        <f t="shared" si="61"/>
        <v>1.552274603713151</v>
      </c>
    </row>
    <row r="431" spans="1:49" x14ac:dyDescent="0.2">
      <c r="A431">
        <v>429</v>
      </c>
      <c r="B431" t="s">
        <v>2825</v>
      </c>
      <c r="C431" t="s">
        <v>2824</v>
      </c>
      <c r="F431" t="s">
        <v>2823</v>
      </c>
      <c r="G431" t="s">
        <v>16</v>
      </c>
      <c r="H431" t="s">
        <v>15</v>
      </c>
      <c r="I431" t="s">
        <v>2822</v>
      </c>
      <c r="J431">
        <v>60000745</v>
      </c>
      <c r="K431" t="s">
        <v>2821</v>
      </c>
      <c r="L431" t="s">
        <v>2820</v>
      </c>
      <c r="M431" t="s">
        <v>114</v>
      </c>
      <c r="N431">
        <v>4</v>
      </c>
      <c r="O431" t="s">
        <v>2819</v>
      </c>
      <c r="P431" t="s">
        <v>2818</v>
      </c>
      <c r="Q431" t="s">
        <v>2817</v>
      </c>
      <c r="R431" s="7">
        <v>31413</v>
      </c>
      <c r="S431" s="8">
        <f t="shared" si="56"/>
        <v>1986</v>
      </c>
      <c r="T431" s="8">
        <v>1986</v>
      </c>
      <c r="U431" s="8">
        <f t="shared" si="57"/>
        <v>36</v>
      </c>
      <c r="V431" s="7">
        <v>31533</v>
      </c>
      <c r="W431" t="s">
        <v>6</v>
      </c>
      <c r="X431" s="2">
        <v>1.3720000000000001</v>
      </c>
      <c r="Y431" s="6">
        <f t="shared" si="54"/>
        <v>3.662475641333654E-2</v>
      </c>
      <c r="AA431">
        <v>189480</v>
      </c>
      <c r="AB431">
        <v>17366</v>
      </c>
      <c r="AC431">
        <v>15579670</v>
      </c>
      <c r="AD431" t="s">
        <v>5</v>
      </c>
      <c r="AE431">
        <v>34</v>
      </c>
      <c r="AF431">
        <v>5</v>
      </c>
      <c r="AH431" t="s">
        <v>2816</v>
      </c>
      <c r="AI431" t="s">
        <v>2815</v>
      </c>
      <c r="AK431" t="s">
        <v>2814</v>
      </c>
      <c r="AL431">
        <v>25</v>
      </c>
      <c r="AM431" s="5">
        <f t="shared" si="58"/>
        <v>0.69444444444444442</v>
      </c>
      <c r="AN431" s="4">
        <f t="shared" si="55"/>
        <v>1.0517901468299045E-3</v>
      </c>
      <c r="AO431" s="3"/>
      <c r="AP431">
        <v>0</v>
      </c>
      <c r="AR431" t="s">
        <v>1</v>
      </c>
      <c r="AT431" s="2" t="s">
        <v>0</v>
      </c>
      <c r="AU431" s="1">
        <f t="shared" si="59"/>
        <v>2.5952866533384547</v>
      </c>
      <c r="AV431" s="1">
        <f t="shared" si="60"/>
        <v>1.8838273280083224</v>
      </c>
      <c r="AW431" s="1">
        <f t="shared" si="61"/>
        <v>1.1723680026781897</v>
      </c>
    </row>
    <row r="432" spans="1:49" x14ac:dyDescent="0.2">
      <c r="A432">
        <v>430</v>
      </c>
      <c r="B432" t="s">
        <v>2813</v>
      </c>
      <c r="C432" t="s">
        <v>2812</v>
      </c>
      <c r="F432" t="s">
        <v>2811</v>
      </c>
      <c r="G432" t="s">
        <v>16</v>
      </c>
      <c r="H432" t="s">
        <v>15</v>
      </c>
      <c r="I432" t="s">
        <v>2810</v>
      </c>
      <c r="J432">
        <v>60014313</v>
      </c>
      <c r="K432" t="s">
        <v>585</v>
      </c>
      <c r="L432" t="s">
        <v>584</v>
      </c>
      <c r="M432" t="s">
        <v>114</v>
      </c>
      <c r="N432">
        <v>1</v>
      </c>
      <c r="O432" t="s">
        <v>2809</v>
      </c>
      <c r="P432">
        <v>7006061921</v>
      </c>
      <c r="Q432">
        <v>60014313</v>
      </c>
      <c r="R432" s="7">
        <v>31413</v>
      </c>
      <c r="S432" s="8">
        <f t="shared" si="56"/>
        <v>1986</v>
      </c>
      <c r="T432" s="8">
        <v>1986</v>
      </c>
      <c r="U432" s="8">
        <f t="shared" si="57"/>
        <v>36</v>
      </c>
      <c r="V432" s="7">
        <v>31533</v>
      </c>
      <c r="W432" t="s">
        <v>153</v>
      </c>
      <c r="X432" s="2">
        <v>1.6519999999999999</v>
      </c>
      <c r="Y432" s="6">
        <f t="shared" si="54"/>
        <v>4.409919649769093E-2</v>
      </c>
      <c r="AA432" t="s">
        <v>152</v>
      </c>
      <c r="AB432">
        <v>17337</v>
      </c>
      <c r="AC432">
        <v>15582221</v>
      </c>
      <c r="AD432" t="s">
        <v>5</v>
      </c>
      <c r="AE432">
        <v>34</v>
      </c>
      <c r="AF432">
        <v>5</v>
      </c>
      <c r="AH432" t="s">
        <v>2808</v>
      </c>
      <c r="AI432" t="s">
        <v>2807</v>
      </c>
      <c r="AK432" t="s">
        <v>2806</v>
      </c>
      <c r="AL432">
        <v>113</v>
      </c>
      <c r="AM432" s="5">
        <f t="shared" si="58"/>
        <v>3.1388888888888888</v>
      </c>
      <c r="AN432" s="4">
        <f t="shared" si="55"/>
        <v>4.7540914636711685E-3</v>
      </c>
      <c r="AO432" s="3"/>
      <c r="AP432">
        <v>0</v>
      </c>
      <c r="AR432" t="s">
        <v>1</v>
      </c>
      <c r="AT432" s="2" t="s">
        <v>0</v>
      </c>
      <c r="AU432" s="1">
        <f t="shared" si="59"/>
        <v>3.2295664987485</v>
      </c>
      <c r="AV432" s="1">
        <f t="shared" si="60"/>
        <v>2.4426643980681049</v>
      </c>
      <c r="AW432" s="1">
        <f t="shared" si="61"/>
        <v>1.6557622973877095</v>
      </c>
    </row>
    <row r="433" spans="1:49" x14ac:dyDescent="0.2">
      <c r="A433">
        <v>431</v>
      </c>
      <c r="B433" t="s">
        <v>2805</v>
      </c>
      <c r="C433" t="s">
        <v>2804</v>
      </c>
      <c r="F433" t="s">
        <v>2803</v>
      </c>
      <c r="G433" t="s">
        <v>16</v>
      </c>
      <c r="H433" t="s">
        <v>15</v>
      </c>
      <c r="I433" t="s">
        <v>2802</v>
      </c>
      <c r="J433">
        <v>60025475</v>
      </c>
      <c r="K433" t="s">
        <v>667</v>
      </c>
      <c r="L433" t="s">
        <v>666</v>
      </c>
      <c r="M433" t="s">
        <v>665</v>
      </c>
      <c r="N433">
        <v>2</v>
      </c>
      <c r="O433" t="s">
        <v>2801</v>
      </c>
      <c r="P433" t="s">
        <v>2800</v>
      </c>
      <c r="Q433" t="s">
        <v>662</v>
      </c>
      <c r="R433" s="7">
        <v>31413</v>
      </c>
      <c r="S433" s="8">
        <f t="shared" si="56"/>
        <v>1986</v>
      </c>
      <c r="T433" s="8">
        <v>1986</v>
      </c>
      <c r="U433" s="8">
        <f t="shared" si="57"/>
        <v>36</v>
      </c>
      <c r="V433" s="7">
        <v>31533</v>
      </c>
      <c r="W433" t="s">
        <v>153</v>
      </c>
      <c r="X433" s="2">
        <v>1.6519999999999999</v>
      </c>
      <c r="Y433" s="6">
        <f t="shared" si="54"/>
        <v>4.409919649769093E-2</v>
      </c>
      <c r="AA433" t="s">
        <v>152</v>
      </c>
      <c r="AB433">
        <v>17337</v>
      </c>
      <c r="AC433">
        <v>15582221</v>
      </c>
      <c r="AD433" t="s">
        <v>5</v>
      </c>
      <c r="AE433">
        <v>34</v>
      </c>
      <c r="AF433">
        <v>5</v>
      </c>
      <c r="AH433" t="s">
        <v>2799</v>
      </c>
      <c r="AI433" t="s">
        <v>2798</v>
      </c>
      <c r="AK433" t="s">
        <v>2797</v>
      </c>
      <c r="AL433">
        <v>64</v>
      </c>
      <c r="AM433" s="5">
        <f t="shared" si="58"/>
        <v>1.7777777777777777</v>
      </c>
      <c r="AN433" s="4">
        <f t="shared" si="55"/>
        <v>2.6925827758845552E-3</v>
      </c>
      <c r="AO433" s="3"/>
      <c r="AP433">
        <v>0</v>
      </c>
      <c r="AR433" t="s">
        <v>1</v>
      </c>
      <c r="AT433" s="2" t="s">
        <v>0</v>
      </c>
      <c r="AU433" s="1">
        <f t="shared" si="59"/>
        <v>3.1677212381149018</v>
      </c>
      <c r="AV433" s="1">
        <f t="shared" si="60"/>
        <v>2.3395889636787746</v>
      </c>
      <c r="AW433" s="1">
        <f t="shared" si="61"/>
        <v>1.5114566892426466</v>
      </c>
    </row>
    <row r="434" spans="1:49" x14ac:dyDescent="0.2">
      <c r="A434">
        <v>432</v>
      </c>
      <c r="B434" t="s">
        <v>2796</v>
      </c>
      <c r="C434" t="s">
        <v>2795</v>
      </c>
      <c r="F434" t="s">
        <v>2794</v>
      </c>
      <c r="G434" t="s">
        <v>16</v>
      </c>
      <c r="H434" t="s">
        <v>15</v>
      </c>
      <c r="I434" t="s">
        <v>2793</v>
      </c>
      <c r="J434">
        <v>115882747</v>
      </c>
      <c r="K434" t="s">
        <v>2792</v>
      </c>
      <c r="M434" t="s">
        <v>114</v>
      </c>
      <c r="N434">
        <v>5</v>
      </c>
      <c r="O434" t="s">
        <v>2791</v>
      </c>
      <c r="P434" t="s">
        <v>2790</v>
      </c>
      <c r="Q434" t="s">
        <v>2789</v>
      </c>
      <c r="R434" s="7">
        <v>31413</v>
      </c>
      <c r="S434" s="8">
        <f t="shared" si="56"/>
        <v>1986</v>
      </c>
      <c r="T434" s="8">
        <v>1986</v>
      </c>
      <c r="U434" s="8">
        <f t="shared" si="57"/>
        <v>36</v>
      </c>
      <c r="V434" s="7">
        <v>31533</v>
      </c>
      <c r="W434" t="s">
        <v>2788</v>
      </c>
      <c r="X434" s="2">
        <v>1.468</v>
      </c>
      <c r="Y434" s="6">
        <f t="shared" si="54"/>
        <v>3.9187421585115186E-2</v>
      </c>
      <c r="AA434">
        <v>906778</v>
      </c>
      <c r="AB434">
        <v>18931</v>
      </c>
      <c r="AD434" t="s">
        <v>5</v>
      </c>
      <c r="AE434">
        <v>34</v>
      </c>
      <c r="AF434">
        <v>5</v>
      </c>
      <c r="AH434" t="s">
        <v>2787</v>
      </c>
      <c r="AI434" t="s">
        <v>2786</v>
      </c>
      <c r="AK434" t="s">
        <v>2785</v>
      </c>
      <c r="AL434">
        <v>1</v>
      </c>
      <c r="AM434" s="5">
        <f t="shared" si="58"/>
        <v>2.7777777777777776E-2</v>
      </c>
      <c r="AN434" s="4">
        <f t="shared" si="55"/>
        <v>4.2071605873196175E-5</v>
      </c>
      <c r="AO434" s="3"/>
      <c r="AP434">
        <v>0</v>
      </c>
      <c r="AR434" t="s">
        <v>1</v>
      </c>
      <c r="AT434" s="2">
        <v>5.0830000000000002</v>
      </c>
      <c r="AU434" s="1">
        <f t="shared" si="59"/>
        <v>2.7443816591342585</v>
      </c>
      <c r="AV434" s="1">
        <f t="shared" si="60"/>
        <v>1.961474659549419</v>
      </c>
      <c r="AW434" s="1">
        <f t="shared" si="61"/>
        <v>1.1785676599645794</v>
      </c>
    </row>
    <row r="435" spans="1:49" x14ac:dyDescent="0.2">
      <c r="A435">
        <v>433</v>
      </c>
      <c r="B435" t="s">
        <v>2784</v>
      </c>
      <c r="C435" t="s">
        <v>2783</v>
      </c>
      <c r="F435" t="s">
        <v>2782</v>
      </c>
      <c r="G435" t="s">
        <v>16</v>
      </c>
      <c r="H435" t="s">
        <v>15</v>
      </c>
      <c r="I435" t="s">
        <v>2781</v>
      </c>
      <c r="J435" t="s">
        <v>2780</v>
      </c>
      <c r="K435" t="s">
        <v>2779</v>
      </c>
      <c r="L435" t="s">
        <v>2778</v>
      </c>
      <c r="M435" t="s">
        <v>2777</v>
      </c>
      <c r="N435">
        <v>4</v>
      </c>
      <c r="O435" t="s">
        <v>2776</v>
      </c>
      <c r="P435" t="s">
        <v>2775</v>
      </c>
      <c r="Q435" t="s">
        <v>2774</v>
      </c>
      <c r="R435" s="7">
        <v>31413</v>
      </c>
      <c r="S435" s="8">
        <f t="shared" si="56"/>
        <v>1986</v>
      </c>
      <c r="T435" s="8">
        <v>1986</v>
      </c>
      <c r="U435" s="8">
        <f t="shared" si="57"/>
        <v>36</v>
      </c>
      <c r="V435" s="7">
        <v>31533</v>
      </c>
      <c r="W435" t="s">
        <v>6</v>
      </c>
      <c r="X435" s="2">
        <v>1.3720000000000001</v>
      </c>
      <c r="Y435" s="6">
        <f t="shared" si="54"/>
        <v>3.662475641333654E-2</v>
      </c>
      <c r="AA435">
        <v>189480</v>
      </c>
      <c r="AB435">
        <v>17366</v>
      </c>
      <c r="AC435">
        <v>15579670</v>
      </c>
      <c r="AD435" t="s">
        <v>5</v>
      </c>
      <c r="AE435">
        <v>34</v>
      </c>
      <c r="AF435">
        <v>5</v>
      </c>
      <c r="AH435" t="s">
        <v>2773</v>
      </c>
      <c r="AI435" t="s">
        <v>2772</v>
      </c>
      <c r="AK435" t="s">
        <v>2771</v>
      </c>
      <c r="AL435">
        <v>17</v>
      </c>
      <c r="AM435" s="5">
        <f t="shared" si="58"/>
        <v>0.47222222222222221</v>
      </c>
      <c r="AN435" s="4">
        <f t="shared" si="55"/>
        <v>7.15217299844335E-4</v>
      </c>
      <c r="AO435" s="3"/>
      <c r="AP435">
        <v>0</v>
      </c>
      <c r="AR435" t="s">
        <v>1</v>
      </c>
      <c r="AT435" s="2" t="s">
        <v>0</v>
      </c>
      <c r="AU435" s="1">
        <f t="shared" si="59"/>
        <v>2.5851894679288874</v>
      </c>
      <c r="AV435" s="1">
        <f t="shared" si="60"/>
        <v>1.8669986856590437</v>
      </c>
      <c r="AW435" s="1">
        <f t="shared" si="61"/>
        <v>1.1488079033891996</v>
      </c>
    </row>
    <row r="436" spans="1:49" x14ac:dyDescent="0.2">
      <c r="A436">
        <v>434</v>
      </c>
      <c r="B436" t="s">
        <v>2770</v>
      </c>
      <c r="C436" t="s">
        <v>2769</v>
      </c>
      <c r="F436" t="s">
        <v>2768</v>
      </c>
      <c r="G436" t="s">
        <v>16</v>
      </c>
      <c r="H436" t="s">
        <v>15</v>
      </c>
      <c r="I436" t="s">
        <v>2767</v>
      </c>
      <c r="J436">
        <v>60021293</v>
      </c>
      <c r="K436" t="s">
        <v>2766</v>
      </c>
      <c r="L436" t="s">
        <v>2765</v>
      </c>
      <c r="M436" t="s">
        <v>114</v>
      </c>
      <c r="N436">
        <v>1</v>
      </c>
      <c r="O436" t="s">
        <v>2764</v>
      </c>
      <c r="P436">
        <v>7005230345</v>
      </c>
      <c r="Q436">
        <v>60021293</v>
      </c>
      <c r="R436" s="7">
        <v>31413</v>
      </c>
      <c r="S436" s="8">
        <f t="shared" si="56"/>
        <v>1986</v>
      </c>
      <c r="T436" s="8">
        <v>1986</v>
      </c>
      <c r="U436" s="8">
        <f t="shared" si="57"/>
        <v>36</v>
      </c>
      <c r="V436" s="7" t="s">
        <v>2490</v>
      </c>
      <c r="W436" t="s">
        <v>1288</v>
      </c>
      <c r="X436" s="2">
        <v>0.65500000000000003</v>
      </c>
      <c r="Y436" s="6">
        <f t="shared" si="54"/>
        <v>1.7484850911614749E-2</v>
      </c>
      <c r="AA436">
        <v>189375</v>
      </c>
      <c r="AB436">
        <v>26051</v>
      </c>
      <c r="AD436" t="s">
        <v>5</v>
      </c>
      <c r="AE436" t="s">
        <v>1287</v>
      </c>
      <c r="AF436">
        <v>2</v>
      </c>
      <c r="AH436" t="s">
        <v>2763</v>
      </c>
      <c r="AI436" t="s">
        <v>2762</v>
      </c>
      <c r="AK436" t="s">
        <v>2761</v>
      </c>
      <c r="AL436">
        <v>1</v>
      </c>
      <c r="AM436" s="5">
        <f t="shared" si="58"/>
        <v>2.7777777777777776E-2</v>
      </c>
      <c r="AN436" s="4">
        <f t="shared" si="55"/>
        <v>4.2071605873196175E-5</v>
      </c>
      <c r="AO436" s="3"/>
      <c r="AP436">
        <v>0</v>
      </c>
      <c r="AR436" t="s">
        <v>1</v>
      </c>
      <c r="AT436" s="2" t="s">
        <v>0</v>
      </c>
      <c r="AU436" s="1">
        <f t="shared" si="59"/>
        <v>1.2252017119892282</v>
      </c>
      <c r="AV436" s="1">
        <f t="shared" si="60"/>
        <v>0.87634612587439731</v>
      </c>
      <c r="AW436" s="1">
        <f t="shared" si="61"/>
        <v>0.52749053975956617</v>
      </c>
    </row>
    <row r="437" spans="1:49" x14ac:dyDescent="0.2">
      <c r="A437">
        <v>435</v>
      </c>
      <c r="B437" t="s">
        <v>2760</v>
      </c>
      <c r="C437" t="s">
        <v>2759</v>
      </c>
      <c r="F437" t="s">
        <v>2758</v>
      </c>
      <c r="G437" t="s">
        <v>16</v>
      </c>
      <c r="H437" t="s">
        <v>15</v>
      </c>
      <c r="I437" t="s">
        <v>2757</v>
      </c>
      <c r="N437">
        <v>2</v>
      </c>
      <c r="O437" t="s">
        <v>2756</v>
      </c>
      <c r="P437" t="s">
        <v>2755</v>
      </c>
      <c r="Q437" t="s">
        <v>313</v>
      </c>
      <c r="R437" s="7">
        <v>31413</v>
      </c>
      <c r="S437" s="8">
        <f t="shared" si="56"/>
        <v>1986</v>
      </c>
      <c r="T437" s="8">
        <v>1986</v>
      </c>
      <c r="U437" s="8">
        <f t="shared" si="57"/>
        <v>36</v>
      </c>
      <c r="V437" s="7">
        <v>31533</v>
      </c>
      <c r="W437" t="s">
        <v>1344</v>
      </c>
      <c r="X437" s="2">
        <v>1.365</v>
      </c>
      <c r="Y437" s="6">
        <f t="shared" si="54"/>
        <v>3.6437895411227675E-2</v>
      </c>
      <c r="AA437">
        <v>189545</v>
      </c>
      <c r="AB437">
        <v>17393</v>
      </c>
      <c r="AC437">
        <v>19399359</v>
      </c>
      <c r="AD437" t="s">
        <v>5</v>
      </c>
      <c r="AE437">
        <v>35</v>
      </c>
      <c r="AF437">
        <v>2</v>
      </c>
      <c r="AH437" t="s">
        <v>2754</v>
      </c>
      <c r="AI437" t="s">
        <v>2753</v>
      </c>
      <c r="AK437" t="s">
        <v>2752</v>
      </c>
      <c r="AL437">
        <v>4</v>
      </c>
      <c r="AM437" s="5">
        <f t="shared" si="58"/>
        <v>0.1111111111111111</v>
      </c>
      <c r="AN437" s="4">
        <f t="shared" si="55"/>
        <v>1.682864234927847E-4</v>
      </c>
      <c r="AO437" s="3"/>
      <c r="AP437">
        <v>0</v>
      </c>
      <c r="AR437" t="s">
        <v>1</v>
      </c>
      <c r="AT437" s="2" t="s">
        <v>0</v>
      </c>
      <c r="AU437" s="1">
        <f t="shared" si="59"/>
        <v>2.5557012714907201</v>
      </c>
      <c r="AV437" s="1">
        <f t="shared" si="60"/>
        <v>1.830309091736023</v>
      </c>
      <c r="AW437" s="1">
        <f t="shared" si="61"/>
        <v>1.1049169119813251</v>
      </c>
    </row>
    <row r="438" spans="1:49" x14ac:dyDescent="0.2">
      <c r="A438">
        <v>436</v>
      </c>
      <c r="B438" t="s">
        <v>2751</v>
      </c>
      <c r="C438" t="s">
        <v>2750</v>
      </c>
      <c r="F438" t="s">
        <v>2749</v>
      </c>
      <c r="G438" t="s">
        <v>16</v>
      </c>
      <c r="H438" t="s">
        <v>15</v>
      </c>
      <c r="I438" t="s">
        <v>2748</v>
      </c>
      <c r="J438" t="s">
        <v>2747</v>
      </c>
      <c r="K438" t="s">
        <v>2746</v>
      </c>
      <c r="L438" t="s">
        <v>2745</v>
      </c>
      <c r="M438" t="s">
        <v>2744</v>
      </c>
      <c r="N438">
        <v>4</v>
      </c>
      <c r="O438" t="s">
        <v>2743</v>
      </c>
      <c r="P438" t="s">
        <v>2742</v>
      </c>
      <c r="Q438" t="s">
        <v>2741</v>
      </c>
      <c r="R438" s="7">
        <v>31413</v>
      </c>
      <c r="S438" s="8">
        <f t="shared" si="56"/>
        <v>1986</v>
      </c>
      <c r="T438" s="8">
        <v>1986</v>
      </c>
      <c r="U438" s="8">
        <f t="shared" si="57"/>
        <v>36</v>
      </c>
      <c r="V438" s="7">
        <v>31533</v>
      </c>
      <c r="W438" t="s">
        <v>6</v>
      </c>
      <c r="X438" s="2">
        <v>1.3720000000000001</v>
      </c>
      <c r="Y438" s="6">
        <f t="shared" si="54"/>
        <v>3.662475641333654E-2</v>
      </c>
      <c r="AA438">
        <v>189480</v>
      </c>
      <c r="AB438">
        <v>17366</v>
      </c>
      <c r="AC438">
        <v>15579670</v>
      </c>
      <c r="AD438" t="s">
        <v>5</v>
      </c>
      <c r="AE438">
        <v>34</v>
      </c>
      <c r="AF438">
        <v>5</v>
      </c>
      <c r="AH438" t="s">
        <v>2740</v>
      </c>
      <c r="AI438" t="s">
        <v>2739</v>
      </c>
      <c r="AK438" t="s">
        <v>2738</v>
      </c>
      <c r="AL438">
        <v>48</v>
      </c>
      <c r="AM438" s="5">
        <f t="shared" si="58"/>
        <v>1.3333333333333333</v>
      </c>
      <c r="AN438" s="4">
        <f t="shared" si="55"/>
        <v>2.0194370819134164E-3</v>
      </c>
      <c r="AO438" s="3"/>
      <c r="AP438">
        <v>0</v>
      </c>
      <c r="AR438" t="s">
        <v>1</v>
      </c>
      <c r="AT438" s="2" t="s">
        <v>0</v>
      </c>
      <c r="AU438" s="1">
        <f t="shared" si="59"/>
        <v>2.6243160613909602</v>
      </c>
      <c r="AV438" s="1">
        <f t="shared" si="60"/>
        <v>1.9322096747624979</v>
      </c>
      <c r="AW438" s="1">
        <f t="shared" si="61"/>
        <v>1.2401032881340355</v>
      </c>
    </row>
    <row r="439" spans="1:49" x14ac:dyDescent="0.2">
      <c r="A439">
        <v>437</v>
      </c>
      <c r="B439" t="s">
        <v>2737</v>
      </c>
      <c r="C439" t="s">
        <v>2736</v>
      </c>
      <c r="F439" t="s">
        <v>2735</v>
      </c>
      <c r="G439" t="s">
        <v>16</v>
      </c>
      <c r="H439" t="s">
        <v>15</v>
      </c>
      <c r="I439" t="s">
        <v>2734</v>
      </c>
      <c r="J439">
        <v>60009697</v>
      </c>
      <c r="K439" t="s">
        <v>1131</v>
      </c>
      <c r="L439" t="s">
        <v>1140</v>
      </c>
      <c r="M439" t="s">
        <v>616</v>
      </c>
      <c r="N439">
        <v>2</v>
      </c>
      <c r="O439" t="s">
        <v>2733</v>
      </c>
      <c r="P439" t="s">
        <v>2732</v>
      </c>
      <c r="Q439" t="s">
        <v>1564</v>
      </c>
      <c r="R439" s="7">
        <v>31413</v>
      </c>
      <c r="S439" s="8">
        <f t="shared" si="56"/>
        <v>1986</v>
      </c>
      <c r="T439" s="8">
        <v>1986</v>
      </c>
      <c r="U439" s="8">
        <f t="shared" si="57"/>
        <v>36</v>
      </c>
      <c r="V439" s="7">
        <v>31533</v>
      </c>
      <c r="W439" t="s">
        <v>153</v>
      </c>
      <c r="X439" s="2">
        <v>1.6519999999999999</v>
      </c>
      <c r="Y439" s="6">
        <f t="shared" si="54"/>
        <v>4.409919649769093E-2</v>
      </c>
      <c r="AA439" t="s">
        <v>152</v>
      </c>
      <c r="AB439">
        <v>17337</v>
      </c>
      <c r="AC439">
        <v>15582221</v>
      </c>
      <c r="AD439" t="s">
        <v>5</v>
      </c>
      <c r="AE439">
        <v>34</v>
      </c>
      <c r="AF439">
        <v>5</v>
      </c>
      <c r="AH439" t="s">
        <v>2731</v>
      </c>
      <c r="AI439" t="s">
        <v>2730</v>
      </c>
      <c r="AK439" t="s">
        <v>2729</v>
      </c>
      <c r="AL439">
        <v>128</v>
      </c>
      <c r="AM439" s="5">
        <f t="shared" si="58"/>
        <v>3.5555555555555554</v>
      </c>
      <c r="AN439" s="4">
        <f t="shared" si="55"/>
        <v>5.3851655517691104E-3</v>
      </c>
      <c r="AO439" s="3"/>
      <c r="AP439">
        <v>0</v>
      </c>
      <c r="AR439" t="s">
        <v>1</v>
      </c>
      <c r="AT439" s="2" t="s">
        <v>0</v>
      </c>
      <c r="AU439" s="1">
        <f t="shared" si="59"/>
        <v>3.2484987213914387</v>
      </c>
      <c r="AV439" s="1">
        <f t="shared" si="60"/>
        <v>2.4742181024730017</v>
      </c>
      <c r="AW439" s="1">
        <f t="shared" si="61"/>
        <v>1.6999374835545655</v>
      </c>
    </row>
    <row r="440" spans="1:49" x14ac:dyDescent="0.2">
      <c r="A440">
        <v>438</v>
      </c>
      <c r="B440" t="s">
        <v>2728</v>
      </c>
      <c r="C440" t="s">
        <v>2727</v>
      </c>
      <c r="F440" t="s">
        <v>2726</v>
      </c>
      <c r="G440" t="s">
        <v>16</v>
      </c>
      <c r="H440" t="s">
        <v>15</v>
      </c>
      <c r="I440" t="s">
        <v>2725</v>
      </c>
      <c r="J440" t="s">
        <v>2724</v>
      </c>
      <c r="K440" t="s">
        <v>2723</v>
      </c>
      <c r="L440" t="s">
        <v>2722</v>
      </c>
      <c r="M440" t="s">
        <v>1188</v>
      </c>
      <c r="N440">
        <v>4</v>
      </c>
      <c r="O440" t="s">
        <v>2721</v>
      </c>
      <c r="P440" t="s">
        <v>2720</v>
      </c>
      <c r="Q440" t="s">
        <v>2719</v>
      </c>
      <c r="R440" s="7">
        <v>31413</v>
      </c>
      <c r="S440" s="8">
        <f t="shared" si="56"/>
        <v>1986</v>
      </c>
      <c r="T440" s="8">
        <v>1986</v>
      </c>
      <c r="U440" s="8">
        <f t="shared" si="57"/>
        <v>36</v>
      </c>
      <c r="V440" s="7">
        <v>31533</v>
      </c>
      <c r="W440" t="s">
        <v>6</v>
      </c>
      <c r="X440" s="2">
        <v>1.3720000000000001</v>
      </c>
      <c r="Y440" s="6">
        <f t="shared" si="54"/>
        <v>3.662475641333654E-2</v>
      </c>
      <c r="AA440">
        <v>189480</v>
      </c>
      <c r="AB440">
        <v>17366</v>
      </c>
      <c r="AC440">
        <v>15579670</v>
      </c>
      <c r="AD440" t="s">
        <v>5</v>
      </c>
      <c r="AE440">
        <v>34</v>
      </c>
      <c r="AF440">
        <v>5</v>
      </c>
      <c r="AH440" t="s">
        <v>2718</v>
      </c>
      <c r="AI440" t="s">
        <v>2717</v>
      </c>
      <c r="AK440" t="s">
        <v>2716</v>
      </c>
      <c r="AL440">
        <v>20</v>
      </c>
      <c r="AM440" s="5">
        <f t="shared" si="58"/>
        <v>0.55555555555555558</v>
      </c>
      <c r="AN440" s="4">
        <f t="shared" si="55"/>
        <v>8.414321174639236E-4</v>
      </c>
      <c r="AO440" s="3"/>
      <c r="AP440">
        <v>0</v>
      </c>
      <c r="AR440" t="s">
        <v>1</v>
      </c>
      <c r="AT440" s="2" t="s">
        <v>0</v>
      </c>
      <c r="AU440" s="1">
        <f t="shared" si="59"/>
        <v>2.5889759124574754</v>
      </c>
      <c r="AV440" s="1">
        <f t="shared" si="60"/>
        <v>1.8733094265400232</v>
      </c>
      <c r="AW440" s="1">
        <f t="shared" si="61"/>
        <v>1.1576429406225708</v>
      </c>
    </row>
    <row r="441" spans="1:49" x14ac:dyDescent="0.2">
      <c r="A441">
        <v>439</v>
      </c>
      <c r="B441" t="s">
        <v>2715</v>
      </c>
      <c r="C441" t="s">
        <v>2714</v>
      </c>
      <c r="F441" t="s">
        <v>2713</v>
      </c>
      <c r="G441" t="s">
        <v>16</v>
      </c>
      <c r="H441" t="s">
        <v>15</v>
      </c>
      <c r="I441" t="s">
        <v>2712</v>
      </c>
      <c r="J441">
        <v>60004750</v>
      </c>
      <c r="K441" t="s">
        <v>2711</v>
      </c>
      <c r="L441" t="s">
        <v>2710</v>
      </c>
      <c r="M441" t="s">
        <v>336</v>
      </c>
      <c r="N441">
        <v>2</v>
      </c>
      <c r="O441" t="s">
        <v>2709</v>
      </c>
      <c r="P441" t="s">
        <v>2708</v>
      </c>
      <c r="Q441" t="s">
        <v>2707</v>
      </c>
      <c r="R441" s="7">
        <v>31413</v>
      </c>
      <c r="S441" s="8">
        <f t="shared" si="56"/>
        <v>1986</v>
      </c>
      <c r="T441" s="8">
        <v>1986</v>
      </c>
      <c r="U441" s="8">
        <f t="shared" si="57"/>
        <v>36</v>
      </c>
      <c r="V441" s="7">
        <v>31533</v>
      </c>
      <c r="W441" t="s">
        <v>153</v>
      </c>
      <c r="X441" s="2">
        <v>1.6519999999999999</v>
      </c>
      <c r="Y441" s="6">
        <f t="shared" si="54"/>
        <v>4.409919649769093E-2</v>
      </c>
      <c r="AA441" t="s">
        <v>152</v>
      </c>
      <c r="AB441">
        <v>17337</v>
      </c>
      <c r="AC441">
        <v>15582221</v>
      </c>
      <c r="AD441" t="s">
        <v>5</v>
      </c>
      <c r="AE441">
        <v>34</v>
      </c>
      <c r="AF441">
        <v>5</v>
      </c>
      <c r="AH441" t="s">
        <v>2706</v>
      </c>
      <c r="AI441" t="s">
        <v>2705</v>
      </c>
      <c r="AK441" t="s">
        <v>2704</v>
      </c>
      <c r="AL441">
        <v>24</v>
      </c>
      <c r="AM441" s="5">
        <f t="shared" si="58"/>
        <v>0.66666666666666663</v>
      </c>
      <c r="AN441" s="4">
        <f t="shared" si="55"/>
        <v>1.0097185409567082E-3</v>
      </c>
      <c r="AO441" s="3"/>
      <c r="AP441">
        <v>0</v>
      </c>
      <c r="AR441" t="s">
        <v>1</v>
      </c>
      <c r="AT441" s="2" t="s">
        <v>0</v>
      </c>
      <c r="AU441" s="1">
        <f t="shared" si="59"/>
        <v>3.1172353110670663</v>
      </c>
      <c r="AV441" s="1">
        <f t="shared" si="60"/>
        <v>2.2554457519323821</v>
      </c>
      <c r="AW441" s="1">
        <f t="shared" si="61"/>
        <v>1.3936561927976974</v>
      </c>
    </row>
    <row r="442" spans="1:49" x14ac:dyDescent="0.2">
      <c r="A442">
        <v>440</v>
      </c>
      <c r="B442" t="s">
        <v>2703</v>
      </c>
      <c r="C442" t="s">
        <v>2702</v>
      </c>
      <c r="F442" t="s">
        <v>2701</v>
      </c>
      <c r="G442" t="s">
        <v>16</v>
      </c>
      <c r="H442" t="s">
        <v>15</v>
      </c>
      <c r="I442" t="s">
        <v>2700</v>
      </c>
      <c r="J442">
        <v>60021378</v>
      </c>
      <c r="K442" t="s">
        <v>2699</v>
      </c>
      <c r="L442" t="s">
        <v>2698</v>
      </c>
      <c r="M442" t="s">
        <v>114</v>
      </c>
      <c r="N442">
        <v>1</v>
      </c>
      <c r="O442" t="s">
        <v>2697</v>
      </c>
      <c r="P442">
        <v>7005699797</v>
      </c>
      <c r="Q442">
        <v>60021378</v>
      </c>
      <c r="R442" s="7">
        <v>31413</v>
      </c>
      <c r="S442" s="8">
        <f t="shared" si="56"/>
        <v>1986</v>
      </c>
      <c r="T442" s="8">
        <v>1986</v>
      </c>
      <c r="U442" s="8">
        <f t="shared" si="57"/>
        <v>36</v>
      </c>
      <c r="V442" s="7">
        <v>31533</v>
      </c>
      <c r="W442" t="s">
        <v>153</v>
      </c>
      <c r="X442" s="2">
        <v>1.6519999999999999</v>
      </c>
      <c r="Y442" s="6">
        <f t="shared" si="54"/>
        <v>4.409919649769093E-2</v>
      </c>
      <c r="AA442" t="s">
        <v>152</v>
      </c>
      <c r="AB442">
        <v>17337</v>
      </c>
      <c r="AC442">
        <v>15582221</v>
      </c>
      <c r="AD442" t="s">
        <v>5</v>
      </c>
      <c r="AE442">
        <v>34</v>
      </c>
      <c r="AF442">
        <v>5</v>
      </c>
      <c r="AH442" t="s">
        <v>2696</v>
      </c>
      <c r="AI442" t="s">
        <v>2695</v>
      </c>
      <c r="AK442" t="s">
        <v>2694</v>
      </c>
      <c r="AL442">
        <v>8</v>
      </c>
      <c r="AM442" s="5">
        <f t="shared" si="58"/>
        <v>0.22222222222222221</v>
      </c>
      <c r="AN442" s="4">
        <f t="shared" si="55"/>
        <v>3.365728469855694E-4</v>
      </c>
      <c r="AO442" s="3"/>
      <c r="AP442">
        <v>0</v>
      </c>
      <c r="AR442" t="s">
        <v>1</v>
      </c>
      <c r="AT442" s="2" t="s">
        <v>0</v>
      </c>
      <c r="AU442" s="1">
        <f t="shared" si="59"/>
        <v>3.0970409402479322</v>
      </c>
      <c r="AV442" s="1">
        <f t="shared" si="60"/>
        <v>2.2217884672338251</v>
      </c>
      <c r="AW442" s="1">
        <f t="shared" si="61"/>
        <v>1.3465359942197175</v>
      </c>
    </row>
    <row r="443" spans="1:49" x14ac:dyDescent="0.2">
      <c r="A443">
        <v>441</v>
      </c>
      <c r="B443" t="s">
        <v>2693</v>
      </c>
      <c r="C443" t="s">
        <v>2692</v>
      </c>
      <c r="F443" t="s">
        <v>2691</v>
      </c>
      <c r="G443" t="s">
        <v>16</v>
      </c>
      <c r="H443" t="s">
        <v>15</v>
      </c>
      <c r="I443" t="s">
        <v>2690</v>
      </c>
      <c r="J443">
        <v>60103653</v>
      </c>
      <c r="K443" t="s">
        <v>1253</v>
      </c>
      <c r="L443" t="s">
        <v>1252</v>
      </c>
      <c r="M443" t="s">
        <v>1251</v>
      </c>
      <c r="N443">
        <v>3</v>
      </c>
      <c r="O443" t="s">
        <v>2689</v>
      </c>
      <c r="P443" t="s">
        <v>2688</v>
      </c>
      <c r="Q443" t="s">
        <v>1248</v>
      </c>
      <c r="R443" s="7">
        <v>31413</v>
      </c>
      <c r="S443" s="8">
        <f t="shared" si="56"/>
        <v>1986</v>
      </c>
      <c r="T443" s="8">
        <v>1986</v>
      </c>
      <c r="U443" s="8">
        <f t="shared" si="57"/>
        <v>36</v>
      </c>
      <c r="V443" s="7" t="s">
        <v>2490</v>
      </c>
      <c r="W443" t="s">
        <v>1288</v>
      </c>
      <c r="X443" s="2">
        <v>0.65500000000000003</v>
      </c>
      <c r="Y443" s="6">
        <f t="shared" si="54"/>
        <v>1.7484850911614749E-2</v>
      </c>
      <c r="AA443">
        <v>189375</v>
      </c>
      <c r="AB443">
        <v>26051</v>
      </c>
      <c r="AD443" t="s">
        <v>5</v>
      </c>
      <c r="AE443" t="s">
        <v>1287</v>
      </c>
      <c r="AF443">
        <v>2</v>
      </c>
      <c r="AH443" t="s">
        <v>2687</v>
      </c>
      <c r="AI443" t="s">
        <v>2686</v>
      </c>
      <c r="AK443" t="s">
        <v>2685</v>
      </c>
      <c r="AL443">
        <v>7</v>
      </c>
      <c r="AM443" s="5">
        <f t="shared" si="58"/>
        <v>0.19444444444444445</v>
      </c>
      <c r="AN443" s="4">
        <f t="shared" si="55"/>
        <v>2.9450124111237325E-4</v>
      </c>
      <c r="AO443" s="3"/>
      <c r="AP443">
        <v>0</v>
      </c>
      <c r="AR443" t="s">
        <v>1</v>
      </c>
      <c r="AT443" s="2" t="s">
        <v>0</v>
      </c>
      <c r="AU443" s="1">
        <f t="shared" si="59"/>
        <v>1.2327746010464036</v>
      </c>
      <c r="AV443" s="1">
        <f t="shared" si="60"/>
        <v>0.88896760763635607</v>
      </c>
      <c r="AW443" s="1">
        <f t="shared" si="61"/>
        <v>0.54516061422630857</v>
      </c>
    </row>
    <row r="444" spans="1:49" x14ac:dyDescent="0.2">
      <c r="A444">
        <v>442</v>
      </c>
      <c r="B444" t="s">
        <v>2684</v>
      </c>
      <c r="C444" t="s">
        <v>2683</v>
      </c>
      <c r="F444" t="s">
        <v>2682</v>
      </c>
      <c r="G444" t="s">
        <v>16</v>
      </c>
      <c r="H444" t="s">
        <v>15</v>
      </c>
      <c r="I444" t="s">
        <v>2681</v>
      </c>
      <c r="J444">
        <v>60029575</v>
      </c>
      <c r="K444" t="s">
        <v>1953</v>
      </c>
      <c r="L444" t="s">
        <v>1952</v>
      </c>
      <c r="M444" t="s">
        <v>114</v>
      </c>
      <c r="N444">
        <v>2</v>
      </c>
      <c r="O444" t="s">
        <v>2680</v>
      </c>
      <c r="P444" t="s">
        <v>2679</v>
      </c>
      <c r="Q444" t="s">
        <v>1949</v>
      </c>
      <c r="R444" s="7">
        <v>31413</v>
      </c>
      <c r="S444" s="8">
        <f t="shared" si="56"/>
        <v>1986</v>
      </c>
      <c r="T444" s="8">
        <v>1986</v>
      </c>
      <c r="U444" s="8">
        <f t="shared" si="57"/>
        <v>36</v>
      </c>
      <c r="V444" s="7">
        <v>31533</v>
      </c>
      <c r="W444" t="s">
        <v>153</v>
      </c>
      <c r="X444" s="2">
        <v>1.6519999999999999</v>
      </c>
      <c r="Y444" s="6">
        <f t="shared" si="54"/>
        <v>4.409919649769093E-2</v>
      </c>
      <c r="AA444" t="s">
        <v>152</v>
      </c>
      <c r="AB444">
        <v>17337</v>
      </c>
      <c r="AC444">
        <v>15582221</v>
      </c>
      <c r="AD444" t="s">
        <v>5</v>
      </c>
      <c r="AE444">
        <v>34</v>
      </c>
      <c r="AF444">
        <v>5</v>
      </c>
      <c r="AH444" t="s">
        <v>2678</v>
      </c>
      <c r="AI444" t="s">
        <v>2677</v>
      </c>
      <c r="AK444" t="s">
        <v>2676</v>
      </c>
      <c r="AL444">
        <v>11</v>
      </c>
      <c r="AM444" s="5">
        <f t="shared" si="58"/>
        <v>0.30555555555555558</v>
      </c>
      <c r="AN444" s="4">
        <f t="shared" si="55"/>
        <v>4.62787664605158E-4</v>
      </c>
      <c r="AO444" s="3"/>
      <c r="AP444">
        <v>0</v>
      </c>
      <c r="AR444" t="s">
        <v>1</v>
      </c>
      <c r="AT444" s="2" t="s">
        <v>0</v>
      </c>
      <c r="AU444" s="1">
        <f t="shared" si="59"/>
        <v>3.1008273847765198</v>
      </c>
      <c r="AV444" s="1">
        <f t="shared" si="60"/>
        <v>2.2280992081148043</v>
      </c>
      <c r="AW444" s="1">
        <f t="shared" si="61"/>
        <v>1.3553710314530889</v>
      </c>
    </row>
    <row r="445" spans="1:49" x14ac:dyDescent="0.2">
      <c r="A445">
        <v>443</v>
      </c>
      <c r="B445" t="s">
        <v>2675</v>
      </c>
      <c r="C445" t="s">
        <v>2674</v>
      </c>
      <c r="F445" t="s">
        <v>2673</v>
      </c>
      <c r="G445" t="s">
        <v>16</v>
      </c>
      <c r="H445" t="s">
        <v>15</v>
      </c>
      <c r="I445" t="s">
        <v>2672</v>
      </c>
      <c r="J445">
        <v>60030443</v>
      </c>
      <c r="K445" t="s">
        <v>2671</v>
      </c>
      <c r="L445" t="s">
        <v>2670</v>
      </c>
      <c r="M445" t="s">
        <v>114</v>
      </c>
      <c r="N445">
        <v>5</v>
      </c>
      <c r="O445" t="s">
        <v>2669</v>
      </c>
      <c r="P445" t="s">
        <v>2668</v>
      </c>
      <c r="Q445" t="s">
        <v>2667</v>
      </c>
      <c r="R445" s="7">
        <v>31413</v>
      </c>
      <c r="S445" s="8">
        <f t="shared" si="56"/>
        <v>1986</v>
      </c>
      <c r="T445" s="8">
        <v>1986</v>
      </c>
      <c r="U445" s="8">
        <f t="shared" si="57"/>
        <v>36</v>
      </c>
      <c r="V445" s="7">
        <v>31533</v>
      </c>
      <c r="W445" t="s">
        <v>6</v>
      </c>
      <c r="X445" s="2">
        <v>1.3720000000000001</v>
      </c>
      <c r="Y445" s="6">
        <f t="shared" si="54"/>
        <v>3.662475641333654E-2</v>
      </c>
      <c r="AA445">
        <v>189480</v>
      </c>
      <c r="AB445">
        <v>17366</v>
      </c>
      <c r="AC445">
        <v>15579670</v>
      </c>
      <c r="AD445" t="s">
        <v>5</v>
      </c>
      <c r="AE445">
        <v>34</v>
      </c>
      <c r="AF445">
        <v>5</v>
      </c>
      <c r="AH445" t="s">
        <v>2666</v>
      </c>
      <c r="AI445" t="s">
        <v>2665</v>
      </c>
      <c r="AK445" t="s">
        <v>2664</v>
      </c>
      <c r="AL445">
        <v>40</v>
      </c>
      <c r="AM445" s="5">
        <f t="shared" si="58"/>
        <v>1.1111111111111112</v>
      </c>
      <c r="AN445" s="4">
        <f t="shared" si="55"/>
        <v>1.6828642349278472E-3</v>
      </c>
      <c r="AO445" s="3"/>
      <c r="AP445">
        <v>0</v>
      </c>
      <c r="AR445" t="s">
        <v>1</v>
      </c>
      <c r="AT445" s="2" t="s">
        <v>0</v>
      </c>
      <c r="AU445" s="1">
        <f t="shared" si="59"/>
        <v>2.6142188759813929</v>
      </c>
      <c r="AV445" s="1">
        <f t="shared" si="60"/>
        <v>1.9153810324132194</v>
      </c>
      <c r="AW445" s="1">
        <f t="shared" si="61"/>
        <v>1.2165431888450455</v>
      </c>
    </row>
    <row r="446" spans="1:49" x14ac:dyDescent="0.2">
      <c r="A446">
        <v>444</v>
      </c>
      <c r="B446" t="s">
        <v>2663</v>
      </c>
      <c r="C446" t="s">
        <v>2662</v>
      </c>
      <c r="F446" t="s">
        <v>2661</v>
      </c>
      <c r="G446" t="s">
        <v>16</v>
      </c>
      <c r="H446" t="s">
        <v>15</v>
      </c>
      <c r="I446" t="s">
        <v>2660</v>
      </c>
      <c r="J446">
        <v>60022134</v>
      </c>
      <c r="K446" t="s">
        <v>2659</v>
      </c>
      <c r="L446" t="s">
        <v>2658</v>
      </c>
      <c r="M446" t="s">
        <v>2657</v>
      </c>
      <c r="N446">
        <v>2</v>
      </c>
      <c r="O446" t="s">
        <v>2656</v>
      </c>
      <c r="P446" t="s">
        <v>2655</v>
      </c>
      <c r="Q446" t="s">
        <v>2654</v>
      </c>
      <c r="R446" s="7">
        <v>31413</v>
      </c>
      <c r="S446" s="8">
        <f t="shared" si="56"/>
        <v>1986</v>
      </c>
      <c r="T446" s="8">
        <v>1986</v>
      </c>
      <c r="U446" s="8">
        <f t="shared" si="57"/>
        <v>36</v>
      </c>
      <c r="V446" s="7">
        <v>31533</v>
      </c>
      <c r="W446" t="s">
        <v>6</v>
      </c>
      <c r="X446" s="2">
        <v>1.3720000000000001</v>
      </c>
      <c r="Y446" s="6">
        <f t="shared" si="54"/>
        <v>3.662475641333654E-2</v>
      </c>
      <c r="AA446">
        <v>189480</v>
      </c>
      <c r="AB446">
        <v>17366</v>
      </c>
      <c r="AC446">
        <v>15579670</v>
      </c>
      <c r="AD446" t="s">
        <v>5</v>
      </c>
      <c r="AE446">
        <v>34</v>
      </c>
      <c r="AF446">
        <v>5</v>
      </c>
      <c r="AH446" t="s">
        <v>2653</v>
      </c>
      <c r="AI446" t="s">
        <v>2652</v>
      </c>
      <c r="AK446" t="s">
        <v>2651</v>
      </c>
      <c r="AL446">
        <v>19</v>
      </c>
      <c r="AM446" s="5">
        <f t="shared" si="58"/>
        <v>0.52777777777777779</v>
      </c>
      <c r="AN446" s="4">
        <f t="shared" si="55"/>
        <v>7.993605115907274E-4</v>
      </c>
      <c r="AO446" s="3"/>
      <c r="AP446">
        <v>0</v>
      </c>
      <c r="AR446" t="s">
        <v>1</v>
      </c>
      <c r="AT446" s="2" t="s">
        <v>0</v>
      </c>
      <c r="AU446" s="1">
        <f t="shared" si="59"/>
        <v>2.5877137642812795</v>
      </c>
      <c r="AV446" s="1">
        <f t="shared" si="60"/>
        <v>1.8712058462463634</v>
      </c>
      <c r="AW446" s="1">
        <f t="shared" si="61"/>
        <v>1.1546979282114471</v>
      </c>
    </row>
    <row r="447" spans="1:49" x14ac:dyDescent="0.2">
      <c r="A447">
        <v>445</v>
      </c>
      <c r="B447" t="s">
        <v>2650</v>
      </c>
      <c r="C447" t="s">
        <v>2649</v>
      </c>
      <c r="F447" t="s">
        <v>2648</v>
      </c>
      <c r="G447" t="s">
        <v>16</v>
      </c>
      <c r="H447" t="s">
        <v>15</v>
      </c>
      <c r="I447" t="s">
        <v>2647</v>
      </c>
      <c r="J447">
        <v>60027509</v>
      </c>
      <c r="K447" t="s">
        <v>2646</v>
      </c>
      <c r="L447" t="s">
        <v>2645</v>
      </c>
      <c r="M447" t="s">
        <v>1299</v>
      </c>
      <c r="N447">
        <v>3</v>
      </c>
      <c r="O447" t="s">
        <v>2644</v>
      </c>
      <c r="P447" t="s">
        <v>2643</v>
      </c>
      <c r="Q447" t="s">
        <v>2642</v>
      </c>
      <c r="R447" s="7">
        <v>31413</v>
      </c>
      <c r="S447" s="8">
        <f t="shared" si="56"/>
        <v>1986</v>
      </c>
      <c r="T447" s="8">
        <v>1986</v>
      </c>
      <c r="U447" s="8">
        <f t="shared" si="57"/>
        <v>36</v>
      </c>
      <c r="V447" s="7">
        <v>31533</v>
      </c>
      <c r="W447" t="s">
        <v>6</v>
      </c>
      <c r="X447" s="2">
        <v>1.3720000000000001</v>
      </c>
      <c r="Y447" s="6">
        <f t="shared" si="54"/>
        <v>3.662475641333654E-2</v>
      </c>
      <c r="AA447">
        <v>189480</v>
      </c>
      <c r="AB447">
        <v>17366</v>
      </c>
      <c r="AC447">
        <v>15579670</v>
      </c>
      <c r="AD447" t="s">
        <v>5</v>
      </c>
      <c r="AE447">
        <v>34</v>
      </c>
      <c r="AF447">
        <v>5</v>
      </c>
      <c r="AH447" t="s">
        <v>2641</v>
      </c>
      <c r="AI447" t="s">
        <v>2640</v>
      </c>
      <c r="AK447" t="s">
        <v>2639</v>
      </c>
      <c r="AL447">
        <v>6</v>
      </c>
      <c r="AM447" s="5">
        <f t="shared" si="58"/>
        <v>0.16666666666666666</v>
      </c>
      <c r="AN447" s="4">
        <f t="shared" si="55"/>
        <v>2.5242963523917705E-4</v>
      </c>
      <c r="AO447" s="3"/>
      <c r="AP447">
        <v>0</v>
      </c>
      <c r="AR447" t="s">
        <v>1</v>
      </c>
      <c r="AT447" s="2" t="s">
        <v>0</v>
      </c>
      <c r="AU447" s="1">
        <f t="shared" si="59"/>
        <v>2.571305837990733</v>
      </c>
      <c r="AV447" s="1">
        <f t="shared" si="60"/>
        <v>1.8438593024287859</v>
      </c>
      <c r="AW447" s="1">
        <f t="shared" si="61"/>
        <v>1.1164127668668387</v>
      </c>
    </row>
    <row r="448" spans="1:49" x14ac:dyDescent="0.2">
      <c r="A448">
        <v>446</v>
      </c>
      <c r="B448" t="s">
        <v>2638</v>
      </c>
      <c r="C448" t="s">
        <v>2637</v>
      </c>
      <c r="F448" t="s">
        <v>2636</v>
      </c>
      <c r="G448" t="s">
        <v>16</v>
      </c>
      <c r="H448" t="s">
        <v>15</v>
      </c>
      <c r="I448" t="s">
        <v>2635</v>
      </c>
      <c r="J448">
        <v>60027303</v>
      </c>
      <c r="K448" t="s">
        <v>2634</v>
      </c>
      <c r="L448" t="s">
        <v>2633</v>
      </c>
      <c r="M448" t="s">
        <v>114</v>
      </c>
      <c r="N448">
        <v>1</v>
      </c>
      <c r="O448" t="s">
        <v>2632</v>
      </c>
      <c r="P448">
        <v>36725258600</v>
      </c>
      <c r="Q448">
        <v>60027303</v>
      </c>
      <c r="R448" s="7">
        <v>31413</v>
      </c>
      <c r="S448" s="8">
        <f t="shared" si="56"/>
        <v>1986</v>
      </c>
      <c r="T448" s="8">
        <v>1986</v>
      </c>
      <c r="U448" s="8">
        <f t="shared" si="57"/>
        <v>36</v>
      </c>
      <c r="V448" s="7">
        <v>31533</v>
      </c>
      <c r="W448" t="s">
        <v>520</v>
      </c>
      <c r="X448" s="2">
        <v>0.75800000000000001</v>
      </c>
      <c r="Y448" s="6">
        <f t="shared" si="54"/>
        <v>2.0234377085502256E-2</v>
      </c>
      <c r="AA448">
        <v>224650</v>
      </c>
      <c r="AB448">
        <v>29589</v>
      </c>
      <c r="AD448" t="s">
        <v>5</v>
      </c>
      <c r="AE448">
        <v>23</v>
      </c>
      <c r="AF448">
        <v>3</v>
      </c>
      <c r="AH448" t="s">
        <v>2631</v>
      </c>
      <c r="AI448" t="s">
        <v>2630</v>
      </c>
      <c r="AK448" t="s">
        <v>2629</v>
      </c>
      <c r="AL448">
        <v>0</v>
      </c>
      <c r="AM448" s="5">
        <f t="shared" si="58"/>
        <v>0</v>
      </c>
      <c r="AN448" s="4">
        <f t="shared" si="55"/>
        <v>0</v>
      </c>
      <c r="AO448" s="3"/>
      <c r="AP448">
        <v>0</v>
      </c>
      <c r="AR448" t="s">
        <v>1</v>
      </c>
      <c r="AT448" s="2">
        <v>1.282</v>
      </c>
      <c r="AU448" s="1">
        <f t="shared" si="59"/>
        <v>1.4164063959851578</v>
      </c>
      <c r="AV448" s="1">
        <f t="shared" si="60"/>
        <v>1.0117188542751128</v>
      </c>
      <c r="AW448" s="1">
        <f t="shared" si="61"/>
        <v>0.60703131256506759</v>
      </c>
    </row>
    <row r="449" spans="1:49" x14ac:dyDescent="0.2">
      <c r="A449">
        <v>447</v>
      </c>
      <c r="B449" t="s">
        <v>2628</v>
      </c>
      <c r="C449" t="s">
        <v>2627</v>
      </c>
      <c r="F449" t="s">
        <v>2626</v>
      </c>
      <c r="G449" t="s">
        <v>16</v>
      </c>
      <c r="H449" t="s">
        <v>15</v>
      </c>
      <c r="I449" t="s">
        <v>2625</v>
      </c>
      <c r="J449">
        <v>60024322</v>
      </c>
      <c r="K449" t="s">
        <v>2624</v>
      </c>
      <c r="L449" t="s">
        <v>2623</v>
      </c>
      <c r="M449" t="s">
        <v>71</v>
      </c>
      <c r="N449">
        <v>3</v>
      </c>
      <c r="O449" t="s">
        <v>2622</v>
      </c>
      <c r="P449" t="s">
        <v>2621</v>
      </c>
      <c r="Q449" t="s">
        <v>2620</v>
      </c>
      <c r="R449" s="7">
        <v>31413</v>
      </c>
      <c r="S449" s="8">
        <f t="shared" si="56"/>
        <v>1986</v>
      </c>
      <c r="T449" s="8">
        <v>1986</v>
      </c>
      <c r="U449" s="8">
        <f t="shared" si="57"/>
        <v>36</v>
      </c>
      <c r="V449" s="7">
        <v>31533</v>
      </c>
      <c r="W449" t="s">
        <v>6</v>
      </c>
      <c r="X449" s="2">
        <v>1.3720000000000001</v>
      </c>
      <c r="Y449" s="6">
        <f t="shared" si="54"/>
        <v>3.662475641333654E-2</v>
      </c>
      <c r="AA449">
        <v>189480</v>
      </c>
      <c r="AB449">
        <v>17366</v>
      </c>
      <c r="AC449">
        <v>15579670</v>
      </c>
      <c r="AD449" t="s">
        <v>5</v>
      </c>
      <c r="AE449">
        <v>34</v>
      </c>
      <c r="AF449">
        <v>5</v>
      </c>
      <c r="AH449" t="s">
        <v>2619</v>
      </c>
      <c r="AI449" t="s">
        <v>2618</v>
      </c>
      <c r="AK449" t="s">
        <v>2617</v>
      </c>
      <c r="AL449">
        <v>15</v>
      </c>
      <c r="AM449" s="5">
        <f t="shared" si="58"/>
        <v>0.41666666666666669</v>
      </c>
      <c r="AN449" s="4">
        <f t="shared" si="55"/>
        <v>6.310740880979427E-4</v>
      </c>
      <c r="AO449" s="3"/>
      <c r="AP449">
        <v>0</v>
      </c>
      <c r="AR449" t="s">
        <v>1</v>
      </c>
      <c r="AT449" s="2" t="s">
        <v>0</v>
      </c>
      <c r="AU449" s="1">
        <f t="shared" si="59"/>
        <v>2.5826651715764961</v>
      </c>
      <c r="AV449" s="1">
        <f t="shared" si="60"/>
        <v>1.862791525071724</v>
      </c>
      <c r="AW449" s="1">
        <f t="shared" si="61"/>
        <v>1.1429178785669523</v>
      </c>
    </row>
    <row r="450" spans="1:49" x14ac:dyDescent="0.2">
      <c r="A450">
        <v>448</v>
      </c>
      <c r="B450" t="s">
        <v>2616</v>
      </c>
      <c r="C450" t="s">
        <v>2615</v>
      </c>
      <c r="F450" t="s">
        <v>2614</v>
      </c>
      <c r="G450" t="s">
        <v>16</v>
      </c>
      <c r="H450" t="s">
        <v>15</v>
      </c>
      <c r="I450" t="s">
        <v>2613</v>
      </c>
      <c r="J450" t="s">
        <v>2612</v>
      </c>
      <c r="K450" t="s">
        <v>2611</v>
      </c>
      <c r="L450" t="s">
        <v>2610</v>
      </c>
      <c r="M450" t="s">
        <v>2609</v>
      </c>
      <c r="N450">
        <v>3</v>
      </c>
      <c r="O450" t="s">
        <v>2608</v>
      </c>
      <c r="P450" t="s">
        <v>2607</v>
      </c>
      <c r="Q450" t="s">
        <v>2606</v>
      </c>
      <c r="R450" s="7">
        <v>31413</v>
      </c>
      <c r="S450" s="8">
        <f t="shared" si="56"/>
        <v>1986</v>
      </c>
      <c r="T450" s="8">
        <v>1986</v>
      </c>
      <c r="U450" s="8">
        <f t="shared" si="57"/>
        <v>36</v>
      </c>
      <c r="V450" s="7">
        <v>31533</v>
      </c>
      <c r="W450" t="s">
        <v>6</v>
      </c>
      <c r="X450" s="2">
        <v>1.3720000000000001</v>
      </c>
      <c r="Y450" s="6">
        <f t="shared" ref="Y450:Y513" si="62">(X450-$Z$4)/($Z$3-$Z$4)</f>
        <v>3.662475641333654E-2</v>
      </c>
      <c r="AA450">
        <v>189480</v>
      </c>
      <c r="AB450">
        <v>17366</v>
      </c>
      <c r="AC450">
        <v>15579670</v>
      </c>
      <c r="AD450" t="s">
        <v>5</v>
      </c>
      <c r="AE450">
        <v>34</v>
      </c>
      <c r="AF450">
        <v>5</v>
      </c>
      <c r="AH450" t="s">
        <v>2605</v>
      </c>
      <c r="AI450" t="s">
        <v>2604</v>
      </c>
      <c r="AK450" t="s">
        <v>2603</v>
      </c>
      <c r="AL450">
        <v>34</v>
      </c>
      <c r="AM450" s="5">
        <f t="shared" si="58"/>
        <v>0.94444444444444442</v>
      </c>
      <c r="AN450" s="4">
        <f t="shared" ref="AN450:AN513" si="63">(AM450-$AO$4)/($AO$3-$AO$4)</f>
        <v>1.43043459968867E-3</v>
      </c>
      <c r="AO450" s="3"/>
      <c r="AP450">
        <v>0</v>
      </c>
      <c r="AR450" t="s">
        <v>1</v>
      </c>
      <c r="AT450" s="2" t="s">
        <v>0</v>
      </c>
      <c r="AU450" s="1">
        <f t="shared" si="59"/>
        <v>2.6066459869242178</v>
      </c>
      <c r="AV450" s="1">
        <f t="shared" si="60"/>
        <v>1.9027595506512605</v>
      </c>
      <c r="AW450" s="1">
        <f t="shared" si="61"/>
        <v>1.1988731143783031</v>
      </c>
    </row>
    <row r="451" spans="1:49" x14ac:dyDescent="0.2">
      <c r="A451">
        <v>449</v>
      </c>
      <c r="B451" t="s">
        <v>2602</v>
      </c>
      <c r="C451" t="s">
        <v>2601</v>
      </c>
      <c r="F451" t="s">
        <v>2600</v>
      </c>
      <c r="G451" t="s">
        <v>16</v>
      </c>
      <c r="H451" t="s">
        <v>15</v>
      </c>
      <c r="I451" t="s">
        <v>2599</v>
      </c>
      <c r="J451">
        <v>60103680</v>
      </c>
      <c r="K451" t="s">
        <v>2598</v>
      </c>
      <c r="L451" t="s">
        <v>2597</v>
      </c>
      <c r="M451" t="s">
        <v>71</v>
      </c>
      <c r="N451">
        <v>2</v>
      </c>
      <c r="O451" t="s">
        <v>2596</v>
      </c>
      <c r="P451" t="s">
        <v>2595</v>
      </c>
      <c r="Q451" t="s">
        <v>2594</v>
      </c>
      <c r="R451" s="7">
        <v>31413</v>
      </c>
      <c r="S451" s="8">
        <f t="shared" si="56"/>
        <v>1986</v>
      </c>
      <c r="T451" s="8">
        <v>1986</v>
      </c>
      <c r="U451" s="8">
        <f t="shared" si="57"/>
        <v>36</v>
      </c>
      <c r="V451" s="7">
        <v>31533</v>
      </c>
      <c r="W451" t="s">
        <v>153</v>
      </c>
      <c r="X451" s="2">
        <v>1.6519999999999999</v>
      </c>
      <c r="Y451" s="6">
        <f t="shared" si="62"/>
        <v>4.409919649769093E-2</v>
      </c>
      <c r="AA451" t="s">
        <v>152</v>
      </c>
      <c r="AB451">
        <v>17337</v>
      </c>
      <c r="AC451">
        <v>15582221</v>
      </c>
      <c r="AD451" t="s">
        <v>5</v>
      </c>
      <c r="AE451">
        <v>34</v>
      </c>
      <c r="AF451">
        <v>5</v>
      </c>
      <c r="AH451" t="s">
        <v>2593</v>
      </c>
      <c r="AI451" t="s">
        <v>2592</v>
      </c>
      <c r="AK451" t="s">
        <v>2591</v>
      </c>
      <c r="AL451">
        <v>4</v>
      </c>
      <c r="AM451" s="5">
        <f t="shared" si="58"/>
        <v>0.1111111111111111</v>
      </c>
      <c r="AN451" s="4">
        <f t="shared" si="63"/>
        <v>1.682864234927847E-4</v>
      </c>
      <c r="AO451" s="3"/>
      <c r="AP451">
        <v>0</v>
      </c>
      <c r="AR451" t="s">
        <v>1</v>
      </c>
      <c r="AT451" s="2" t="s">
        <v>0</v>
      </c>
      <c r="AU451" s="1">
        <f t="shared" si="59"/>
        <v>3.0919923475431483</v>
      </c>
      <c r="AV451" s="1">
        <f t="shared" si="60"/>
        <v>2.213374146059186</v>
      </c>
      <c r="AW451" s="1">
        <f t="shared" si="61"/>
        <v>1.3347559445752226</v>
      </c>
    </row>
    <row r="452" spans="1:49" x14ac:dyDescent="0.2">
      <c r="A452">
        <v>450</v>
      </c>
      <c r="B452" t="s">
        <v>2590</v>
      </c>
      <c r="C452" t="s">
        <v>2589</v>
      </c>
      <c r="F452" t="s">
        <v>2588</v>
      </c>
      <c r="G452" t="s">
        <v>16</v>
      </c>
      <c r="H452" t="s">
        <v>15</v>
      </c>
      <c r="I452" t="s">
        <v>2587</v>
      </c>
      <c r="J452">
        <v>60038812</v>
      </c>
      <c r="K452" t="s">
        <v>2586</v>
      </c>
      <c r="L452" t="s">
        <v>2585</v>
      </c>
      <c r="M452" t="s">
        <v>955</v>
      </c>
      <c r="N452">
        <v>1</v>
      </c>
      <c r="O452" t="s">
        <v>2584</v>
      </c>
      <c r="P452">
        <v>56222659200</v>
      </c>
      <c r="Q452">
        <v>60038812</v>
      </c>
      <c r="R452" s="7">
        <v>31413</v>
      </c>
      <c r="S452" s="8">
        <f t="shared" si="56"/>
        <v>1986</v>
      </c>
      <c r="T452" s="8">
        <v>1986</v>
      </c>
      <c r="U452" s="8">
        <f t="shared" si="57"/>
        <v>36</v>
      </c>
      <c r="V452" s="7" t="s">
        <v>2490</v>
      </c>
      <c r="W452" t="s">
        <v>1288</v>
      </c>
      <c r="X452" s="2">
        <v>0.65500000000000003</v>
      </c>
      <c r="Y452" s="6">
        <f t="shared" si="62"/>
        <v>1.7484850911614749E-2</v>
      </c>
      <c r="AA452">
        <v>189375</v>
      </c>
      <c r="AB452">
        <v>26051</v>
      </c>
      <c r="AD452" t="s">
        <v>5</v>
      </c>
      <c r="AE452" t="s">
        <v>1287</v>
      </c>
      <c r="AF452">
        <v>2</v>
      </c>
      <c r="AH452" t="s">
        <v>2583</v>
      </c>
      <c r="AI452" t="s">
        <v>2582</v>
      </c>
      <c r="AK452" t="s">
        <v>2581</v>
      </c>
      <c r="AL452">
        <v>6</v>
      </c>
      <c r="AM452" s="5">
        <f t="shared" si="58"/>
        <v>0.16666666666666666</v>
      </c>
      <c r="AN452" s="4">
        <f t="shared" si="63"/>
        <v>2.5242963523917705E-4</v>
      </c>
      <c r="AO452" s="3"/>
      <c r="AP452">
        <v>0</v>
      </c>
      <c r="AR452" t="s">
        <v>1</v>
      </c>
      <c r="AT452" s="2" t="s">
        <v>0</v>
      </c>
      <c r="AU452" s="1">
        <f t="shared" si="59"/>
        <v>1.2315124528702075</v>
      </c>
      <c r="AV452" s="1">
        <f t="shared" si="60"/>
        <v>0.8868640273426962</v>
      </c>
      <c r="AW452" s="1">
        <f t="shared" si="61"/>
        <v>0.54221560181518491</v>
      </c>
    </row>
    <row r="453" spans="1:49" x14ac:dyDescent="0.2">
      <c r="A453">
        <v>451</v>
      </c>
      <c r="B453" t="s">
        <v>2580</v>
      </c>
      <c r="C453" t="s">
        <v>2579</v>
      </c>
      <c r="F453" t="s">
        <v>2578</v>
      </c>
      <c r="G453" t="s">
        <v>16</v>
      </c>
      <c r="H453" t="s">
        <v>15</v>
      </c>
      <c r="I453" t="s">
        <v>2577</v>
      </c>
      <c r="J453">
        <v>60025576</v>
      </c>
      <c r="K453" t="s">
        <v>2576</v>
      </c>
      <c r="L453" t="s">
        <v>2575</v>
      </c>
      <c r="M453" t="s">
        <v>114</v>
      </c>
      <c r="N453">
        <v>2</v>
      </c>
      <c r="O453" t="s">
        <v>2574</v>
      </c>
      <c r="P453" t="s">
        <v>2573</v>
      </c>
      <c r="Q453" t="s">
        <v>2572</v>
      </c>
      <c r="R453" s="7">
        <v>31413</v>
      </c>
      <c r="S453" s="8">
        <f t="shared" si="56"/>
        <v>1986</v>
      </c>
      <c r="T453" s="8">
        <v>1986</v>
      </c>
      <c r="U453" s="8">
        <f t="shared" si="57"/>
        <v>36</v>
      </c>
      <c r="V453" s="7">
        <v>31533</v>
      </c>
      <c r="W453" t="s">
        <v>2571</v>
      </c>
      <c r="X453" s="2">
        <v>0.39600000000000002</v>
      </c>
      <c r="Y453" s="6">
        <f t="shared" si="62"/>
        <v>1.0570993833586931E-2</v>
      </c>
      <c r="AA453">
        <v>8858985</v>
      </c>
      <c r="AB453">
        <v>25993</v>
      </c>
      <c r="AD453" t="s">
        <v>5</v>
      </c>
      <c r="AE453">
        <v>1</v>
      </c>
      <c r="AF453">
        <v>5</v>
      </c>
      <c r="AH453" s="9">
        <v>44445</v>
      </c>
      <c r="AI453" t="s">
        <v>2570</v>
      </c>
      <c r="AK453" t="s">
        <v>2569</v>
      </c>
      <c r="AL453">
        <v>0</v>
      </c>
      <c r="AM453" s="5">
        <f t="shared" si="58"/>
        <v>0</v>
      </c>
      <c r="AN453" s="4">
        <f t="shared" si="63"/>
        <v>0</v>
      </c>
      <c r="AO453" s="3"/>
      <c r="AP453">
        <v>0</v>
      </c>
      <c r="AR453" t="s">
        <v>1</v>
      </c>
      <c r="AT453" s="2" t="s">
        <v>0</v>
      </c>
      <c r="AU453" s="1">
        <f t="shared" si="59"/>
        <v>0.73996956835108518</v>
      </c>
      <c r="AV453" s="1">
        <f t="shared" si="60"/>
        <v>0.52854969167934651</v>
      </c>
      <c r="AW453" s="1">
        <f t="shared" si="61"/>
        <v>0.3171298150076079</v>
      </c>
    </row>
    <row r="454" spans="1:49" x14ac:dyDescent="0.2">
      <c r="A454">
        <v>452</v>
      </c>
      <c r="B454" t="s">
        <v>2568</v>
      </c>
      <c r="C454" t="s">
        <v>2567</v>
      </c>
      <c r="F454" t="s">
        <v>2566</v>
      </c>
      <c r="G454" t="s">
        <v>16</v>
      </c>
      <c r="H454" t="s">
        <v>15</v>
      </c>
      <c r="I454" t="s">
        <v>2565</v>
      </c>
      <c r="J454">
        <v>100499647</v>
      </c>
      <c r="K454" t="s">
        <v>2564</v>
      </c>
      <c r="L454" t="s">
        <v>2563</v>
      </c>
      <c r="M454" t="s">
        <v>114</v>
      </c>
      <c r="N454">
        <v>1</v>
      </c>
      <c r="O454" t="s">
        <v>2562</v>
      </c>
      <c r="P454">
        <v>6603910340</v>
      </c>
      <c r="Q454">
        <v>100499647</v>
      </c>
      <c r="R454" s="7">
        <v>31413</v>
      </c>
      <c r="S454" s="8">
        <f t="shared" si="56"/>
        <v>1986</v>
      </c>
      <c r="T454" s="8">
        <v>1986</v>
      </c>
      <c r="U454" s="8">
        <f t="shared" si="57"/>
        <v>36</v>
      </c>
      <c r="V454" s="7">
        <v>31533</v>
      </c>
      <c r="W454" t="s">
        <v>2561</v>
      </c>
      <c r="X454" s="2">
        <v>1.5980000000000001</v>
      </c>
      <c r="Y454" s="6">
        <f t="shared" si="62"/>
        <v>4.2657697338565448E-2</v>
      </c>
      <c r="AA454">
        <v>7339445</v>
      </c>
      <c r="AB454">
        <v>16305</v>
      </c>
      <c r="AD454" t="s">
        <v>5</v>
      </c>
      <c r="AE454">
        <v>112</v>
      </c>
      <c r="AF454">
        <v>5</v>
      </c>
      <c r="AH454" t="s">
        <v>2560</v>
      </c>
      <c r="AI454" t="s">
        <v>2559</v>
      </c>
      <c r="AK454" t="s">
        <v>2558</v>
      </c>
      <c r="AL454">
        <v>11</v>
      </c>
      <c r="AM454" s="5">
        <f t="shared" si="58"/>
        <v>0.30555555555555558</v>
      </c>
      <c r="AN454" s="4">
        <f t="shared" si="63"/>
        <v>4.62787664605158E-4</v>
      </c>
      <c r="AO454" s="3"/>
      <c r="AP454">
        <v>0</v>
      </c>
      <c r="AR454" t="s">
        <v>1</v>
      </c>
      <c r="AT454" s="2" t="s">
        <v>0</v>
      </c>
      <c r="AU454" s="1">
        <f t="shared" si="59"/>
        <v>2.9999224436377361</v>
      </c>
      <c r="AV454" s="1">
        <f t="shared" si="60"/>
        <v>2.1560242501585303</v>
      </c>
      <c r="AW454" s="1">
        <f t="shared" si="61"/>
        <v>1.3121260566793245</v>
      </c>
    </row>
    <row r="455" spans="1:49" x14ac:dyDescent="0.2">
      <c r="A455">
        <v>453</v>
      </c>
      <c r="B455" t="s">
        <v>2557</v>
      </c>
      <c r="C455" t="s">
        <v>2556</v>
      </c>
      <c r="F455" t="s">
        <v>2555</v>
      </c>
      <c r="G455" t="s">
        <v>16</v>
      </c>
      <c r="H455" t="s">
        <v>15</v>
      </c>
      <c r="I455" t="s">
        <v>2554</v>
      </c>
      <c r="J455" t="s">
        <v>2553</v>
      </c>
      <c r="K455" t="s">
        <v>2552</v>
      </c>
      <c r="L455" t="s">
        <v>2551</v>
      </c>
      <c r="M455" t="s">
        <v>2550</v>
      </c>
      <c r="N455">
        <v>2</v>
      </c>
      <c r="O455" t="s">
        <v>2549</v>
      </c>
      <c r="P455" t="s">
        <v>2548</v>
      </c>
      <c r="Q455" t="s">
        <v>2547</v>
      </c>
      <c r="R455" s="7">
        <v>31413</v>
      </c>
      <c r="S455" s="8">
        <f t="shared" si="56"/>
        <v>1986</v>
      </c>
      <c r="T455" s="8">
        <v>1986</v>
      </c>
      <c r="U455" s="8">
        <f t="shared" si="57"/>
        <v>36</v>
      </c>
      <c r="V455" s="7">
        <v>31533</v>
      </c>
      <c r="W455" t="s">
        <v>153</v>
      </c>
      <c r="X455" s="2">
        <v>1.6519999999999999</v>
      </c>
      <c r="Y455" s="6">
        <f t="shared" si="62"/>
        <v>4.409919649769093E-2</v>
      </c>
      <c r="AA455" t="s">
        <v>152</v>
      </c>
      <c r="AB455">
        <v>17337</v>
      </c>
      <c r="AC455">
        <v>15582221</v>
      </c>
      <c r="AD455" t="s">
        <v>5</v>
      </c>
      <c r="AE455">
        <v>34</v>
      </c>
      <c r="AF455">
        <v>5</v>
      </c>
      <c r="AH455" t="s">
        <v>2546</v>
      </c>
      <c r="AI455" t="s">
        <v>2545</v>
      </c>
      <c r="AK455" t="s">
        <v>2544</v>
      </c>
      <c r="AL455">
        <v>11</v>
      </c>
      <c r="AM455" s="5">
        <f t="shared" si="58"/>
        <v>0.30555555555555558</v>
      </c>
      <c r="AN455" s="4">
        <f t="shared" si="63"/>
        <v>4.62787664605158E-4</v>
      </c>
      <c r="AO455" s="3"/>
      <c r="AP455">
        <v>0</v>
      </c>
      <c r="AR455" t="s">
        <v>1</v>
      </c>
      <c r="AT455" s="2" t="s">
        <v>0</v>
      </c>
      <c r="AU455" s="1">
        <f t="shared" si="59"/>
        <v>3.1008273847765198</v>
      </c>
      <c r="AV455" s="1">
        <f t="shared" si="60"/>
        <v>2.2280992081148043</v>
      </c>
      <c r="AW455" s="1">
        <f t="shared" si="61"/>
        <v>1.3553710314530889</v>
      </c>
    </row>
    <row r="456" spans="1:49" x14ac:dyDescent="0.2">
      <c r="A456">
        <v>454</v>
      </c>
      <c r="B456" t="s">
        <v>2543</v>
      </c>
      <c r="C456" t="s">
        <v>2542</v>
      </c>
      <c r="F456" t="s">
        <v>2541</v>
      </c>
      <c r="G456" t="s">
        <v>16</v>
      </c>
      <c r="H456" t="s">
        <v>15</v>
      </c>
      <c r="I456" t="s">
        <v>2540</v>
      </c>
      <c r="J456">
        <v>60008334</v>
      </c>
      <c r="K456" t="s">
        <v>1054</v>
      </c>
      <c r="L456" t="s">
        <v>1053</v>
      </c>
      <c r="M456" t="s">
        <v>114</v>
      </c>
      <c r="N456">
        <v>1</v>
      </c>
      <c r="O456" t="s">
        <v>2539</v>
      </c>
      <c r="P456">
        <v>57198005717</v>
      </c>
      <c r="Q456">
        <v>60008334</v>
      </c>
      <c r="R456" s="7">
        <v>31413</v>
      </c>
      <c r="S456" s="8">
        <f t="shared" si="56"/>
        <v>1986</v>
      </c>
      <c r="T456" s="8">
        <v>1986</v>
      </c>
      <c r="U456" s="8">
        <f t="shared" si="57"/>
        <v>36</v>
      </c>
      <c r="V456" s="7">
        <v>31533</v>
      </c>
      <c r="W456" t="s">
        <v>153</v>
      </c>
      <c r="X456" s="2">
        <v>1.6519999999999999</v>
      </c>
      <c r="Y456" s="6">
        <f t="shared" si="62"/>
        <v>4.409919649769093E-2</v>
      </c>
      <c r="AA456" t="s">
        <v>152</v>
      </c>
      <c r="AB456">
        <v>17337</v>
      </c>
      <c r="AC456">
        <v>15582221</v>
      </c>
      <c r="AD456" t="s">
        <v>5</v>
      </c>
      <c r="AE456">
        <v>34</v>
      </c>
      <c r="AF456">
        <v>5</v>
      </c>
      <c r="AH456" t="s">
        <v>2538</v>
      </c>
      <c r="AI456" t="s">
        <v>2537</v>
      </c>
      <c r="AK456" t="s">
        <v>2536</v>
      </c>
      <c r="AL456">
        <v>39</v>
      </c>
      <c r="AM456" s="5">
        <f t="shared" si="58"/>
        <v>1.0833333333333333</v>
      </c>
      <c r="AN456" s="4">
        <f t="shared" si="63"/>
        <v>1.6407926290546509E-3</v>
      </c>
      <c r="AO456" s="3"/>
      <c r="AP456">
        <v>0</v>
      </c>
      <c r="AR456" t="s">
        <v>1</v>
      </c>
      <c r="AT456" s="2" t="s">
        <v>0</v>
      </c>
      <c r="AU456" s="1">
        <f t="shared" si="59"/>
        <v>3.1361675337100046</v>
      </c>
      <c r="AV456" s="1">
        <f t="shared" si="60"/>
        <v>2.2869994563372789</v>
      </c>
      <c r="AW456" s="1">
        <f t="shared" si="61"/>
        <v>1.4378313789645534</v>
      </c>
    </row>
    <row r="457" spans="1:49" x14ac:dyDescent="0.2">
      <c r="A457">
        <v>455</v>
      </c>
      <c r="B457" t="s">
        <v>2535</v>
      </c>
      <c r="C457" t="s">
        <v>2534</v>
      </c>
      <c r="F457" t="s">
        <v>2533</v>
      </c>
      <c r="G457" t="s">
        <v>16</v>
      </c>
      <c r="H457" t="s">
        <v>15</v>
      </c>
      <c r="I457" t="s">
        <v>2532</v>
      </c>
      <c r="J457">
        <v>60103653</v>
      </c>
      <c r="K457" t="s">
        <v>1253</v>
      </c>
      <c r="L457" t="s">
        <v>1252</v>
      </c>
      <c r="M457" t="s">
        <v>1251</v>
      </c>
      <c r="N457">
        <v>2</v>
      </c>
      <c r="O457" t="s">
        <v>2531</v>
      </c>
      <c r="P457" t="s">
        <v>2530</v>
      </c>
      <c r="Q457" t="s">
        <v>2529</v>
      </c>
      <c r="R457" s="7">
        <v>31413</v>
      </c>
      <c r="S457" s="8">
        <f t="shared" si="56"/>
        <v>1986</v>
      </c>
      <c r="T457" s="8">
        <v>1986</v>
      </c>
      <c r="U457" s="8">
        <f t="shared" si="57"/>
        <v>36</v>
      </c>
      <c r="V457" s="7">
        <v>31533</v>
      </c>
      <c r="W457" t="s">
        <v>6</v>
      </c>
      <c r="X457" s="2">
        <v>1.3720000000000001</v>
      </c>
      <c r="Y457" s="6">
        <f t="shared" si="62"/>
        <v>3.662475641333654E-2</v>
      </c>
      <c r="AA457">
        <v>189480</v>
      </c>
      <c r="AB457">
        <v>17366</v>
      </c>
      <c r="AC457">
        <v>15579670</v>
      </c>
      <c r="AD457" t="s">
        <v>5</v>
      </c>
      <c r="AE457">
        <v>34</v>
      </c>
      <c r="AF457">
        <v>5</v>
      </c>
      <c r="AH457" t="s">
        <v>2528</v>
      </c>
      <c r="AI457" t="s">
        <v>2527</v>
      </c>
      <c r="AK457" t="s">
        <v>2526</v>
      </c>
      <c r="AL457">
        <v>5</v>
      </c>
      <c r="AM457" s="5">
        <f t="shared" si="58"/>
        <v>0.1388888888888889</v>
      </c>
      <c r="AN457" s="4">
        <f t="shared" si="63"/>
        <v>2.103580293659809E-4</v>
      </c>
      <c r="AO457" s="3"/>
      <c r="AP457">
        <v>0</v>
      </c>
      <c r="AR457" t="s">
        <v>1</v>
      </c>
      <c r="AT457" s="2" t="s">
        <v>0</v>
      </c>
      <c r="AU457" s="1">
        <f t="shared" si="59"/>
        <v>2.5700436898145371</v>
      </c>
      <c r="AV457" s="1">
        <f t="shared" si="60"/>
        <v>1.8417557221351262</v>
      </c>
      <c r="AW457" s="1">
        <f t="shared" si="61"/>
        <v>1.1134677544557148</v>
      </c>
    </row>
    <row r="458" spans="1:49" x14ac:dyDescent="0.2">
      <c r="A458">
        <v>456</v>
      </c>
      <c r="B458" t="s">
        <v>2525</v>
      </c>
      <c r="C458" t="s">
        <v>2524</v>
      </c>
      <c r="F458" t="s">
        <v>2523</v>
      </c>
      <c r="G458" t="s">
        <v>16</v>
      </c>
      <c r="H458" t="s">
        <v>15</v>
      </c>
      <c r="I458" t="s">
        <v>2522</v>
      </c>
      <c r="J458" t="s">
        <v>2521</v>
      </c>
      <c r="K458" t="s">
        <v>2520</v>
      </c>
      <c r="L458" t="s">
        <v>2519</v>
      </c>
      <c r="M458" t="s">
        <v>783</v>
      </c>
      <c r="N458">
        <v>3</v>
      </c>
      <c r="O458" t="s">
        <v>2518</v>
      </c>
      <c r="P458" t="s">
        <v>2517</v>
      </c>
      <c r="Q458" t="s">
        <v>2516</v>
      </c>
      <c r="R458" s="7">
        <v>31413</v>
      </c>
      <c r="S458" s="8">
        <f t="shared" si="56"/>
        <v>1986</v>
      </c>
      <c r="T458" s="8">
        <v>1986</v>
      </c>
      <c r="U458" s="8">
        <f t="shared" si="57"/>
        <v>36</v>
      </c>
      <c r="V458" s="7">
        <v>31533</v>
      </c>
      <c r="W458" t="s">
        <v>153</v>
      </c>
      <c r="X458" s="2">
        <v>1.6519999999999999</v>
      </c>
      <c r="Y458" s="6">
        <f t="shared" si="62"/>
        <v>4.409919649769093E-2</v>
      </c>
      <c r="AA458" t="s">
        <v>152</v>
      </c>
      <c r="AB458">
        <v>17337</v>
      </c>
      <c r="AC458">
        <v>15582221</v>
      </c>
      <c r="AD458" t="s">
        <v>5</v>
      </c>
      <c r="AE458">
        <v>34</v>
      </c>
      <c r="AF458">
        <v>5</v>
      </c>
      <c r="AH458" t="s">
        <v>2515</v>
      </c>
      <c r="AI458" t="s">
        <v>2514</v>
      </c>
      <c r="AK458" t="s">
        <v>2513</v>
      </c>
      <c r="AL458">
        <v>271</v>
      </c>
      <c r="AM458" s="5">
        <f t="shared" si="58"/>
        <v>7.5277777777777777</v>
      </c>
      <c r="AN458" s="4">
        <f t="shared" si="63"/>
        <v>1.1401405191636165E-2</v>
      </c>
      <c r="AO458" s="3"/>
      <c r="AP458">
        <v>0</v>
      </c>
      <c r="AR458" t="s">
        <v>1</v>
      </c>
      <c r="AT458" s="2" t="s">
        <v>0</v>
      </c>
      <c r="AU458" s="1">
        <f t="shared" si="59"/>
        <v>3.4289859105874503</v>
      </c>
      <c r="AV458" s="1">
        <f t="shared" si="60"/>
        <v>2.7750300844663545</v>
      </c>
      <c r="AW458" s="1">
        <f t="shared" si="61"/>
        <v>2.1210742583452591</v>
      </c>
    </row>
    <row r="459" spans="1:49" x14ac:dyDescent="0.2">
      <c r="A459">
        <v>457</v>
      </c>
      <c r="B459" t="s">
        <v>2512</v>
      </c>
      <c r="C459" t="s">
        <v>2511</v>
      </c>
      <c r="F459" t="s">
        <v>2510</v>
      </c>
      <c r="G459" t="s">
        <v>16</v>
      </c>
      <c r="H459" t="s">
        <v>15</v>
      </c>
      <c r="I459" t="s">
        <v>2501</v>
      </c>
      <c r="J459">
        <v>60016827</v>
      </c>
      <c r="K459" t="s">
        <v>2509</v>
      </c>
      <c r="L459" t="s">
        <v>2508</v>
      </c>
      <c r="M459" t="s">
        <v>114</v>
      </c>
      <c r="N459">
        <v>1</v>
      </c>
      <c r="O459" t="s">
        <v>2500</v>
      </c>
      <c r="P459">
        <v>7402095441</v>
      </c>
      <c r="Q459">
        <v>60016827</v>
      </c>
      <c r="R459" s="7">
        <v>31413</v>
      </c>
      <c r="S459" s="8">
        <f t="shared" si="56"/>
        <v>1986</v>
      </c>
      <c r="T459" s="8">
        <v>1986</v>
      </c>
      <c r="U459" s="8">
        <f t="shared" si="57"/>
        <v>36</v>
      </c>
      <c r="V459" s="7">
        <v>31533</v>
      </c>
      <c r="W459" t="s">
        <v>6</v>
      </c>
      <c r="X459" s="2">
        <v>1.3720000000000001</v>
      </c>
      <c r="Y459" s="6">
        <f t="shared" si="62"/>
        <v>3.662475641333654E-2</v>
      </c>
      <c r="AA459">
        <v>189480</v>
      </c>
      <c r="AB459">
        <v>17366</v>
      </c>
      <c r="AC459">
        <v>15579670</v>
      </c>
      <c r="AD459" t="s">
        <v>5</v>
      </c>
      <c r="AE459">
        <v>34</v>
      </c>
      <c r="AF459">
        <v>5</v>
      </c>
      <c r="AH459" t="s">
        <v>2507</v>
      </c>
      <c r="AI459" t="s">
        <v>2506</v>
      </c>
      <c r="AK459" t="s">
        <v>2505</v>
      </c>
      <c r="AL459">
        <v>31</v>
      </c>
      <c r="AM459" s="5">
        <f t="shared" si="58"/>
        <v>0.86111111111111116</v>
      </c>
      <c r="AN459" s="4">
        <f t="shared" si="63"/>
        <v>1.3042197820690817E-3</v>
      </c>
      <c r="AO459" s="3"/>
      <c r="AP459">
        <v>0</v>
      </c>
      <c r="AR459" t="s">
        <v>1</v>
      </c>
      <c r="AT459" s="2" t="s">
        <v>0</v>
      </c>
      <c r="AU459" s="1">
        <f t="shared" si="59"/>
        <v>2.6028595423956298</v>
      </c>
      <c r="AV459" s="1">
        <f t="shared" si="60"/>
        <v>1.896448809770281</v>
      </c>
      <c r="AW459" s="1">
        <f t="shared" si="61"/>
        <v>1.1900380771449319</v>
      </c>
    </row>
    <row r="460" spans="1:49" x14ac:dyDescent="0.2">
      <c r="A460">
        <v>458</v>
      </c>
      <c r="B460" t="s">
        <v>2504</v>
      </c>
      <c r="C460" t="s">
        <v>2503</v>
      </c>
      <c r="F460" t="s">
        <v>2502</v>
      </c>
      <c r="G460" t="s">
        <v>16</v>
      </c>
      <c r="H460" t="s">
        <v>15</v>
      </c>
      <c r="I460" t="s">
        <v>2501</v>
      </c>
      <c r="N460">
        <v>1</v>
      </c>
      <c r="O460" t="s">
        <v>2500</v>
      </c>
      <c r="P460">
        <v>7402095441</v>
      </c>
      <c r="R460" s="7">
        <v>31413</v>
      </c>
      <c r="S460" s="8">
        <f t="shared" si="56"/>
        <v>1986</v>
      </c>
      <c r="T460" s="8">
        <v>1986</v>
      </c>
      <c r="U460" s="8">
        <f t="shared" si="57"/>
        <v>36</v>
      </c>
      <c r="V460" s="7">
        <v>31533</v>
      </c>
      <c r="W460" t="s">
        <v>6</v>
      </c>
      <c r="X460" s="2">
        <v>1.3720000000000001</v>
      </c>
      <c r="Y460" s="6">
        <f t="shared" si="62"/>
        <v>3.662475641333654E-2</v>
      </c>
      <c r="AA460">
        <v>189480</v>
      </c>
      <c r="AB460">
        <v>17366</v>
      </c>
      <c r="AC460">
        <v>15579670</v>
      </c>
      <c r="AD460" t="s">
        <v>5</v>
      </c>
      <c r="AE460">
        <v>34</v>
      </c>
      <c r="AF460">
        <v>5</v>
      </c>
      <c r="AH460" t="s">
        <v>2499</v>
      </c>
      <c r="AI460" t="s">
        <v>2498</v>
      </c>
      <c r="AK460" t="s">
        <v>2497</v>
      </c>
      <c r="AL460">
        <v>29</v>
      </c>
      <c r="AM460" s="5">
        <f t="shared" si="58"/>
        <v>0.80555555555555558</v>
      </c>
      <c r="AN460" s="4">
        <f t="shared" si="63"/>
        <v>1.2200765703226893E-3</v>
      </c>
      <c r="AO460" s="3"/>
      <c r="AP460">
        <v>0</v>
      </c>
      <c r="AR460" t="s">
        <v>1</v>
      </c>
      <c r="AT460" s="2" t="s">
        <v>0</v>
      </c>
      <c r="AU460" s="1">
        <f t="shared" si="59"/>
        <v>2.6003352460432385</v>
      </c>
      <c r="AV460" s="1">
        <f t="shared" si="60"/>
        <v>1.8922416491829617</v>
      </c>
      <c r="AW460" s="1">
        <f t="shared" si="61"/>
        <v>1.1841480523226846</v>
      </c>
    </row>
    <row r="461" spans="1:49" x14ac:dyDescent="0.2">
      <c r="A461">
        <v>459</v>
      </c>
      <c r="B461" t="s">
        <v>2496</v>
      </c>
      <c r="C461" t="s">
        <v>2495</v>
      </c>
      <c r="F461" t="s">
        <v>2494</v>
      </c>
      <c r="G461" t="s">
        <v>16</v>
      </c>
      <c r="H461" t="s">
        <v>15</v>
      </c>
      <c r="I461" t="s">
        <v>2493</v>
      </c>
      <c r="N461">
        <v>2</v>
      </c>
      <c r="O461" t="s">
        <v>2492</v>
      </c>
      <c r="P461" t="s">
        <v>2491</v>
      </c>
      <c r="Q461" t="s">
        <v>313</v>
      </c>
      <c r="R461" s="7">
        <v>31413</v>
      </c>
      <c r="S461" s="8">
        <f t="shared" si="56"/>
        <v>1986</v>
      </c>
      <c r="T461" s="8">
        <v>1986</v>
      </c>
      <c r="U461" s="8">
        <f t="shared" si="57"/>
        <v>36</v>
      </c>
      <c r="V461" s="7" t="s">
        <v>2490</v>
      </c>
      <c r="W461" t="s">
        <v>2489</v>
      </c>
      <c r="X461" s="2">
        <v>0.13</v>
      </c>
      <c r="Y461" s="6">
        <f t="shared" si="62"/>
        <v>3.470275753450255E-3</v>
      </c>
      <c r="AA461">
        <v>368733</v>
      </c>
      <c r="AB461">
        <v>24197</v>
      </c>
      <c r="AD461" t="s">
        <v>5</v>
      </c>
      <c r="AE461">
        <v>254</v>
      </c>
      <c r="AF461">
        <v>5</v>
      </c>
      <c r="AH461" t="s">
        <v>2488</v>
      </c>
      <c r="AI461" t="s">
        <v>2487</v>
      </c>
      <c r="AK461" t="s">
        <v>2486</v>
      </c>
      <c r="AL461">
        <v>8</v>
      </c>
      <c r="AM461" s="5">
        <f t="shared" si="58"/>
        <v>0.22222222222222221</v>
      </c>
      <c r="AN461" s="4">
        <f t="shared" si="63"/>
        <v>3.365728469855694E-4</v>
      </c>
      <c r="AO461" s="3"/>
      <c r="AP461">
        <v>0</v>
      </c>
      <c r="AR461" t="s">
        <v>1</v>
      </c>
      <c r="AT461" s="2">
        <v>2.1419999999999999</v>
      </c>
      <c r="AU461" s="1">
        <f t="shared" si="59"/>
        <v>0.25301648815108491</v>
      </c>
      <c r="AV461" s="1">
        <f t="shared" si="60"/>
        <v>0.19034243002179121</v>
      </c>
      <c r="AW461" s="1">
        <f t="shared" si="61"/>
        <v>0.12766837189249752</v>
      </c>
    </row>
    <row r="462" spans="1:49" x14ac:dyDescent="0.2">
      <c r="A462">
        <v>460</v>
      </c>
      <c r="B462" t="s">
        <v>2485</v>
      </c>
      <c r="C462" t="s">
        <v>2484</v>
      </c>
      <c r="D462">
        <v>169755286900401</v>
      </c>
      <c r="F462" t="s">
        <v>2483</v>
      </c>
      <c r="G462" t="s">
        <v>16</v>
      </c>
      <c r="H462" t="s">
        <v>15</v>
      </c>
      <c r="I462" t="s">
        <v>2482</v>
      </c>
      <c r="J462" t="s">
        <v>2476</v>
      </c>
      <c r="K462" t="s">
        <v>2481</v>
      </c>
      <c r="L462" t="s">
        <v>2480</v>
      </c>
      <c r="M462" t="s">
        <v>2479</v>
      </c>
      <c r="N462">
        <v>2</v>
      </c>
      <c r="O462" t="s">
        <v>2478</v>
      </c>
      <c r="P462" t="s">
        <v>2477</v>
      </c>
      <c r="Q462" t="s">
        <v>2476</v>
      </c>
      <c r="R462" s="7">
        <v>31413</v>
      </c>
      <c r="S462" s="8">
        <f t="shared" si="56"/>
        <v>1986</v>
      </c>
      <c r="T462" s="8">
        <v>1986</v>
      </c>
      <c r="U462" s="8">
        <f t="shared" si="57"/>
        <v>36</v>
      </c>
      <c r="V462" s="7">
        <v>31533</v>
      </c>
      <c r="W462" t="s">
        <v>2475</v>
      </c>
      <c r="X462" s="2" t="s">
        <v>0</v>
      </c>
      <c r="Y462" s="6" t="e">
        <f t="shared" si="62"/>
        <v>#VALUE!</v>
      </c>
      <c r="AA462">
        <v>1697552</v>
      </c>
      <c r="AB462">
        <v>37328</v>
      </c>
      <c r="AD462" t="s">
        <v>5</v>
      </c>
      <c r="AE462">
        <v>11</v>
      </c>
      <c r="AF462">
        <v>5</v>
      </c>
      <c r="AH462" t="s">
        <v>2474</v>
      </c>
      <c r="AI462" t="s">
        <v>2473</v>
      </c>
      <c r="AJ462" t="s">
        <v>2472</v>
      </c>
      <c r="AK462" t="s">
        <v>2471</v>
      </c>
      <c r="AL462">
        <v>6</v>
      </c>
      <c r="AM462" s="5">
        <f t="shared" si="58"/>
        <v>0.16666666666666666</v>
      </c>
      <c r="AN462" s="4">
        <f t="shared" si="63"/>
        <v>2.5242963523917705E-4</v>
      </c>
      <c r="AO462" s="3"/>
      <c r="AP462">
        <v>0</v>
      </c>
      <c r="AQ462" t="s">
        <v>2470</v>
      </c>
      <c r="AR462" t="s">
        <v>1</v>
      </c>
      <c r="AS462" t="s">
        <v>2469</v>
      </c>
      <c r="AT462" s="2" t="s">
        <v>0</v>
      </c>
      <c r="AU462" s="1" t="e">
        <f t="shared" si="59"/>
        <v>#VALUE!</v>
      </c>
      <c r="AV462" s="1" t="e">
        <f t="shared" si="60"/>
        <v>#VALUE!</v>
      </c>
      <c r="AW462" s="1" t="e">
        <f t="shared" si="61"/>
        <v>#VALUE!</v>
      </c>
    </row>
    <row r="463" spans="1:49" x14ac:dyDescent="0.2">
      <c r="A463">
        <v>461</v>
      </c>
      <c r="B463" t="s">
        <v>2468</v>
      </c>
      <c r="C463" t="s">
        <v>2467</v>
      </c>
      <c r="F463" t="s">
        <v>2466</v>
      </c>
      <c r="G463" t="s">
        <v>16</v>
      </c>
      <c r="H463" t="s">
        <v>15</v>
      </c>
      <c r="I463" t="s">
        <v>1900</v>
      </c>
      <c r="J463" t="s">
        <v>2465</v>
      </c>
      <c r="K463" t="s">
        <v>2464</v>
      </c>
      <c r="L463" t="s">
        <v>2463</v>
      </c>
      <c r="M463" t="s">
        <v>157</v>
      </c>
      <c r="N463">
        <v>2</v>
      </c>
      <c r="O463" t="s">
        <v>2462</v>
      </c>
      <c r="P463" t="s">
        <v>2461</v>
      </c>
      <c r="Q463" t="s">
        <v>2460</v>
      </c>
      <c r="R463" s="7">
        <v>31413</v>
      </c>
      <c r="S463" s="8">
        <f t="shared" si="56"/>
        <v>1986</v>
      </c>
      <c r="T463" s="8">
        <v>1986</v>
      </c>
      <c r="U463" s="8">
        <f t="shared" si="57"/>
        <v>36</v>
      </c>
      <c r="V463" s="7">
        <v>1986</v>
      </c>
      <c r="W463" t="s">
        <v>483</v>
      </c>
      <c r="X463" s="2">
        <v>0.111</v>
      </c>
      <c r="Y463" s="6">
        <f t="shared" si="62"/>
        <v>2.9630816048690639E-3</v>
      </c>
      <c r="AA463">
        <v>87566621</v>
      </c>
      <c r="AB463">
        <v>24890</v>
      </c>
      <c r="AC463">
        <v>15206424</v>
      </c>
      <c r="AD463" t="s">
        <v>5</v>
      </c>
      <c r="AE463">
        <v>69</v>
      </c>
      <c r="AF463">
        <v>5</v>
      </c>
      <c r="AH463" t="s">
        <v>2459</v>
      </c>
      <c r="AI463" t="s">
        <v>2458</v>
      </c>
      <c r="AK463" t="s">
        <v>2457</v>
      </c>
      <c r="AL463">
        <v>0</v>
      </c>
      <c r="AM463" s="5">
        <f t="shared" si="58"/>
        <v>0</v>
      </c>
      <c r="AN463" s="4">
        <f t="shared" si="63"/>
        <v>0</v>
      </c>
      <c r="AO463" s="3"/>
      <c r="AP463">
        <v>0</v>
      </c>
      <c r="AR463" t="s">
        <v>1</v>
      </c>
      <c r="AT463" s="2" t="s">
        <v>0</v>
      </c>
      <c r="AU463" s="1">
        <f t="shared" si="59"/>
        <v>0.20741571234083445</v>
      </c>
      <c r="AV463" s="1">
        <f t="shared" si="60"/>
        <v>0.1481540802434532</v>
      </c>
      <c r="AW463" s="1">
        <f t="shared" si="61"/>
        <v>8.8892448146071903E-2</v>
      </c>
    </row>
    <row r="464" spans="1:49" x14ac:dyDescent="0.2">
      <c r="A464">
        <v>462</v>
      </c>
      <c r="B464" t="s">
        <v>2456</v>
      </c>
      <c r="C464" t="s">
        <v>2455</v>
      </c>
      <c r="F464" t="s">
        <v>2454</v>
      </c>
      <c r="G464" t="s">
        <v>16</v>
      </c>
      <c r="H464" t="s">
        <v>15</v>
      </c>
      <c r="I464" t="s">
        <v>2453</v>
      </c>
      <c r="J464" t="s">
        <v>2452</v>
      </c>
      <c r="K464" t="s">
        <v>2451</v>
      </c>
      <c r="L464" t="s">
        <v>2450</v>
      </c>
      <c r="M464" t="s">
        <v>899</v>
      </c>
      <c r="N464">
        <v>3</v>
      </c>
      <c r="O464" t="s">
        <v>2449</v>
      </c>
      <c r="P464" t="s">
        <v>2448</v>
      </c>
      <c r="Q464" t="s">
        <v>2447</v>
      </c>
      <c r="R464" s="7">
        <v>31413</v>
      </c>
      <c r="S464" s="8">
        <f t="shared" si="56"/>
        <v>1986</v>
      </c>
      <c r="T464" s="8">
        <v>1986</v>
      </c>
      <c r="U464" s="8">
        <f t="shared" si="57"/>
        <v>36</v>
      </c>
      <c r="V464" s="7" t="s">
        <v>224</v>
      </c>
      <c r="W464" t="s">
        <v>2446</v>
      </c>
      <c r="X464" s="2">
        <v>1.573</v>
      </c>
      <c r="Y464" s="6">
        <f t="shared" si="62"/>
        <v>4.1990336616748086E-2</v>
      </c>
      <c r="AA464">
        <v>7315090</v>
      </c>
      <c r="AB464">
        <v>29586</v>
      </c>
      <c r="AD464" t="s">
        <v>5</v>
      </c>
      <c r="AE464">
        <v>9</v>
      </c>
      <c r="AF464">
        <v>3</v>
      </c>
      <c r="AH464" t="s">
        <v>2445</v>
      </c>
      <c r="AI464" t="s">
        <v>2444</v>
      </c>
      <c r="AK464" t="s">
        <v>2443</v>
      </c>
      <c r="AL464">
        <v>0</v>
      </c>
      <c r="AM464" s="5">
        <f t="shared" si="58"/>
        <v>0</v>
      </c>
      <c r="AN464" s="4">
        <f t="shared" si="63"/>
        <v>0</v>
      </c>
      <c r="AO464" s="3"/>
      <c r="AP464">
        <v>0</v>
      </c>
      <c r="AQ464" t="s">
        <v>2442</v>
      </c>
      <c r="AR464" t="s">
        <v>2441</v>
      </c>
      <c r="AS464" t="s">
        <v>2440</v>
      </c>
      <c r="AT464" s="2" t="s">
        <v>0</v>
      </c>
      <c r="AU464" s="1">
        <f t="shared" si="59"/>
        <v>2.939323563172366</v>
      </c>
      <c r="AV464" s="1">
        <f t="shared" si="60"/>
        <v>2.0995168308374041</v>
      </c>
      <c r="AW464" s="1">
        <f t="shared" si="61"/>
        <v>1.2597100985024425</v>
      </c>
    </row>
    <row r="465" spans="1:49" x14ac:dyDescent="0.2">
      <c r="A465">
        <v>463</v>
      </c>
      <c r="B465" t="s">
        <v>2439</v>
      </c>
      <c r="C465" t="s">
        <v>2438</v>
      </c>
      <c r="F465" t="s">
        <v>2437</v>
      </c>
      <c r="G465" t="s">
        <v>16</v>
      </c>
      <c r="H465" t="s">
        <v>15</v>
      </c>
      <c r="I465" t="s">
        <v>2436</v>
      </c>
      <c r="J465">
        <v>60031126</v>
      </c>
      <c r="K465" t="s">
        <v>2435</v>
      </c>
      <c r="L465" t="s">
        <v>886</v>
      </c>
      <c r="M465" t="s">
        <v>71</v>
      </c>
      <c r="N465">
        <v>4</v>
      </c>
      <c r="O465" t="s">
        <v>2434</v>
      </c>
      <c r="P465" t="s">
        <v>2433</v>
      </c>
      <c r="Q465" t="s">
        <v>2432</v>
      </c>
      <c r="R465" s="7">
        <v>31413</v>
      </c>
      <c r="S465" s="8">
        <f t="shared" si="56"/>
        <v>1986</v>
      </c>
      <c r="T465" s="8">
        <v>1986</v>
      </c>
      <c r="U465" s="8">
        <f t="shared" si="57"/>
        <v>36</v>
      </c>
      <c r="V465" s="7">
        <v>1986</v>
      </c>
      <c r="W465" t="s">
        <v>2431</v>
      </c>
      <c r="X465" s="2" t="s">
        <v>0</v>
      </c>
      <c r="Y465" s="6" t="e">
        <f t="shared" si="62"/>
        <v>#VALUE!</v>
      </c>
      <c r="AA465">
        <v>4247760</v>
      </c>
      <c r="AB465">
        <v>16066</v>
      </c>
      <c r="AC465">
        <v>15206416</v>
      </c>
      <c r="AD465" t="s">
        <v>5</v>
      </c>
      <c r="AE465">
        <v>106</v>
      </c>
      <c r="AF465">
        <v>3</v>
      </c>
      <c r="AH465" t="s">
        <v>2430</v>
      </c>
      <c r="AL465">
        <v>0</v>
      </c>
      <c r="AM465" s="5">
        <f t="shared" si="58"/>
        <v>0</v>
      </c>
      <c r="AN465" s="4">
        <f t="shared" si="63"/>
        <v>0</v>
      </c>
      <c r="AO465" s="3"/>
      <c r="AP465">
        <v>0</v>
      </c>
      <c r="AR465" t="s">
        <v>1</v>
      </c>
      <c r="AT465" s="2">
        <v>0.22500000000000001</v>
      </c>
      <c r="AU465" s="1" t="e">
        <f t="shared" si="59"/>
        <v>#VALUE!</v>
      </c>
      <c r="AV465" s="1" t="e">
        <f t="shared" si="60"/>
        <v>#VALUE!</v>
      </c>
      <c r="AW465" s="1" t="e">
        <f t="shared" si="61"/>
        <v>#VALUE!</v>
      </c>
    </row>
    <row r="466" spans="1:49" x14ac:dyDescent="0.2">
      <c r="A466">
        <v>464</v>
      </c>
      <c r="B466" t="s">
        <v>2429</v>
      </c>
      <c r="C466" t="s">
        <v>2428</v>
      </c>
      <c r="F466" t="s">
        <v>2427</v>
      </c>
      <c r="G466" t="s">
        <v>16</v>
      </c>
      <c r="H466" t="s">
        <v>15</v>
      </c>
      <c r="I466" t="s">
        <v>2426</v>
      </c>
      <c r="J466">
        <v>60009982</v>
      </c>
      <c r="K466" t="s">
        <v>2153</v>
      </c>
      <c r="L466" t="s">
        <v>1940</v>
      </c>
      <c r="M466" t="s">
        <v>114</v>
      </c>
      <c r="N466">
        <v>1</v>
      </c>
      <c r="O466" t="s">
        <v>2152</v>
      </c>
      <c r="P466">
        <v>35586046100</v>
      </c>
      <c r="Q466">
        <v>60009982</v>
      </c>
      <c r="R466" s="7">
        <v>31413</v>
      </c>
      <c r="S466" s="8">
        <f t="shared" si="56"/>
        <v>1986</v>
      </c>
      <c r="T466" s="8">
        <v>1986</v>
      </c>
      <c r="U466" s="8">
        <f t="shared" si="57"/>
        <v>36</v>
      </c>
      <c r="V466" s="7">
        <v>31503</v>
      </c>
      <c r="W466" t="s">
        <v>153</v>
      </c>
      <c r="X466" s="2">
        <v>1.6519999999999999</v>
      </c>
      <c r="Y466" s="6">
        <f t="shared" si="62"/>
        <v>4.409919649769093E-2</v>
      </c>
      <c r="AA466" t="s">
        <v>152</v>
      </c>
      <c r="AB466">
        <v>17337</v>
      </c>
      <c r="AC466">
        <v>15582221</v>
      </c>
      <c r="AD466" t="s">
        <v>5</v>
      </c>
      <c r="AE466">
        <v>34</v>
      </c>
      <c r="AF466">
        <v>4</v>
      </c>
      <c r="AH466" t="s">
        <v>2425</v>
      </c>
      <c r="AI466" t="s">
        <v>2424</v>
      </c>
      <c r="AK466" t="s">
        <v>2423</v>
      </c>
      <c r="AL466">
        <v>13</v>
      </c>
      <c r="AM466" s="5">
        <f t="shared" si="58"/>
        <v>0.3611111111111111</v>
      </c>
      <c r="AN466" s="4">
        <f t="shared" si="63"/>
        <v>5.469308763515503E-4</v>
      </c>
      <c r="AO466" s="3"/>
      <c r="AP466">
        <v>0</v>
      </c>
      <c r="AR466" t="s">
        <v>1</v>
      </c>
      <c r="AT466" s="2" t="s">
        <v>0</v>
      </c>
      <c r="AU466" s="1">
        <f t="shared" si="59"/>
        <v>3.1033516811289115</v>
      </c>
      <c r="AV466" s="1">
        <f t="shared" si="60"/>
        <v>2.2323063687021238</v>
      </c>
      <c r="AW466" s="1">
        <f t="shared" si="61"/>
        <v>1.3612610562753364</v>
      </c>
    </row>
    <row r="467" spans="1:49" x14ac:dyDescent="0.2">
      <c r="A467">
        <v>465</v>
      </c>
      <c r="B467" t="s">
        <v>2422</v>
      </c>
      <c r="C467" t="s">
        <v>2421</v>
      </c>
      <c r="F467" t="s">
        <v>2420</v>
      </c>
      <c r="G467" t="s">
        <v>16</v>
      </c>
      <c r="H467" t="s">
        <v>15</v>
      </c>
      <c r="I467" t="s">
        <v>2419</v>
      </c>
      <c r="J467">
        <v>60016435</v>
      </c>
      <c r="K467" t="s">
        <v>2418</v>
      </c>
      <c r="L467" t="s">
        <v>2417</v>
      </c>
      <c r="M467" t="s">
        <v>616</v>
      </c>
      <c r="N467">
        <v>2</v>
      </c>
      <c r="O467" t="s">
        <v>2416</v>
      </c>
      <c r="P467" t="s">
        <v>2415</v>
      </c>
      <c r="Q467" t="s">
        <v>2414</v>
      </c>
      <c r="R467" s="7">
        <v>31413</v>
      </c>
      <c r="S467" s="8">
        <f t="shared" ref="S467:S530" si="64">YEAR(R467)</f>
        <v>1986</v>
      </c>
      <c r="T467" s="8">
        <v>1986</v>
      </c>
      <c r="U467" s="8">
        <f t="shared" ref="U467:U530" si="65">2022-T467</f>
        <v>36</v>
      </c>
      <c r="V467" s="7">
        <v>31503</v>
      </c>
      <c r="W467" t="s">
        <v>2294</v>
      </c>
      <c r="X467" s="2">
        <v>1.57</v>
      </c>
      <c r="Y467" s="6">
        <f t="shared" si="62"/>
        <v>4.1910253330130008E-2</v>
      </c>
      <c r="AA467">
        <v>8858977</v>
      </c>
      <c r="AB467">
        <v>17370</v>
      </c>
      <c r="AC467">
        <v>19374208</v>
      </c>
      <c r="AD467" t="s">
        <v>5</v>
      </c>
      <c r="AE467">
        <v>1</v>
      </c>
      <c r="AF467">
        <v>2</v>
      </c>
      <c r="AH467" t="s">
        <v>2413</v>
      </c>
      <c r="AI467" t="s">
        <v>2412</v>
      </c>
      <c r="AK467" t="s">
        <v>2411</v>
      </c>
      <c r="AL467">
        <v>3</v>
      </c>
      <c r="AM467" s="5">
        <f t="shared" ref="AM467:AM530" si="66">AL467/U467</f>
        <v>8.3333333333333329E-2</v>
      </c>
      <c r="AN467" s="4">
        <f t="shared" si="63"/>
        <v>1.2621481761958852E-4</v>
      </c>
      <c r="AO467" s="3"/>
      <c r="AP467">
        <v>0</v>
      </c>
      <c r="AR467" t="s">
        <v>1</v>
      </c>
      <c r="AT467" s="2">
        <v>4.1310000000000002</v>
      </c>
      <c r="AU467" s="1">
        <f t="shared" ref="AU467:AU530" si="67">(Y467*0.7+AN467*0.3)*100</f>
        <v>2.9375041776376882</v>
      </c>
      <c r="AV467" s="1">
        <f t="shared" ref="AV467:AV530" si="68">(Y467*0.5+AN467*0.5)*100</f>
        <v>2.1018234073874797</v>
      </c>
      <c r="AW467" s="1">
        <f t="shared" ref="AW467:AW530" si="69">(Y467*0.3+AN467*0.7)*100</f>
        <v>1.2661426371372713</v>
      </c>
    </row>
    <row r="468" spans="1:49" x14ac:dyDescent="0.2">
      <c r="A468">
        <v>466</v>
      </c>
      <c r="B468" t="s">
        <v>2410</v>
      </c>
      <c r="C468" t="s">
        <v>2409</v>
      </c>
      <c r="F468" t="s">
        <v>2408</v>
      </c>
      <c r="G468" t="s">
        <v>16</v>
      </c>
      <c r="H468" t="s">
        <v>15</v>
      </c>
      <c r="I468" t="s">
        <v>2407</v>
      </c>
      <c r="J468">
        <v>60025225</v>
      </c>
      <c r="K468" t="s">
        <v>1216</v>
      </c>
      <c r="L468" t="s">
        <v>1215</v>
      </c>
      <c r="M468" t="s">
        <v>665</v>
      </c>
      <c r="N468">
        <v>2</v>
      </c>
      <c r="O468" t="s">
        <v>2406</v>
      </c>
      <c r="P468" t="s">
        <v>2405</v>
      </c>
      <c r="Q468" t="s">
        <v>2404</v>
      </c>
      <c r="R468" s="7">
        <v>31413</v>
      </c>
      <c r="S468" s="8">
        <f t="shared" si="64"/>
        <v>1986</v>
      </c>
      <c r="T468" s="8">
        <v>1986</v>
      </c>
      <c r="U468" s="8">
        <f t="shared" si="65"/>
        <v>36</v>
      </c>
      <c r="V468" s="7" t="s">
        <v>1989</v>
      </c>
      <c r="W468" s="11" t="s">
        <v>1017</v>
      </c>
      <c r="X468" s="2">
        <v>2.383</v>
      </c>
      <c r="Y468" s="6">
        <f t="shared" si="62"/>
        <v>6.3612824003630442E-2</v>
      </c>
      <c r="AA468" t="s">
        <v>1016</v>
      </c>
      <c r="AB468">
        <v>101151</v>
      </c>
      <c r="AD468" t="s">
        <v>5</v>
      </c>
      <c r="AE468">
        <v>133</v>
      </c>
      <c r="AF468">
        <v>2</v>
      </c>
      <c r="AI468" t="s">
        <v>2403</v>
      </c>
      <c r="AK468" t="s">
        <v>2402</v>
      </c>
      <c r="AL468">
        <v>8</v>
      </c>
      <c r="AM468" s="5">
        <f t="shared" si="66"/>
        <v>0.22222222222222221</v>
      </c>
      <c r="AN468" s="4">
        <f t="shared" si="63"/>
        <v>3.365728469855694E-4</v>
      </c>
      <c r="AO468" s="3"/>
      <c r="AP468">
        <v>0</v>
      </c>
      <c r="AR468" t="s">
        <v>1</v>
      </c>
      <c r="AT468" s="2" t="s">
        <v>0</v>
      </c>
      <c r="AU468" s="1">
        <f t="shared" si="67"/>
        <v>4.4629948656636973</v>
      </c>
      <c r="AV468" s="1">
        <f t="shared" si="68"/>
        <v>3.1974698425308006</v>
      </c>
      <c r="AW468" s="1">
        <f t="shared" si="69"/>
        <v>1.931944819397903</v>
      </c>
    </row>
    <row r="469" spans="1:49" x14ac:dyDescent="0.2">
      <c r="A469">
        <v>467</v>
      </c>
      <c r="B469" t="s">
        <v>2401</v>
      </c>
      <c r="C469" t="s">
        <v>2400</v>
      </c>
      <c r="F469" t="s">
        <v>2399</v>
      </c>
      <c r="G469" t="s">
        <v>16</v>
      </c>
      <c r="H469" t="s">
        <v>15</v>
      </c>
      <c r="I469" t="s">
        <v>2398</v>
      </c>
      <c r="J469">
        <v>60032882</v>
      </c>
      <c r="K469" t="s">
        <v>326</v>
      </c>
      <c r="L469" t="s">
        <v>325</v>
      </c>
      <c r="M469" t="s">
        <v>212</v>
      </c>
      <c r="N469">
        <v>1</v>
      </c>
      <c r="O469" t="s">
        <v>2397</v>
      </c>
      <c r="P469">
        <v>7007183627</v>
      </c>
      <c r="Q469">
        <v>60032882</v>
      </c>
      <c r="R469" s="7">
        <v>31413</v>
      </c>
      <c r="S469" s="8">
        <f t="shared" si="64"/>
        <v>1986</v>
      </c>
      <c r="T469" s="8">
        <v>1986</v>
      </c>
      <c r="U469" s="8">
        <f t="shared" si="65"/>
        <v>36</v>
      </c>
      <c r="V469" s="7" t="s">
        <v>1989</v>
      </c>
      <c r="W469" s="11" t="s">
        <v>1017</v>
      </c>
      <c r="X469" s="2">
        <v>2.383</v>
      </c>
      <c r="Y469" s="6">
        <f t="shared" si="62"/>
        <v>6.3612824003630442E-2</v>
      </c>
      <c r="AA469" t="s">
        <v>1016</v>
      </c>
      <c r="AB469">
        <v>101151</v>
      </c>
      <c r="AD469" t="s">
        <v>5</v>
      </c>
      <c r="AE469">
        <v>133</v>
      </c>
      <c r="AF469">
        <v>2</v>
      </c>
      <c r="AH469" t="s">
        <v>2396</v>
      </c>
      <c r="AI469" t="s">
        <v>2395</v>
      </c>
      <c r="AK469" t="s">
        <v>2394</v>
      </c>
      <c r="AL469">
        <v>22</v>
      </c>
      <c r="AM469" s="5">
        <f t="shared" si="66"/>
        <v>0.61111111111111116</v>
      </c>
      <c r="AN469" s="4">
        <f t="shared" si="63"/>
        <v>9.25575329210316E-4</v>
      </c>
      <c r="AO469" s="3"/>
      <c r="AP469">
        <v>0</v>
      </c>
      <c r="AR469" t="s">
        <v>1</v>
      </c>
      <c r="AT469" s="2" t="s">
        <v>0</v>
      </c>
      <c r="AU469" s="1">
        <f t="shared" si="67"/>
        <v>4.4806649401304401</v>
      </c>
      <c r="AV469" s="1">
        <f t="shared" si="68"/>
        <v>3.2269199666420376</v>
      </c>
      <c r="AW469" s="1">
        <f t="shared" si="69"/>
        <v>1.9731749931536355</v>
      </c>
    </row>
    <row r="470" spans="1:49" x14ac:dyDescent="0.2">
      <c r="A470">
        <v>468</v>
      </c>
      <c r="B470" t="s">
        <v>2393</v>
      </c>
      <c r="C470" t="s">
        <v>2392</v>
      </c>
      <c r="F470" t="s">
        <v>2391</v>
      </c>
      <c r="G470" t="s">
        <v>16</v>
      </c>
      <c r="H470" t="s">
        <v>15</v>
      </c>
      <c r="I470" t="s">
        <v>2390</v>
      </c>
      <c r="J470" t="s">
        <v>2389</v>
      </c>
      <c r="K470" t="s">
        <v>2388</v>
      </c>
      <c r="L470" t="s">
        <v>2387</v>
      </c>
      <c r="M470" t="s">
        <v>1472</v>
      </c>
      <c r="N470">
        <v>4</v>
      </c>
      <c r="O470" t="s">
        <v>2386</v>
      </c>
      <c r="P470" t="s">
        <v>2385</v>
      </c>
      <c r="Q470" t="s">
        <v>2384</v>
      </c>
      <c r="R470" s="7">
        <v>31413</v>
      </c>
      <c r="S470" s="8">
        <f t="shared" si="64"/>
        <v>1986</v>
      </c>
      <c r="T470" s="8">
        <v>1986</v>
      </c>
      <c r="U470" s="8">
        <f t="shared" si="65"/>
        <v>36</v>
      </c>
      <c r="V470" s="7">
        <v>31503</v>
      </c>
      <c r="W470" t="s">
        <v>153</v>
      </c>
      <c r="X470" s="2">
        <v>1.6519999999999999</v>
      </c>
      <c r="Y470" s="6">
        <f t="shared" si="62"/>
        <v>4.409919649769093E-2</v>
      </c>
      <c r="AA470" t="s">
        <v>152</v>
      </c>
      <c r="AB470">
        <v>17337</v>
      </c>
      <c r="AC470">
        <v>15582221</v>
      </c>
      <c r="AD470" t="s">
        <v>5</v>
      </c>
      <c r="AE470">
        <v>34</v>
      </c>
      <c r="AF470">
        <v>4</v>
      </c>
      <c r="AH470" t="s">
        <v>2383</v>
      </c>
      <c r="AI470" t="s">
        <v>2382</v>
      </c>
      <c r="AK470" t="s">
        <v>2381</v>
      </c>
      <c r="AL470">
        <v>9</v>
      </c>
      <c r="AM470" s="5">
        <f t="shared" si="66"/>
        <v>0.25</v>
      </c>
      <c r="AN470" s="4">
        <f t="shared" si="63"/>
        <v>3.786444528587656E-4</v>
      </c>
      <c r="AO470" s="3"/>
      <c r="AP470">
        <v>0</v>
      </c>
      <c r="AR470" t="s">
        <v>1</v>
      </c>
      <c r="AT470" s="2" t="s">
        <v>0</v>
      </c>
      <c r="AU470" s="1">
        <f t="shared" si="67"/>
        <v>3.098303088424128</v>
      </c>
      <c r="AV470" s="1">
        <f t="shared" si="68"/>
        <v>2.2238920475274848</v>
      </c>
      <c r="AW470" s="1">
        <f t="shared" si="69"/>
        <v>1.3494810066308416</v>
      </c>
    </row>
    <row r="471" spans="1:49" x14ac:dyDescent="0.2">
      <c r="A471">
        <v>469</v>
      </c>
      <c r="B471" t="s">
        <v>2380</v>
      </c>
      <c r="C471" t="s">
        <v>2379</v>
      </c>
      <c r="F471" t="s">
        <v>2378</v>
      </c>
      <c r="G471" t="s">
        <v>16</v>
      </c>
      <c r="H471" t="s">
        <v>15</v>
      </c>
      <c r="I471" t="s">
        <v>2377</v>
      </c>
      <c r="J471">
        <v>116361700</v>
      </c>
      <c r="K471" t="s">
        <v>2376</v>
      </c>
      <c r="L471" t="s">
        <v>2375</v>
      </c>
      <c r="M471" t="s">
        <v>665</v>
      </c>
      <c r="N471">
        <v>2</v>
      </c>
      <c r="O471" t="s">
        <v>2374</v>
      </c>
      <c r="P471" t="s">
        <v>2373</v>
      </c>
      <c r="Q471" t="s">
        <v>2372</v>
      </c>
      <c r="R471" s="7">
        <v>31413</v>
      </c>
      <c r="S471" s="8">
        <f t="shared" si="64"/>
        <v>1986</v>
      </c>
      <c r="T471" s="8">
        <v>1986</v>
      </c>
      <c r="U471" s="8">
        <f t="shared" si="65"/>
        <v>36</v>
      </c>
      <c r="V471" s="7" t="s">
        <v>1989</v>
      </c>
      <c r="W471" s="11" t="s">
        <v>1017</v>
      </c>
      <c r="X471" s="2">
        <v>2.383</v>
      </c>
      <c r="Y471" s="6">
        <f t="shared" si="62"/>
        <v>6.3612824003630442E-2</v>
      </c>
      <c r="AA471" t="s">
        <v>1016</v>
      </c>
      <c r="AB471">
        <v>101151</v>
      </c>
      <c r="AD471" t="s">
        <v>5</v>
      </c>
      <c r="AE471">
        <v>133</v>
      </c>
      <c r="AF471">
        <v>2</v>
      </c>
      <c r="AH471" t="s">
        <v>2371</v>
      </c>
      <c r="AI471" t="s">
        <v>2370</v>
      </c>
      <c r="AK471" t="s">
        <v>2369</v>
      </c>
      <c r="AL471">
        <v>1</v>
      </c>
      <c r="AM471" s="5">
        <f t="shared" si="66"/>
        <v>2.7777777777777776E-2</v>
      </c>
      <c r="AN471" s="4">
        <f t="shared" si="63"/>
        <v>4.2071605873196175E-5</v>
      </c>
      <c r="AO471" s="3"/>
      <c r="AP471">
        <v>0</v>
      </c>
      <c r="AR471" t="s">
        <v>1</v>
      </c>
      <c r="AT471" s="2" t="s">
        <v>0</v>
      </c>
      <c r="AU471" s="1">
        <f t="shared" si="67"/>
        <v>4.4541598284303268</v>
      </c>
      <c r="AV471" s="1">
        <f t="shared" si="68"/>
        <v>3.1827447804751814</v>
      </c>
      <c r="AW471" s="1">
        <f t="shared" si="69"/>
        <v>1.9113297325200371</v>
      </c>
    </row>
    <row r="472" spans="1:49" x14ac:dyDescent="0.2">
      <c r="A472">
        <v>470</v>
      </c>
      <c r="B472" t="s">
        <v>2368</v>
      </c>
      <c r="C472" t="s">
        <v>2367</v>
      </c>
      <c r="D472">
        <v>3986186904546</v>
      </c>
      <c r="E472">
        <v>3516071</v>
      </c>
      <c r="F472" t="s">
        <v>2366</v>
      </c>
      <c r="G472" t="s">
        <v>16</v>
      </c>
      <c r="H472" t="s">
        <v>15</v>
      </c>
      <c r="I472" t="s">
        <v>2365</v>
      </c>
      <c r="J472">
        <v>60030318</v>
      </c>
      <c r="K472" t="s">
        <v>2364</v>
      </c>
      <c r="L472" t="s">
        <v>2363</v>
      </c>
      <c r="M472" t="s">
        <v>1299</v>
      </c>
      <c r="N472">
        <v>2</v>
      </c>
      <c r="O472" t="s">
        <v>2362</v>
      </c>
      <c r="P472" t="s">
        <v>2361</v>
      </c>
      <c r="Q472" t="s">
        <v>2360</v>
      </c>
      <c r="R472" s="7">
        <v>31413</v>
      </c>
      <c r="S472" s="8">
        <f t="shared" si="64"/>
        <v>1986</v>
      </c>
      <c r="T472" s="8">
        <v>1986</v>
      </c>
      <c r="U472" s="8">
        <f t="shared" si="65"/>
        <v>36</v>
      </c>
      <c r="V472" s="7">
        <v>31503</v>
      </c>
      <c r="W472" t="s">
        <v>882</v>
      </c>
      <c r="X472" s="2">
        <v>1.097</v>
      </c>
      <c r="Y472" s="6">
        <f t="shared" si="62"/>
        <v>2.9283788473345614E-2</v>
      </c>
      <c r="AA472">
        <v>39861</v>
      </c>
      <c r="AB472">
        <v>16811</v>
      </c>
      <c r="AC472">
        <v>10960384</v>
      </c>
      <c r="AD472" t="s">
        <v>5</v>
      </c>
      <c r="AE472">
        <v>246</v>
      </c>
      <c r="AF472">
        <v>1</v>
      </c>
      <c r="AH472" t="s">
        <v>2359</v>
      </c>
      <c r="AI472" t="s">
        <v>2358</v>
      </c>
      <c r="AK472" t="s">
        <v>2357</v>
      </c>
      <c r="AL472">
        <v>7</v>
      </c>
      <c r="AM472" s="5">
        <f t="shared" si="66"/>
        <v>0.19444444444444445</v>
      </c>
      <c r="AN472" s="4">
        <f t="shared" si="63"/>
        <v>2.9450124111237325E-4</v>
      </c>
      <c r="AO472" s="3"/>
      <c r="AP472">
        <v>0</v>
      </c>
      <c r="AR472" t="s">
        <v>1</v>
      </c>
      <c r="AT472" s="2" t="s">
        <v>0</v>
      </c>
      <c r="AU472" s="1">
        <f t="shared" si="67"/>
        <v>2.0587002303675646</v>
      </c>
      <c r="AV472" s="1">
        <f t="shared" si="68"/>
        <v>1.4789144857228993</v>
      </c>
      <c r="AW472" s="1">
        <f t="shared" si="69"/>
        <v>0.89912874107823448</v>
      </c>
    </row>
    <row r="473" spans="1:49" x14ac:dyDescent="0.2">
      <c r="A473">
        <v>471</v>
      </c>
      <c r="B473" t="s">
        <v>2356</v>
      </c>
      <c r="C473" t="s">
        <v>2355</v>
      </c>
      <c r="F473" t="s">
        <v>2354</v>
      </c>
      <c r="G473" t="s">
        <v>16</v>
      </c>
      <c r="H473" t="s">
        <v>15</v>
      </c>
      <c r="I473" t="s">
        <v>2353</v>
      </c>
      <c r="J473" t="s">
        <v>2352</v>
      </c>
      <c r="K473" t="s">
        <v>2351</v>
      </c>
      <c r="L473" t="s">
        <v>2350</v>
      </c>
      <c r="M473" t="s">
        <v>157</v>
      </c>
      <c r="N473">
        <v>4</v>
      </c>
      <c r="O473" t="s">
        <v>2349</v>
      </c>
      <c r="P473" t="s">
        <v>2348</v>
      </c>
      <c r="Q473" t="s">
        <v>2347</v>
      </c>
      <c r="R473" s="7">
        <v>31413</v>
      </c>
      <c r="S473" s="8">
        <f t="shared" si="64"/>
        <v>1986</v>
      </c>
      <c r="T473" s="8">
        <v>1986</v>
      </c>
      <c r="U473" s="8">
        <f t="shared" si="65"/>
        <v>36</v>
      </c>
      <c r="V473" s="7">
        <v>1986</v>
      </c>
      <c r="W473" t="s">
        <v>2346</v>
      </c>
      <c r="X473" s="2">
        <v>0.76</v>
      </c>
      <c r="Y473" s="6">
        <f t="shared" si="62"/>
        <v>2.0287765943247646E-2</v>
      </c>
      <c r="AA473">
        <v>319015</v>
      </c>
      <c r="AB473">
        <v>29173</v>
      </c>
      <c r="AC473">
        <v>13474073</v>
      </c>
      <c r="AD473" t="s">
        <v>5</v>
      </c>
      <c r="AE473">
        <v>55</v>
      </c>
      <c r="AF473">
        <v>4</v>
      </c>
      <c r="AH473" t="s">
        <v>2345</v>
      </c>
      <c r="AI473" t="s">
        <v>2344</v>
      </c>
      <c r="AK473" t="s">
        <v>2343</v>
      </c>
      <c r="AL473">
        <v>5</v>
      </c>
      <c r="AM473" s="5">
        <f t="shared" si="66"/>
        <v>0.1388888888888889</v>
      </c>
      <c r="AN473" s="4">
        <f t="shared" si="63"/>
        <v>2.103580293659809E-4</v>
      </c>
      <c r="AO473" s="3"/>
      <c r="AP473">
        <v>0</v>
      </c>
      <c r="AR473" t="s">
        <v>1</v>
      </c>
      <c r="AT473" s="2" t="s">
        <v>0</v>
      </c>
      <c r="AU473" s="1">
        <f t="shared" si="67"/>
        <v>1.4264543569083146</v>
      </c>
      <c r="AV473" s="1">
        <f t="shared" si="68"/>
        <v>1.0249061986306813</v>
      </c>
      <c r="AW473" s="1">
        <f t="shared" si="69"/>
        <v>0.62335804035304809</v>
      </c>
    </row>
    <row r="474" spans="1:49" x14ac:dyDescent="0.2">
      <c r="A474">
        <v>472</v>
      </c>
      <c r="B474" t="s">
        <v>2342</v>
      </c>
      <c r="C474" t="s">
        <v>2341</v>
      </c>
      <c r="D474">
        <v>94576586900627</v>
      </c>
      <c r="F474" t="s">
        <v>2340</v>
      </c>
      <c r="G474" t="s">
        <v>16</v>
      </c>
      <c r="H474" t="s">
        <v>15</v>
      </c>
      <c r="I474" t="s">
        <v>2339</v>
      </c>
      <c r="J474">
        <v>60019512</v>
      </c>
      <c r="K474" t="s">
        <v>2338</v>
      </c>
      <c r="L474" t="s">
        <v>2337</v>
      </c>
      <c r="M474" t="s">
        <v>2336</v>
      </c>
      <c r="N474">
        <v>1</v>
      </c>
      <c r="O474" t="s">
        <v>2335</v>
      </c>
      <c r="P474">
        <v>7004081465</v>
      </c>
      <c r="Q474">
        <v>60019512</v>
      </c>
      <c r="R474" s="7">
        <v>31413</v>
      </c>
      <c r="S474" s="8">
        <f t="shared" si="64"/>
        <v>1986</v>
      </c>
      <c r="T474" s="8">
        <v>1986</v>
      </c>
      <c r="U474" s="8">
        <f t="shared" si="65"/>
        <v>36</v>
      </c>
      <c r="V474" s="7">
        <v>31503</v>
      </c>
      <c r="W474" t="s">
        <v>835</v>
      </c>
      <c r="X474" s="2">
        <v>1.1339999999999999</v>
      </c>
      <c r="Y474" s="6">
        <f t="shared" si="62"/>
        <v>3.0271482341635299E-2</v>
      </c>
      <c r="AA474">
        <v>945765</v>
      </c>
      <c r="AB474">
        <v>12372</v>
      </c>
      <c r="AD474" t="s">
        <v>5</v>
      </c>
      <c r="AE474">
        <v>13</v>
      </c>
      <c r="AF474">
        <v>4</v>
      </c>
      <c r="AH474" t="s">
        <v>2334</v>
      </c>
      <c r="AI474" t="s">
        <v>2333</v>
      </c>
      <c r="AK474" t="s">
        <v>2332</v>
      </c>
      <c r="AL474">
        <v>1</v>
      </c>
      <c r="AM474" s="5">
        <f t="shared" si="66"/>
        <v>2.7777777777777776E-2</v>
      </c>
      <c r="AN474" s="4">
        <f t="shared" si="63"/>
        <v>4.2071605873196175E-5</v>
      </c>
      <c r="AO474" s="3"/>
      <c r="AP474">
        <v>0</v>
      </c>
      <c r="AR474" t="s">
        <v>1</v>
      </c>
      <c r="AT474" s="2">
        <v>2.4129999999999998</v>
      </c>
      <c r="AU474" s="1">
        <f t="shared" si="67"/>
        <v>2.1202659120906664</v>
      </c>
      <c r="AV474" s="1">
        <f t="shared" si="68"/>
        <v>1.5156776973754247</v>
      </c>
      <c r="AW474" s="1">
        <f t="shared" si="69"/>
        <v>0.91108948266018264</v>
      </c>
    </row>
    <row r="475" spans="1:49" x14ac:dyDescent="0.2">
      <c r="A475">
        <v>473</v>
      </c>
      <c r="B475" t="s">
        <v>2331</v>
      </c>
      <c r="C475" t="s">
        <v>2330</v>
      </c>
      <c r="F475" t="s">
        <v>2329</v>
      </c>
      <c r="G475" t="s">
        <v>16</v>
      </c>
      <c r="H475" t="s">
        <v>15</v>
      </c>
      <c r="I475" t="s">
        <v>2052</v>
      </c>
      <c r="J475" t="s">
        <v>2047</v>
      </c>
      <c r="K475" t="s">
        <v>2051</v>
      </c>
      <c r="L475" t="s">
        <v>2050</v>
      </c>
      <c r="M475" t="s">
        <v>783</v>
      </c>
      <c r="N475">
        <v>2</v>
      </c>
      <c r="O475" t="s">
        <v>2049</v>
      </c>
      <c r="P475" t="s">
        <v>2048</v>
      </c>
      <c r="Q475" t="s">
        <v>2047</v>
      </c>
      <c r="R475" s="7">
        <v>31413</v>
      </c>
      <c r="S475" s="8">
        <f t="shared" si="64"/>
        <v>1986</v>
      </c>
      <c r="T475" s="8">
        <v>1986</v>
      </c>
      <c r="U475" s="8">
        <f t="shared" si="65"/>
        <v>36</v>
      </c>
      <c r="V475" s="7">
        <v>31503</v>
      </c>
      <c r="W475" t="s">
        <v>2046</v>
      </c>
      <c r="X475" s="2">
        <v>0.752</v>
      </c>
      <c r="Y475" s="6">
        <f t="shared" si="62"/>
        <v>2.0074210512266089E-2</v>
      </c>
      <c r="AA475">
        <v>3649059</v>
      </c>
      <c r="AB475">
        <v>17277</v>
      </c>
      <c r="AC475">
        <v>15581691</v>
      </c>
      <c r="AD475" t="s">
        <v>5</v>
      </c>
      <c r="AE475">
        <v>11</v>
      </c>
      <c r="AF475">
        <v>2</v>
      </c>
      <c r="AH475" t="s">
        <v>2328</v>
      </c>
      <c r="AI475" t="s">
        <v>2327</v>
      </c>
      <c r="AK475" t="s">
        <v>2326</v>
      </c>
      <c r="AL475">
        <v>22</v>
      </c>
      <c r="AM475" s="5">
        <f t="shared" si="66"/>
        <v>0.61111111111111116</v>
      </c>
      <c r="AN475" s="4">
        <f t="shared" si="63"/>
        <v>9.25575329210316E-4</v>
      </c>
      <c r="AO475" s="3"/>
      <c r="AP475">
        <v>0</v>
      </c>
      <c r="AR475" t="s">
        <v>1</v>
      </c>
      <c r="AT475" s="2">
        <v>3.5539999999999998</v>
      </c>
      <c r="AU475" s="1">
        <f t="shared" si="67"/>
        <v>1.4329619957349355</v>
      </c>
      <c r="AV475" s="1">
        <f t="shared" si="68"/>
        <v>1.0499892920738203</v>
      </c>
      <c r="AW475" s="1">
        <f t="shared" si="69"/>
        <v>0.66701658841270484</v>
      </c>
    </row>
    <row r="476" spans="1:49" x14ac:dyDescent="0.2">
      <c r="A476">
        <v>474</v>
      </c>
      <c r="B476" t="s">
        <v>2325</v>
      </c>
      <c r="C476" t="s">
        <v>2324</v>
      </c>
      <c r="F476" t="s">
        <v>2323</v>
      </c>
      <c r="G476" t="s">
        <v>16</v>
      </c>
      <c r="H476" t="s">
        <v>15</v>
      </c>
      <c r="I476" t="s">
        <v>2322</v>
      </c>
      <c r="J476">
        <v>60009658</v>
      </c>
      <c r="K476" t="s">
        <v>2321</v>
      </c>
      <c r="L476" t="s">
        <v>2320</v>
      </c>
      <c r="M476" t="s">
        <v>665</v>
      </c>
      <c r="N476">
        <v>1</v>
      </c>
      <c r="O476" t="s">
        <v>2319</v>
      </c>
      <c r="P476">
        <v>57213425197</v>
      </c>
      <c r="Q476">
        <v>60009658</v>
      </c>
      <c r="R476" s="7">
        <v>31413</v>
      </c>
      <c r="S476" s="8">
        <f t="shared" si="64"/>
        <v>1986</v>
      </c>
      <c r="T476" s="8">
        <v>1986</v>
      </c>
      <c r="U476" s="8">
        <f t="shared" si="65"/>
        <v>36</v>
      </c>
      <c r="V476" s="7" t="s">
        <v>1989</v>
      </c>
      <c r="W476" s="11" t="s">
        <v>1017</v>
      </c>
      <c r="X476" s="2">
        <v>2.383</v>
      </c>
      <c r="Y476" s="6">
        <f t="shared" si="62"/>
        <v>6.3612824003630442E-2</v>
      </c>
      <c r="AA476" t="s">
        <v>1016</v>
      </c>
      <c r="AB476">
        <v>101151</v>
      </c>
      <c r="AD476" t="s">
        <v>5</v>
      </c>
      <c r="AE476">
        <v>133</v>
      </c>
      <c r="AF476">
        <v>2</v>
      </c>
      <c r="AH476" t="s">
        <v>2318</v>
      </c>
      <c r="AI476" t="s">
        <v>2317</v>
      </c>
      <c r="AK476" t="s">
        <v>2316</v>
      </c>
      <c r="AL476">
        <v>41</v>
      </c>
      <c r="AM476" s="5">
        <f t="shared" si="66"/>
        <v>1.1388888888888888</v>
      </c>
      <c r="AN476" s="4">
        <f t="shared" si="63"/>
        <v>1.7249358408010433E-3</v>
      </c>
      <c r="AO476" s="3"/>
      <c r="AP476">
        <v>0</v>
      </c>
      <c r="AR476" t="s">
        <v>1</v>
      </c>
      <c r="AT476" s="2" t="s">
        <v>0</v>
      </c>
      <c r="AU476" s="1">
        <f t="shared" si="67"/>
        <v>4.5046457554781618</v>
      </c>
      <c r="AV476" s="1">
        <f t="shared" si="68"/>
        <v>3.2668879922215739</v>
      </c>
      <c r="AW476" s="1">
        <f t="shared" si="69"/>
        <v>2.0291302289649864</v>
      </c>
    </row>
    <row r="477" spans="1:49" x14ac:dyDescent="0.2">
      <c r="A477">
        <v>475</v>
      </c>
      <c r="B477" t="s">
        <v>2315</v>
      </c>
      <c r="C477" t="s">
        <v>2314</v>
      </c>
      <c r="F477" t="s">
        <v>2313</v>
      </c>
      <c r="G477" t="s">
        <v>16</v>
      </c>
      <c r="H477" t="s">
        <v>15</v>
      </c>
      <c r="I477" t="s">
        <v>2312</v>
      </c>
      <c r="J477">
        <v>60025272</v>
      </c>
      <c r="K477" t="s">
        <v>887</v>
      </c>
      <c r="L477" t="s">
        <v>886</v>
      </c>
      <c r="M477" t="s">
        <v>71</v>
      </c>
      <c r="N477">
        <v>3</v>
      </c>
      <c r="O477" t="s">
        <v>2311</v>
      </c>
      <c r="P477" t="s">
        <v>2310</v>
      </c>
      <c r="Q477" t="s">
        <v>2309</v>
      </c>
      <c r="R477" s="7">
        <v>31413</v>
      </c>
      <c r="S477" s="8">
        <f t="shared" si="64"/>
        <v>1986</v>
      </c>
      <c r="T477" s="8">
        <v>1986</v>
      </c>
      <c r="U477" s="8">
        <f t="shared" si="65"/>
        <v>36</v>
      </c>
      <c r="V477" s="7">
        <v>31503</v>
      </c>
      <c r="W477" t="s">
        <v>2308</v>
      </c>
      <c r="X477" s="2">
        <v>0.371</v>
      </c>
      <c r="Y477" s="6">
        <f t="shared" si="62"/>
        <v>9.9036331117695747E-3</v>
      </c>
      <c r="AA477">
        <v>214922</v>
      </c>
      <c r="AB477">
        <v>130262</v>
      </c>
      <c r="AC477">
        <v>13474065</v>
      </c>
      <c r="AD477" t="s">
        <v>5</v>
      </c>
      <c r="AE477">
        <v>25</v>
      </c>
      <c r="AF477">
        <v>4</v>
      </c>
      <c r="AH477" t="s">
        <v>2307</v>
      </c>
      <c r="AI477" t="s">
        <v>2306</v>
      </c>
      <c r="AK477" t="s">
        <v>2305</v>
      </c>
      <c r="AL477">
        <v>23</v>
      </c>
      <c r="AM477" s="5">
        <f t="shared" si="66"/>
        <v>0.63888888888888884</v>
      </c>
      <c r="AN477" s="4">
        <f t="shared" si="63"/>
        <v>9.676469350835121E-4</v>
      </c>
      <c r="AO477" s="3"/>
      <c r="AP477">
        <v>0</v>
      </c>
      <c r="AR477" t="s">
        <v>1</v>
      </c>
      <c r="AT477" s="2">
        <v>1.48</v>
      </c>
      <c r="AU477" s="1">
        <f t="shared" si="67"/>
        <v>0.72228372587637557</v>
      </c>
      <c r="AV477" s="1">
        <f t="shared" si="68"/>
        <v>0.54356400234265434</v>
      </c>
      <c r="AW477" s="1">
        <f t="shared" si="69"/>
        <v>0.36484427880893305</v>
      </c>
    </row>
    <row r="478" spans="1:49" x14ac:dyDescent="0.2">
      <c r="A478">
        <v>476</v>
      </c>
      <c r="B478" t="s">
        <v>2304</v>
      </c>
      <c r="C478" t="s">
        <v>2303</v>
      </c>
      <c r="F478" t="s">
        <v>2302</v>
      </c>
      <c r="G478" t="s">
        <v>16</v>
      </c>
      <c r="H478" t="s">
        <v>15</v>
      </c>
      <c r="I478" t="s">
        <v>2301</v>
      </c>
      <c r="J478" t="s">
        <v>2300</v>
      </c>
      <c r="K478" t="s">
        <v>2299</v>
      </c>
      <c r="L478" t="s">
        <v>2298</v>
      </c>
      <c r="M478" t="s">
        <v>899</v>
      </c>
      <c r="N478">
        <v>4</v>
      </c>
      <c r="O478" t="s">
        <v>2297</v>
      </c>
      <c r="P478" t="s">
        <v>2296</v>
      </c>
      <c r="Q478" t="s">
        <v>2295</v>
      </c>
      <c r="R478" s="7">
        <v>31413</v>
      </c>
      <c r="S478" s="8">
        <f t="shared" si="64"/>
        <v>1986</v>
      </c>
      <c r="T478" s="8">
        <v>1986</v>
      </c>
      <c r="U478" s="8">
        <f t="shared" si="65"/>
        <v>36</v>
      </c>
      <c r="V478" s="7">
        <v>31503</v>
      </c>
      <c r="W478" t="s">
        <v>2294</v>
      </c>
      <c r="X478" s="2">
        <v>1.57</v>
      </c>
      <c r="Y478" s="6">
        <f t="shared" si="62"/>
        <v>4.1910253330130008E-2</v>
      </c>
      <c r="AA478">
        <v>8858977</v>
      </c>
      <c r="AB478">
        <v>17370</v>
      </c>
      <c r="AC478">
        <v>19374208</v>
      </c>
      <c r="AD478" t="s">
        <v>5</v>
      </c>
      <c r="AE478">
        <v>1</v>
      </c>
      <c r="AF478">
        <v>2</v>
      </c>
      <c r="AH478" t="s">
        <v>2293</v>
      </c>
      <c r="AI478" t="s">
        <v>2292</v>
      </c>
      <c r="AK478" t="s">
        <v>2291</v>
      </c>
      <c r="AL478">
        <v>11</v>
      </c>
      <c r="AM478" s="5">
        <f t="shared" si="66"/>
        <v>0.30555555555555558</v>
      </c>
      <c r="AN478" s="4">
        <f t="shared" si="63"/>
        <v>4.62787664605158E-4</v>
      </c>
      <c r="AO478" s="3"/>
      <c r="AP478">
        <v>0</v>
      </c>
      <c r="AR478" t="s">
        <v>1</v>
      </c>
      <c r="AT478" s="2">
        <v>4.1310000000000002</v>
      </c>
      <c r="AU478" s="1">
        <f t="shared" si="67"/>
        <v>2.9476013630472551</v>
      </c>
      <c r="AV478" s="1">
        <f t="shared" si="68"/>
        <v>2.1186520497367582</v>
      </c>
      <c r="AW478" s="1">
        <f t="shared" si="69"/>
        <v>1.2897027364262614</v>
      </c>
    </row>
    <row r="479" spans="1:49" x14ac:dyDescent="0.2">
      <c r="A479">
        <v>477</v>
      </c>
      <c r="B479" t="s">
        <v>2290</v>
      </c>
      <c r="C479" t="s">
        <v>2289</v>
      </c>
      <c r="F479" t="s">
        <v>2288</v>
      </c>
      <c r="G479" t="s">
        <v>16</v>
      </c>
      <c r="H479" t="s">
        <v>15</v>
      </c>
      <c r="I479" t="s">
        <v>2287</v>
      </c>
      <c r="J479">
        <v>60072442</v>
      </c>
      <c r="K479" t="s">
        <v>2286</v>
      </c>
      <c r="L479" t="s">
        <v>2285</v>
      </c>
      <c r="M479" t="s">
        <v>1442</v>
      </c>
      <c r="N479">
        <v>1</v>
      </c>
      <c r="O479" t="s">
        <v>2284</v>
      </c>
      <c r="P479">
        <v>7006225019</v>
      </c>
      <c r="Q479">
        <v>60072442</v>
      </c>
      <c r="R479" s="7">
        <v>31413</v>
      </c>
      <c r="S479" s="8">
        <f t="shared" si="64"/>
        <v>1986</v>
      </c>
      <c r="T479" s="8">
        <v>1986</v>
      </c>
      <c r="U479" s="8">
        <f t="shared" si="65"/>
        <v>36</v>
      </c>
      <c r="V479" s="7">
        <v>31503</v>
      </c>
      <c r="W479" t="s">
        <v>153</v>
      </c>
      <c r="X479" s="2">
        <v>1.6519999999999999</v>
      </c>
      <c r="Y479" s="6">
        <f t="shared" si="62"/>
        <v>4.409919649769093E-2</v>
      </c>
      <c r="AA479" t="s">
        <v>152</v>
      </c>
      <c r="AB479">
        <v>17337</v>
      </c>
      <c r="AC479">
        <v>15582221</v>
      </c>
      <c r="AD479" t="s">
        <v>5</v>
      </c>
      <c r="AE479">
        <v>34</v>
      </c>
      <c r="AF479">
        <v>4</v>
      </c>
      <c r="AH479" t="s">
        <v>2283</v>
      </c>
      <c r="AI479" t="s">
        <v>2282</v>
      </c>
      <c r="AK479" t="s">
        <v>2281</v>
      </c>
      <c r="AL479">
        <v>1</v>
      </c>
      <c r="AM479" s="5">
        <f t="shared" si="66"/>
        <v>2.7777777777777776E-2</v>
      </c>
      <c r="AN479" s="4">
        <f t="shared" si="63"/>
        <v>4.2071605873196175E-5</v>
      </c>
      <c r="AO479" s="3"/>
      <c r="AP479">
        <v>0</v>
      </c>
      <c r="AR479" t="s">
        <v>1</v>
      </c>
      <c r="AT479" s="2" t="s">
        <v>0</v>
      </c>
      <c r="AU479" s="1">
        <f t="shared" si="67"/>
        <v>3.0882059030145608</v>
      </c>
      <c r="AV479" s="1">
        <f t="shared" si="68"/>
        <v>2.2070634051782063</v>
      </c>
      <c r="AW479" s="1">
        <f t="shared" si="69"/>
        <v>1.3259209073418514</v>
      </c>
    </row>
    <row r="480" spans="1:49" x14ac:dyDescent="0.2">
      <c r="A480">
        <v>478</v>
      </c>
      <c r="B480" t="s">
        <v>2280</v>
      </c>
      <c r="C480" t="s">
        <v>2279</v>
      </c>
      <c r="F480" t="s">
        <v>2278</v>
      </c>
      <c r="G480" t="s">
        <v>16</v>
      </c>
      <c r="H480" t="s">
        <v>15</v>
      </c>
      <c r="I480" t="s">
        <v>2277</v>
      </c>
      <c r="J480" t="s">
        <v>2272</v>
      </c>
      <c r="K480" t="s">
        <v>2276</v>
      </c>
      <c r="L480" t="s">
        <v>2275</v>
      </c>
      <c r="M480" t="s">
        <v>783</v>
      </c>
      <c r="N480">
        <v>2</v>
      </c>
      <c r="O480" t="s">
        <v>2274</v>
      </c>
      <c r="P480" t="s">
        <v>2273</v>
      </c>
      <c r="Q480" t="s">
        <v>2272</v>
      </c>
      <c r="R480" s="7">
        <v>31413</v>
      </c>
      <c r="S480" s="8">
        <f t="shared" si="64"/>
        <v>1986</v>
      </c>
      <c r="T480" s="8">
        <v>1986</v>
      </c>
      <c r="U480" s="8">
        <f t="shared" si="65"/>
        <v>36</v>
      </c>
      <c r="V480" s="7">
        <v>31503</v>
      </c>
      <c r="W480" t="s">
        <v>153</v>
      </c>
      <c r="X480" s="2">
        <v>1.6519999999999999</v>
      </c>
      <c r="Y480" s="6">
        <f t="shared" si="62"/>
        <v>4.409919649769093E-2</v>
      </c>
      <c r="AA480" t="s">
        <v>152</v>
      </c>
      <c r="AB480">
        <v>17337</v>
      </c>
      <c r="AC480">
        <v>15582221</v>
      </c>
      <c r="AD480" t="s">
        <v>5</v>
      </c>
      <c r="AE480">
        <v>34</v>
      </c>
      <c r="AF480">
        <v>4</v>
      </c>
      <c r="AH480" t="s">
        <v>2271</v>
      </c>
      <c r="AI480" t="s">
        <v>2270</v>
      </c>
      <c r="AK480" t="s">
        <v>2269</v>
      </c>
      <c r="AL480">
        <v>26</v>
      </c>
      <c r="AM480" s="5">
        <f t="shared" si="66"/>
        <v>0.72222222222222221</v>
      </c>
      <c r="AN480" s="4">
        <f t="shared" si="63"/>
        <v>1.0938617527031006E-3</v>
      </c>
      <c r="AO480" s="3"/>
      <c r="AP480">
        <v>0</v>
      </c>
      <c r="AR480" t="s">
        <v>1</v>
      </c>
      <c r="AT480" s="2" t="s">
        <v>0</v>
      </c>
      <c r="AU480" s="1">
        <f t="shared" si="67"/>
        <v>3.119759607419458</v>
      </c>
      <c r="AV480" s="1">
        <f t="shared" si="68"/>
        <v>2.2596529125197016</v>
      </c>
      <c r="AW480" s="1">
        <f t="shared" si="69"/>
        <v>1.3995462176199447</v>
      </c>
    </row>
    <row r="481" spans="1:49" x14ac:dyDescent="0.2">
      <c r="A481">
        <v>479</v>
      </c>
      <c r="B481" t="s">
        <v>2268</v>
      </c>
      <c r="C481" t="s">
        <v>2267</v>
      </c>
      <c r="F481" t="s">
        <v>2266</v>
      </c>
      <c r="G481" t="s">
        <v>16</v>
      </c>
      <c r="H481" t="s">
        <v>15</v>
      </c>
      <c r="I481" t="s">
        <v>2265</v>
      </c>
      <c r="J481">
        <v>60003500</v>
      </c>
      <c r="K481" t="s">
        <v>1850</v>
      </c>
      <c r="L481" t="s">
        <v>1849</v>
      </c>
      <c r="M481" t="s">
        <v>114</v>
      </c>
      <c r="N481">
        <v>1</v>
      </c>
      <c r="O481" t="s">
        <v>2094</v>
      </c>
      <c r="P481">
        <v>36927548100</v>
      </c>
      <c r="Q481">
        <v>60003500</v>
      </c>
      <c r="R481" s="7">
        <v>31413</v>
      </c>
      <c r="S481" s="8">
        <f t="shared" si="64"/>
        <v>1986</v>
      </c>
      <c r="T481" s="8">
        <v>1986</v>
      </c>
      <c r="U481" s="8">
        <f t="shared" si="65"/>
        <v>36</v>
      </c>
      <c r="V481" s="7">
        <v>31503</v>
      </c>
      <c r="W481" t="s">
        <v>153</v>
      </c>
      <c r="X481" s="2">
        <v>1.6519999999999999</v>
      </c>
      <c r="Y481" s="6">
        <f t="shared" si="62"/>
        <v>4.409919649769093E-2</v>
      </c>
      <c r="AA481" t="s">
        <v>152</v>
      </c>
      <c r="AB481">
        <v>17337</v>
      </c>
      <c r="AC481">
        <v>15582221</v>
      </c>
      <c r="AD481" t="s">
        <v>5</v>
      </c>
      <c r="AE481">
        <v>34</v>
      </c>
      <c r="AF481">
        <v>4</v>
      </c>
      <c r="AH481" t="s">
        <v>2264</v>
      </c>
      <c r="AI481" t="s">
        <v>2263</v>
      </c>
      <c r="AK481" t="s">
        <v>2262</v>
      </c>
      <c r="AL481">
        <v>6</v>
      </c>
      <c r="AM481" s="5">
        <f t="shared" si="66"/>
        <v>0.16666666666666666</v>
      </c>
      <c r="AN481" s="4">
        <f t="shared" si="63"/>
        <v>2.5242963523917705E-4</v>
      </c>
      <c r="AO481" s="3"/>
      <c r="AP481">
        <v>0</v>
      </c>
      <c r="AR481" t="s">
        <v>1</v>
      </c>
      <c r="AT481" s="2" t="s">
        <v>0</v>
      </c>
      <c r="AU481" s="1">
        <f t="shared" si="67"/>
        <v>3.0945166438955405</v>
      </c>
      <c r="AV481" s="1">
        <f t="shared" si="68"/>
        <v>2.2175813066465055</v>
      </c>
      <c r="AW481" s="1">
        <f t="shared" si="69"/>
        <v>1.3406459693974702</v>
      </c>
    </row>
    <row r="482" spans="1:49" x14ac:dyDescent="0.2">
      <c r="A482">
        <v>480</v>
      </c>
      <c r="B482" t="s">
        <v>2261</v>
      </c>
      <c r="C482" t="s">
        <v>2260</v>
      </c>
      <c r="F482" t="s">
        <v>2259</v>
      </c>
      <c r="G482" t="s">
        <v>16</v>
      </c>
      <c r="H482" t="s">
        <v>15</v>
      </c>
      <c r="I482" t="s">
        <v>2258</v>
      </c>
      <c r="J482">
        <v>60001422</v>
      </c>
      <c r="K482" t="s">
        <v>2257</v>
      </c>
      <c r="L482" t="s">
        <v>199</v>
      </c>
      <c r="M482" t="s">
        <v>59</v>
      </c>
      <c r="N482">
        <v>2</v>
      </c>
      <c r="O482" t="s">
        <v>2256</v>
      </c>
      <c r="P482" t="s">
        <v>2255</v>
      </c>
      <c r="Q482" t="s">
        <v>2254</v>
      </c>
      <c r="R482" s="7">
        <v>31413</v>
      </c>
      <c r="S482" s="8">
        <f t="shared" si="64"/>
        <v>1986</v>
      </c>
      <c r="T482" s="8">
        <v>1986</v>
      </c>
      <c r="U482" s="8">
        <f t="shared" si="65"/>
        <v>36</v>
      </c>
      <c r="V482" s="7">
        <v>31503</v>
      </c>
      <c r="W482" t="s">
        <v>2046</v>
      </c>
      <c r="X482" s="2">
        <v>0.752</v>
      </c>
      <c r="Y482" s="6">
        <f t="shared" si="62"/>
        <v>2.0074210512266089E-2</v>
      </c>
      <c r="AA482">
        <v>3649059</v>
      </c>
      <c r="AB482">
        <v>17277</v>
      </c>
      <c r="AC482">
        <v>15581691</v>
      </c>
      <c r="AD482" t="s">
        <v>5</v>
      </c>
      <c r="AE482">
        <v>11</v>
      </c>
      <c r="AF482">
        <v>2</v>
      </c>
      <c r="AH482" t="s">
        <v>2253</v>
      </c>
      <c r="AI482" t="s">
        <v>2252</v>
      </c>
      <c r="AK482" t="s">
        <v>2251</v>
      </c>
      <c r="AL482">
        <v>8</v>
      </c>
      <c r="AM482" s="5">
        <f t="shared" si="66"/>
        <v>0.22222222222222221</v>
      </c>
      <c r="AN482" s="4">
        <f t="shared" si="63"/>
        <v>3.365728469855694E-4</v>
      </c>
      <c r="AO482" s="3"/>
      <c r="AP482">
        <v>0</v>
      </c>
      <c r="AR482" t="s">
        <v>1</v>
      </c>
      <c r="AT482" s="2">
        <v>3.5539999999999998</v>
      </c>
      <c r="AU482" s="1">
        <f t="shared" si="67"/>
        <v>1.4152919212681934</v>
      </c>
      <c r="AV482" s="1">
        <f t="shared" si="68"/>
        <v>1.0205391679625828</v>
      </c>
      <c r="AW482" s="1">
        <f t="shared" si="69"/>
        <v>0.62578641465697249</v>
      </c>
    </row>
    <row r="483" spans="1:49" x14ac:dyDescent="0.2">
      <c r="A483">
        <v>481</v>
      </c>
      <c r="B483" t="s">
        <v>2250</v>
      </c>
      <c r="C483" t="s">
        <v>2249</v>
      </c>
      <c r="F483" t="s">
        <v>2248</v>
      </c>
      <c r="G483" t="s">
        <v>16</v>
      </c>
      <c r="H483" t="s">
        <v>15</v>
      </c>
      <c r="I483" t="s">
        <v>2247</v>
      </c>
      <c r="J483">
        <v>60083258</v>
      </c>
      <c r="K483" t="s">
        <v>2246</v>
      </c>
      <c r="L483" t="s">
        <v>1410</v>
      </c>
      <c r="M483" t="s">
        <v>1409</v>
      </c>
      <c r="N483">
        <v>1</v>
      </c>
      <c r="O483" t="s">
        <v>2245</v>
      </c>
      <c r="P483">
        <v>6506570338</v>
      </c>
      <c r="Q483">
        <v>60083258</v>
      </c>
      <c r="R483" s="7">
        <v>31413</v>
      </c>
      <c r="S483" s="8">
        <f t="shared" si="64"/>
        <v>1986</v>
      </c>
      <c r="T483" s="8">
        <v>1986</v>
      </c>
      <c r="U483" s="8">
        <f t="shared" si="65"/>
        <v>36</v>
      </c>
      <c r="V483" s="7" t="s">
        <v>1989</v>
      </c>
      <c r="W483" t="s">
        <v>6</v>
      </c>
      <c r="X483" s="2">
        <v>1.3720000000000001</v>
      </c>
      <c r="Y483" s="6">
        <f t="shared" si="62"/>
        <v>3.662475641333654E-2</v>
      </c>
      <c r="AA483">
        <v>189480</v>
      </c>
      <c r="AB483">
        <v>17366</v>
      </c>
      <c r="AD483" t="s">
        <v>5</v>
      </c>
      <c r="AE483" t="s">
        <v>2081</v>
      </c>
      <c r="AF483">
        <v>4</v>
      </c>
      <c r="AH483" t="s">
        <v>2244</v>
      </c>
      <c r="AI483" t="s">
        <v>2243</v>
      </c>
      <c r="AK483" t="s">
        <v>2242</v>
      </c>
      <c r="AL483">
        <v>1</v>
      </c>
      <c r="AM483" s="5">
        <f t="shared" si="66"/>
        <v>2.7777777777777776E-2</v>
      </c>
      <c r="AN483" s="4">
        <f t="shared" si="63"/>
        <v>4.2071605873196175E-5</v>
      </c>
      <c r="AO483" s="3"/>
      <c r="AP483">
        <v>0</v>
      </c>
      <c r="AR483" t="s">
        <v>1</v>
      </c>
      <c r="AT483" s="2" t="s">
        <v>0</v>
      </c>
      <c r="AU483" s="1">
        <f t="shared" si="67"/>
        <v>2.5649950971097533</v>
      </c>
      <c r="AV483" s="1">
        <f t="shared" si="68"/>
        <v>1.8333414009604869</v>
      </c>
      <c r="AW483" s="1">
        <f t="shared" si="69"/>
        <v>1.1016877048112199</v>
      </c>
    </row>
    <row r="484" spans="1:49" x14ac:dyDescent="0.2">
      <c r="A484">
        <v>482</v>
      </c>
      <c r="B484" t="s">
        <v>2241</v>
      </c>
      <c r="C484" t="s">
        <v>2240</v>
      </c>
      <c r="F484" t="s">
        <v>2239</v>
      </c>
      <c r="G484" t="s">
        <v>16</v>
      </c>
      <c r="H484" t="s">
        <v>15</v>
      </c>
      <c r="I484" t="s">
        <v>1592</v>
      </c>
      <c r="J484">
        <v>60030553</v>
      </c>
      <c r="K484" t="s">
        <v>1591</v>
      </c>
      <c r="L484" t="s">
        <v>1590</v>
      </c>
      <c r="M484" t="s">
        <v>59</v>
      </c>
      <c r="N484">
        <v>2</v>
      </c>
      <c r="O484" t="s">
        <v>2238</v>
      </c>
      <c r="P484" t="s">
        <v>2237</v>
      </c>
      <c r="Q484" t="s">
        <v>2236</v>
      </c>
      <c r="R484" s="7">
        <v>31413</v>
      </c>
      <c r="S484" s="8">
        <f t="shared" si="64"/>
        <v>1986</v>
      </c>
      <c r="T484" s="8">
        <v>1986</v>
      </c>
      <c r="U484" s="8">
        <f t="shared" si="65"/>
        <v>36</v>
      </c>
      <c r="V484" s="7">
        <v>31503</v>
      </c>
      <c r="W484" t="s">
        <v>153</v>
      </c>
      <c r="X484" s="2">
        <v>1.6519999999999999</v>
      </c>
      <c r="Y484" s="6">
        <f t="shared" si="62"/>
        <v>4.409919649769093E-2</v>
      </c>
      <c r="AA484" t="s">
        <v>152</v>
      </c>
      <c r="AB484">
        <v>17337</v>
      </c>
      <c r="AC484">
        <v>15582221</v>
      </c>
      <c r="AD484" t="s">
        <v>5</v>
      </c>
      <c r="AE484">
        <v>34</v>
      </c>
      <c r="AF484">
        <v>4</v>
      </c>
      <c r="AH484" t="s">
        <v>2235</v>
      </c>
      <c r="AI484" t="s">
        <v>2234</v>
      </c>
      <c r="AK484" t="s">
        <v>2233</v>
      </c>
      <c r="AL484">
        <v>3</v>
      </c>
      <c r="AM484" s="5">
        <f t="shared" si="66"/>
        <v>8.3333333333333329E-2</v>
      </c>
      <c r="AN484" s="4">
        <f t="shared" si="63"/>
        <v>1.2621481761958852E-4</v>
      </c>
      <c r="AO484" s="3"/>
      <c r="AP484">
        <v>0</v>
      </c>
      <c r="AR484" t="s">
        <v>1</v>
      </c>
      <c r="AT484" s="2" t="s">
        <v>0</v>
      </c>
      <c r="AU484" s="1">
        <f t="shared" si="67"/>
        <v>3.0907301993669525</v>
      </c>
      <c r="AV484" s="1">
        <f t="shared" si="68"/>
        <v>2.2112705657655258</v>
      </c>
      <c r="AW484" s="1">
        <f t="shared" si="69"/>
        <v>1.331810932164099</v>
      </c>
    </row>
    <row r="485" spans="1:49" x14ac:dyDescent="0.2">
      <c r="A485">
        <v>483</v>
      </c>
      <c r="B485" t="s">
        <v>2232</v>
      </c>
      <c r="C485" t="s">
        <v>2231</v>
      </c>
      <c r="F485" t="s">
        <v>2230</v>
      </c>
      <c r="G485" t="s">
        <v>16</v>
      </c>
      <c r="H485" t="s">
        <v>15</v>
      </c>
      <c r="I485" t="s">
        <v>2229</v>
      </c>
      <c r="J485">
        <v>60019702</v>
      </c>
      <c r="K485" t="s">
        <v>1578</v>
      </c>
      <c r="L485" t="s">
        <v>1577</v>
      </c>
      <c r="M485" t="s">
        <v>665</v>
      </c>
      <c r="N485">
        <v>1</v>
      </c>
      <c r="O485" t="s">
        <v>2228</v>
      </c>
      <c r="P485">
        <v>6701819589</v>
      </c>
      <c r="Q485">
        <v>60019702</v>
      </c>
      <c r="R485" s="7">
        <v>31413</v>
      </c>
      <c r="S485" s="8">
        <f t="shared" si="64"/>
        <v>1986</v>
      </c>
      <c r="T485" s="8">
        <v>1986</v>
      </c>
      <c r="U485" s="8">
        <f t="shared" si="65"/>
        <v>36</v>
      </c>
      <c r="V485" s="7">
        <v>31503</v>
      </c>
      <c r="W485" t="s">
        <v>2046</v>
      </c>
      <c r="X485" s="2">
        <v>0.752</v>
      </c>
      <c r="Y485" s="6">
        <f t="shared" si="62"/>
        <v>2.0074210512266089E-2</v>
      </c>
      <c r="AA485">
        <v>3649059</v>
      </c>
      <c r="AB485">
        <v>17277</v>
      </c>
      <c r="AC485">
        <v>15581691</v>
      </c>
      <c r="AD485" t="s">
        <v>5</v>
      </c>
      <c r="AE485">
        <v>11</v>
      </c>
      <c r="AF485">
        <v>2</v>
      </c>
      <c r="AH485" t="s">
        <v>2227</v>
      </c>
      <c r="AI485" t="s">
        <v>2226</v>
      </c>
      <c r="AK485" t="s">
        <v>2225</v>
      </c>
      <c r="AL485">
        <v>17</v>
      </c>
      <c r="AM485" s="5">
        <f t="shared" si="66"/>
        <v>0.47222222222222221</v>
      </c>
      <c r="AN485" s="4">
        <f t="shared" si="63"/>
        <v>7.15217299844335E-4</v>
      </c>
      <c r="AO485" s="3"/>
      <c r="AP485">
        <v>0</v>
      </c>
      <c r="AR485" t="s">
        <v>1</v>
      </c>
      <c r="AT485" s="2">
        <v>3.5539999999999998</v>
      </c>
      <c r="AU485" s="1">
        <f t="shared" si="67"/>
        <v>1.4266512548539563</v>
      </c>
      <c r="AV485" s="1">
        <f t="shared" si="68"/>
        <v>1.0394713906055211</v>
      </c>
      <c r="AW485" s="1">
        <f t="shared" si="69"/>
        <v>0.65229152635708609</v>
      </c>
    </row>
    <row r="486" spans="1:49" x14ac:dyDescent="0.2">
      <c r="A486">
        <v>484</v>
      </c>
      <c r="B486" t="s">
        <v>2224</v>
      </c>
      <c r="C486" t="s">
        <v>2223</v>
      </c>
      <c r="F486" t="s">
        <v>2222</v>
      </c>
      <c r="G486" t="s">
        <v>16</v>
      </c>
      <c r="H486" t="s">
        <v>15</v>
      </c>
      <c r="I486" t="s">
        <v>2221</v>
      </c>
      <c r="J486" t="s">
        <v>2220</v>
      </c>
      <c r="K486" t="s">
        <v>2219</v>
      </c>
      <c r="L486" t="s">
        <v>2218</v>
      </c>
      <c r="M486" t="s">
        <v>783</v>
      </c>
      <c r="N486">
        <v>2</v>
      </c>
      <c r="O486" t="s">
        <v>2217</v>
      </c>
      <c r="P486" t="s">
        <v>2216</v>
      </c>
      <c r="Q486" t="s">
        <v>2215</v>
      </c>
      <c r="R486" s="7">
        <v>31413</v>
      </c>
      <c r="S486" s="8">
        <f t="shared" si="64"/>
        <v>1986</v>
      </c>
      <c r="T486" s="8">
        <v>1986</v>
      </c>
      <c r="U486" s="8">
        <f t="shared" si="65"/>
        <v>36</v>
      </c>
      <c r="V486" s="7">
        <v>31503</v>
      </c>
      <c r="W486" t="s">
        <v>153</v>
      </c>
      <c r="X486" s="2">
        <v>1.6519999999999999</v>
      </c>
      <c r="Y486" s="6">
        <f t="shared" si="62"/>
        <v>4.409919649769093E-2</v>
      </c>
      <c r="AA486" t="s">
        <v>152</v>
      </c>
      <c r="AB486">
        <v>17337</v>
      </c>
      <c r="AC486">
        <v>15582221</v>
      </c>
      <c r="AD486" t="s">
        <v>5</v>
      </c>
      <c r="AE486">
        <v>34</v>
      </c>
      <c r="AF486">
        <v>4</v>
      </c>
      <c r="AH486" t="s">
        <v>2214</v>
      </c>
      <c r="AI486" t="s">
        <v>2213</v>
      </c>
      <c r="AK486" t="s">
        <v>2212</v>
      </c>
      <c r="AL486">
        <v>32</v>
      </c>
      <c r="AM486" s="5">
        <f t="shared" si="66"/>
        <v>0.88888888888888884</v>
      </c>
      <c r="AN486" s="4">
        <f t="shared" si="63"/>
        <v>1.3462913879422776E-3</v>
      </c>
      <c r="AO486" s="3"/>
      <c r="AP486">
        <v>0</v>
      </c>
      <c r="AR486" t="s">
        <v>1</v>
      </c>
      <c r="AT486" s="2" t="s">
        <v>0</v>
      </c>
      <c r="AU486" s="1">
        <f t="shared" si="67"/>
        <v>3.1273324964766336</v>
      </c>
      <c r="AV486" s="1">
        <f t="shared" si="68"/>
        <v>2.2722743942816601</v>
      </c>
      <c r="AW486" s="1">
        <f t="shared" si="69"/>
        <v>1.4172162920866873</v>
      </c>
    </row>
    <row r="487" spans="1:49" x14ac:dyDescent="0.2">
      <c r="A487">
        <v>485</v>
      </c>
      <c r="B487" t="s">
        <v>2211</v>
      </c>
      <c r="C487" t="s">
        <v>2210</v>
      </c>
      <c r="F487" t="s">
        <v>2209</v>
      </c>
      <c r="G487" t="s">
        <v>16</v>
      </c>
      <c r="H487" t="s">
        <v>15</v>
      </c>
      <c r="I487" t="s">
        <v>2208</v>
      </c>
      <c r="J487">
        <v>60001247</v>
      </c>
      <c r="K487" t="s">
        <v>728</v>
      </c>
      <c r="M487" t="s">
        <v>114</v>
      </c>
      <c r="N487">
        <v>2</v>
      </c>
      <c r="O487" t="s">
        <v>2207</v>
      </c>
      <c r="P487" t="s">
        <v>2206</v>
      </c>
      <c r="Q487" t="s">
        <v>2205</v>
      </c>
      <c r="R487" s="7">
        <v>31413</v>
      </c>
      <c r="S487" s="8">
        <f t="shared" si="64"/>
        <v>1986</v>
      </c>
      <c r="T487" s="8">
        <v>1986</v>
      </c>
      <c r="U487" s="8">
        <f t="shared" si="65"/>
        <v>36</v>
      </c>
      <c r="V487" s="7">
        <v>31503</v>
      </c>
      <c r="W487" t="s">
        <v>153</v>
      </c>
      <c r="X487" s="2">
        <v>1.6519999999999999</v>
      </c>
      <c r="Y487" s="6">
        <f t="shared" si="62"/>
        <v>4.409919649769093E-2</v>
      </c>
      <c r="AA487" t="s">
        <v>152</v>
      </c>
      <c r="AB487">
        <v>17337</v>
      </c>
      <c r="AC487">
        <v>15582221</v>
      </c>
      <c r="AD487" t="s">
        <v>5</v>
      </c>
      <c r="AE487">
        <v>34</v>
      </c>
      <c r="AF487">
        <v>4</v>
      </c>
      <c r="AH487" t="s">
        <v>2204</v>
      </c>
      <c r="AI487" t="s">
        <v>2203</v>
      </c>
      <c r="AK487" t="s">
        <v>2202</v>
      </c>
      <c r="AL487">
        <v>16</v>
      </c>
      <c r="AM487" s="5">
        <f t="shared" si="66"/>
        <v>0.44444444444444442</v>
      </c>
      <c r="AN487" s="4">
        <f t="shared" si="63"/>
        <v>6.7314569397113879E-4</v>
      </c>
      <c r="AO487" s="3"/>
      <c r="AP487">
        <v>0</v>
      </c>
      <c r="AR487" t="s">
        <v>1</v>
      </c>
      <c r="AT487" s="2" t="s">
        <v>0</v>
      </c>
      <c r="AU487" s="1">
        <f t="shared" si="67"/>
        <v>3.1071381256574995</v>
      </c>
      <c r="AV487" s="1">
        <f t="shared" si="68"/>
        <v>2.2386171095831036</v>
      </c>
      <c r="AW487" s="1">
        <f t="shared" si="69"/>
        <v>1.3700960935087076</v>
      </c>
    </row>
    <row r="488" spans="1:49" x14ac:dyDescent="0.2">
      <c r="A488">
        <v>486</v>
      </c>
      <c r="B488" t="s">
        <v>2201</v>
      </c>
      <c r="C488" t="s">
        <v>2200</v>
      </c>
      <c r="F488" t="s">
        <v>2199</v>
      </c>
      <c r="G488" t="s">
        <v>16</v>
      </c>
      <c r="H488" t="s">
        <v>15</v>
      </c>
      <c r="I488" t="s">
        <v>2198</v>
      </c>
      <c r="J488" t="s">
        <v>2197</v>
      </c>
      <c r="K488" t="s">
        <v>2196</v>
      </c>
      <c r="L488" t="s">
        <v>2195</v>
      </c>
      <c r="M488" t="s">
        <v>171</v>
      </c>
      <c r="N488">
        <v>3</v>
      </c>
      <c r="O488" t="s">
        <v>2194</v>
      </c>
      <c r="P488" t="s">
        <v>2193</v>
      </c>
      <c r="Q488" t="s">
        <v>2192</v>
      </c>
      <c r="R488" s="7">
        <v>31413</v>
      </c>
      <c r="S488" s="8">
        <f t="shared" si="64"/>
        <v>1986</v>
      </c>
      <c r="T488" s="8">
        <v>1986</v>
      </c>
      <c r="U488" s="8">
        <f t="shared" si="65"/>
        <v>36</v>
      </c>
      <c r="V488" s="7">
        <v>31503</v>
      </c>
      <c r="W488" t="s">
        <v>2046</v>
      </c>
      <c r="X488" s="2">
        <v>0.752</v>
      </c>
      <c r="Y488" s="6">
        <f t="shared" si="62"/>
        <v>2.0074210512266089E-2</v>
      </c>
      <c r="AA488">
        <v>3649059</v>
      </c>
      <c r="AB488">
        <v>17277</v>
      </c>
      <c r="AC488">
        <v>15581691</v>
      </c>
      <c r="AD488" t="s">
        <v>5</v>
      </c>
      <c r="AE488">
        <v>11</v>
      </c>
      <c r="AF488">
        <v>2</v>
      </c>
      <c r="AH488" t="s">
        <v>2191</v>
      </c>
      <c r="AI488" t="s">
        <v>2190</v>
      </c>
      <c r="AK488" t="s">
        <v>2189</v>
      </c>
      <c r="AL488">
        <v>7</v>
      </c>
      <c r="AM488" s="5">
        <f t="shared" si="66"/>
        <v>0.19444444444444445</v>
      </c>
      <c r="AN488" s="4">
        <f t="shared" si="63"/>
        <v>2.9450124111237325E-4</v>
      </c>
      <c r="AO488" s="3"/>
      <c r="AP488">
        <v>0</v>
      </c>
      <c r="AR488" t="s">
        <v>1</v>
      </c>
      <c r="AT488" s="2">
        <v>3.5539999999999998</v>
      </c>
      <c r="AU488" s="1">
        <f t="shared" si="67"/>
        <v>1.4140297730919973</v>
      </c>
      <c r="AV488" s="1">
        <f t="shared" si="68"/>
        <v>1.0184355876689231</v>
      </c>
      <c r="AW488" s="1">
        <f t="shared" si="69"/>
        <v>0.62284140224584883</v>
      </c>
    </row>
    <row r="489" spans="1:49" x14ac:dyDescent="0.2">
      <c r="A489">
        <v>487</v>
      </c>
      <c r="B489" t="s">
        <v>2188</v>
      </c>
      <c r="C489" t="s">
        <v>2187</v>
      </c>
      <c r="F489" t="s">
        <v>2186</v>
      </c>
      <c r="G489" t="s">
        <v>16</v>
      </c>
      <c r="H489" t="s">
        <v>15</v>
      </c>
      <c r="I489" t="s">
        <v>2185</v>
      </c>
      <c r="J489">
        <v>100321467</v>
      </c>
      <c r="K489" t="s">
        <v>2184</v>
      </c>
      <c r="L489" t="s">
        <v>2183</v>
      </c>
      <c r="M489" t="s">
        <v>114</v>
      </c>
      <c r="N489">
        <v>1</v>
      </c>
      <c r="O489" t="s">
        <v>2182</v>
      </c>
      <c r="P489">
        <v>7102734848</v>
      </c>
      <c r="Q489">
        <v>100321467</v>
      </c>
      <c r="R489" s="7">
        <v>31413</v>
      </c>
      <c r="S489" s="8">
        <f t="shared" si="64"/>
        <v>1986</v>
      </c>
      <c r="T489" s="8">
        <v>1986</v>
      </c>
      <c r="U489" s="8">
        <f t="shared" si="65"/>
        <v>36</v>
      </c>
      <c r="V489" s="7">
        <v>31503</v>
      </c>
      <c r="W489" t="s">
        <v>153</v>
      </c>
      <c r="X489" s="2">
        <v>1.6519999999999999</v>
      </c>
      <c r="Y489" s="6">
        <f t="shared" si="62"/>
        <v>4.409919649769093E-2</v>
      </c>
      <c r="AA489" t="s">
        <v>152</v>
      </c>
      <c r="AB489">
        <v>17337</v>
      </c>
      <c r="AC489">
        <v>15582221</v>
      </c>
      <c r="AD489" t="s">
        <v>5</v>
      </c>
      <c r="AE489">
        <v>34</v>
      </c>
      <c r="AF489">
        <v>4</v>
      </c>
      <c r="AH489" t="s">
        <v>2181</v>
      </c>
      <c r="AI489" t="s">
        <v>2180</v>
      </c>
      <c r="AK489" t="s">
        <v>2179</v>
      </c>
      <c r="AL489">
        <v>14</v>
      </c>
      <c r="AM489" s="5">
        <f t="shared" si="66"/>
        <v>0.3888888888888889</v>
      </c>
      <c r="AN489" s="4">
        <f t="shared" si="63"/>
        <v>5.890024822247465E-4</v>
      </c>
      <c r="AO489" s="3"/>
      <c r="AP489">
        <v>0</v>
      </c>
      <c r="AR489" t="s">
        <v>1</v>
      </c>
      <c r="AT489" s="2" t="s">
        <v>0</v>
      </c>
      <c r="AU489" s="1">
        <f t="shared" si="67"/>
        <v>3.1046138293051073</v>
      </c>
      <c r="AV489" s="1">
        <f t="shared" si="68"/>
        <v>2.2344099489957836</v>
      </c>
      <c r="AW489" s="1">
        <f t="shared" si="69"/>
        <v>1.3642060686864601</v>
      </c>
    </row>
    <row r="490" spans="1:49" x14ac:dyDescent="0.2">
      <c r="A490">
        <v>488</v>
      </c>
      <c r="B490" t="s">
        <v>2178</v>
      </c>
      <c r="C490" t="s">
        <v>2177</v>
      </c>
      <c r="F490" t="s">
        <v>2176</v>
      </c>
      <c r="G490" t="s">
        <v>16</v>
      </c>
      <c r="H490" t="s">
        <v>15</v>
      </c>
      <c r="I490" t="s">
        <v>2175</v>
      </c>
      <c r="J490">
        <v>60194529</v>
      </c>
      <c r="K490" t="s">
        <v>2174</v>
      </c>
      <c r="L490" t="s">
        <v>2173</v>
      </c>
      <c r="M490" t="s">
        <v>71</v>
      </c>
      <c r="N490">
        <v>2</v>
      </c>
      <c r="O490" t="s">
        <v>2172</v>
      </c>
      <c r="P490" t="s">
        <v>2171</v>
      </c>
      <c r="Q490" t="s">
        <v>2170</v>
      </c>
      <c r="R490" s="7">
        <v>31413</v>
      </c>
      <c r="S490" s="8">
        <f t="shared" si="64"/>
        <v>1986</v>
      </c>
      <c r="T490" s="8">
        <v>1986</v>
      </c>
      <c r="U490" s="8">
        <f t="shared" si="65"/>
        <v>36</v>
      </c>
      <c r="V490" s="7" t="s">
        <v>1989</v>
      </c>
      <c r="W490" s="11" t="s">
        <v>1017</v>
      </c>
      <c r="X490" s="2">
        <v>2.383</v>
      </c>
      <c r="Y490" s="6">
        <f t="shared" si="62"/>
        <v>6.3612824003630442E-2</v>
      </c>
      <c r="AA490" t="s">
        <v>1016</v>
      </c>
      <c r="AB490">
        <v>101151</v>
      </c>
      <c r="AD490" t="s">
        <v>5</v>
      </c>
      <c r="AE490">
        <v>133</v>
      </c>
      <c r="AF490">
        <v>2</v>
      </c>
      <c r="AH490" t="s">
        <v>2169</v>
      </c>
      <c r="AI490" t="s">
        <v>2168</v>
      </c>
      <c r="AK490" t="s">
        <v>2167</v>
      </c>
      <c r="AL490">
        <v>17</v>
      </c>
      <c r="AM490" s="5">
        <f t="shared" si="66"/>
        <v>0.47222222222222221</v>
      </c>
      <c r="AN490" s="4">
        <f t="shared" si="63"/>
        <v>7.15217299844335E-4</v>
      </c>
      <c r="AO490" s="3"/>
      <c r="AP490">
        <v>0</v>
      </c>
      <c r="AR490" t="s">
        <v>1</v>
      </c>
      <c r="AT490" s="2" t="s">
        <v>0</v>
      </c>
      <c r="AU490" s="1">
        <f t="shared" si="67"/>
        <v>4.4743541992494613</v>
      </c>
      <c r="AV490" s="1">
        <f t="shared" si="68"/>
        <v>3.2164020651737388</v>
      </c>
      <c r="AW490" s="1">
        <f t="shared" si="69"/>
        <v>1.9584499310980168</v>
      </c>
    </row>
    <row r="491" spans="1:49" x14ac:dyDescent="0.2">
      <c r="A491">
        <v>489</v>
      </c>
      <c r="B491" t="s">
        <v>2166</v>
      </c>
      <c r="C491" t="s">
        <v>2165</v>
      </c>
      <c r="F491" t="s">
        <v>2164</v>
      </c>
      <c r="G491" t="s">
        <v>16</v>
      </c>
      <c r="H491" t="s">
        <v>15</v>
      </c>
      <c r="I491" t="s">
        <v>2163</v>
      </c>
      <c r="J491">
        <v>60019493</v>
      </c>
      <c r="K491" t="s">
        <v>2162</v>
      </c>
      <c r="L491" t="s">
        <v>2161</v>
      </c>
      <c r="M491" t="s">
        <v>114</v>
      </c>
      <c r="N491">
        <v>1</v>
      </c>
      <c r="O491" t="s">
        <v>2160</v>
      </c>
      <c r="P491">
        <v>7402021303</v>
      </c>
      <c r="Q491">
        <v>60019493</v>
      </c>
      <c r="R491" s="7">
        <v>31413</v>
      </c>
      <c r="S491" s="8">
        <f t="shared" si="64"/>
        <v>1986</v>
      </c>
      <c r="T491" s="8">
        <v>1986</v>
      </c>
      <c r="U491" s="8">
        <f t="shared" si="65"/>
        <v>36</v>
      </c>
      <c r="V491" s="7">
        <v>31503</v>
      </c>
      <c r="W491" t="s">
        <v>153</v>
      </c>
      <c r="X491" s="2">
        <v>1.6519999999999999</v>
      </c>
      <c r="Y491" s="6">
        <f t="shared" si="62"/>
        <v>4.409919649769093E-2</v>
      </c>
      <c r="AA491" t="s">
        <v>152</v>
      </c>
      <c r="AB491">
        <v>17337</v>
      </c>
      <c r="AC491">
        <v>15582221</v>
      </c>
      <c r="AD491" t="s">
        <v>5</v>
      </c>
      <c r="AE491">
        <v>34</v>
      </c>
      <c r="AF491">
        <v>4</v>
      </c>
      <c r="AH491" t="s">
        <v>2159</v>
      </c>
      <c r="AI491" t="s">
        <v>2158</v>
      </c>
      <c r="AK491" t="s">
        <v>2157</v>
      </c>
      <c r="AL491">
        <v>5</v>
      </c>
      <c r="AM491" s="5">
        <f t="shared" si="66"/>
        <v>0.1388888888888889</v>
      </c>
      <c r="AN491" s="4">
        <f t="shared" si="63"/>
        <v>2.103580293659809E-4</v>
      </c>
      <c r="AO491" s="3"/>
      <c r="AP491">
        <v>0</v>
      </c>
      <c r="AR491" t="s">
        <v>1</v>
      </c>
      <c r="AT491" s="2" t="s">
        <v>0</v>
      </c>
      <c r="AU491" s="1">
        <f t="shared" si="67"/>
        <v>3.0932544957193446</v>
      </c>
      <c r="AV491" s="1">
        <f t="shared" si="68"/>
        <v>2.2154777263528458</v>
      </c>
      <c r="AW491" s="1">
        <f t="shared" si="69"/>
        <v>1.3377009569863465</v>
      </c>
    </row>
    <row r="492" spans="1:49" x14ac:dyDescent="0.2">
      <c r="A492">
        <v>490</v>
      </c>
      <c r="B492" t="s">
        <v>2156</v>
      </c>
      <c r="C492" t="s">
        <v>2155</v>
      </c>
      <c r="F492" t="s">
        <v>2154</v>
      </c>
      <c r="G492" t="s">
        <v>16</v>
      </c>
      <c r="H492" t="s">
        <v>15</v>
      </c>
      <c r="I492" t="s">
        <v>298</v>
      </c>
      <c r="J492">
        <v>60009982</v>
      </c>
      <c r="K492" t="s">
        <v>2153</v>
      </c>
      <c r="L492" t="s">
        <v>1940</v>
      </c>
      <c r="M492" t="s">
        <v>114</v>
      </c>
      <c r="N492">
        <v>1</v>
      </c>
      <c r="O492" t="s">
        <v>2152</v>
      </c>
      <c r="P492">
        <v>35586046100</v>
      </c>
      <c r="Q492">
        <v>60009982</v>
      </c>
      <c r="R492" s="7">
        <v>31413</v>
      </c>
      <c r="S492" s="8">
        <f t="shared" si="64"/>
        <v>1986</v>
      </c>
      <c r="T492" s="8">
        <v>1986</v>
      </c>
      <c r="U492" s="8">
        <f t="shared" si="65"/>
        <v>36</v>
      </c>
      <c r="V492" s="7">
        <v>31503</v>
      </c>
      <c r="W492" t="s">
        <v>153</v>
      </c>
      <c r="X492" s="2">
        <v>1.6519999999999999</v>
      </c>
      <c r="Y492" s="6">
        <f t="shared" si="62"/>
        <v>4.409919649769093E-2</v>
      </c>
      <c r="AA492" t="s">
        <v>152</v>
      </c>
      <c r="AB492">
        <v>17337</v>
      </c>
      <c r="AC492">
        <v>15582221</v>
      </c>
      <c r="AD492" t="s">
        <v>5</v>
      </c>
      <c r="AE492">
        <v>34</v>
      </c>
      <c r="AF492">
        <v>4</v>
      </c>
      <c r="AH492" t="s">
        <v>2151</v>
      </c>
      <c r="AI492" t="s">
        <v>2150</v>
      </c>
      <c r="AK492" t="s">
        <v>2149</v>
      </c>
      <c r="AL492">
        <v>16</v>
      </c>
      <c r="AM492" s="5">
        <f t="shared" si="66"/>
        <v>0.44444444444444442</v>
      </c>
      <c r="AN492" s="4">
        <f t="shared" si="63"/>
        <v>6.7314569397113879E-4</v>
      </c>
      <c r="AO492" s="3"/>
      <c r="AP492">
        <v>0</v>
      </c>
      <c r="AR492" t="s">
        <v>1</v>
      </c>
      <c r="AT492" s="2" t="s">
        <v>0</v>
      </c>
      <c r="AU492" s="1">
        <f t="shared" si="67"/>
        <v>3.1071381256574995</v>
      </c>
      <c r="AV492" s="1">
        <f t="shared" si="68"/>
        <v>2.2386171095831036</v>
      </c>
      <c r="AW492" s="1">
        <f t="shared" si="69"/>
        <v>1.3700960935087076</v>
      </c>
    </row>
    <row r="493" spans="1:49" x14ac:dyDescent="0.2">
      <c r="A493">
        <v>491</v>
      </c>
      <c r="B493" t="s">
        <v>2148</v>
      </c>
      <c r="C493" t="s">
        <v>2147</v>
      </c>
      <c r="F493" t="s">
        <v>2146</v>
      </c>
      <c r="G493" t="s">
        <v>16</v>
      </c>
      <c r="H493" t="s">
        <v>15</v>
      </c>
      <c r="I493" t="s">
        <v>2145</v>
      </c>
      <c r="J493" t="s">
        <v>2140</v>
      </c>
      <c r="K493" t="s">
        <v>2144</v>
      </c>
      <c r="L493" t="s">
        <v>2143</v>
      </c>
      <c r="M493" t="s">
        <v>171</v>
      </c>
      <c r="N493">
        <v>2</v>
      </c>
      <c r="O493" t="s">
        <v>2142</v>
      </c>
      <c r="P493" t="s">
        <v>2141</v>
      </c>
      <c r="Q493" t="s">
        <v>2140</v>
      </c>
      <c r="R493" s="7">
        <v>31413</v>
      </c>
      <c r="S493" s="8">
        <f t="shared" si="64"/>
        <v>1986</v>
      </c>
      <c r="T493" s="8">
        <v>1986</v>
      </c>
      <c r="U493" s="8">
        <f t="shared" si="65"/>
        <v>36</v>
      </c>
      <c r="V493" s="7">
        <v>31503</v>
      </c>
      <c r="W493" t="s">
        <v>2046</v>
      </c>
      <c r="X493" s="2">
        <v>0.752</v>
      </c>
      <c r="Y493" s="6">
        <f t="shared" si="62"/>
        <v>2.0074210512266089E-2</v>
      </c>
      <c r="AA493">
        <v>3649059</v>
      </c>
      <c r="AB493">
        <v>17277</v>
      </c>
      <c r="AC493">
        <v>15581691</v>
      </c>
      <c r="AD493" t="s">
        <v>5</v>
      </c>
      <c r="AE493">
        <v>11</v>
      </c>
      <c r="AF493">
        <v>2</v>
      </c>
      <c r="AH493" t="s">
        <v>2139</v>
      </c>
      <c r="AI493" t="s">
        <v>2138</v>
      </c>
      <c r="AK493" t="s">
        <v>2137</v>
      </c>
      <c r="AL493">
        <v>5</v>
      </c>
      <c r="AM493" s="5">
        <f t="shared" si="66"/>
        <v>0.1388888888888889</v>
      </c>
      <c r="AN493" s="4">
        <f t="shared" si="63"/>
        <v>2.103580293659809E-4</v>
      </c>
      <c r="AO493" s="3"/>
      <c r="AP493">
        <v>0</v>
      </c>
      <c r="AR493" t="s">
        <v>1</v>
      </c>
      <c r="AT493" s="2">
        <v>3.5539999999999998</v>
      </c>
      <c r="AU493" s="1">
        <f t="shared" si="67"/>
        <v>1.4115054767396056</v>
      </c>
      <c r="AV493" s="1">
        <f t="shared" si="68"/>
        <v>1.0142284270816033</v>
      </c>
      <c r="AW493" s="1">
        <f t="shared" si="69"/>
        <v>0.6169513774236014</v>
      </c>
    </row>
    <row r="494" spans="1:49" x14ac:dyDescent="0.2">
      <c r="A494">
        <v>492</v>
      </c>
      <c r="B494" t="s">
        <v>2136</v>
      </c>
      <c r="C494" t="s">
        <v>2135</v>
      </c>
      <c r="F494" t="s">
        <v>2134</v>
      </c>
      <c r="G494" t="s">
        <v>16</v>
      </c>
      <c r="H494" t="s">
        <v>15</v>
      </c>
      <c r="I494" t="s">
        <v>2133</v>
      </c>
      <c r="J494">
        <v>60005304</v>
      </c>
      <c r="K494" t="s">
        <v>1421</v>
      </c>
      <c r="L494" t="s">
        <v>1420</v>
      </c>
      <c r="M494" t="s">
        <v>114</v>
      </c>
      <c r="N494">
        <v>2</v>
      </c>
      <c r="O494" t="s">
        <v>2132</v>
      </c>
      <c r="P494" t="s">
        <v>2131</v>
      </c>
      <c r="Q494" t="s">
        <v>2130</v>
      </c>
      <c r="R494" s="7">
        <v>31413</v>
      </c>
      <c r="S494" s="8">
        <f t="shared" si="64"/>
        <v>1986</v>
      </c>
      <c r="T494" s="8">
        <v>1986</v>
      </c>
      <c r="U494" s="8">
        <f t="shared" si="65"/>
        <v>36</v>
      </c>
      <c r="V494" s="7">
        <v>31503</v>
      </c>
      <c r="W494" t="s">
        <v>346</v>
      </c>
      <c r="X494" s="2">
        <v>2.383</v>
      </c>
      <c r="Y494" s="6">
        <f t="shared" si="62"/>
        <v>6.3612824003630442E-2</v>
      </c>
      <c r="AA494">
        <v>189219</v>
      </c>
      <c r="AB494">
        <v>17915</v>
      </c>
      <c r="AC494">
        <v>15582256</v>
      </c>
      <c r="AD494" t="s">
        <v>5</v>
      </c>
      <c r="AE494">
        <v>74</v>
      </c>
      <c r="AF494">
        <v>4</v>
      </c>
      <c r="AH494" t="s">
        <v>2129</v>
      </c>
      <c r="AL494">
        <v>58</v>
      </c>
      <c r="AM494" s="5">
        <f t="shared" si="66"/>
        <v>1.6111111111111112</v>
      </c>
      <c r="AN494" s="4">
        <f t="shared" si="63"/>
        <v>2.4401531406453786E-3</v>
      </c>
      <c r="AO494" s="3"/>
      <c r="AP494">
        <v>0</v>
      </c>
      <c r="AR494" t="s">
        <v>1</v>
      </c>
      <c r="AT494" s="2">
        <v>10.961</v>
      </c>
      <c r="AU494" s="1">
        <f t="shared" si="67"/>
        <v>4.5261022744734927</v>
      </c>
      <c r="AV494" s="1">
        <f t="shared" si="68"/>
        <v>3.3026488572137911</v>
      </c>
      <c r="AW494" s="1">
        <f t="shared" si="69"/>
        <v>2.07919543995409</v>
      </c>
    </row>
    <row r="495" spans="1:49" x14ac:dyDescent="0.2">
      <c r="A495">
        <v>493</v>
      </c>
      <c r="B495" t="s">
        <v>2128</v>
      </c>
      <c r="C495" t="s">
        <v>2127</v>
      </c>
      <c r="F495" t="s">
        <v>2126</v>
      </c>
      <c r="G495" t="s">
        <v>16</v>
      </c>
      <c r="H495" t="s">
        <v>15</v>
      </c>
      <c r="I495" t="s">
        <v>2125</v>
      </c>
      <c r="J495">
        <v>60022148</v>
      </c>
      <c r="K495" t="s">
        <v>2124</v>
      </c>
      <c r="L495" t="s">
        <v>1486</v>
      </c>
      <c r="M495" t="s">
        <v>665</v>
      </c>
      <c r="N495">
        <v>3</v>
      </c>
      <c r="O495" t="s">
        <v>2123</v>
      </c>
      <c r="P495" t="s">
        <v>2122</v>
      </c>
      <c r="Q495" t="s">
        <v>2121</v>
      </c>
      <c r="R495" s="7">
        <v>31413</v>
      </c>
      <c r="S495" s="8">
        <f t="shared" si="64"/>
        <v>1986</v>
      </c>
      <c r="T495" s="8">
        <v>1986</v>
      </c>
      <c r="U495" s="8">
        <f t="shared" si="65"/>
        <v>36</v>
      </c>
      <c r="V495" s="7" t="s">
        <v>1989</v>
      </c>
      <c r="W495" s="11" t="s">
        <v>1017</v>
      </c>
      <c r="X495" s="2">
        <v>2.383</v>
      </c>
      <c r="Y495" s="6">
        <f t="shared" si="62"/>
        <v>6.3612824003630442E-2</v>
      </c>
      <c r="AA495" t="s">
        <v>1016</v>
      </c>
      <c r="AB495">
        <v>101151</v>
      </c>
      <c r="AD495" t="s">
        <v>5</v>
      </c>
      <c r="AE495">
        <v>133</v>
      </c>
      <c r="AF495">
        <v>2</v>
      </c>
      <c r="AH495" t="s">
        <v>2120</v>
      </c>
      <c r="AI495" t="s">
        <v>2119</v>
      </c>
      <c r="AK495" t="s">
        <v>2118</v>
      </c>
      <c r="AL495">
        <v>8</v>
      </c>
      <c r="AM495" s="5">
        <f t="shared" si="66"/>
        <v>0.22222222222222221</v>
      </c>
      <c r="AN495" s="4">
        <f t="shared" si="63"/>
        <v>3.365728469855694E-4</v>
      </c>
      <c r="AO495" s="3"/>
      <c r="AP495">
        <v>0</v>
      </c>
      <c r="AR495" t="s">
        <v>1</v>
      </c>
      <c r="AT495" s="2" t="s">
        <v>0</v>
      </c>
      <c r="AU495" s="1">
        <f t="shared" si="67"/>
        <v>4.4629948656636973</v>
      </c>
      <c r="AV495" s="1">
        <f t="shared" si="68"/>
        <v>3.1974698425308006</v>
      </c>
      <c r="AW495" s="1">
        <f t="shared" si="69"/>
        <v>1.931944819397903</v>
      </c>
    </row>
    <row r="496" spans="1:49" x14ac:dyDescent="0.2">
      <c r="A496">
        <v>494</v>
      </c>
      <c r="B496" t="s">
        <v>2117</v>
      </c>
      <c r="C496" t="s">
        <v>2116</v>
      </c>
      <c r="F496" t="s">
        <v>2115</v>
      </c>
      <c r="G496" t="s">
        <v>16</v>
      </c>
      <c r="H496" t="s">
        <v>15</v>
      </c>
      <c r="I496" t="s">
        <v>2114</v>
      </c>
      <c r="J496">
        <v>60007843</v>
      </c>
      <c r="K496" t="s">
        <v>2113</v>
      </c>
      <c r="L496" t="s">
        <v>2112</v>
      </c>
      <c r="M496" t="s">
        <v>114</v>
      </c>
      <c r="N496">
        <v>1</v>
      </c>
      <c r="O496" t="s">
        <v>2111</v>
      </c>
      <c r="P496">
        <v>6603948502</v>
      </c>
      <c r="Q496">
        <v>60007843</v>
      </c>
      <c r="R496" s="7">
        <v>31413</v>
      </c>
      <c r="S496" s="8">
        <f t="shared" si="64"/>
        <v>1986</v>
      </c>
      <c r="T496" s="8">
        <v>1986</v>
      </c>
      <c r="U496" s="8">
        <f t="shared" si="65"/>
        <v>36</v>
      </c>
      <c r="V496" s="7">
        <v>31503</v>
      </c>
      <c r="W496" t="s">
        <v>153</v>
      </c>
      <c r="X496" s="2">
        <v>1.6519999999999999</v>
      </c>
      <c r="Y496" s="6">
        <f t="shared" si="62"/>
        <v>4.409919649769093E-2</v>
      </c>
      <c r="AA496" t="s">
        <v>152</v>
      </c>
      <c r="AB496">
        <v>17337</v>
      </c>
      <c r="AC496">
        <v>15582221</v>
      </c>
      <c r="AD496" t="s">
        <v>5</v>
      </c>
      <c r="AE496">
        <v>34</v>
      </c>
      <c r="AF496">
        <v>4</v>
      </c>
      <c r="AH496" t="s">
        <v>2110</v>
      </c>
      <c r="AI496" t="s">
        <v>2109</v>
      </c>
      <c r="AK496" t="s">
        <v>2108</v>
      </c>
      <c r="AL496">
        <v>0</v>
      </c>
      <c r="AM496" s="5">
        <f t="shared" si="66"/>
        <v>0</v>
      </c>
      <c r="AN496" s="4">
        <f t="shared" si="63"/>
        <v>0</v>
      </c>
      <c r="AO496" s="3"/>
      <c r="AP496">
        <v>0</v>
      </c>
      <c r="AR496" t="s">
        <v>1</v>
      </c>
      <c r="AT496" s="2" t="s">
        <v>0</v>
      </c>
      <c r="AU496" s="1">
        <f t="shared" si="67"/>
        <v>3.0869437548383649</v>
      </c>
      <c r="AV496" s="1">
        <f t="shared" si="68"/>
        <v>2.2049598248845466</v>
      </c>
      <c r="AW496" s="1">
        <f t="shared" si="69"/>
        <v>1.3229758949307278</v>
      </c>
    </row>
    <row r="497" spans="1:49" x14ac:dyDescent="0.2">
      <c r="A497">
        <v>495</v>
      </c>
      <c r="B497" t="s">
        <v>2107</v>
      </c>
      <c r="C497" t="s">
        <v>2106</v>
      </c>
      <c r="F497" t="s">
        <v>2105</v>
      </c>
      <c r="G497" t="s">
        <v>16</v>
      </c>
      <c r="H497" t="s">
        <v>15</v>
      </c>
      <c r="I497" t="s">
        <v>2104</v>
      </c>
      <c r="J497">
        <v>101200100</v>
      </c>
      <c r="K497" t="s">
        <v>2103</v>
      </c>
      <c r="L497" t="s">
        <v>1910</v>
      </c>
      <c r="M497" t="s">
        <v>114</v>
      </c>
      <c r="N497">
        <v>1</v>
      </c>
      <c r="O497" t="s">
        <v>2102</v>
      </c>
      <c r="P497">
        <v>6701333615</v>
      </c>
      <c r="Q497">
        <v>101200100</v>
      </c>
      <c r="R497" s="7">
        <v>31413</v>
      </c>
      <c r="S497" s="8">
        <f t="shared" si="64"/>
        <v>1986</v>
      </c>
      <c r="T497" s="8">
        <v>1986</v>
      </c>
      <c r="U497" s="8">
        <f t="shared" si="65"/>
        <v>36</v>
      </c>
      <c r="V497" s="7">
        <v>31503</v>
      </c>
      <c r="W497" t="s">
        <v>153</v>
      </c>
      <c r="X497" s="2">
        <v>1.6519999999999999</v>
      </c>
      <c r="Y497" s="6">
        <f t="shared" si="62"/>
        <v>4.409919649769093E-2</v>
      </c>
      <c r="AA497" t="s">
        <v>152</v>
      </c>
      <c r="AB497">
        <v>17337</v>
      </c>
      <c r="AC497">
        <v>15582221</v>
      </c>
      <c r="AD497" t="s">
        <v>5</v>
      </c>
      <c r="AE497">
        <v>34</v>
      </c>
      <c r="AF497">
        <v>4</v>
      </c>
      <c r="AH497" t="s">
        <v>2101</v>
      </c>
      <c r="AI497" t="s">
        <v>2100</v>
      </c>
      <c r="AK497" t="s">
        <v>2099</v>
      </c>
      <c r="AL497">
        <v>1</v>
      </c>
      <c r="AM497" s="5">
        <f t="shared" si="66"/>
        <v>2.7777777777777776E-2</v>
      </c>
      <c r="AN497" s="4">
        <f t="shared" si="63"/>
        <v>4.2071605873196175E-5</v>
      </c>
      <c r="AO497" s="3"/>
      <c r="AP497">
        <v>0</v>
      </c>
      <c r="AR497" t="s">
        <v>1</v>
      </c>
      <c r="AT497" s="2" t="s">
        <v>0</v>
      </c>
      <c r="AU497" s="1">
        <f t="shared" si="67"/>
        <v>3.0882059030145608</v>
      </c>
      <c r="AV497" s="1">
        <f t="shared" si="68"/>
        <v>2.2070634051782063</v>
      </c>
      <c r="AW497" s="1">
        <f t="shared" si="69"/>
        <v>1.3259209073418514</v>
      </c>
    </row>
    <row r="498" spans="1:49" x14ac:dyDescent="0.2">
      <c r="A498">
        <v>496</v>
      </c>
      <c r="B498" t="s">
        <v>2098</v>
      </c>
      <c r="C498" t="s">
        <v>2097</v>
      </c>
      <c r="F498" t="s">
        <v>2096</v>
      </c>
      <c r="G498" t="s">
        <v>16</v>
      </c>
      <c r="H498" t="s">
        <v>15</v>
      </c>
      <c r="I498" t="s">
        <v>2095</v>
      </c>
      <c r="J498">
        <v>60003500</v>
      </c>
      <c r="K498" t="s">
        <v>1850</v>
      </c>
      <c r="L498" t="s">
        <v>1849</v>
      </c>
      <c r="M498" t="s">
        <v>114</v>
      </c>
      <c r="N498">
        <v>1</v>
      </c>
      <c r="O498" t="s">
        <v>2094</v>
      </c>
      <c r="P498">
        <v>36927548100</v>
      </c>
      <c r="Q498">
        <v>60003500</v>
      </c>
      <c r="R498" s="7">
        <v>31413</v>
      </c>
      <c r="S498" s="8">
        <f t="shared" si="64"/>
        <v>1986</v>
      </c>
      <c r="T498" s="8">
        <v>1986</v>
      </c>
      <c r="U498" s="8">
        <f t="shared" si="65"/>
        <v>36</v>
      </c>
      <c r="V498" s="7">
        <v>31503</v>
      </c>
      <c r="W498" t="s">
        <v>153</v>
      </c>
      <c r="X498" s="2">
        <v>1.6519999999999999</v>
      </c>
      <c r="Y498" s="6">
        <f t="shared" si="62"/>
        <v>4.409919649769093E-2</v>
      </c>
      <c r="AA498" t="s">
        <v>152</v>
      </c>
      <c r="AB498">
        <v>17337</v>
      </c>
      <c r="AC498">
        <v>15582221</v>
      </c>
      <c r="AD498" t="s">
        <v>5</v>
      </c>
      <c r="AE498">
        <v>34</v>
      </c>
      <c r="AF498">
        <v>4</v>
      </c>
      <c r="AH498" t="s">
        <v>2093</v>
      </c>
      <c r="AI498" t="s">
        <v>2092</v>
      </c>
      <c r="AK498" t="s">
        <v>2091</v>
      </c>
      <c r="AL498">
        <v>3</v>
      </c>
      <c r="AM498" s="5">
        <f t="shared" si="66"/>
        <v>8.3333333333333329E-2</v>
      </c>
      <c r="AN498" s="4">
        <f t="shared" si="63"/>
        <v>1.2621481761958852E-4</v>
      </c>
      <c r="AO498" s="3"/>
      <c r="AP498">
        <v>0</v>
      </c>
      <c r="AR498" t="s">
        <v>1</v>
      </c>
      <c r="AT498" s="2" t="s">
        <v>0</v>
      </c>
      <c r="AU498" s="1">
        <f t="shared" si="67"/>
        <v>3.0907301993669525</v>
      </c>
      <c r="AV498" s="1">
        <f t="shared" si="68"/>
        <v>2.2112705657655258</v>
      </c>
      <c r="AW498" s="1">
        <f t="shared" si="69"/>
        <v>1.331810932164099</v>
      </c>
    </row>
    <row r="499" spans="1:49" x14ac:dyDescent="0.2">
      <c r="A499">
        <v>497</v>
      </c>
      <c r="B499" t="s">
        <v>2090</v>
      </c>
      <c r="C499" t="s">
        <v>2089</v>
      </c>
      <c r="F499" t="s">
        <v>2088</v>
      </c>
      <c r="G499" t="s">
        <v>16</v>
      </c>
      <c r="H499" t="s">
        <v>15</v>
      </c>
      <c r="I499" t="s">
        <v>2087</v>
      </c>
      <c r="J499">
        <v>60019947</v>
      </c>
      <c r="K499" t="s">
        <v>2086</v>
      </c>
      <c r="L499" t="s">
        <v>2085</v>
      </c>
      <c r="M499" t="s">
        <v>114</v>
      </c>
      <c r="N499">
        <v>2</v>
      </c>
      <c r="O499" t="s">
        <v>2084</v>
      </c>
      <c r="P499" t="s">
        <v>2083</v>
      </c>
      <c r="Q499" t="s">
        <v>2082</v>
      </c>
      <c r="R499" s="7">
        <v>31413</v>
      </c>
      <c r="S499" s="8">
        <f t="shared" si="64"/>
        <v>1986</v>
      </c>
      <c r="T499" s="8">
        <v>1986</v>
      </c>
      <c r="U499" s="8">
        <f t="shared" si="65"/>
        <v>36</v>
      </c>
      <c r="V499" s="7" t="s">
        <v>1989</v>
      </c>
      <c r="W499" t="s">
        <v>6</v>
      </c>
      <c r="X499" s="2">
        <v>1.3720000000000001</v>
      </c>
      <c r="Y499" s="6">
        <f t="shared" si="62"/>
        <v>3.662475641333654E-2</v>
      </c>
      <c r="AA499">
        <v>189480</v>
      </c>
      <c r="AB499">
        <v>17366</v>
      </c>
      <c r="AD499" t="s">
        <v>5</v>
      </c>
      <c r="AE499" t="s">
        <v>2081</v>
      </c>
      <c r="AF499">
        <v>4</v>
      </c>
      <c r="AH499" t="s">
        <v>2080</v>
      </c>
      <c r="AI499" t="s">
        <v>2079</v>
      </c>
      <c r="AK499" t="s">
        <v>2078</v>
      </c>
      <c r="AL499">
        <v>53</v>
      </c>
      <c r="AM499" s="5">
        <f t="shared" si="66"/>
        <v>1.4722222222222223</v>
      </c>
      <c r="AN499" s="4">
        <f t="shared" si="63"/>
        <v>2.2297951112793977E-3</v>
      </c>
      <c r="AO499" s="3"/>
      <c r="AP499">
        <v>0</v>
      </c>
      <c r="AR499" t="s">
        <v>1</v>
      </c>
      <c r="AT499" s="2" t="s">
        <v>0</v>
      </c>
      <c r="AU499" s="1">
        <f t="shared" si="67"/>
        <v>2.6306268022719395</v>
      </c>
      <c r="AV499" s="1">
        <f t="shared" si="68"/>
        <v>1.9427275762307967</v>
      </c>
      <c r="AW499" s="1">
        <f t="shared" si="69"/>
        <v>1.254828350189654</v>
      </c>
    </row>
    <row r="500" spans="1:49" x14ac:dyDescent="0.2">
      <c r="A500">
        <v>498</v>
      </c>
      <c r="B500" t="s">
        <v>2077</v>
      </c>
      <c r="C500" t="s">
        <v>2076</v>
      </c>
      <c r="F500" t="s">
        <v>2075</v>
      </c>
      <c r="G500" t="s">
        <v>16</v>
      </c>
      <c r="H500" t="s">
        <v>15</v>
      </c>
      <c r="I500" t="s">
        <v>2074</v>
      </c>
      <c r="J500">
        <v>60028229</v>
      </c>
      <c r="K500" t="s">
        <v>2073</v>
      </c>
      <c r="L500" t="s">
        <v>2072</v>
      </c>
      <c r="M500" t="s">
        <v>376</v>
      </c>
      <c r="N500">
        <v>3</v>
      </c>
      <c r="O500" t="s">
        <v>2071</v>
      </c>
      <c r="P500" t="s">
        <v>2070</v>
      </c>
      <c r="Q500" t="s">
        <v>2069</v>
      </c>
      <c r="R500" s="7">
        <v>31413</v>
      </c>
      <c r="S500" s="8">
        <f t="shared" si="64"/>
        <v>1986</v>
      </c>
      <c r="T500" s="8">
        <v>1986</v>
      </c>
      <c r="U500" s="8">
        <f t="shared" si="65"/>
        <v>36</v>
      </c>
      <c r="V500" s="7">
        <v>31503</v>
      </c>
      <c r="W500" t="s">
        <v>2046</v>
      </c>
      <c r="X500" s="2">
        <v>0.752</v>
      </c>
      <c r="Y500" s="6">
        <f t="shared" si="62"/>
        <v>2.0074210512266089E-2</v>
      </c>
      <c r="AA500">
        <v>3649059</v>
      </c>
      <c r="AB500">
        <v>17277</v>
      </c>
      <c r="AC500">
        <v>15581691</v>
      </c>
      <c r="AD500" t="s">
        <v>5</v>
      </c>
      <c r="AE500">
        <v>11</v>
      </c>
      <c r="AF500">
        <v>2</v>
      </c>
      <c r="AH500" t="s">
        <v>2068</v>
      </c>
      <c r="AI500" t="s">
        <v>2067</v>
      </c>
      <c r="AK500" t="s">
        <v>2066</v>
      </c>
      <c r="AL500">
        <v>13</v>
      </c>
      <c r="AM500" s="5">
        <f t="shared" si="66"/>
        <v>0.3611111111111111</v>
      </c>
      <c r="AN500" s="4">
        <f t="shared" si="63"/>
        <v>5.469308763515503E-4</v>
      </c>
      <c r="AO500" s="3"/>
      <c r="AP500">
        <v>0</v>
      </c>
      <c r="AR500" t="s">
        <v>1</v>
      </c>
      <c r="AT500" s="2">
        <v>3.5539999999999998</v>
      </c>
      <c r="AU500" s="1">
        <f t="shared" si="67"/>
        <v>1.4216026621491729</v>
      </c>
      <c r="AV500" s="1">
        <f t="shared" si="68"/>
        <v>1.031057069430882</v>
      </c>
      <c r="AW500" s="1">
        <f t="shared" si="69"/>
        <v>0.64051147671259112</v>
      </c>
    </row>
    <row r="501" spans="1:49" x14ac:dyDescent="0.2">
      <c r="A501">
        <v>499</v>
      </c>
      <c r="B501" t="s">
        <v>2065</v>
      </c>
      <c r="C501" t="s">
        <v>2064</v>
      </c>
      <c r="F501" t="s">
        <v>2063</v>
      </c>
      <c r="G501" t="s">
        <v>16</v>
      </c>
      <c r="H501" t="s">
        <v>15</v>
      </c>
      <c r="I501" t="s">
        <v>2062</v>
      </c>
      <c r="J501">
        <v>60011976</v>
      </c>
      <c r="K501" t="s">
        <v>2061</v>
      </c>
      <c r="L501" t="s">
        <v>2060</v>
      </c>
      <c r="M501" t="s">
        <v>114</v>
      </c>
      <c r="N501">
        <v>1</v>
      </c>
      <c r="O501" t="s">
        <v>2059</v>
      </c>
      <c r="P501">
        <v>7006189167</v>
      </c>
      <c r="Q501">
        <v>60011976</v>
      </c>
      <c r="R501" s="7">
        <v>31413</v>
      </c>
      <c r="S501" s="8">
        <f t="shared" si="64"/>
        <v>1986</v>
      </c>
      <c r="T501" s="8">
        <v>1986</v>
      </c>
      <c r="U501" s="8">
        <f t="shared" si="65"/>
        <v>36</v>
      </c>
      <c r="V501" s="7">
        <v>31503</v>
      </c>
      <c r="W501" t="s">
        <v>153</v>
      </c>
      <c r="X501" s="2">
        <v>1.6519999999999999</v>
      </c>
      <c r="Y501" s="6">
        <f t="shared" si="62"/>
        <v>4.409919649769093E-2</v>
      </c>
      <c r="AA501" t="s">
        <v>152</v>
      </c>
      <c r="AB501">
        <v>17337</v>
      </c>
      <c r="AC501">
        <v>15582221</v>
      </c>
      <c r="AD501" t="s">
        <v>5</v>
      </c>
      <c r="AE501">
        <v>34</v>
      </c>
      <c r="AF501">
        <v>4</v>
      </c>
      <c r="AH501" t="s">
        <v>2058</v>
      </c>
      <c r="AI501" t="s">
        <v>2057</v>
      </c>
      <c r="AK501" t="s">
        <v>2056</v>
      </c>
      <c r="AL501">
        <v>8</v>
      </c>
      <c r="AM501" s="5">
        <f t="shared" si="66"/>
        <v>0.22222222222222221</v>
      </c>
      <c r="AN501" s="4">
        <f t="shared" si="63"/>
        <v>3.365728469855694E-4</v>
      </c>
      <c r="AO501" s="3"/>
      <c r="AP501">
        <v>0</v>
      </c>
      <c r="AR501" t="s">
        <v>1</v>
      </c>
      <c r="AT501" s="2" t="s">
        <v>0</v>
      </c>
      <c r="AU501" s="1">
        <f t="shared" si="67"/>
        <v>3.0970409402479322</v>
      </c>
      <c r="AV501" s="1">
        <f t="shared" si="68"/>
        <v>2.2217884672338251</v>
      </c>
      <c r="AW501" s="1">
        <f t="shared" si="69"/>
        <v>1.3465359942197175</v>
      </c>
    </row>
    <row r="502" spans="1:49" x14ac:dyDescent="0.2">
      <c r="A502">
        <v>500</v>
      </c>
      <c r="B502" t="s">
        <v>2055</v>
      </c>
      <c r="C502" t="s">
        <v>2054</v>
      </c>
      <c r="F502" t="s">
        <v>2053</v>
      </c>
      <c r="G502" t="s">
        <v>16</v>
      </c>
      <c r="H502" t="s">
        <v>15</v>
      </c>
      <c r="I502" t="s">
        <v>2052</v>
      </c>
      <c r="J502" t="s">
        <v>2047</v>
      </c>
      <c r="K502" t="s">
        <v>2051</v>
      </c>
      <c r="L502" t="s">
        <v>2050</v>
      </c>
      <c r="M502" t="s">
        <v>783</v>
      </c>
      <c r="N502">
        <v>2</v>
      </c>
      <c r="O502" t="s">
        <v>2049</v>
      </c>
      <c r="P502" t="s">
        <v>2048</v>
      </c>
      <c r="Q502" t="s">
        <v>2047</v>
      </c>
      <c r="R502" s="7">
        <v>31413</v>
      </c>
      <c r="S502" s="8">
        <f t="shared" si="64"/>
        <v>1986</v>
      </c>
      <c r="T502" s="8">
        <v>1986</v>
      </c>
      <c r="U502" s="8">
        <f t="shared" si="65"/>
        <v>36</v>
      </c>
      <c r="V502" s="7">
        <v>31503</v>
      </c>
      <c r="W502" t="s">
        <v>2046</v>
      </c>
      <c r="X502" s="2">
        <v>0.752</v>
      </c>
      <c r="Y502" s="6">
        <f t="shared" si="62"/>
        <v>2.0074210512266089E-2</v>
      </c>
      <c r="AA502">
        <v>3649059</v>
      </c>
      <c r="AB502">
        <v>17277</v>
      </c>
      <c r="AC502">
        <v>15581691</v>
      </c>
      <c r="AD502" t="s">
        <v>5</v>
      </c>
      <c r="AE502">
        <v>11</v>
      </c>
      <c r="AF502">
        <v>2</v>
      </c>
      <c r="AH502" t="s">
        <v>2045</v>
      </c>
      <c r="AI502" t="s">
        <v>2044</v>
      </c>
      <c r="AK502" t="s">
        <v>2043</v>
      </c>
      <c r="AL502">
        <v>38</v>
      </c>
      <c r="AM502" s="5">
        <f t="shared" si="66"/>
        <v>1.0555555555555556</v>
      </c>
      <c r="AN502" s="4">
        <f t="shared" si="63"/>
        <v>1.5987210231814548E-3</v>
      </c>
      <c r="AO502" s="3"/>
      <c r="AP502">
        <v>0</v>
      </c>
      <c r="AR502" t="s">
        <v>1</v>
      </c>
      <c r="AT502" s="2">
        <v>3.5539999999999998</v>
      </c>
      <c r="AU502" s="1">
        <f t="shared" si="67"/>
        <v>1.4531563665540699</v>
      </c>
      <c r="AV502" s="1">
        <f t="shared" si="68"/>
        <v>1.0836465767723771</v>
      </c>
      <c r="AW502" s="1">
        <f t="shared" si="69"/>
        <v>0.7141367869906845</v>
      </c>
    </row>
    <row r="503" spans="1:49" x14ac:dyDescent="0.2">
      <c r="A503">
        <v>501</v>
      </c>
      <c r="B503" t="s">
        <v>2042</v>
      </c>
      <c r="C503" t="s">
        <v>2041</v>
      </c>
      <c r="F503" t="s">
        <v>2040</v>
      </c>
      <c r="G503" t="s">
        <v>16</v>
      </c>
      <c r="H503" t="s">
        <v>15</v>
      </c>
      <c r="I503" t="s">
        <v>2039</v>
      </c>
      <c r="J503">
        <v>60021902</v>
      </c>
      <c r="K503" t="s">
        <v>1694</v>
      </c>
      <c r="L503" t="s">
        <v>1693</v>
      </c>
      <c r="M503" t="s">
        <v>1552</v>
      </c>
      <c r="N503">
        <v>1</v>
      </c>
      <c r="O503" t="s">
        <v>2038</v>
      </c>
      <c r="P503">
        <v>35565202000</v>
      </c>
      <c r="Q503">
        <v>60021902</v>
      </c>
      <c r="R503" s="7">
        <v>31413</v>
      </c>
      <c r="S503" s="8">
        <f t="shared" si="64"/>
        <v>1986</v>
      </c>
      <c r="T503" s="8">
        <v>1986</v>
      </c>
      <c r="U503" s="8">
        <f t="shared" si="65"/>
        <v>36</v>
      </c>
      <c r="V503" s="7">
        <v>1986</v>
      </c>
      <c r="W503" t="s">
        <v>580</v>
      </c>
      <c r="X503" s="2">
        <v>0.375</v>
      </c>
      <c r="Y503" s="6">
        <f t="shared" si="62"/>
        <v>1.0010410827260351E-2</v>
      </c>
      <c r="AA503">
        <v>135194</v>
      </c>
      <c r="AB503">
        <v>24918</v>
      </c>
      <c r="AD503" t="s">
        <v>5</v>
      </c>
      <c r="AE503">
        <v>22</v>
      </c>
      <c r="AF503">
        <v>9</v>
      </c>
      <c r="AH503" t="s">
        <v>2037</v>
      </c>
      <c r="AI503" t="s">
        <v>2036</v>
      </c>
      <c r="AJ503" t="s">
        <v>2035</v>
      </c>
      <c r="AK503" t="s">
        <v>2034</v>
      </c>
      <c r="AL503">
        <v>4</v>
      </c>
      <c r="AM503" s="5">
        <f t="shared" si="66"/>
        <v>0.1111111111111111</v>
      </c>
      <c r="AN503" s="4">
        <f t="shared" si="63"/>
        <v>1.682864234927847E-4</v>
      </c>
      <c r="AO503" s="3"/>
      <c r="AP503">
        <v>0</v>
      </c>
      <c r="AR503" t="s">
        <v>1</v>
      </c>
      <c r="AT503" s="2">
        <v>1.3140000000000001</v>
      </c>
      <c r="AU503" s="1">
        <f t="shared" si="67"/>
        <v>0.70577735061300817</v>
      </c>
      <c r="AV503" s="1">
        <f t="shared" si="68"/>
        <v>0.50893486253765674</v>
      </c>
      <c r="AW503" s="1">
        <f t="shared" si="69"/>
        <v>0.31209237446230542</v>
      </c>
    </row>
    <row r="504" spans="1:49" x14ac:dyDescent="0.2">
      <c r="A504">
        <v>502</v>
      </c>
      <c r="B504" t="s">
        <v>2033</v>
      </c>
      <c r="C504" t="s">
        <v>2032</v>
      </c>
      <c r="F504" t="s">
        <v>2031</v>
      </c>
      <c r="G504" t="s">
        <v>16</v>
      </c>
      <c r="H504" t="s">
        <v>15</v>
      </c>
      <c r="I504" t="s">
        <v>2030</v>
      </c>
      <c r="J504">
        <v>60017606</v>
      </c>
      <c r="K504" t="s">
        <v>2029</v>
      </c>
      <c r="L504" t="s">
        <v>2028</v>
      </c>
      <c r="M504" t="s">
        <v>114</v>
      </c>
      <c r="N504">
        <v>1</v>
      </c>
      <c r="O504" t="s">
        <v>2027</v>
      </c>
      <c r="P504">
        <v>6603724947</v>
      </c>
      <c r="Q504">
        <v>60017606</v>
      </c>
      <c r="R504" s="7">
        <v>31413</v>
      </c>
      <c r="S504" s="8">
        <f t="shared" si="64"/>
        <v>1986</v>
      </c>
      <c r="T504" s="8">
        <v>1986</v>
      </c>
      <c r="U504" s="8">
        <f t="shared" si="65"/>
        <v>36</v>
      </c>
      <c r="V504" s="7">
        <v>1986</v>
      </c>
      <c r="W504" t="s">
        <v>580</v>
      </c>
      <c r="X504" s="2">
        <v>0.375</v>
      </c>
      <c r="Y504" s="6">
        <f t="shared" si="62"/>
        <v>1.0010410827260351E-2</v>
      </c>
      <c r="AA504">
        <v>135194</v>
      </c>
      <c r="AB504">
        <v>24918</v>
      </c>
      <c r="AD504" t="s">
        <v>5</v>
      </c>
      <c r="AE504">
        <v>22</v>
      </c>
      <c r="AF504">
        <v>9</v>
      </c>
      <c r="AH504" t="s">
        <v>2026</v>
      </c>
      <c r="AI504" t="s">
        <v>2025</v>
      </c>
      <c r="AJ504" t="s">
        <v>2024</v>
      </c>
      <c r="AK504" t="s">
        <v>2023</v>
      </c>
      <c r="AL504">
        <v>0</v>
      </c>
      <c r="AM504" s="5">
        <f t="shared" si="66"/>
        <v>0</v>
      </c>
      <c r="AN504" s="4">
        <f t="shared" si="63"/>
        <v>0</v>
      </c>
      <c r="AO504" s="3"/>
      <c r="AP504">
        <v>0</v>
      </c>
      <c r="AR504" t="s">
        <v>1</v>
      </c>
      <c r="AT504" s="2">
        <v>1.3140000000000001</v>
      </c>
      <c r="AU504" s="1">
        <f t="shared" si="67"/>
        <v>0.70072875790822453</v>
      </c>
      <c r="AV504" s="1">
        <f t="shared" si="68"/>
        <v>0.5005205413630176</v>
      </c>
      <c r="AW504" s="1">
        <f t="shared" si="69"/>
        <v>0.30031232481781051</v>
      </c>
    </row>
    <row r="505" spans="1:49" x14ac:dyDescent="0.2">
      <c r="A505">
        <v>503</v>
      </c>
      <c r="B505" t="s">
        <v>2022</v>
      </c>
      <c r="C505" t="s">
        <v>2021</v>
      </c>
      <c r="F505" t="s">
        <v>2020</v>
      </c>
      <c r="G505" t="s">
        <v>16</v>
      </c>
      <c r="H505" t="s">
        <v>15</v>
      </c>
      <c r="I505" t="s">
        <v>2019</v>
      </c>
      <c r="J505" t="s">
        <v>2018</v>
      </c>
      <c r="K505" t="s">
        <v>2017</v>
      </c>
      <c r="L505" t="s">
        <v>2016</v>
      </c>
      <c r="M505" t="s">
        <v>2015</v>
      </c>
      <c r="N505">
        <v>3</v>
      </c>
      <c r="O505" t="s">
        <v>2014</v>
      </c>
      <c r="P505" t="s">
        <v>2013</v>
      </c>
      <c r="Q505" t="s">
        <v>2012</v>
      </c>
      <c r="R505" s="7">
        <v>31413</v>
      </c>
      <c r="S505" s="8">
        <f t="shared" si="64"/>
        <v>1986</v>
      </c>
      <c r="T505" s="8">
        <v>1986</v>
      </c>
      <c r="U505" s="8">
        <f t="shared" si="65"/>
        <v>36</v>
      </c>
      <c r="V505" s="7">
        <v>1986</v>
      </c>
      <c r="W505" t="s">
        <v>580</v>
      </c>
      <c r="X505" s="2">
        <v>0.375</v>
      </c>
      <c r="Y505" s="6">
        <f t="shared" si="62"/>
        <v>1.0010410827260351E-2</v>
      </c>
      <c r="AA505">
        <v>135194</v>
      </c>
      <c r="AB505">
        <v>24918</v>
      </c>
      <c r="AD505" t="s">
        <v>5</v>
      </c>
      <c r="AE505">
        <v>22</v>
      </c>
      <c r="AF505">
        <v>9</v>
      </c>
      <c r="AH505" t="s">
        <v>1835</v>
      </c>
      <c r="AI505" t="s">
        <v>2011</v>
      </c>
      <c r="AJ505" t="s">
        <v>2010</v>
      </c>
      <c r="AK505" t="s">
        <v>2009</v>
      </c>
      <c r="AL505">
        <v>4</v>
      </c>
      <c r="AM505" s="5">
        <f t="shared" si="66"/>
        <v>0.1111111111111111</v>
      </c>
      <c r="AN505" s="4">
        <f t="shared" si="63"/>
        <v>1.682864234927847E-4</v>
      </c>
      <c r="AO505" s="3"/>
      <c r="AP505">
        <v>0</v>
      </c>
      <c r="AR505" t="s">
        <v>1</v>
      </c>
      <c r="AT505" s="2">
        <v>1.3140000000000001</v>
      </c>
      <c r="AU505" s="1">
        <f t="shared" si="67"/>
        <v>0.70577735061300817</v>
      </c>
      <c r="AV505" s="1">
        <f t="shared" si="68"/>
        <v>0.50893486253765674</v>
      </c>
      <c r="AW505" s="1">
        <f t="shared" si="69"/>
        <v>0.31209237446230542</v>
      </c>
    </row>
    <row r="506" spans="1:49" x14ac:dyDescent="0.2">
      <c r="A506">
        <v>504</v>
      </c>
      <c r="B506" t="s">
        <v>2008</v>
      </c>
      <c r="C506" t="s">
        <v>2007</v>
      </c>
      <c r="F506" t="s">
        <v>2006</v>
      </c>
      <c r="G506" t="s">
        <v>16</v>
      </c>
      <c r="H506" t="s">
        <v>15</v>
      </c>
      <c r="I506" t="s">
        <v>2005</v>
      </c>
      <c r="J506">
        <v>60005681</v>
      </c>
      <c r="K506" t="s">
        <v>2004</v>
      </c>
      <c r="L506" t="s">
        <v>2003</v>
      </c>
      <c r="M506" t="s">
        <v>1442</v>
      </c>
      <c r="N506">
        <v>4</v>
      </c>
      <c r="O506" t="s">
        <v>2002</v>
      </c>
      <c r="P506" t="s">
        <v>2001</v>
      </c>
      <c r="Q506" t="s">
        <v>2000</v>
      </c>
      <c r="R506" s="7">
        <v>31413</v>
      </c>
      <c r="S506" s="8">
        <f t="shared" si="64"/>
        <v>1986</v>
      </c>
      <c r="T506" s="8">
        <v>1986</v>
      </c>
      <c r="U506" s="8">
        <f t="shared" si="65"/>
        <v>36</v>
      </c>
      <c r="V506" s="7">
        <v>31503</v>
      </c>
      <c r="W506" t="s">
        <v>1136</v>
      </c>
      <c r="X506" s="2">
        <v>0.251</v>
      </c>
      <c r="Y506" s="6">
        <f t="shared" si="62"/>
        <v>6.7003016470462617E-3</v>
      </c>
      <c r="AA506">
        <v>207217</v>
      </c>
      <c r="AB506">
        <v>26145</v>
      </c>
      <c r="AC506">
        <v>13623060</v>
      </c>
      <c r="AD506" t="s">
        <v>5</v>
      </c>
      <c r="AE506">
        <v>60</v>
      </c>
      <c r="AF506">
        <v>4</v>
      </c>
      <c r="AH506" t="s">
        <v>1999</v>
      </c>
      <c r="AI506" t="s">
        <v>1998</v>
      </c>
      <c r="AK506" t="s">
        <v>1997</v>
      </c>
      <c r="AL506">
        <v>0</v>
      </c>
      <c r="AM506" s="5">
        <f t="shared" si="66"/>
        <v>0</v>
      </c>
      <c r="AN506" s="4">
        <f t="shared" si="63"/>
        <v>0</v>
      </c>
      <c r="AO506" s="3"/>
      <c r="AP506">
        <v>0</v>
      </c>
      <c r="AR506" t="s">
        <v>1</v>
      </c>
      <c r="AT506" s="2">
        <v>1.3360000000000001</v>
      </c>
      <c r="AU506" s="1">
        <f t="shared" si="67"/>
        <v>0.46902111529323826</v>
      </c>
      <c r="AV506" s="1">
        <f t="shared" si="68"/>
        <v>0.33501508235231309</v>
      </c>
      <c r="AW506" s="1">
        <f t="shared" si="69"/>
        <v>0.20100904941138784</v>
      </c>
    </row>
    <row r="507" spans="1:49" x14ac:dyDescent="0.2">
      <c r="A507">
        <v>505</v>
      </c>
      <c r="B507" t="s">
        <v>1996</v>
      </c>
      <c r="C507" t="s">
        <v>1995</v>
      </c>
      <c r="F507" t="s">
        <v>1994</v>
      </c>
      <c r="G507" t="s">
        <v>16</v>
      </c>
      <c r="H507" t="s">
        <v>15</v>
      </c>
      <c r="I507" t="s">
        <v>1993</v>
      </c>
      <c r="J507">
        <v>60001490</v>
      </c>
      <c r="K507" t="s">
        <v>1992</v>
      </c>
      <c r="L507" t="s">
        <v>1991</v>
      </c>
      <c r="M507" t="s">
        <v>665</v>
      </c>
      <c r="N507">
        <v>1</v>
      </c>
      <c r="O507" t="s">
        <v>1990</v>
      </c>
      <c r="P507">
        <v>7403060413</v>
      </c>
      <c r="Q507">
        <v>60001490</v>
      </c>
      <c r="R507" s="7">
        <v>31413</v>
      </c>
      <c r="S507" s="8">
        <f t="shared" si="64"/>
        <v>1986</v>
      </c>
      <c r="T507" s="8">
        <v>1986</v>
      </c>
      <c r="U507" s="8">
        <f t="shared" si="65"/>
        <v>36</v>
      </c>
      <c r="V507" s="7" t="s">
        <v>1989</v>
      </c>
      <c r="W507" s="11" t="s">
        <v>1988</v>
      </c>
      <c r="X507" s="2">
        <v>2.383</v>
      </c>
      <c r="Y507" s="6">
        <f t="shared" si="62"/>
        <v>6.3612824003630442E-2</v>
      </c>
      <c r="AA507">
        <v>2673932</v>
      </c>
      <c r="AB507">
        <v>12118</v>
      </c>
      <c r="AD507" t="s">
        <v>5</v>
      </c>
      <c r="AE507">
        <v>133</v>
      </c>
      <c r="AF507">
        <v>2</v>
      </c>
      <c r="AH507" t="s">
        <v>1987</v>
      </c>
      <c r="AI507" t="s">
        <v>1986</v>
      </c>
      <c r="AK507" t="s">
        <v>1985</v>
      </c>
      <c r="AL507">
        <v>16</v>
      </c>
      <c r="AM507" s="5">
        <f t="shared" si="66"/>
        <v>0.44444444444444442</v>
      </c>
      <c r="AN507" s="4">
        <f t="shared" si="63"/>
        <v>6.7314569397113879E-4</v>
      </c>
      <c r="AO507" s="3"/>
      <c r="AP507">
        <v>0</v>
      </c>
      <c r="AR507" t="s">
        <v>1</v>
      </c>
      <c r="AT507" s="2" t="s">
        <v>0</v>
      </c>
      <c r="AU507" s="1">
        <f t="shared" si="67"/>
        <v>4.473092051073265</v>
      </c>
      <c r="AV507" s="1">
        <f t="shared" si="68"/>
        <v>3.2142984848800795</v>
      </c>
      <c r="AW507" s="1">
        <f t="shared" si="69"/>
        <v>1.9555049186868927</v>
      </c>
    </row>
    <row r="508" spans="1:49" x14ac:dyDescent="0.2">
      <c r="A508">
        <v>506</v>
      </c>
      <c r="B508" t="s">
        <v>1984</v>
      </c>
      <c r="C508" t="s">
        <v>1983</v>
      </c>
      <c r="F508" t="s">
        <v>1982</v>
      </c>
      <c r="G508" t="s">
        <v>16</v>
      </c>
      <c r="H508" t="s">
        <v>15</v>
      </c>
      <c r="I508" t="s">
        <v>1787</v>
      </c>
      <c r="J508">
        <v>60088403</v>
      </c>
      <c r="K508" t="s">
        <v>1786</v>
      </c>
      <c r="L508" t="s">
        <v>1785</v>
      </c>
      <c r="M508" t="s">
        <v>114</v>
      </c>
      <c r="N508">
        <v>2</v>
      </c>
      <c r="O508" t="s">
        <v>1981</v>
      </c>
      <c r="P508" t="s">
        <v>1980</v>
      </c>
      <c r="Q508" t="s">
        <v>1979</v>
      </c>
      <c r="R508" s="7">
        <v>31413</v>
      </c>
      <c r="S508" s="8">
        <f t="shared" si="64"/>
        <v>1986</v>
      </c>
      <c r="T508" s="8">
        <v>1986</v>
      </c>
      <c r="U508" s="8">
        <f t="shared" si="65"/>
        <v>36</v>
      </c>
      <c r="V508" s="7" t="s">
        <v>1563</v>
      </c>
      <c r="W508" t="s">
        <v>153</v>
      </c>
      <c r="X508" s="2">
        <v>1.6519999999999999</v>
      </c>
      <c r="Y508" s="6">
        <f t="shared" si="62"/>
        <v>4.409919649769093E-2</v>
      </c>
      <c r="AA508" t="s">
        <v>152</v>
      </c>
      <c r="AB508">
        <v>17337</v>
      </c>
      <c r="AD508" t="s">
        <v>5</v>
      </c>
      <c r="AE508" t="s">
        <v>1375</v>
      </c>
      <c r="AF508">
        <v>3</v>
      </c>
      <c r="AH508" t="s">
        <v>1978</v>
      </c>
      <c r="AI508" t="s">
        <v>1977</v>
      </c>
      <c r="AK508" t="s">
        <v>1976</v>
      </c>
      <c r="AL508">
        <v>99</v>
      </c>
      <c r="AM508" s="5">
        <f t="shared" si="66"/>
        <v>2.75</v>
      </c>
      <c r="AN508" s="4">
        <f t="shared" si="63"/>
        <v>4.1650889814464215E-3</v>
      </c>
      <c r="AO508" s="3"/>
      <c r="AP508">
        <v>0</v>
      </c>
      <c r="AR508" t="s">
        <v>1</v>
      </c>
      <c r="AT508" s="2" t="s">
        <v>0</v>
      </c>
      <c r="AU508" s="1">
        <f t="shared" si="67"/>
        <v>3.211896424281758</v>
      </c>
      <c r="AV508" s="1">
        <f t="shared" si="68"/>
        <v>2.4132142739568674</v>
      </c>
      <c r="AW508" s="1">
        <f t="shared" si="69"/>
        <v>1.6145321236319774</v>
      </c>
    </row>
    <row r="509" spans="1:49" x14ac:dyDescent="0.2">
      <c r="A509">
        <v>507</v>
      </c>
      <c r="B509" t="s">
        <v>1975</v>
      </c>
      <c r="C509" t="s">
        <v>1974</v>
      </c>
      <c r="F509" t="s">
        <v>1973</v>
      </c>
      <c r="G509" t="s">
        <v>16</v>
      </c>
      <c r="H509" t="s">
        <v>15</v>
      </c>
      <c r="I509" t="s">
        <v>1972</v>
      </c>
      <c r="J509">
        <v>60012708</v>
      </c>
      <c r="K509" t="s">
        <v>1920</v>
      </c>
      <c r="L509" t="s">
        <v>441</v>
      </c>
      <c r="M509" t="s">
        <v>114</v>
      </c>
      <c r="N509">
        <v>2</v>
      </c>
      <c r="O509" t="s">
        <v>1971</v>
      </c>
      <c r="P509" t="s">
        <v>1970</v>
      </c>
      <c r="Q509" t="s">
        <v>1969</v>
      </c>
      <c r="R509" s="7">
        <v>31413</v>
      </c>
      <c r="S509" s="8">
        <f t="shared" si="64"/>
        <v>1986</v>
      </c>
      <c r="T509" s="8">
        <v>1986</v>
      </c>
      <c r="U509" s="8">
        <f t="shared" si="65"/>
        <v>36</v>
      </c>
      <c r="V509" s="7" t="s">
        <v>1563</v>
      </c>
      <c r="W509" t="s">
        <v>153</v>
      </c>
      <c r="X509" s="2">
        <v>1.6519999999999999</v>
      </c>
      <c r="Y509" s="6">
        <f t="shared" si="62"/>
        <v>4.409919649769093E-2</v>
      </c>
      <c r="AA509" t="s">
        <v>152</v>
      </c>
      <c r="AB509">
        <v>17337</v>
      </c>
      <c r="AD509" t="s">
        <v>5</v>
      </c>
      <c r="AE509" t="s">
        <v>1375</v>
      </c>
      <c r="AF509">
        <v>3</v>
      </c>
      <c r="AH509" t="s">
        <v>1968</v>
      </c>
      <c r="AI509" t="s">
        <v>1967</v>
      </c>
      <c r="AK509" t="s">
        <v>1966</v>
      </c>
      <c r="AL509">
        <v>33</v>
      </c>
      <c r="AM509" s="5">
        <f t="shared" si="66"/>
        <v>0.91666666666666663</v>
      </c>
      <c r="AN509" s="4">
        <f t="shared" si="63"/>
        <v>1.3883629938154739E-3</v>
      </c>
      <c r="AO509" s="3"/>
      <c r="AP509">
        <v>0</v>
      </c>
      <c r="AR509" t="s">
        <v>1</v>
      </c>
      <c r="AT509" s="2" t="s">
        <v>0</v>
      </c>
      <c r="AU509" s="1">
        <f t="shared" si="67"/>
        <v>3.1285946446528294</v>
      </c>
      <c r="AV509" s="1">
        <f t="shared" si="68"/>
        <v>2.2743779745753203</v>
      </c>
      <c r="AW509" s="1">
        <f t="shared" si="69"/>
        <v>1.420161304497811</v>
      </c>
    </row>
    <row r="510" spans="1:49" x14ac:dyDescent="0.2">
      <c r="A510">
        <v>508</v>
      </c>
      <c r="B510" t="s">
        <v>1965</v>
      </c>
      <c r="C510" t="s">
        <v>1964</v>
      </c>
      <c r="F510" t="s">
        <v>1963</v>
      </c>
      <c r="G510" t="s">
        <v>16</v>
      </c>
      <c r="H510" t="s">
        <v>15</v>
      </c>
      <c r="I510" t="s">
        <v>1962</v>
      </c>
      <c r="J510">
        <v>60027271</v>
      </c>
      <c r="K510" t="s">
        <v>1368</v>
      </c>
      <c r="L510" t="s">
        <v>502</v>
      </c>
      <c r="M510" t="s">
        <v>114</v>
      </c>
      <c r="N510">
        <v>1</v>
      </c>
      <c r="O510" t="s">
        <v>1961</v>
      </c>
      <c r="P510">
        <v>7005575773</v>
      </c>
      <c r="Q510">
        <v>60027271</v>
      </c>
      <c r="R510" s="7">
        <v>31413</v>
      </c>
      <c r="S510" s="8">
        <f t="shared" si="64"/>
        <v>1986</v>
      </c>
      <c r="T510" s="8">
        <v>1986</v>
      </c>
      <c r="U510" s="8">
        <f t="shared" si="65"/>
        <v>36</v>
      </c>
      <c r="V510" s="7" t="s">
        <v>1563</v>
      </c>
      <c r="W510" t="s">
        <v>153</v>
      </c>
      <c r="X510" s="2">
        <v>1.6519999999999999</v>
      </c>
      <c r="Y510" s="6">
        <f t="shared" si="62"/>
        <v>4.409919649769093E-2</v>
      </c>
      <c r="AA510" t="s">
        <v>152</v>
      </c>
      <c r="AB510">
        <v>17337</v>
      </c>
      <c r="AD510" t="s">
        <v>5</v>
      </c>
      <c r="AE510" t="s">
        <v>1375</v>
      </c>
      <c r="AF510">
        <v>3</v>
      </c>
      <c r="AH510" t="s">
        <v>1960</v>
      </c>
      <c r="AI510" t="s">
        <v>1959</v>
      </c>
      <c r="AK510" t="s">
        <v>1958</v>
      </c>
      <c r="AL510">
        <v>116</v>
      </c>
      <c r="AM510" s="5">
        <f t="shared" si="66"/>
        <v>3.2222222222222223</v>
      </c>
      <c r="AN510" s="4">
        <f t="shared" si="63"/>
        <v>4.8803062812907572E-3</v>
      </c>
      <c r="AO510" s="3"/>
      <c r="AP510">
        <v>0</v>
      </c>
      <c r="AR510" t="s">
        <v>1</v>
      </c>
      <c r="AT510" s="2" t="s">
        <v>0</v>
      </c>
      <c r="AU510" s="1">
        <f t="shared" si="67"/>
        <v>3.2333529432770876</v>
      </c>
      <c r="AV510" s="1">
        <f t="shared" si="68"/>
        <v>2.4489751389490841</v>
      </c>
      <c r="AW510" s="1">
        <f t="shared" si="69"/>
        <v>1.6645973346210807</v>
      </c>
    </row>
    <row r="511" spans="1:49" x14ac:dyDescent="0.2">
      <c r="A511">
        <v>509</v>
      </c>
      <c r="B511" t="s">
        <v>1957</v>
      </c>
      <c r="C511" t="s">
        <v>1956</v>
      </c>
      <c r="F511" t="s">
        <v>1955</v>
      </c>
      <c r="G511" t="s">
        <v>16</v>
      </c>
      <c r="H511" t="s">
        <v>15</v>
      </c>
      <c r="I511" t="s">
        <v>1954</v>
      </c>
      <c r="J511">
        <v>60029575</v>
      </c>
      <c r="K511" t="s">
        <v>1953</v>
      </c>
      <c r="L511" t="s">
        <v>1952</v>
      </c>
      <c r="M511" t="s">
        <v>114</v>
      </c>
      <c r="N511">
        <v>2</v>
      </c>
      <c r="O511" t="s">
        <v>1951</v>
      </c>
      <c r="P511" t="s">
        <v>1950</v>
      </c>
      <c r="Q511" t="s">
        <v>1949</v>
      </c>
      <c r="R511" s="7">
        <v>31413</v>
      </c>
      <c r="S511" s="8">
        <f t="shared" si="64"/>
        <v>1986</v>
      </c>
      <c r="T511" s="8">
        <v>1986</v>
      </c>
      <c r="U511" s="8">
        <f t="shared" si="65"/>
        <v>36</v>
      </c>
      <c r="V511" s="7" t="s">
        <v>1563</v>
      </c>
      <c r="W511" t="s">
        <v>153</v>
      </c>
      <c r="X511" s="2">
        <v>1.6519999999999999</v>
      </c>
      <c r="Y511" s="6">
        <f t="shared" si="62"/>
        <v>4.409919649769093E-2</v>
      </c>
      <c r="AA511" t="s">
        <v>152</v>
      </c>
      <c r="AB511">
        <v>17337</v>
      </c>
      <c r="AD511" t="s">
        <v>5</v>
      </c>
      <c r="AE511" t="s">
        <v>1375</v>
      </c>
      <c r="AF511">
        <v>3</v>
      </c>
      <c r="AH511" t="s">
        <v>1948</v>
      </c>
      <c r="AI511" t="s">
        <v>1947</v>
      </c>
      <c r="AK511" t="s">
        <v>1946</v>
      </c>
      <c r="AL511">
        <v>2</v>
      </c>
      <c r="AM511" s="5">
        <f t="shared" si="66"/>
        <v>5.5555555555555552E-2</v>
      </c>
      <c r="AN511" s="4">
        <f t="shared" si="63"/>
        <v>8.4143211746392349E-5</v>
      </c>
      <c r="AO511" s="3"/>
      <c r="AP511">
        <v>0</v>
      </c>
      <c r="AR511" t="s">
        <v>1</v>
      </c>
      <c r="AT511" s="2" t="s">
        <v>0</v>
      </c>
      <c r="AU511" s="1">
        <f t="shared" si="67"/>
        <v>3.0894680511907571</v>
      </c>
      <c r="AV511" s="1">
        <f t="shared" si="68"/>
        <v>2.2091669854718661</v>
      </c>
      <c r="AW511" s="1">
        <f t="shared" si="69"/>
        <v>1.3288659197529753</v>
      </c>
    </row>
    <row r="512" spans="1:49" x14ac:dyDescent="0.2">
      <c r="A512">
        <v>510</v>
      </c>
      <c r="B512" t="s">
        <v>1945</v>
      </c>
      <c r="C512" t="s">
        <v>1944</v>
      </c>
      <c r="F512" t="s">
        <v>1943</v>
      </c>
      <c r="G512" t="s">
        <v>16</v>
      </c>
      <c r="H512" t="s">
        <v>15</v>
      </c>
      <c r="I512" t="s">
        <v>1942</v>
      </c>
      <c r="J512">
        <v>60022195</v>
      </c>
      <c r="K512" t="s">
        <v>1941</v>
      </c>
      <c r="L512" t="s">
        <v>1940</v>
      </c>
      <c r="M512" t="s">
        <v>114</v>
      </c>
      <c r="N512">
        <v>1</v>
      </c>
      <c r="O512" t="s">
        <v>1939</v>
      </c>
      <c r="P512">
        <v>6701726484</v>
      </c>
      <c r="Q512">
        <v>60022195</v>
      </c>
      <c r="R512" s="7">
        <v>31413</v>
      </c>
      <c r="S512" s="8">
        <f t="shared" si="64"/>
        <v>1986</v>
      </c>
      <c r="T512" s="8">
        <v>1986</v>
      </c>
      <c r="U512" s="8">
        <f t="shared" si="65"/>
        <v>36</v>
      </c>
      <c r="V512" s="7" t="s">
        <v>1563</v>
      </c>
      <c r="W512" t="s">
        <v>153</v>
      </c>
      <c r="X512" s="2">
        <v>1.6519999999999999</v>
      </c>
      <c r="Y512" s="6">
        <f t="shared" si="62"/>
        <v>4.409919649769093E-2</v>
      </c>
      <c r="AA512" t="s">
        <v>152</v>
      </c>
      <c r="AB512">
        <v>17337</v>
      </c>
      <c r="AD512" t="s">
        <v>5</v>
      </c>
      <c r="AE512" t="s">
        <v>1375</v>
      </c>
      <c r="AF512">
        <v>3</v>
      </c>
      <c r="AH512" t="s">
        <v>1938</v>
      </c>
      <c r="AI512" t="s">
        <v>1937</v>
      </c>
      <c r="AK512" t="s">
        <v>1936</v>
      </c>
      <c r="AL512">
        <v>15</v>
      </c>
      <c r="AM512" s="5">
        <f t="shared" si="66"/>
        <v>0.41666666666666669</v>
      </c>
      <c r="AN512" s="4">
        <f t="shared" si="63"/>
        <v>6.310740880979427E-4</v>
      </c>
      <c r="AO512" s="3"/>
      <c r="AP512">
        <v>0</v>
      </c>
      <c r="AR512" t="s">
        <v>1</v>
      </c>
      <c r="AT512" s="2" t="s">
        <v>0</v>
      </c>
      <c r="AU512" s="1">
        <f t="shared" si="67"/>
        <v>3.1058759774813036</v>
      </c>
      <c r="AV512" s="1">
        <f t="shared" si="68"/>
        <v>2.2365135292894434</v>
      </c>
      <c r="AW512" s="1">
        <f t="shared" si="69"/>
        <v>1.3671510810975838</v>
      </c>
    </row>
    <row r="513" spans="1:49" x14ac:dyDescent="0.2">
      <c r="A513">
        <v>511</v>
      </c>
      <c r="B513" t="s">
        <v>1935</v>
      </c>
      <c r="C513" t="s">
        <v>1934</v>
      </c>
      <c r="F513" t="s">
        <v>1933</v>
      </c>
      <c r="G513" t="s">
        <v>16</v>
      </c>
      <c r="H513" t="s">
        <v>15</v>
      </c>
      <c r="I513" t="s">
        <v>1932</v>
      </c>
      <c r="J513">
        <v>60029311</v>
      </c>
      <c r="K513" t="s">
        <v>1931</v>
      </c>
      <c r="L513" t="s">
        <v>809</v>
      </c>
      <c r="M513" t="s">
        <v>114</v>
      </c>
      <c r="N513">
        <v>2</v>
      </c>
      <c r="O513" t="s">
        <v>1930</v>
      </c>
      <c r="P513" t="s">
        <v>1929</v>
      </c>
      <c r="Q513" t="s">
        <v>1928</v>
      </c>
      <c r="R513" s="7">
        <v>31413</v>
      </c>
      <c r="S513" s="8">
        <f t="shared" si="64"/>
        <v>1986</v>
      </c>
      <c r="T513" s="8">
        <v>1986</v>
      </c>
      <c r="U513" s="8">
        <f t="shared" si="65"/>
        <v>36</v>
      </c>
      <c r="V513" s="7" t="s">
        <v>1563</v>
      </c>
      <c r="W513" t="s">
        <v>153</v>
      </c>
      <c r="X513" s="2">
        <v>1.6519999999999999</v>
      </c>
      <c r="Y513" s="6">
        <f t="shared" si="62"/>
        <v>4.409919649769093E-2</v>
      </c>
      <c r="AA513" t="s">
        <v>152</v>
      </c>
      <c r="AB513">
        <v>17337</v>
      </c>
      <c r="AD513" t="s">
        <v>5</v>
      </c>
      <c r="AE513" t="s">
        <v>1375</v>
      </c>
      <c r="AF513">
        <v>3</v>
      </c>
      <c r="AH513" t="s">
        <v>1927</v>
      </c>
      <c r="AI513" t="s">
        <v>1926</v>
      </c>
      <c r="AK513" t="s">
        <v>1925</v>
      </c>
      <c r="AL513">
        <v>223</v>
      </c>
      <c r="AM513" s="5">
        <f t="shared" si="66"/>
        <v>6.1944444444444446</v>
      </c>
      <c r="AN513" s="4">
        <f t="shared" si="63"/>
        <v>9.3819681097227492E-3</v>
      </c>
      <c r="AO513" s="3"/>
      <c r="AP513">
        <v>0</v>
      </c>
      <c r="AR513" t="s">
        <v>1</v>
      </c>
      <c r="AT513" s="2" t="s">
        <v>0</v>
      </c>
      <c r="AU513" s="1">
        <f t="shared" si="67"/>
        <v>3.3684027981300475</v>
      </c>
      <c r="AV513" s="1">
        <f t="shared" si="68"/>
        <v>2.6740582303706839</v>
      </c>
      <c r="AW513" s="1">
        <f t="shared" si="69"/>
        <v>1.9797136626113203</v>
      </c>
    </row>
    <row r="514" spans="1:49" x14ac:dyDescent="0.2">
      <c r="A514">
        <v>512</v>
      </c>
      <c r="B514" t="s">
        <v>1924</v>
      </c>
      <c r="C514" t="s">
        <v>1923</v>
      </c>
      <c r="F514" t="s">
        <v>1922</v>
      </c>
      <c r="G514" t="s">
        <v>16</v>
      </c>
      <c r="H514" t="s">
        <v>15</v>
      </c>
      <c r="I514" t="s">
        <v>1921</v>
      </c>
      <c r="J514">
        <v>60012708</v>
      </c>
      <c r="K514" t="s">
        <v>1920</v>
      </c>
      <c r="L514" t="s">
        <v>441</v>
      </c>
      <c r="M514" t="s">
        <v>114</v>
      </c>
      <c r="N514">
        <v>1</v>
      </c>
      <c r="O514" t="s">
        <v>1919</v>
      </c>
      <c r="P514">
        <v>6602465952</v>
      </c>
      <c r="Q514">
        <v>60012708</v>
      </c>
      <c r="R514" s="7">
        <v>31413</v>
      </c>
      <c r="S514" s="8">
        <f t="shared" si="64"/>
        <v>1986</v>
      </c>
      <c r="T514" s="8">
        <v>1986</v>
      </c>
      <c r="U514" s="8">
        <f t="shared" si="65"/>
        <v>36</v>
      </c>
      <c r="V514" s="7" t="s">
        <v>1563</v>
      </c>
      <c r="W514" t="s">
        <v>153</v>
      </c>
      <c r="X514" s="2">
        <v>1.6519999999999999</v>
      </c>
      <c r="Y514" s="6">
        <f t="shared" ref="Y514:Y577" si="70">(X514-$Z$4)/($Z$3-$Z$4)</f>
        <v>4.409919649769093E-2</v>
      </c>
      <c r="AA514" t="s">
        <v>152</v>
      </c>
      <c r="AB514">
        <v>17337</v>
      </c>
      <c r="AD514" t="s">
        <v>5</v>
      </c>
      <c r="AE514" t="s">
        <v>1375</v>
      </c>
      <c r="AF514">
        <v>3</v>
      </c>
      <c r="AH514" t="s">
        <v>1918</v>
      </c>
      <c r="AI514" t="s">
        <v>1917</v>
      </c>
      <c r="AK514" t="s">
        <v>1916</v>
      </c>
      <c r="AL514">
        <v>37</v>
      </c>
      <c r="AM514" s="5">
        <f t="shared" si="66"/>
        <v>1.0277777777777777</v>
      </c>
      <c r="AN514" s="4">
        <f t="shared" ref="AN514:AN577" si="71">(AM514-$AO$4)/($AO$3-$AO$4)</f>
        <v>1.5566494173082585E-3</v>
      </c>
      <c r="AO514" s="3"/>
      <c r="AP514">
        <v>0</v>
      </c>
      <c r="AR514" t="s">
        <v>1</v>
      </c>
      <c r="AT514" s="2" t="s">
        <v>0</v>
      </c>
      <c r="AU514" s="1">
        <f t="shared" si="67"/>
        <v>3.1336432373576124</v>
      </c>
      <c r="AV514" s="1">
        <f t="shared" si="68"/>
        <v>2.2827922957499593</v>
      </c>
      <c r="AW514" s="1">
        <f t="shared" si="69"/>
        <v>1.4319413541423058</v>
      </c>
    </row>
    <row r="515" spans="1:49" x14ac:dyDescent="0.2">
      <c r="A515">
        <v>513</v>
      </c>
      <c r="B515" t="s">
        <v>1915</v>
      </c>
      <c r="C515" t="s">
        <v>1914</v>
      </c>
      <c r="F515" t="s">
        <v>1913</v>
      </c>
      <c r="G515" t="s">
        <v>16</v>
      </c>
      <c r="H515" t="s">
        <v>15</v>
      </c>
      <c r="I515" t="s">
        <v>1912</v>
      </c>
      <c r="J515">
        <v>60006297</v>
      </c>
      <c r="K515" t="s">
        <v>1911</v>
      </c>
      <c r="L515" t="s">
        <v>1910</v>
      </c>
      <c r="M515" t="s">
        <v>114</v>
      </c>
      <c r="N515">
        <v>2</v>
      </c>
      <c r="O515" t="s">
        <v>1909</v>
      </c>
      <c r="P515" t="s">
        <v>1908</v>
      </c>
      <c r="Q515" t="s">
        <v>1907</v>
      </c>
      <c r="R515" s="7">
        <v>31413</v>
      </c>
      <c r="S515" s="8">
        <f t="shared" si="64"/>
        <v>1986</v>
      </c>
      <c r="T515" s="8">
        <v>1986</v>
      </c>
      <c r="U515" s="8">
        <f t="shared" si="65"/>
        <v>36</v>
      </c>
      <c r="V515" s="7" t="s">
        <v>1563</v>
      </c>
      <c r="W515" t="s">
        <v>153</v>
      </c>
      <c r="X515" s="2">
        <v>1.6519999999999999</v>
      </c>
      <c r="Y515" s="6">
        <f t="shared" si="70"/>
        <v>4.409919649769093E-2</v>
      </c>
      <c r="AA515" t="s">
        <v>152</v>
      </c>
      <c r="AB515">
        <v>17337</v>
      </c>
      <c r="AD515" t="s">
        <v>5</v>
      </c>
      <c r="AE515" t="s">
        <v>1375</v>
      </c>
      <c r="AF515">
        <v>3</v>
      </c>
      <c r="AH515" t="s">
        <v>1906</v>
      </c>
      <c r="AI515" t="s">
        <v>1905</v>
      </c>
      <c r="AK515" t="s">
        <v>1904</v>
      </c>
      <c r="AL515">
        <v>56</v>
      </c>
      <c r="AM515" s="5">
        <f t="shared" si="66"/>
        <v>1.5555555555555556</v>
      </c>
      <c r="AN515" s="4">
        <f t="shared" si="71"/>
        <v>2.356009928898986E-3</v>
      </c>
      <c r="AO515" s="3"/>
      <c r="AP515">
        <v>0</v>
      </c>
      <c r="AR515" t="s">
        <v>1</v>
      </c>
      <c r="AT515" s="2" t="s">
        <v>0</v>
      </c>
      <c r="AU515" s="1">
        <f t="shared" si="67"/>
        <v>3.1576240527053345</v>
      </c>
      <c r="AV515" s="1">
        <f t="shared" si="68"/>
        <v>2.3227603213294956</v>
      </c>
      <c r="AW515" s="1">
        <f t="shared" si="69"/>
        <v>1.4878965899536567</v>
      </c>
    </row>
    <row r="516" spans="1:49" x14ac:dyDescent="0.2">
      <c r="A516">
        <v>514</v>
      </c>
      <c r="B516" t="s">
        <v>1903</v>
      </c>
      <c r="C516" t="s">
        <v>1902</v>
      </c>
      <c r="F516" t="s">
        <v>1901</v>
      </c>
      <c r="G516" t="s">
        <v>16</v>
      </c>
      <c r="H516" t="s">
        <v>15</v>
      </c>
      <c r="I516" t="s">
        <v>1900</v>
      </c>
      <c r="J516">
        <v>60011001</v>
      </c>
      <c r="K516" t="s">
        <v>1899</v>
      </c>
      <c r="L516" t="s">
        <v>1898</v>
      </c>
      <c r="M516" t="s">
        <v>71</v>
      </c>
      <c r="N516">
        <v>2</v>
      </c>
      <c r="O516" t="s">
        <v>1897</v>
      </c>
      <c r="P516" t="s">
        <v>1896</v>
      </c>
      <c r="Q516" t="s">
        <v>1895</v>
      </c>
      <c r="R516" s="7">
        <v>31413</v>
      </c>
      <c r="S516" s="8">
        <f t="shared" si="64"/>
        <v>1986</v>
      </c>
      <c r="T516" s="8">
        <v>1986</v>
      </c>
      <c r="U516" s="8">
        <f t="shared" si="65"/>
        <v>36</v>
      </c>
      <c r="V516" s="7" t="s">
        <v>1563</v>
      </c>
      <c r="W516" t="s">
        <v>153</v>
      </c>
      <c r="X516" s="2">
        <v>1.6519999999999999</v>
      </c>
      <c r="Y516" s="6">
        <f t="shared" si="70"/>
        <v>4.409919649769093E-2</v>
      </c>
      <c r="AA516" t="s">
        <v>152</v>
      </c>
      <c r="AB516">
        <v>17337</v>
      </c>
      <c r="AD516" t="s">
        <v>5</v>
      </c>
      <c r="AE516" t="s">
        <v>1375</v>
      </c>
      <c r="AF516">
        <v>3</v>
      </c>
      <c r="AH516" t="s">
        <v>1894</v>
      </c>
      <c r="AI516" t="s">
        <v>1893</v>
      </c>
      <c r="AK516" t="s">
        <v>1892</v>
      </c>
      <c r="AL516">
        <v>41</v>
      </c>
      <c r="AM516" s="5">
        <f t="shared" si="66"/>
        <v>1.1388888888888888</v>
      </c>
      <c r="AN516" s="4">
        <f t="shared" si="71"/>
        <v>1.7249358408010433E-3</v>
      </c>
      <c r="AO516" s="3"/>
      <c r="AP516">
        <v>0</v>
      </c>
      <c r="AR516" t="s">
        <v>1</v>
      </c>
      <c r="AT516" s="2" t="s">
        <v>0</v>
      </c>
      <c r="AU516" s="1">
        <f t="shared" si="67"/>
        <v>3.1386918300623963</v>
      </c>
      <c r="AV516" s="1">
        <f t="shared" si="68"/>
        <v>2.2912066169245988</v>
      </c>
      <c r="AW516" s="1">
        <f t="shared" si="69"/>
        <v>1.4437214037868007</v>
      </c>
    </row>
    <row r="517" spans="1:49" x14ac:dyDescent="0.2">
      <c r="A517">
        <v>515</v>
      </c>
      <c r="B517" t="s">
        <v>1891</v>
      </c>
      <c r="C517" t="s">
        <v>1890</v>
      </c>
      <c r="F517" t="s">
        <v>1889</v>
      </c>
      <c r="G517" t="s">
        <v>16</v>
      </c>
      <c r="H517" t="s">
        <v>15</v>
      </c>
      <c r="I517" t="s">
        <v>1888</v>
      </c>
      <c r="J517">
        <v>60030612</v>
      </c>
      <c r="K517" t="s">
        <v>1887</v>
      </c>
      <c r="L517" t="s">
        <v>772</v>
      </c>
      <c r="M517" t="s">
        <v>114</v>
      </c>
      <c r="N517">
        <v>2</v>
      </c>
      <c r="O517" t="s">
        <v>1886</v>
      </c>
      <c r="P517" t="s">
        <v>1885</v>
      </c>
      <c r="Q517" t="s">
        <v>1884</v>
      </c>
      <c r="R517" s="7">
        <v>31413</v>
      </c>
      <c r="S517" s="8">
        <f t="shared" si="64"/>
        <v>1986</v>
      </c>
      <c r="T517" s="8">
        <v>1986</v>
      </c>
      <c r="U517" s="8">
        <f t="shared" si="65"/>
        <v>36</v>
      </c>
      <c r="V517" s="7" t="s">
        <v>1563</v>
      </c>
      <c r="W517" t="s">
        <v>153</v>
      </c>
      <c r="X517" s="2">
        <v>1.6519999999999999</v>
      </c>
      <c r="Y517" s="6">
        <f t="shared" si="70"/>
        <v>4.409919649769093E-2</v>
      </c>
      <c r="AA517" t="s">
        <v>152</v>
      </c>
      <c r="AB517">
        <v>17337</v>
      </c>
      <c r="AD517" t="s">
        <v>5</v>
      </c>
      <c r="AE517" t="s">
        <v>1375</v>
      </c>
      <c r="AF517">
        <v>3</v>
      </c>
      <c r="AH517" t="s">
        <v>1883</v>
      </c>
      <c r="AI517" t="s">
        <v>1882</v>
      </c>
      <c r="AK517" t="s">
        <v>1881</v>
      </c>
      <c r="AL517">
        <v>2</v>
      </c>
      <c r="AM517" s="5">
        <f t="shared" si="66"/>
        <v>5.5555555555555552E-2</v>
      </c>
      <c r="AN517" s="4">
        <f t="shared" si="71"/>
        <v>8.4143211746392349E-5</v>
      </c>
      <c r="AO517" s="3"/>
      <c r="AP517">
        <v>0</v>
      </c>
      <c r="AR517" t="s">
        <v>1</v>
      </c>
      <c r="AT517" s="2" t="s">
        <v>0</v>
      </c>
      <c r="AU517" s="1">
        <f t="shared" si="67"/>
        <v>3.0894680511907571</v>
      </c>
      <c r="AV517" s="1">
        <f t="shared" si="68"/>
        <v>2.2091669854718661</v>
      </c>
      <c r="AW517" s="1">
        <f t="shared" si="69"/>
        <v>1.3288659197529753</v>
      </c>
    </row>
    <row r="518" spans="1:49" x14ac:dyDescent="0.2">
      <c r="A518">
        <v>516</v>
      </c>
      <c r="B518" t="s">
        <v>1880</v>
      </c>
      <c r="C518" t="s">
        <v>1879</v>
      </c>
      <c r="F518" t="s">
        <v>1878</v>
      </c>
      <c r="G518" t="s">
        <v>16</v>
      </c>
      <c r="H518" t="s">
        <v>15</v>
      </c>
      <c r="I518" t="s">
        <v>693</v>
      </c>
      <c r="J518">
        <v>60022193</v>
      </c>
      <c r="K518" t="s">
        <v>1877</v>
      </c>
      <c r="L518" t="s">
        <v>1876</v>
      </c>
      <c r="M518" t="s">
        <v>1409</v>
      </c>
      <c r="N518">
        <v>2</v>
      </c>
      <c r="O518" t="s">
        <v>1875</v>
      </c>
      <c r="P518" t="s">
        <v>1874</v>
      </c>
      <c r="Q518" t="s">
        <v>1873</v>
      </c>
      <c r="R518" s="7">
        <v>31413</v>
      </c>
      <c r="S518" s="8">
        <f t="shared" si="64"/>
        <v>1986</v>
      </c>
      <c r="T518" s="8">
        <v>1986</v>
      </c>
      <c r="U518" s="8">
        <f t="shared" si="65"/>
        <v>36</v>
      </c>
      <c r="V518" s="7" t="s">
        <v>1563</v>
      </c>
      <c r="W518" t="s">
        <v>153</v>
      </c>
      <c r="X518" s="2">
        <v>1.6519999999999999</v>
      </c>
      <c r="Y518" s="6">
        <f t="shared" si="70"/>
        <v>4.409919649769093E-2</v>
      </c>
      <c r="AA518" t="s">
        <v>152</v>
      </c>
      <c r="AB518">
        <v>17337</v>
      </c>
      <c r="AD518" t="s">
        <v>5</v>
      </c>
      <c r="AE518" t="s">
        <v>1375</v>
      </c>
      <c r="AF518">
        <v>3</v>
      </c>
      <c r="AH518" t="s">
        <v>1872</v>
      </c>
      <c r="AI518" t="s">
        <v>1871</v>
      </c>
      <c r="AK518" t="s">
        <v>1870</v>
      </c>
      <c r="AL518">
        <v>45</v>
      </c>
      <c r="AM518" s="5">
        <f t="shared" si="66"/>
        <v>1.25</v>
      </c>
      <c r="AN518" s="4">
        <f t="shared" si="71"/>
        <v>1.8932222642938281E-3</v>
      </c>
      <c r="AO518" s="3"/>
      <c r="AP518">
        <v>0</v>
      </c>
      <c r="AR518" t="s">
        <v>1</v>
      </c>
      <c r="AT518" s="2" t="s">
        <v>0</v>
      </c>
      <c r="AU518" s="1">
        <f t="shared" si="67"/>
        <v>3.1437404227671801</v>
      </c>
      <c r="AV518" s="1">
        <f t="shared" si="68"/>
        <v>2.2996209380992378</v>
      </c>
      <c r="AW518" s="1">
        <f t="shared" si="69"/>
        <v>1.4555014534312958</v>
      </c>
    </row>
    <row r="519" spans="1:49" x14ac:dyDescent="0.2">
      <c r="A519">
        <v>517</v>
      </c>
      <c r="B519" t="s">
        <v>1869</v>
      </c>
      <c r="C519" t="s">
        <v>1868</v>
      </c>
      <c r="F519" t="s">
        <v>1867</v>
      </c>
      <c r="G519" t="s">
        <v>16</v>
      </c>
      <c r="H519" t="s">
        <v>15</v>
      </c>
      <c r="I519" t="s">
        <v>1866</v>
      </c>
      <c r="J519" t="s">
        <v>1865</v>
      </c>
      <c r="K519" t="s">
        <v>1864</v>
      </c>
      <c r="L519" t="s">
        <v>1863</v>
      </c>
      <c r="M519" t="s">
        <v>1862</v>
      </c>
      <c r="N519">
        <v>3</v>
      </c>
      <c r="O519" t="s">
        <v>1861</v>
      </c>
      <c r="P519" t="s">
        <v>1860</v>
      </c>
      <c r="Q519" t="s">
        <v>1859</v>
      </c>
      <c r="R519" s="7">
        <v>31413</v>
      </c>
      <c r="S519" s="8">
        <f t="shared" si="64"/>
        <v>1986</v>
      </c>
      <c r="T519" s="8">
        <v>1986</v>
      </c>
      <c r="U519" s="8">
        <f t="shared" si="65"/>
        <v>36</v>
      </c>
      <c r="V519" s="7">
        <v>31472</v>
      </c>
      <c r="W519" t="s">
        <v>1858</v>
      </c>
      <c r="X519" s="2">
        <v>0.78200000000000003</v>
      </c>
      <c r="Y519" s="6">
        <f t="shared" si="70"/>
        <v>2.0875043378446919E-2</v>
      </c>
      <c r="AA519">
        <v>189316</v>
      </c>
      <c r="AB519">
        <v>19901</v>
      </c>
      <c r="AC519">
        <v>15579611</v>
      </c>
      <c r="AD519" t="s">
        <v>5</v>
      </c>
      <c r="AE519" t="s">
        <v>1857</v>
      </c>
      <c r="AF519">
        <v>1</v>
      </c>
      <c r="AH519" s="10">
        <v>41944</v>
      </c>
      <c r="AI519" t="s">
        <v>1856</v>
      </c>
      <c r="AK519" t="s">
        <v>1855</v>
      </c>
      <c r="AL519">
        <v>0</v>
      </c>
      <c r="AM519" s="5">
        <f t="shared" si="66"/>
        <v>0</v>
      </c>
      <c r="AN519" s="4">
        <f t="shared" si="71"/>
        <v>0</v>
      </c>
      <c r="AO519" s="3"/>
      <c r="AP519">
        <v>0</v>
      </c>
      <c r="AR519" t="s">
        <v>1</v>
      </c>
      <c r="AT519" s="2">
        <v>3.863</v>
      </c>
      <c r="AU519" s="1">
        <f t="shared" si="67"/>
        <v>1.4612530364912841</v>
      </c>
      <c r="AV519" s="1">
        <f t="shared" si="68"/>
        <v>1.0437521689223459</v>
      </c>
      <c r="AW519" s="1">
        <f t="shared" si="69"/>
        <v>0.62625130135340756</v>
      </c>
    </row>
    <row r="520" spans="1:49" x14ac:dyDescent="0.2">
      <c r="A520">
        <v>518</v>
      </c>
      <c r="B520" t="s">
        <v>1854</v>
      </c>
      <c r="C520" t="s">
        <v>1853</v>
      </c>
      <c r="F520" t="s">
        <v>1852</v>
      </c>
      <c r="G520" t="s">
        <v>16</v>
      </c>
      <c r="H520" t="s">
        <v>15</v>
      </c>
      <c r="I520" t="s">
        <v>1851</v>
      </c>
      <c r="J520">
        <v>60003500</v>
      </c>
      <c r="K520" t="s">
        <v>1850</v>
      </c>
      <c r="L520" t="s">
        <v>1849</v>
      </c>
      <c r="M520" t="s">
        <v>114</v>
      </c>
      <c r="N520">
        <v>2</v>
      </c>
      <c r="O520" t="s">
        <v>1848</v>
      </c>
      <c r="P520" t="s">
        <v>1847</v>
      </c>
      <c r="Q520" t="s">
        <v>1846</v>
      </c>
      <c r="R520" s="7">
        <v>31413</v>
      </c>
      <c r="S520" s="8">
        <f t="shared" si="64"/>
        <v>1986</v>
      </c>
      <c r="T520" s="8">
        <v>1986</v>
      </c>
      <c r="U520" s="8">
        <f t="shared" si="65"/>
        <v>36</v>
      </c>
      <c r="V520" s="7" t="s">
        <v>1563</v>
      </c>
      <c r="W520" t="s">
        <v>153</v>
      </c>
      <c r="X520" s="2">
        <v>1.6519999999999999</v>
      </c>
      <c r="Y520" s="6">
        <f t="shared" si="70"/>
        <v>4.409919649769093E-2</v>
      </c>
      <c r="AA520" t="s">
        <v>152</v>
      </c>
      <c r="AB520">
        <v>17337</v>
      </c>
      <c r="AD520" t="s">
        <v>5</v>
      </c>
      <c r="AE520" t="s">
        <v>1375</v>
      </c>
      <c r="AF520">
        <v>3</v>
      </c>
      <c r="AH520" t="s">
        <v>1845</v>
      </c>
      <c r="AI520" t="s">
        <v>1844</v>
      </c>
      <c r="AK520" t="s">
        <v>1843</v>
      </c>
      <c r="AL520">
        <v>6</v>
      </c>
      <c r="AM520" s="5">
        <f t="shared" si="66"/>
        <v>0.16666666666666666</v>
      </c>
      <c r="AN520" s="4">
        <f t="shared" si="71"/>
        <v>2.5242963523917705E-4</v>
      </c>
      <c r="AO520" s="3"/>
      <c r="AP520">
        <v>0</v>
      </c>
      <c r="AR520" t="s">
        <v>1</v>
      </c>
      <c r="AT520" s="2" t="s">
        <v>0</v>
      </c>
      <c r="AU520" s="1">
        <f t="shared" si="67"/>
        <v>3.0945166438955405</v>
      </c>
      <c r="AV520" s="1">
        <f t="shared" si="68"/>
        <v>2.2175813066465055</v>
      </c>
      <c r="AW520" s="1">
        <f t="shared" si="69"/>
        <v>1.3406459693974702</v>
      </c>
    </row>
    <row r="521" spans="1:49" x14ac:dyDescent="0.2">
      <c r="A521">
        <v>519</v>
      </c>
      <c r="B521" t="s">
        <v>1842</v>
      </c>
      <c r="C521" t="s">
        <v>1841</v>
      </c>
      <c r="F521" t="s">
        <v>1840</v>
      </c>
      <c r="G521" t="s">
        <v>16</v>
      </c>
      <c r="H521" t="s">
        <v>15</v>
      </c>
      <c r="I521" t="s">
        <v>1839</v>
      </c>
      <c r="J521">
        <v>60015543</v>
      </c>
      <c r="K521" t="s">
        <v>1838</v>
      </c>
      <c r="L521" t="s">
        <v>1837</v>
      </c>
      <c r="M521" t="s">
        <v>114</v>
      </c>
      <c r="N521">
        <v>1</v>
      </c>
      <c r="O521" t="s">
        <v>1836</v>
      </c>
      <c r="P521">
        <v>6602911888</v>
      </c>
      <c r="Q521">
        <v>60015543</v>
      </c>
      <c r="R521" s="7">
        <v>31413</v>
      </c>
      <c r="S521" s="8">
        <f t="shared" si="64"/>
        <v>1986</v>
      </c>
      <c r="T521" s="8">
        <v>1986</v>
      </c>
      <c r="U521" s="8">
        <f t="shared" si="65"/>
        <v>36</v>
      </c>
      <c r="V521" s="7" t="s">
        <v>1563</v>
      </c>
      <c r="W521" t="s">
        <v>153</v>
      </c>
      <c r="X521" s="2">
        <v>1.6519999999999999</v>
      </c>
      <c r="Y521" s="6">
        <f t="shared" si="70"/>
        <v>4.409919649769093E-2</v>
      </c>
      <c r="AA521" t="s">
        <v>152</v>
      </c>
      <c r="AB521">
        <v>17337</v>
      </c>
      <c r="AD521" t="s">
        <v>5</v>
      </c>
      <c r="AE521" t="s">
        <v>1375</v>
      </c>
      <c r="AF521">
        <v>3</v>
      </c>
      <c r="AH521" t="s">
        <v>1835</v>
      </c>
      <c r="AI521" t="s">
        <v>1834</v>
      </c>
      <c r="AK521" t="s">
        <v>1833</v>
      </c>
      <c r="AL521">
        <v>10</v>
      </c>
      <c r="AM521" s="5">
        <f t="shared" si="66"/>
        <v>0.27777777777777779</v>
      </c>
      <c r="AN521" s="4">
        <f t="shared" si="71"/>
        <v>4.207160587319618E-4</v>
      </c>
      <c r="AO521" s="3"/>
      <c r="AP521">
        <v>0</v>
      </c>
      <c r="AR521" t="s">
        <v>1</v>
      </c>
      <c r="AT521" s="2" t="s">
        <v>0</v>
      </c>
      <c r="AU521" s="1">
        <f t="shared" si="67"/>
        <v>3.0995652366003239</v>
      </c>
      <c r="AV521" s="1">
        <f t="shared" si="68"/>
        <v>2.2259956278211446</v>
      </c>
      <c r="AW521" s="1">
        <f t="shared" si="69"/>
        <v>1.3524260190419652</v>
      </c>
    </row>
    <row r="522" spans="1:49" x14ac:dyDescent="0.2">
      <c r="A522">
        <v>520</v>
      </c>
      <c r="B522" t="s">
        <v>1832</v>
      </c>
      <c r="C522" t="s">
        <v>1831</v>
      </c>
      <c r="F522" t="s">
        <v>1830</v>
      </c>
      <c r="G522" t="s">
        <v>16</v>
      </c>
      <c r="H522" t="s">
        <v>15</v>
      </c>
      <c r="I522" t="s">
        <v>1829</v>
      </c>
      <c r="J522">
        <v>60027561</v>
      </c>
      <c r="K522" t="s">
        <v>1828</v>
      </c>
      <c r="L522" t="s">
        <v>1827</v>
      </c>
      <c r="M522" t="s">
        <v>114</v>
      </c>
      <c r="N522">
        <v>2</v>
      </c>
      <c r="O522" t="s">
        <v>1826</v>
      </c>
      <c r="P522" t="s">
        <v>1825</v>
      </c>
      <c r="Q522" t="s">
        <v>1824</v>
      </c>
      <c r="R522" s="7">
        <v>31413</v>
      </c>
      <c r="S522" s="8">
        <f t="shared" si="64"/>
        <v>1986</v>
      </c>
      <c r="T522" s="8">
        <v>1986</v>
      </c>
      <c r="U522" s="8">
        <f t="shared" si="65"/>
        <v>36</v>
      </c>
      <c r="V522" s="7">
        <v>31472</v>
      </c>
      <c r="W522" t="s">
        <v>1805</v>
      </c>
      <c r="X522" s="2">
        <v>2.141</v>
      </c>
      <c r="Y522" s="6">
        <f t="shared" si="70"/>
        <v>5.7152772216438434E-2</v>
      </c>
      <c r="AA522">
        <v>1962892</v>
      </c>
      <c r="AB522">
        <v>17360</v>
      </c>
      <c r="AC522">
        <v>15580644</v>
      </c>
      <c r="AD522" t="s">
        <v>5</v>
      </c>
      <c r="AE522" t="s">
        <v>1804</v>
      </c>
      <c r="AF522">
        <v>2</v>
      </c>
      <c r="AH522" t="s">
        <v>1823</v>
      </c>
      <c r="AI522" t="s">
        <v>1822</v>
      </c>
      <c r="AK522" t="s">
        <v>1821</v>
      </c>
      <c r="AL522">
        <v>4</v>
      </c>
      <c r="AM522" s="5">
        <f t="shared" si="66"/>
        <v>0.1111111111111111</v>
      </c>
      <c r="AN522" s="4">
        <f t="shared" si="71"/>
        <v>1.682864234927847E-4</v>
      </c>
      <c r="AO522" s="3"/>
      <c r="AP522">
        <v>0</v>
      </c>
      <c r="AR522" t="s">
        <v>1</v>
      </c>
      <c r="AT522" s="2" t="s">
        <v>0</v>
      </c>
      <c r="AU522" s="1">
        <f t="shared" si="67"/>
        <v>4.0057426478554738</v>
      </c>
      <c r="AV522" s="1">
        <f t="shared" si="68"/>
        <v>2.8660529319965611</v>
      </c>
      <c r="AW522" s="1">
        <f t="shared" si="69"/>
        <v>1.7263632161376479</v>
      </c>
    </row>
    <row r="523" spans="1:49" x14ac:dyDescent="0.2">
      <c r="A523">
        <v>521</v>
      </c>
      <c r="B523" t="s">
        <v>1820</v>
      </c>
      <c r="C523" t="s">
        <v>1819</v>
      </c>
      <c r="F523" t="s">
        <v>1818</v>
      </c>
      <c r="G523" t="s">
        <v>16</v>
      </c>
      <c r="H523" t="s">
        <v>15</v>
      </c>
      <c r="I523" t="s">
        <v>1817</v>
      </c>
      <c r="J523">
        <v>60005304</v>
      </c>
      <c r="K523" t="s">
        <v>1421</v>
      </c>
      <c r="L523" t="s">
        <v>1420</v>
      </c>
      <c r="M523" t="s">
        <v>114</v>
      </c>
      <c r="N523">
        <v>1</v>
      </c>
      <c r="O523" t="s">
        <v>1816</v>
      </c>
      <c r="P523">
        <v>6603170424</v>
      </c>
      <c r="Q523">
        <v>60005304</v>
      </c>
      <c r="R523" s="7">
        <v>31413</v>
      </c>
      <c r="S523" s="8">
        <f t="shared" si="64"/>
        <v>1986</v>
      </c>
      <c r="T523" s="8">
        <v>1986</v>
      </c>
      <c r="U523" s="8">
        <f t="shared" si="65"/>
        <v>36</v>
      </c>
      <c r="V523" s="7" t="s">
        <v>1563</v>
      </c>
      <c r="W523" t="s">
        <v>1815</v>
      </c>
      <c r="X523" s="2">
        <v>1.137</v>
      </c>
      <c r="Y523" s="6">
        <f t="shared" si="70"/>
        <v>3.0351565628253384E-2</v>
      </c>
      <c r="AA523">
        <v>189251</v>
      </c>
      <c r="AB523">
        <v>17336</v>
      </c>
      <c r="AD523" t="s">
        <v>5</v>
      </c>
      <c r="AE523" t="s">
        <v>1814</v>
      </c>
      <c r="AF523">
        <v>2</v>
      </c>
      <c r="AH523" t="s">
        <v>1813</v>
      </c>
      <c r="AI523" t="s">
        <v>1812</v>
      </c>
      <c r="AK523" t="s">
        <v>1811</v>
      </c>
      <c r="AL523">
        <v>27</v>
      </c>
      <c r="AM523" s="5">
        <f t="shared" si="66"/>
        <v>0.75</v>
      </c>
      <c r="AN523" s="4">
        <f t="shared" si="71"/>
        <v>1.1359333585762969E-3</v>
      </c>
      <c r="AO523" s="3"/>
      <c r="AP523">
        <v>0</v>
      </c>
      <c r="AR523" t="s">
        <v>1</v>
      </c>
      <c r="AT523" s="2" t="s">
        <v>0</v>
      </c>
      <c r="AU523" s="1">
        <f t="shared" si="67"/>
        <v>2.1586875947350257</v>
      </c>
      <c r="AV523" s="1">
        <f t="shared" si="68"/>
        <v>1.5743749493414843</v>
      </c>
      <c r="AW523" s="1">
        <f t="shared" si="69"/>
        <v>0.99006230394794237</v>
      </c>
    </row>
    <row r="524" spans="1:49" x14ac:dyDescent="0.2">
      <c r="A524">
        <v>522</v>
      </c>
      <c r="B524" t="s">
        <v>1810</v>
      </c>
      <c r="C524" t="s">
        <v>1809</v>
      </c>
      <c r="F524" t="s">
        <v>1808</v>
      </c>
      <c r="G524" t="s">
        <v>16</v>
      </c>
      <c r="H524" t="s">
        <v>15</v>
      </c>
      <c r="I524" t="s">
        <v>1807</v>
      </c>
      <c r="J524">
        <v>60005304</v>
      </c>
      <c r="K524" t="s">
        <v>1421</v>
      </c>
      <c r="L524" t="s">
        <v>1420</v>
      </c>
      <c r="M524" t="s">
        <v>114</v>
      </c>
      <c r="N524">
        <v>1</v>
      </c>
      <c r="O524" t="s">
        <v>1806</v>
      </c>
      <c r="P524">
        <v>6603712161</v>
      </c>
      <c r="Q524">
        <v>60005304</v>
      </c>
      <c r="R524" s="7">
        <v>31413</v>
      </c>
      <c r="S524" s="8">
        <f t="shared" si="64"/>
        <v>1986</v>
      </c>
      <c r="T524" s="8">
        <v>1986</v>
      </c>
      <c r="U524" s="8">
        <f t="shared" si="65"/>
        <v>36</v>
      </c>
      <c r="V524" s="7">
        <v>31472</v>
      </c>
      <c r="W524" t="s">
        <v>1805</v>
      </c>
      <c r="X524" s="2">
        <v>2.141</v>
      </c>
      <c r="Y524" s="6">
        <f t="shared" si="70"/>
        <v>5.7152772216438434E-2</v>
      </c>
      <c r="AA524">
        <v>1962892</v>
      </c>
      <c r="AB524">
        <v>17360</v>
      </c>
      <c r="AC524">
        <v>15580644</v>
      </c>
      <c r="AD524" t="s">
        <v>5</v>
      </c>
      <c r="AE524" t="s">
        <v>1804</v>
      </c>
      <c r="AF524">
        <v>2</v>
      </c>
      <c r="AH524" t="s">
        <v>1803</v>
      </c>
      <c r="AI524" t="s">
        <v>1802</v>
      </c>
      <c r="AK524" t="s">
        <v>1801</v>
      </c>
      <c r="AL524">
        <v>3</v>
      </c>
      <c r="AM524" s="5">
        <f t="shared" si="66"/>
        <v>8.3333333333333329E-2</v>
      </c>
      <c r="AN524" s="4">
        <f t="shared" si="71"/>
        <v>1.2621481761958852E-4</v>
      </c>
      <c r="AO524" s="3"/>
      <c r="AP524">
        <v>0</v>
      </c>
      <c r="AR524" t="s">
        <v>1</v>
      </c>
      <c r="AT524" s="2" t="s">
        <v>0</v>
      </c>
      <c r="AU524" s="1">
        <f t="shared" si="67"/>
        <v>4.0044804996792775</v>
      </c>
      <c r="AV524" s="1">
        <f t="shared" si="68"/>
        <v>2.8639493517029013</v>
      </c>
      <c r="AW524" s="1">
        <f t="shared" si="69"/>
        <v>1.7234182037265244</v>
      </c>
    </row>
    <row r="525" spans="1:49" x14ac:dyDescent="0.2">
      <c r="A525">
        <v>523</v>
      </c>
      <c r="B525" t="s">
        <v>1800</v>
      </c>
      <c r="C525" t="s">
        <v>1799</v>
      </c>
      <c r="F525" t="s">
        <v>1798</v>
      </c>
      <c r="G525" t="s">
        <v>16</v>
      </c>
      <c r="H525" t="s">
        <v>15</v>
      </c>
      <c r="I525" t="s">
        <v>1797</v>
      </c>
      <c r="J525">
        <v>60001247</v>
      </c>
      <c r="K525" t="s">
        <v>728</v>
      </c>
      <c r="M525" t="s">
        <v>114</v>
      </c>
      <c r="N525">
        <v>3</v>
      </c>
      <c r="O525" t="s">
        <v>1796</v>
      </c>
      <c r="P525" t="s">
        <v>1795</v>
      </c>
      <c r="Q525" t="s">
        <v>1794</v>
      </c>
      <c r="R525" s="7">
        <v>31413</v>
      </c>
      <c r="S525" s="8">
        <f t="shared" si="64"/>
        <v>1986</v>
      </c>
      <c r="T525" s="8">
        <v>1986</v>
      </c>
      <c r="U525" s="8">
        <f t="shared" si="65"/>
        <v>36</v>
      </c>
      <c r="V525" s="7" t="s">
        <v>1563</v>
      </c>
      <c r="W525" t="s">
        <v>153</v>
      </c>
      <c r="X525" s="2">
        <v>1.6519999999999999</v>
      </c>
      <c r="Y525" s="6">
        <f t="shared" si="70"/>
        <v>4.409919649769093E-2</v>
      </c>
      <c r="AA525" t="s">
        <v>152</v>
      </c>
      <c r="AB525">
        <v>17337</v>
      </c>
      <c r="AD525" t="s">
        <v>5</v>
      </c>
      <c r="AE525" t="s">
        <v>1375</v>
      </c>
      <c r="AF525">
        <v>3</v>
      </c>
      <c r="AH525" t="s">
        <v>1793</v>
      </c>
      <c r="AI525" t="s">
        <v>1792</v>
      </c>
      <c r="AK525" t="s">
        <v>1791</v>
      </c>
      <c r="AL525">
        <v>202</v>
      </c>
      <c r="AM525" s="5">
        <f t="shared" si="66"/>
        <v>5.6111111111111107</v>
      </c>
      <c r="AN525" s="4">
        <f t="shared" si="71"/>
        <v>8.4984643863856273E-3</v>
      </c>
      <c r="AO525" s="3"/>
      <c r="AP525">
        <v>0</v>
      </c>
      <c r="AR525" t="s">
        <v>1</v>
      </c>
      <c r="AT525" s="2" t="s">
        <v>0</v>
      </c>
      <c r="AU525" s="1">
        <f t="shared" si="67"/>
        <v>3.3418976864299337</v>
      </c>
      <c r="AV525" s="1">
        <f t="shared" si="68"/>
        <v>2.6298830442038281</v>
      </c>
      <c r="AW525" s="1">
        <f t="shared" si="69"/>
        <v>1.9178684019777217</v>
      </c>
    </row>
    <row r="526" spans="1:49" x14ac:dyDescent="0.2">
      <c r="A526">
        <v>524</v>
      </c>
      <c r="B526" t="s">
        <v>1790</v>
      </c>
      <c r="C526" t="s">
        <v>1789</v>
      </c>
      <c r="F526" t="s">
        <v>1788</v>
      </c>
      <c r="G526" t="s">
        <v>16</v>
      </c>
      <c r="H526" t="s">
        <v>15</v>
      </c>
      <c r="I526" t="s">
        <v>1787</v>
      </c>
      <c r="J526">
        <v>60088403</v>
      </c>
      <c r="K526" t="s">
        <v>1786</v>
      </c>
      <c r="L526" t="s">
        <v>1785</v>
      </c>
      <c r="M526" t="s">
        <v>114</v>
      </c>
      <c r="N526">
        <v>1</v>
      </c>
      <c r="O526" t="s">
        <v>1784</v>
      </c>
      <c r="P526">
        <v>7404917475</v>
      </c>
      <c r="Q526">
        <v>60088403</v>
      </c>
      <c r="R526" s="7">
        <v>31413</v>
      </c>
      <c r="S526" s="8">
        <f t="shared" si="64"/>
        <v>1986</v>
      </c>
      <c r="T526" s="8">
        <v>1986</v>
      </c>
      <c r="U526" s="8">
        <f t="shared" si="65"/>
        <v>36</v>
      </c>
      <c r="V526" s="7" t="s">
        <v>1563</v>
      </c>
      <c r="W526" t="s">
        <v>153</v>
      </c>
      <c r="X526" s="2">
        <v>1.6519999999999999</v>
      </c>
      <c r="Y526" s="6">
        <f t="shared" si="70"/>
        <v>4.409919649769093E-2</v>
      </c>
      <c r="AA526" t="s">
        <v>152</v>
      </c>
      <c r="AB526">
        <v>17337</v>
      </c>
      <c r="AD526" t="s">
        <v>5</v>
      </c>
      <c r="AE526" t="s">
        <v>1375</v>
      </c>
      <c r="AF526">
        <v>3</v>
      </c>
      <c r="AH526" t="s">
        <v>1783</v>
      </c>
      <c r="AI526" t="s">
        <v>1782</v>
      </c>
      <c r="AK526" t="s">
        <v>1781</v>
      </c>
      <c r="AL526">
        <v>8576</v>
      </c>
      <c r="AM526" s="5">
        <f t="shared" si="66"/>
        <v>238.22222222222223</v>
      </c>
      <c r="AN526" s="4">
        <f t="shared" si="71"/>
        <v>0.36080609196853047</v>
      </c>
      <c r="AO526" s="3"/>
      <c r="AP526">
        <v>0</v>
      </c>
      <c r="AR526" t="s">
        <v>1</v>
      </c>
      <c r="AT526" s="2" t="s">
        <v>0</v>
      </c>
      <c r="AU526" s="1">
        <f t="shared" si="67"/>
        <v>13.911126513894278</v>
      </c>
      <c r="AV526" s="1">
        <f t="shared" si="68"/>
        <v>20.24526442331107</v>
      </c>
      <c r="AW526" s="1">
        <f t="shared" si="69"/>
        <v>26.579402332727859</v>
      </c>
    </row>
    <row r="527" spans="1:49" x14ac:dyDescent="0.2">
      <c r="A527">
        <v>525</v>
      </c>
      <c r="B527" t="s">
        <v>1780</v>
      </c>
      <c r="C527" t="s">
        <v>1779</v>
      </c>
      <c r="F527" t="s">
        <v>1778</v>
      </c>
      <c r="G527" t="s">
        <v>16</v>
      </c>
      <c r="H527" t="s">
        <v>15</v>
      </c>
      <c r="I527" t="s">
        <v>1777</v>
      </c>
      <c r="J527">
        <v>60014652</v>
      </c>
      <c r="K527" t="s">
        <v>872</v>
      </c>
      <c r="L527" t="s">
        <v>871</v>
      </c>
      <c r="M527" t="s">
        <v>71</v>
      </c>
      <c r="N527">
        <v>3</v>
      </c>
      <c r="O527" t="s">
        <v>1776</v>
      </c>
      <c r="P527" t="s">
        <v>1775</v>
      </c>
      <c r="Q527" t="s">
        <v>868</v>
      </c>
      <c r="R527" s="7">
        <v>31413</v>
      </c>
      <c r="S527" s="8">
        <f t="shared" si="64"/>
        <v>1986</v>
      </c>
      <c r="T527" s="8">
        <v>1986</v>
      </c>
      <c r="U527" s="8">
        <f t="shared" si="65"/>
        <v>36</v>
      </c>
      <c r="V527" s="7" t="s">
        <v>1563</v>
      </c>
      <c r="W527" t="s">
        <v>153</v>
      </c>
      <c r="X527" s="2">
        <v>1.6519999999999999</v>
      </c>
      <c r="Y527" s="6">
        <f t="shared" si="70"/>
        <v>4.409919649769093E-2</v>
      </c>
      <c r="AA527" t="s">
        <v>152</v>
      </c>
      <c r="AB527">
        <v>17337</v>
      </c>
      <c r="AD527" t="s">
        <v>5</v>
      </c>
      <c r="AE527" t="s">
        <v>1375</v>
      </c>
      <c r="AF527">
        <v>3</v>
      </c>
      <c r="AH527" t="s">
        <v>1774</v>
      </c>
      <c r="AI527" t="s">
        <v>1773</v>
      </c>
      <c r="AK527" t="s">
        <v>1772</v>
      </c>
      <c r="AL527">
        <v>2</v>
      </c>
      <c r="AM527" s="5">
        <f t="shared" si="66"/>
        <v>5.5555555555555552E-2</v>
      </c>
      <c r="AN527" s="4">
        <f t="shared" si="71"/>
        <v>8.4143211746392349E-5</v>
      </c>
      <c r="AO527" s="3"/>
      <c r="AP527">
        <v>0</v>
      </c>
      <c r="AR527" t="s">
        <v>1</v>
      </c>
      <c r="AT527" s="2" t="s">
        <v>0</v>
      </c>
      <c r="AU527" s="1">
        <f t="shared" si="67"/>
        <v>3.0894680511907571</v>
      </c>
      <c r="AV527" s="1">
        <f t="shared" si="68"/>
        <v>2.2091669854718661</v>
      </c>
      <c r="AW527" s="1">
        <f t="shared" si="69"/>
        <v>1.3288659197529753</v>
      </c>
    </row>
    <row r="528" spans="1:49" x14ac:dyDescent="0.2">
      <c r="A528">
        <v>526</v>
      </c>
      <c r="B528" t="s">
        <v>1771</v>
      </c>
      <c r="C528" t="s">
        <v>1770</v>
      </c>
      <c r="F528" t="s">
        <v>1769</v>
      </c>
      <c r="G528" t="s">
        <v>16</v>
      </c>
      <c r="H528" t="s">
        <v>15</v>
      </c>
      <c r="I528" t="s">
        <v>1768</v>
      </c>
      <c r="J528">
        <v>100367614</v>
      </c>
      <c r="K528" t="s">
        <v>1767</v>
      </c>
      <c r="L528" t="s">
        <v>1766</v>
      </c>
      <c r="M528" t="s">
        <v>114</v>
      </c>
      <c r="N528">
        <v>1</v>
      </c>
      <c r="O528" t="s">
        <v>1765</v>
      </c>
      <c r="P528">
        <v>6701637930</v>
      </c>
      <c r="Q528">
        <v>100367614</v>
      </c>
      <c r="R528" s="7">
        <v>31413</v>
      </c>
      <c r="S528" s="8">
        <f t="shared" si="64"/>
        <v>1986</v>
      </c>
      <c r="T528" s="8">
        <v>1986</v>
      </c>
      <c r="U528" s="8">
        <f t="shared" si="65"/>
        <v>36</v>
      </c>
      <c r="V528" s="7">
        <v>31472</v>
      </c>
      <c r="W528" t="s">
        <v>1764</v>
      </c>
      <c r="X528" s="2">
        <v>0.30099999999999999</v>
      </c>
      <c r="Y528" s="6">
        <f t="shared" si="70"/>
        <v>8.0350230906809754E-3</v>
      </c>
      <c r="AA528">
        <v>375497</v>
      </c>
      <c r="AB528">
        <v>14452</v>
      </c>
      <c r="AC528">
        <v>17413133</v>
      </c>
      <c r="AD528" t="s">
        <v>5</v>
      </c>
      <c r="AE528">
        <v>46</v>
      </c>
      <c r="AF528">
        <v>3</v>
      </c>
      <c r="AH528" t="s">
        <v>655</v>
      </c>
      <c r="AI528" t="s">
        <v>1763</v>
      </c>
      <c r="AJ528" t="s">
        <v>1762</v>
      </c>
      <c r="AK528" t="s">
        <v>1761</v>
      </c>
      <c r="AL528">
        <v>0</v>
      </c>
      <c r="AM528" s="5">
        <f t="shared" si="66"/>
        <v>0</v>
      </c>
      <c r="AN528" s="4">
        <f t="shared" si="71"/>
        <v>0</v>
      </c>
      <c r="AO528" s="3"/>
      <c r="AP528">
        <v>0</v>
      </c>
      <c r="AR528" t="s">
        <v>1</v>
      </c>
      <c r="AT528" s="2" t="s">
        <v>0</v>
      </c>
      <c r="AU528" s="1">
        <f t="shared" si="67"/>
        <v>0.56245161634766827</v>
      </c>
      <c r="AV528" s="1">
        <f t="shared" si="68"/>
        <v>0.40175115453404875</v>
      </c>
      <c r="AW528" s="1">
        <f t="shared" si="69"/>
        <v>0.24105069272042928</v>
      </c>
    </row>
    <row r="529" spans="1:49" x14ac:dyDescent="0.2">
      <c r="A529">
        <v>527</v>
      </c>
      <c r="B529" t="s">
        <v>1760</v>
      </c>
      <c r="C529" t="s">
        <v>1759</v>
      </c>
      <c r="F529" t="s">
        <v>1758</v>
      </c>
      <c r="G529" t="s">
        <v>16</v>
      </c>
      <c r="H529" t="s">
        <v>15</v>
      </c>
      <c r="I529" t="s">
        <v>1757</v>
      </c>
      <c r="J529">
        <v>60010065</v>
      </c>
      <c r="K529" t="s">
        <v>1756</v>
      </c>
      <c r="L529" t="s">
        <v>1755</v>
      </c>
      <c r="M529" t="s">
        <v>114</v>
      </c>
      <c r="N529">
        <v>2</v>
      </c>
      <c r="O529" t="s">
        <v>1754</v>
      </c>
      <c r="P529" t="s">
        <v>1753</v>
      </c>
      <c r="Q529" t="s">
        <v>1752</v>
      </c>
      <c r="R529" s="7">
        <v>31413</v>
      </c>
      <c r="S529" s="8">
        <f t="shared" si="64"/>
        <v>1986</v>
      </c>
      <c r="T529" s="8">
        <v>1986</v>
      </c>
      <c r="U529" s="8">
        <f t="shared" si="65"/>
        <v>36</v>
      </c>
      <c r="V529" s="7">
        <v>31472</v>
      </c>
      <c r="W529" t="s">
        <v>6</v>
      </c>
      <c r="X529" s="2">
        <v>1.3720000000000001</v>
      </c>
      <c r="Y529" s="6">
        <f t="shared" si="70"/>
        <v>3.662475641333654E-2</v>
      </c>
      <c r="AA529">
        <v>189480</v>
      </c>
      <c r="AB529">
        <v>17366</v>
      </c>
      <c r="AC529">
        <v>15579670</v>
      </c>
      <c r="AD529" t="s">
        <v>5</v>
      </c>
      <c r="AE529">
        <v>34</v>
      </c>
      <c r="AF529">
        <v>3</v>
      </c>
      <c r="AH529" t="s">
        <v>1751</v>
      </c>
      <c r="AI529" t="s">
        <v>1750</v>
      </c>
      <c r="AK529" t="s">
        <v>1749</v>
      </c>
      <c r="AL529">
        <v>18</v>
      </c>
      <c r="AM529" s="5">
        <f t="shared" si="66"/>
        <v>0.5</v>
      </c>
      <c r="AN529" s="4">
        <f t="shared" si="71"/>
        <v>7.572889057175312E-4</v>
      </c>
      <c r="AO529" s="3"/>
      <c r="AP529">
        <v>0</v>
      </c>
      <c r="AR529" t="s">
        <v>1</v>
      </c>
      <c r="AT529" s="2" t="s">
        <v>0</v>
      </c>
      <c r="AU529" s="1">
        <f t="shared" si="67"/>
        <v>2.5864516161050837</v>
      </c>
      <c r="AV529" s="1">
        <f t="shared" si="68"/>
        <v>1.8691022659527035</v>
      </c>
      <c r="AW529" s="1">
        <f t="shared" si="69"/>
        <v>1.1517529158003235</v>
      </c>
    </row>
    <row r="530" spans="1:49" x14ac:dyDescent="0.2">
      <c r="A530">
        <v>528</v>
      </c>
      <c r="B530" t="s">
        <v>1748</v>
      </c>
      <c r="C530" t="s">
        <v>1747</v>
      </c>
      <c r="F530" t="s">
        <v>1746</v>
      </c>
      <c r="G530" t="s">
        <v>16</v>
      </c>
      <c r="H530" t="s">
        <v>15</v>
      </c>
      <c r="I530" t="s">
        <v>1745</v>
      </c>
      <c r="J530">
        <v>60027271</v>
      </c>
      <c r="K530" t="s">
        <v>1368</v>
      </c>
      <c r="L530" t="s">
        <v>502</v>
      </c>
      <c r="M530" t="s">
        <v>114</v>
      </c>
      <c r="N530">
        <v>2</v>
      </c>
      <c r="O530" t="s">
        <v>1744</v>
      </c>
      <c r="P530" t="s">
        <v>1743</v>
      </c>
      <c r="Q530" t="s">
        <v>1742</v>
      </c>
      <c r="R530" s="7">
        <v>31413</v>
      </c>
      <c r="S530" s="8">
        <f t="shared" si="64"/>
        <v>1986</v>
      </c>
      <c r="T530" s="8">
        <v>1986</v>
      </c>
      <c r="U530" s="8">
        <f t="shared" si="65"/>
        <v>36</v>
      </c>
      <c r="V530" s="7" t="s">
        <v>1563</v>
      </c>
      <c r="W530" t="s">
        <v>153</v>
      </c>
      <c r="X530" s="2">
        <v>1.6519999999999999</v>
      </c>
      <c r="Y530" s="6">
        <f t="shared" si="70"/>
        <v>4.409919649769093E-2</v>
      </c>
      <c r="AA530" t="s">
        <v>152</v>
      </c>
      <c r="AB530">
        <v>17337</v>
      </c>
      <c r="AD530" t="s">
        <v>5</v>
      </c>
      <c r="AE530" t="s">
        <v>1375</v>
      </c>
      <c r="AF530">
        <v>3</v>
      </c>
      <c r="AH530" t="s">
        <v>1741</v>
      </c>
      <c r="AI530" t="s">
        <v>1740</v>
      </c>
      <c r="AK530" t="s">
        <v>1739</v>
      </c>
      <c r="AL530">
        <v>1</v>
      </c>
      <c r="AM530" s="5">
        <f t="shared" si="66"/>
        <v>2.7777777777777776E-2</v>
      </c>
      <c r="AN530" s="4">
        <f t="shared" si="71"/>
        <v>4.2071605873196175E-5</v>
      </c>
      <c r="AO530" s="3"/>
      <c r="AP530">
        <v>0</v>
      </c>
      <c r="AR530" t="s">
        <v>1</v>
      </c>
      <c r="AT530" s="2" t="s">
        <v>0</v>
      </c>
      <c r="AU530" s="1">
        <f t="shared" si="67"/>
        <v>3.0882059030145608</v>
      </c>
      <c r="AV530" s="1">
        <f t="shared" si="68"/>
        <v>2.2070634051782063</v>
      </c>
      <c r="AW530" s="1">
        <f t="shared" si="69"/>
        <v>1.3259209073418514</v>
      </c>
    </row>
    <row r="531" spans="1:49" x14ac:dyDescent="0.2">
      <c r="A531">
        <v>529</v>
      </c>
      <c r="B531" t="s">
        <v>1738</v>
      </c>
      <c r="C531" t="s">
        <v>1737</v>
      </c>
      <c r="F531" t="s">
        <v>1736</v>
      </c>
      <c r="G531" t="s">
        <v>16</v>
      </c>
      <c r="H531" t="s">
        <v>15</v>
      </c>
      <c r="I531" t="s">
        <v>1735</v>
      </c>
      <c r="J531">
        <v>60010818</v>
      </c>
      <c r="K531" t="s">
        <v>1734</v>
      </c>
      <c r="L531" t="s">
        <v>1733</v>
      </c>
      <c r="M531" t="s">
        <v>665</v>
      </c>
      <c r="N531">
        <v>2</v>
      </c>
      <c r="O531" t="s">
        <v>1732</v>
      </c>
      <c r="P531" t="s">
        <v>1731</v>
      </c>
      <c r="Q531" t="s">
        <v>1730</v>
      </c>
      <c r="R531" s="7">
        <v>31413</v>
      </c>
      <c r="S531" s="8">
        <f t="shared" ref="S531:S594" si="72">YEAR(R531)</f>
        <v>1986</v>
      </c>
      <c r="T531" s="8">
        <v>1986</v>
      </c>
      <c r="U531" s="8">
        <f t="shared" ref="U531:U594" si="73">2022-T531</f>
        <v>36</v>
      </c>
      <c r="V531" s="7" t="s">
        <v>1563</v>
      </c>
      <c r="W531" t="s">
        <v>921</v>
      </c>
      <c r="X531" s="2" t="s">
        <v>0</v>
      </c>
      <c r="Y531" s="6" t="e">
        <f t="shared" si="70"/>
        <v>#VALUE!</v>
      </c>
      <c r="AA531">
        <v>2671689</v>
      </c>
      <c r="AB531">
        <v>87645</v>
      </c>
      <c r="AD531" t="s">
        <v>5</v>
      </c>
      <c r="AE531">
        <v>56</v>
      </c>
      <c r="AF531">
        <v>3</v>
      </c>
      <c r="AH531" t="s">
        <v>1729</v>
      </c>
      <c r="AI531" t="s">
        <v>1728</v>
      </c>
      <c r="AK531" t="s">
        <v>1727</v>
      </c>
      <c r="AL531">
        <v>1</v>
      </c>
      <c r="AM531" s="5">
        <f t="shared" ref="AM531:AM594" si="74">AL531/U531</f>
        <v>2.7777777777777776E-2</v>
      </c>
      <c r="AN531" s="4">
        <f t="shared" si="71"/>
        <v>4.2071605873196175E-5</v>
      </c>
      <c r="AO531" s="3"/>
      <c r="AP531">
        <v>0</v>
      </c>
      <c r="AR531" t="s">
        <v>1</v>
      </c>
      <c r="AT531" s="2" t="s">
        <v>0</v>
      </c>
      <c r="AU531" s="1" t="e">
        <f t="shared" ref="AU531:AU594" si="75">(Y531*0.7+AN531*0.3)*100</f>
        <v>#VALUE!</v>
      </c>
      <c r="AV531" s="1" t="e">
        <f t="shared" ref="AV531:AV594" si="76">(Y531*0.5+AN531*0.5)*100</f>
        <v>#VALUE!</v>
      </c>
      <c r="AW531" s="1" t="e">
        <f t="shared" ref="AW531:AW594" si="77">(Y531*0.3+AN531*0.7)*100</f>
        <v>#VALUE!</v>
      </c>
    </row>
    <row r="532" spans="1:49" x14ac:dyDescent="0.2">
      <c r="A532">
        <v>530</v>
      </c>
      <c r="B532" t="s">
        <v>1726</v>
      </c>
      <c r="C532" t="s">
        <v>1725</v>
      </c>
      <c r="E532">
        <v>2426614</v>
      </c>
      <c r="F532" t="s">
        <v>1724</v>
      </c>
      <c r="G532" t="s">
        <v>16</v>
      </c>
      <c r="H532" t="s">
        <v>15</v>
      </c>
      <c r="I532" t="s">
        <v>1723</v>
      </c>
      <c r="J532">
        <v>60023691</v>
      </c>
      <c r="K532" t="s">
        <v>1722</v>
      </c>
      <c r="L532" t="s">
        <v>1721</v>
      </c>
      <c r="M532" t="s">
        <v>114</v>
      </c>
      <c r="N532">
        <v>6</v>
      </c>
      <c r="O532" t="s">
        <v>1720</v>
      </c>
      <c r="P532" t="s">
        <v>1719</v>
      </c>
      <c r="Q532" t="s">
        <v>1718</v>
      </c>
      <c r="R532" s="7">
        <v>31413</v>
      </c>
      <c r="S532" s="8">
        <f t="shared" si="72"/>
        <v>1986</v>
      </c>
      <c r="T532" s="8">
        <v>1986</v>
      </c>
      <c r="U532" s="8">
        <f t="shared" si="73"/>
        <v>36</v>
      </c>
      <c r="V532" s="7">
        <v>1986</v>
      </c>
      <c r="W532" t="s">
        <v>1717</v>
      </c>
      <c r="X532" s="2">
        <v>0.78800000000000003</v>
      </c>
      <c r="Y532" s="6">
        <f t="shared" si="70"/>
        <v>2.1035209951683086E-2</v>
      </c>
      <c r="AA532">
        <v>4708105</v>
      </c>
      <c r="AB532">
        <v>17525</v>
      </c>
      <c r="AC532">
        <v>13498029</v>
      </c>
      <c r="AD532" t="s">
        <v>5</v>
      </c>
      <c r="AE532">
        <v>26</v>
      </c>
      <c r="AF532">
        <v>3</v>
      </c>
      <c r="AH532" t="s">
        <v>1716</v>
      </c>
      <c r="AI532" t="s">
        <v>1715</v>
      </c>
      <c r="AJ532" t="s">
        <v>1714</v>
      </c>
      <c r="AK532" t="s">
        <v>1713</v>
      </c>
      <c r="AL532">
        <v>0</v>
      </c>
      <c r="AM532" s="5">
        <f t="shared" si="74"/>
        <v>0</v>
      </c>
      <c r="AN532" s="4">
        <f t="shared" si="71"/>
        <v>0</v>
      </c>
      <c r="AO532" s="3"/>
      <c r="AP532">
        <v>1</v>
      </c>
      <c r="AR532" t="s">
        <v>1</v>
      </c>
      <c r="AT532" s="2">
        <v>1.742</v>
      </c>
      <c r="AU532" s="1">
        <f t="shared" si="75"/>
        <v>1.4724646966178159</v>
      </c>
      <c r="AV532" s="1">
        <f t="shared" si="76"/>
        <v>1.0517604975841544</v>
      </c>
      <c r="AW532" s="1">
        <f t="shared" si="77"/>
        <v>0.6310562985504925</v>
      </c>
    </row>
    <row r="533" spans="1:49" x14ac:dyDescent="0.2">
      <c r="A533">
        <v>531</v>
      </c>
      <c r="B533" t="s">
        <v>1712</v>
      </c>
      <c r="C533" t="s">
        <v>1711</v>
      </c>
      <c r="F533" t="s">
        <v>1710</v>
      </c>
      <c r="G533" t="s">
        <v>16</v>
      </c>
      <c r="H533" t="s">
        <v>15</v>
      </c>
      <c r="I533" t="s">
        <v>1709</v>
      </c>
      <c r="J533">
        <v>60014655</v>
      </c>
      <c r="K533" t="s">
        <v>1708</v>
      </c>
      <c r="L533" t="s">
        <v>1707</v>
      </c>
      <c r="M533" t="s">
        <v>1706</v>
      </c>
      <c r="N533">
        <v>3</v>
      </c>
      <c r="O533" t="s">
        <v>1705</v>
      </c>
      <c r="P533" t="s">
        <v>1704</v>
      </c>
      <c r="Q533" t="s">
        <v>1703</v>
      </c>
      <c r="R533" s="7">
        <v>31413</v>
      </c>
      <c r="S533" s="8">
        <f t="shared" si="72"/>
        <v>1986</v>
      </c>
      <c r="T533" s="8">
        <v>1986</v>
      </c>
      <c r="U533" s="8">
        <f t="shared" si="73"/>
        <v>36</v>
      </c>
      <c r="V533" s="7">
        <v>1986</v>
      </c>
      <c r="W533" t="s">
        <v>580</v>
      </c>
      <c r="X533" s="2">
        <v>0.375</v>
      </c>
      <c r="Y533" s="6">
        <f t="shared" si="70"/>
        <v>1.0010410827260351E-2</v>
      </c>
      <c r="AA533">
        <v>135194</v>
      </c>
      <c r="AB533">
        <v>24918</v>
      </c>
      <c r="AD533" t="s">
        <v>5</v>
      </c>
      <c r="AE533">
        <v>22</v>
      </c>
      <c r="AF533">
        <v>6</v>
      </c>
      <c r="AH533" t="s">
        <v>1702</v>
      </c>
      <c r="AI533" t="s">
        <v>1701</v>
      </c>
      <c r="AJ533" t="s">
        <v>1700</v>
      </c>
      <c r="AK533" t="s">
        <v>1699</v>
      </c>
      <c r="AL533">
        <v>5</v>
      </c>
      <c r="AM533" s="5">
        <f t="shared" si="74"/>
        <v>0.1388888888888889</v>
      </c>
      <c r="AN533" s="4">
        <f t="shared" si="71"/>
        <v>2.103580293659809E-4</v>
      </c>
      <c r="AO533" s="3"/>
      <c r="AP533">
        <v>0</v>
      </c>
      <c r="AR533" t="s">
        <v>1</v>
      </c>
      <c r="AT533" s="2">
        <v>1.3140000000000001</v>
      </c>
      <c r="AU533" s="1">
        <f t="shared" si="75"/>
        <v>0.70703949878920391</v>
      </c>
      <c r="AV533" s="1">
        <f t="shared" si="76"/>
        <v>0.51103844283131661</v>
      </c>
      <c r="AW533" s="1">
        <f t="shared" si="77"/>
        <v>0.31503738687342919</v>
      </c>
    </row>
    <row r="534" spans="1:49" x14ac:dyDescent="0.2">
      <c r="A534">
        <v>532</v>
      </c>
      <c r="B534" t="s">
        <v>1698</v>
      </c>
      <c r="C534" t="s">
        <v>1697</v>
      </c>
      <c r="F534" t="s">
        <v>1696</v>
      </c>
      <c r="G534" t="s">
        <v>16</v>
      </c>
      <c r="H534" t="s">
        <v>15</v>
      </c>
      <c r="I534" t="s">
        <v>1695</v>
      </c>
      <c r="J534">
        <v>60021902</v>
      </c>
      <c r="K534" t="s">
        <v>1694</v>
      </c>
      <c r="L534" t="s">
        <v>1693</v>
      </c>
      <c r="M534" t="s">
        <v>1552</v>
      </c>
      <c r="N534">
        <v>1</v>
      </c>
      <c r="O534" t="s">
        <v>1692</v>
      </c>
      <c r="P534">
        <v>57203176700</v>
      </c>
      <c r="Q534">
        <v>60021902</v>
      </c>
      <c r="R534" s="7">
        <v>31413</v>
      </c>
      <c r="S534" s="8">
        <f t="shared" si="72"/>
        <v>1986</v>
      </c>
      <c r="T534" s="8">
        <v>1986</v>
      </c>
      <c r="U534" s="8">
        <f t="shared" si="73"/>
        <v>36</v>
      </c>
      <c r="V534" s="7">
        <v>1986</v>
      </c>
      <c r="W534" t="s">
        <v>580</v>
      </c>
      <c r="X534" s="2">
        <v>0.375</v>
      </c>
      <c r="Y534" s="6">
        <f t="shared" si="70"/>
        <v>1.0010410827260351E-2</v>
      </c>
      <c r="AA534">
        <v>135194</v>
      </c>
      <c r="AB534">
        <v>24918</v>
      </c>
      <c r="AD534" t="s">
        <v>5</v>
      </c>
      <c r="AE534">
        <v>22</v>
      </c>
      <c r="AF534">
        <v>6</v>
      </c>
      <c r="AH534" t="s">
        <v>1691</v>
      </c>
      <c r="AI534" t="s">
        <v>1690</v>
      </c>
      <c r="AJ534" t="s">
        <v>1689</v>
      </c>
      <c r="AK534" t="s">
        <v>1688</v>
      </c>
      <c r="AL534">
        <v>14</v>
      </c>
      <c r="AM534" s="5">
        <f t="shared" si="74"/>
        <v>0.3888888888888889</v>
      </c>
      <c r="AN534" s="4">
        <f t="shared" si="71"/>
        <v>5.890024822247465E-4</v>
      </c>
      <c r="AO534" s="3"/>
      <c r="AP534">
        <v>0</v>
      </c>
      <c r="AR534" t="s">
        <v>1</v>
      </c>
      <c r="AT534" s="2">
        <v>1.3140000000000001</v>
      </c>
      <c r="AU534" s="1">
        <f t="shared" si="75"/>
        <v>0.71839883237496704</v>
      </c>
      <c r="AV534" s="1">
        <f t="shared" si="76"/>
        <v>0.52997066547425487</v>
      </c>
      <c r="AW534" s="1">
        <f t="shared" si="77"/>
        <v>0.34154249857354274</v>
      </c>
    </row>
    <row r="535" spans="1:49" x14ac:dyDescent="0.2">
      <c r="A535">
        <v>533</v>
      </c>
      <c r="B535" t="s">
        <v>1687</v>
      </c>
      <c r="C535" t="s">
        <v>1686</v>
      </c>
      <c r="F535" t="s">
        <v>1685</v>
      </c>
      <c r="G535" t="s">
        <v>16</v>
      </c>
      <c r="H535" t="s">
        <v>15</v>
      </c>
      <c r="I535" t="s">
        <v>1684</v>
      </c>
      <c r="J535" t="s">
        <v>1683</v>
      </c>
      <c r="K535" t="s">
        <v>1682</v>
      </c>
      <c r="L535" t="s">
        <v>1681</v>
      </c>
      <c r="M535" t="s">
        <v>783</v>
      </c>
      <c r="N535">
        <v>5</v>
      </c>
      <c r="O535" t="s">
        <v>1680</v>
      </c>
      <c r="P535" t="s">
        <v>1679</v>
      </c>
      <c r="Q535" t="s">
        <v>1678</v>
      </c>
      <c r="R535" s="7">
        <v>31413</v>
      </c>
      <c r="S535" s="8">
        <f t="shared" si="72"/>
        <v>1986</v>
      </c>
      <c r="T535" s="8">
        <v>1986</v>
      </c>
      <c r="U535" s="8">
        <f t="shared" si="73"/>
        <v>36</v>
      </c>
      <c r="V535" s="7">
        <v>31472</v>
      </c>
      <c r="W535" t="s">
        <v>1505</v>
      </c>
      <c r="X535" s="2">
        <v>2.0070000000000001</v>
      </c>
      <c r="Y535" s="6">
        <f t="shared" si="70"/>
        <v>5.3575718747497406E-2</v>
      </c>
      <c r="AA535">
        <v>948276</v>
      </c>
      <c r="AB535">
        <v>27962</v>
      </c>
      <c r="AC535">
        <v>19448007</v>
      </c>
      <c r="AD535" t="s">
        <v>5</v>
      </c>
      <c r="AE535">
        <v>13</v>
      </c>
      <c r="AF535">
        <v>3</v>
      </c>
      <c r="AH535" t="s">
        <v>1677</v>
      </c>
      <c r="AI535" t="s">
        <v>1676</v>
      </c>
      <c r="AK535" t="s">
        <v>1675</v>
      </c>
      <c r="AL535">
        <v>15</v>
      </c>
      <c r="AM535" s="5">
        <f t="shared" si="74"/>
        <v>0.41666666666666669</v>
      </c>
      <c r="AN535" s="4">
        <f t="shared" si="71"/>
        <v>6.310740880979427E-4</v>
      </c>
      <c r="AO535" s="3"/>
      <c r="AP535">
        <v>0</v>
      </c>
      <c r="AR535" t="s">
        <v>1</v>
      </c>
      <c r="AT535" s="2">
        <v>4.72</v>
      </c>
      <c r="AU535" s="1">
        <f t="shared" si="75"/>
        <v>3.7692325349677565</v>
      </c>
      <c r="AV535" s="1">
        <f t="shared" si="76"/>
        <v>2.7103396417797674</v>
      </c>
      <c r="AW535" s="1">
        <f t="shared" si="77"/>
        <v>1.6514467485917779</v>
      </c>
    </row>
    <row r="536" spans="1:49" x14ac:dyDescent="0.2">
      <c r="A536">
        <v>534</v>
      </c>
      <c r="B536" t="s">
        <v>1674</v>
      </c>
      <c r="C536" t="s">
        <v>1673</v>
      </c>
      <c r="F536" t="s">
        <v>1672</v>
      </c>
      <c r="G536" t="s">
        <v>16</v>
      </c>
      <c r="H536" t="s">
        <v>15</v>
      </c>
      <c r="I536" t="s">
        <v>1671</v>
      </c>
      <c r="J536" t="s">
        <v>1670</v>
      </c>
      <c r="K536" t="s">
        <v>1669</v>
      </c>
      <c r="L536" t="s">
        <v>1668</v>
      </c>
      <c r="M536" t="s">
        <v>1667</v>
      </c>
      <c r="N536">
        <v>4</v>
      </c>
      <c r="O536" t="s">
        <v>1666</v>
      </c>
      <c r="P536" t="s">
        <v>1665</v>
      </c>
      <c r="Q536" t="s">
        <v>1664</v>
      </c>
      <c r="R536" s="7">
        <v>31413</v>
      </c>
      <c r="S536" s="8">
        <f t="shared" si="72"/>
        <v>1986</v>
      </c>
      <c r="T536" s="8">
        <v>1986</v>
      </c>
      <c r="U536" s="8">
        <f t="shared" si="73"/>
        <v>36</v>
      </c>
      <c r="V536" s="7">
        <v>1986</v>
      </c>
      <c r="W536" t="s">
        <v>580</v>
      </c>
      <c r="X536" s="2">
        <v>0.375</v>
      </c>
      <c r="Y536" s="6">
        <f t="shared" si="70"/>
        <v>1.0010410827260351E-2</v>
      </c>
      <c r="AA536">
        <v>135194</v>
      </c>
      <c r="AB536">
        <v>24918</v>
      </c>
      <c r="AD536" t="s">
        <v>5</v>
      </c>
      <c r="AE536">
        <v>22</v>
      </c>
      <c r="AF536">
        <v>7</v>
      </c>
      <c r="AH536" t="s">
        <v>1663</v>
      </c>
      <c r="AI536" t="s">
        <v>1662</v>
      </c>
      <c r="AJ536" t="s">
        <v>1661</v>
      </c>
      <c r="AK536" t="s">
        <v>1660</v>
      </c>
      <c r="AL536">
        <v>2</v>
      </c>
      <c r="AM536" s="5">
        <f t="shared" si="74"/>
        <v>5.5555555555555552E-2</v>
      </c>
      <c r="AN536" s="4">
        <f t="shared" si="71"/>
        <v>8.4143211746392349E-5</v>
      </c>
      <c r="AO536" s="3"/>
      <c r="AP536">
        <v>0</v>
      </c>
      <c r="AR536" t="s">
        <v>1</v>
      </c>
      <c r="AT536" s="2">
        <v>1.3140000000000001</v>
      </c>
      <c r="AU536" s="1">
        <f t="shared" si="75"/>
        <v>0.70325305426061635</v>
      </c>
      <c r="AV536" s="1">
        <f t="shared" si="76"/>
        <v>0.50472770195033723</v>
      </c>
      <c r="AW536" s="1">
        <f t="shared" si="77"/>
        <v>0.30620234964005794</v>
      </c>
    </row>
    <row r="537" spans="1:49" x14ac:dyDescent="0.2">
      <c r="A537">
        <v>535</v>
      </c>
      <c r="B537" t="s">
        <v>1659</v>
      </c>
      <c r="C537" t="s">
        <v>1658</v>
      </c>
      <c r="F537" t="s">
        <v>1657</v>
      </c>
      <c r="G537" t="s">
        <v>16</v>
      </c>
      <c r="H537" t="s">
        <v>15</v>
      </c>
      <c r="I537" t="s">
        <v>1656</v>
      </c>
      <c r="J537">
        <v>60001565</v>
      </c>
      <c r="K537" t="s">
        <v>1655</v>
      </c>
      <c r="L537" t="s">
        <v>1654</v>
      </c>
      <c r="M537" t="s">
        <v>1552</v>
      </c>
      <c r="N537">
        <v>3</v>
      </c>
      <c r="O537" t="s">
        <v>1653</v>
      </c>
      <c r="P537" t="s">
        <v>1652</v>
      </c>
      <c r="Q537" t="s">
        <v>1651</v>
      </c>
      <c r="R537" s="7">
        <v>31413</v>
      </c>
      <c r="S537" s="8">
        <f t="shared" si="72"/>
        <v>1986</v>
      </c>
      <c r="T537" s="8">
        <v>1986</v>
      </c>
      <c r="U537" s="8">
        <f t="shared" si="73"/>
        <v>36</v>
      </c>
      <c r="V537" s="7">
        <v>1986</v>
      </c>
      <c r="W537" t="s">
        <v>580</v>
      </c>
      <c r="X537" s="2">
        <v>0.375</v>
      </c>
      <c r="Y537" s="6">
        <f t="shared" si="70"/>
        <v>1.0010410827260351E-2</v>
      </c>
      <c r="AA537">
        <v>135194</v>
      </c>
      <c r="AB537">
        <v>24918</v>
      </c>
      <c r="AD537" t="s">
        <v>5</v>
      </c>
      <c r="AE537">
        <v>22</v>
      </c>
      <c r="AF537">
        <v>7</v>
      </c>
      <c r="AH537" t="s">
        <v>1650</v>
      </c>
      <c r="AI537" t="s">
        <v>1649</v>
      </c>
      <c r="AJ537" t="s">
        <v>1648</v>
      </c>
      <c r="AK537" t="s">
        <v>1647</v>
      </c>
      <c r="AL537">
        <v>2</v>
      </c>
      <c r="AM537" s="5">
        <f t="shared" si="74"/>
        <v>5.5555555555555552E-2</v>
      </c>
      <c r="AN537" s="4">
        <f t="shared" si="71"/>
        <v>8.4143211746392349E-5</v>
      </c>
      <c r="AO537" s="3"/>
      <c r="AP537">
        <v>0</v>
      </c>
      <c r="AR537" t="s">
        <v>1</v>
      </c>
      <c r="AT537" s="2">
        <v>1.3140000000000001</v>
      </c>
      <c r="AU537" s="1">
        <f t="shared" si="75"/>
        <v>0.70325305426061635</v>
      </c>
      <c r="AV537" s="1">
        <f t="shared" si="76"/>
        <v>0.50472770195033723</v>
      </c>
      <c r="AW537" s="1">
        <f t="shared" si="77"/>
        <v>0.30620234964005794</v>
      </c>
    </row>
    <row r="538" spans="1:49" x14ac:dyDescent="0.2">
      <c r="A538">
        <v>536</v>
      </c>
      <c r="B538" t="s">
        <v>1646</v>
      </c>
      <c r="C538" t="s">
        <v>1645</v>
      </c>
      <c r="F538" t="s">
        <v>1644</v>
      </c>
      <c r="G538" t="s">
        <v>16</v>
      </c>
      <c r="H538" t="s">
        <v>15</v>
      </c>
      <c r="I538" t="s">
        <v>1643</v>
      </c>
      <c r="J538">
        <v>60009037</v>
      </c>
      <c r="K538" t="s">
        <v>1642</v>
      </c>
      <c r="L538" t="s">
        <v>1641</v>
      </c>
      <c r="M538" t="s">
        <v>114</v>
      </c>
      <c r="N538">
        <v>3</v>
      </c>
      <c r="O538" t="s">
        <v>1640</v>
      </c>
      <c r="P538" t="s">
        <v>1639</v>
      </c>
      <c r="Q538" t="s">
        <v>1638</v>
      </c>
      <c r="R538" s="7">
        <v>31413</v>
      </c>
      <c r="S538" s="8">
        <f t="shared" si="72"/>
        <v>1986</v>
      </c>
      <c r="T538" s="8">
        <v>1986</v>
      </c>
      <c r="U538" s="8">
        <f t="shared" si="73"/>
        <v>36</v>
      </c>
      <c r="V538" s="7">
        <v>31594</v>
      </c>
      <c r="W538" t="s">
        <v>520</v>
      </c>
      <c r="X538" s="2">
        <v>0.75800000000000001</v>
      </c>
      <c r="Y538" s="6">
        <f t="shared" si="70"/>
        <v>2.0234377085502256E-2</v>
      </c>
      <c r="AA538">
        <v>224650</v>
      </c>
      <c r="AB538">
        <v>29589</v>
      </c>
      <c r="AD538" t="s">
        <v>5</v>
      </c>
      <c r="AE538">
        <v>23</v>
      </c>
      <c r="AF538">
        <v>2</v>
      </c>
      <c r="AH538" t="s">
        <v>1637</v>
      </c>
      <c r="AI538" t="s">
        <v>1636</v>
      </c>
      <c r="AK538" t="s">
        <v>1635</v>
      </c>
      <c r="AL538">
        <v>10</v>
      </c>
      <c r="AM538" s="5">
        <f t="shared" si="74"/>
        <v>0.27777777777777779</v>
      </c>
      <c r="AN538" s="4">
        <f t="shared" si="71"/>
        <v>4.207160587319618E-4</v>
      </c>
      <c r="AO538" s="3"/>
      <c r="AP538">
        <v>0</v>
      </c>
      <c r="AR538" t="s">
        <v>1</v>
      </c>
      <c r="AT538" s="2">
        <v>1.282</v>
      </c>
      <c r="AU538" s="1">
        <f t="shared" si="75"/>
        <v>1.4290278777471166</v>
      </c>
      <c r="AV538" s="1">
        <f t="shared" si="76"/>
        <v>1.0327546572117108</v>
      </c>
      <c r="AW538" s="1">
        <f t="shared" si="77"/>
        <v>0.63648143667630497</v>
      </c>
    </row>
    <row r="539" spans="1:49" x14ac:dyDescent="0.2">
      <c r="A539">
        <v>537</v>
      </c>
      <c r="B539" t="s">
        <v>1634</v>
      </c>
      <c r="C539" t="s">
        <v>1633</v>
      </c>
      <c r="F539" t="s">
        <v>1632</v>
      </c>
      <c r="G539" t="s">
        <v>16</v>
      </c>
      <c r="H539" t="s">
        <v>15</v>
      </c>
      <c r="I539" t="s">
        <v>1631</v>
      </c>
      <c r="J539" t="s">
        <v>1625</v>
      </c>
      <c r="K539" t="s">
        <v>1630</v>
      </c>
      <c r="L539" t="s">
        <v>1629</v>
      </c>
      <c r="M539" t="s">
        <v>1628</v>
      </c>
      <c r="N539">
        <v>3</v>
      </c>
      <c r="O539" t="s">
        <v>1627</v>
      </c>
      <c r="P539" t="s">
        <v>1626</v>
      </c>
      <c r="Q539" t="s">
        <v>1625</v>
      </c>
      <c r="R539" s="7">
        <v>31413</v>
      </c>
      <c r="S539" s="8">
        <f t="shared" si="72"/>
        <v>1986</v>
      </c>
      <c r="T539" s="8">
        <v>1986</v>
      </c>
      <c r="U539" s="8">
        <f t="shared" si="73"/>
        <v>36</v>
      </c>
      <c r="V539" s="7">
        <v>1986</v>
      </c>
      <c r="W539" t="s">
        <v>580</v>
      </c>
      <c r="X539" s="2">
        <v>0.375</v>
      </c>
      <c r="Y539" s="6">
        <f t="shared" si="70"/>
        <v>1.0010410827260351E-2</v>
      </c>
      <c r="AA539">
        <v>135194</v>
      </c>
      <c r="AB539">
        <v>24918</v>
      </c>
      <c r="AD539" t="s">
        <v>5</v>
      </c>
      <c r="AE539">
        <v>22</v>
      </c>
      <c r="AF539">
        <v>7</v>
      </c>
      <c r="AH539" t="s">
        <v>1624</v>
      </c>
      <c r="AI539" t="s">
        <v>1623</v>
      </c>
      <c r="AJ539" t="s">
        <v>1622</v>
      </c>
      <c r="AK539" t="s">
        <v>1621</v>
      </c>
      <c r="AL539">
        <v>4</v>
      </c>
      <c r="AM539" s="5">
        <f t="shared" si="74"/>
        <v>0.1111111111111111</v>
      </c>
      <c r="AN539" s="4">
        <f t="shared" si="71"/>
        <v>1.682864234927847E-4</v>
      </c>
      <c r="AO539" s="3"/>
      <c r="AP539">
        <v>0</v>
      </c>
      <c r="AR539" t="s">
        <v>1</v>
      </c>
      <c r="AT539" s="2">
        <v>1.3140000000000001</v>
      </c>
      <c r="AU539" s="1">
        <f t="shared" si="75"/>
        <v>0.70577735061300817</v>
      </c>
      <c r="AV539" s="1">
        <f t="shared" si="76"/>
        <v>0.50893486253765674</v>
      </c>
      <c r="AW539" s="1">
        <f t="shared" si="77"/>
        <v>0.31209237446230542</v>
      </c>
    </row>
    <row r="540" spans="1:49" x14ac:dyDescent="0.2">
      <c r="A540">
        <v>538</v>
      </c>
      <c r="B540" t="s">
        <v>1620</v>
      </c>
      <c r="C540" t="s">
        <v>1619</v>
      </c>
      <c r="D540" t="s">
        <v>1618</v>
      </c>
      <c r="F540" t="s">
        <v>1617</v>
      </c>
      <c r="G540" t="s">
        <v>16</v>
      </c>
      <c r="H540" t="s">
        <v>15</v>
      </c>
      <c r="I540" t="s">
        <v>1616</v>
      </c>
      <c r="J540">
        <v>60007716</v>
      </c>
      <c r="K540" t="s">
        <v>1615</v>
      </c>
      <c r="L540" t="s">
        <v>1614</v>
      </c>
      <c r="M540" t="s">
        <v>59</v>
      </c>
      <c r="N540">
        <v>1</v>
      </c>
      <c r="O540" t="s">
        <v>1613</v>
      </c>
      <c r="P540">
        <v>55475337800</v>
      </c>
      <c r="Q540">
        <v>60007716</v>
      </c>
      <c r="R540" s="7">
        <v>31413</v>
      </c>
      <c r="S540" s="8">
        <f t="shared" si="72"/>
        <v>1986</v>
      </c>
      <c r="T540" s="8">
        <v>1986</v>
      </c>
      <c r="U540" s="8">
        <f t="shared" si="73"/>
        <v>36</v>
      </c>
      <c r="V540" s="7" t="s">
        <v>1612</v>
      </c>
      <c r="W540" t="s">
        <v>1611</v>
      </c>
      <c r="X540" s="2">
        <v>0.28899999999999998</v>
      </c>
      <c r="Y540" s="6">
        <f t="shared" si="70"/>
        <v>7.7146899442086438E-3</v>
      </c>
      <c r="AA540">
        <v>262692</v>
      </c>
      <c r="AB540">
        <v>9500153939</v>
      </c>
      <c r="AD540" t="s">
        <v>5</v>
      </c>
      <c r="AE540">
        <v>17</v>
      </c>
      <c r="AF540">
        <v>2</v>
      </c>
      <c r="AH540" t="s">
        <v>846</v>
      </c>
      <c r="AI540" t="s">
        <v>1610</v>
      </c>
      <c r="AK540" t="s">
        <v>1609</v>
      </c>
      <c r="AL540">
        <v>1</v>
      </c>
      <c r="AM540" s="5">
        <f t="shared" si="74"/>
        <v>2.7777777777777776E-2</v>
      </c>
      <c r="AN540" s="4">
        <f t="shared" si="71"/>
        <v>4.2071605873196175E-5</v>
      </c>
      <c r="AO540" s="3"/>
      <c r="AP540">
        <v>0</v>
      </c>
      <c r="AR540" t="s">
        <v>1</v>
      </c>
      <c r="AT540" s="2">
        <v>1.605</v>
      </c>
      <c r="AU540" s="1">
        <f t="shared" si="75"/>
        <v>0.54129044427080086</v>
      </c>
      <c r="AV540" s="1">
        <f t="shared" si="76"/>
        <v>0.38783807750409199</v>
      </c>
      <c r="AW540" s="1">
        <f t="shared" si="77"/>
        <v>0.23438571073738304</v>
      </c>
    </row>
    <row r="541" spans="1:49" x14ac:dyDescent="0.2">
      <c r="A541">
        <v>539</v>
      </c>
      <c r="B541" t="s">
        <v>1608</v>
      </c>
      <c r="C541" t="s">
        <v>1607</v>
      </c>
      <c r="F541" t="s">
        <v>1606</v>
      </c>
      <c r="G541" t="s">
        <v>16</v>
      </c>
      <c r="H541" t="s">
        <v>15</v>
      </c>
      <c r="I541" t="s">
        <v>1605</v>
      </c>
      <c r="J541" t="s">
        <v>1604</v>
      </c>
      <c r="K541" t="s">
        <v>1603</v>
      </c>
      <c r="L541" t="s">
        <v>1602</v>
      </c>
      <c r="M541" t="s">
        <v>1472</v>
      </c>
      <c r="N541">
        <v>5</v>
      </c>
      <c r="O541" t="s">
        <v>1601</v>
      </c>
      <c r="P541" t="s">
        <v>1600</v>
      </c>
      <c r="Q541" t="s">
        <v>1599</v>
      </c>
      <c r="R541" s="7">
        <v>31413</v>
      </c>
      <c r="S541" s="8">
        <f t="shared" si="72"/>
        <v>1986</v>
      </c>
      <c r="T541" s="8">
        <v>1986</v>
      </c>
      <c r="U541" s="8">
        <f t="shared" si="73"/>
        <v>36</v>
      </c>
      <c r="V541" s="7">
        <v>31472</v>
      </c>
      <c r="W541" t="s">
        <v>1505</v>
      </c>
      <c r="X541" s="2">
        <v>2.0070000000000001</v>
      </c>
      <c r="Y541" s="6">
        <f t="shared" si="70"/>
        <v>5.3575718747497406E-2</v>
      </c>
      <c r="AA541">
        <v>948276</v>
      </c>
      <c r="AB541">
        <v>27962</v>
      </c>
      <c r="AC541">
        <v>19448007</v>
      </c>
      <c r="AD541" t="s">
        <v>5</v>
      </c>
      <c r="AE541">
        <v>13</v>
      </c>
      <c r="AF541">
        <v>3</v>
      </c>
      <c r="AH541" t="s">
        <v>1598</v>
      </c>
      <c r="AI541" t="s">
        <v>1597</v>
      </c>
      <c r="AK541" t="s">
        <v>1596</v>
      </c>
      <c r="AL541">
        <v>8</v>
      </c>
      <c r="AM541" s="5">
        <f t="shared" si="74"/>
        <v>0.22222222222222221</v>
      </c>
      <c r="AN541" s="4">
        <f t="shared" si="71"/>
        <v>3.365728469855694E-4</v>
      </c>
      <c r="AO541" s="3"/>
      <c r="AP541">
        <v>0</v>
      </c>
      <c r="AR541" t="s">
        <v>1</v>
      </c>
      <c r="AT541" s="2">
        <v>4.72</v>
      </c>
      <c r="AU541" s="1">
        <f t="shared" si="75"/>
        <v>3.760397497734385</v>
      </c>
      <c r="AV541" s="1">
        <f t="shared" si="76"/>
        <v>2.6956145797241491</v>
      </c>
      <c r="AW541" s="1">
        <f t="shared" si="77"/>
        <v>1.6308316617139118</v>
      </c>
    </row>
    <row r="542" spans="1:49" x14ac:dyDescent="0.2">
      <c r="A542">
        <v>540</v>
      </c>
      <c r="B542" t="s">
        <v>1595</v>
      </c>
      <c r="C542" t="s">
        <v>1594</v>
      </c>
      <c r="F542" t="s">
        <v>1593</v>
      </c>
      <c r="G542" t="s">
        <v>16</v>
      </c>
      <c r="H542" t="s">
        <v>15</v>
      </c>
      <c r="I542" t="s">
        <v>1592</v>
      </c>
      <c r="J542">
        <v>60030553</v>
      </c>
      <c r="K542" t="s">
        <v>1591</v>
      </c>
      <c r="L542" t="s">
        <v>1590</v>
      </c>
      <c r="M542" t="s">
        <v>59</v>
      </c>
      <c r="N542">
        <v>3</v>
      </c>
      <c r="O542" t="s">
        <v>1589</v>
      </c>
      <c r="P542" t="s">
        <v>1588</v>
      </c>
      <c r="Q542" t="s">
        <v>1587</v>
      </c>
      <c r="R542" s="7">
        <v>31413</v>
      </c>
      <c r="S542" s="8">
        <f t="shared" si="72"/>
        <v>1986</v>
      </c>
      <c r="T542" s="8">
        <v>1986</v>
      </c>
      <c r="U542" s="8">
        <f t="shared" si="73"/>
        <v>36</v>
      </c>
      <c r="V542" s="7">
        <v>1986</v>
      </c>
      <c r="W542" t="s">
        <v>580</v>
      </c>
      <c r="X542" s="2">
        <v>0.375</v>
      </c>
      <c r="Y542" s="6">
        <f t="shared" si="70"/>
        <v>1.0010410827260351E-2</v>
      </c>
      <c r="AA542">
        <v>135194</v>
      </c>
      <c r="AB542">
        <v>24918</v>
      </c>
      <c r="AD542" t="s">
        <v>5</v>
      </c>
      <c r="AE542">
        <v>22</v>
      </c>
      <c r="AF542">
        <v>7</v>
      </c>
      <c r="AH542" t="s">
        <v>1586</v>
      </c>
      <c r="AI542" t="s">
        <v>1585</v>
      </c>
      <c r="AJ542" t="s">
        <v>1584</v>
      </c>
      <c r="AK542" t="s">
        <v>1583</v>
      </c>
      <c r="AL542">
        <v>0</v>
      </c>
      <c r="AM542" s="5">
        <f t="shared" si="74"/>
        <v>0</v>
      </c>
      <c r="AN542" s="4">
        <f t="shared" si="71"/>
        <v>0</v>
      </c>
      <c r="AO542" s="3"/>
      <c r="AP542">
        <v>0</v>
      </c>
      <c r="AR542" t="s">
        <v>1</v>
      </c>
      <c r="AT542" s="2">
        <v>1.3140000000000001</v>
      </c>
      <c r="AU542" s="1">
        <f t="shared" si="75"/>
        <v>0.70072875790822453</v>
      </c>
      <c r="AV542" s="1">
        <f t="shared" si="76"/>
        <v>0.5005205413630176</v>
      </c>
      <c r="AW542" s="1">
        <f t="shared" si="77"/>
        <v>0.30031232481781051</v>
      </c>
    </row>
    <row r="543" spans="1:49" x14ac:dyDescent="0.2">
      <c r="A543">
        <v>541</v>
      </c>
      <c r="B543" t="s">
        <v>1582</v>
      </c>
      <c r="C543" t="s">
        <v>1581</v>
      </c>
      <c r="F543" t="s">
        <v>1580</v>
      </c>
      <c r="G543" t="s">
        <v>16</v>
      </c>
      <c r="H543" t="s">
        <v>15</v>
      </c>
      <c r="I543" t="s">
        <v>1579</v>
      </c>
      <c r="J543">
        <v>60019702</v>
      </c>
      <c r="K543" t="s">
        <v>1578</v>
      </c>
      <c r="L543" t="s">
        <v>1577</v>
      </c>
      <c r="M543" t="s">
        <v>665</v>
      </c>
      <c r="N543">
        <v>3</v>
      </c>
      <c r="O543" t="s">
        <v>1576</v>
      </c>
      <c r="P543" t="s">
        <v>1575</v>
      </c>
      <c r="Q543" t="s">
        <v>1574</v>
      </c>
      <c r="R543" s="7">
        <v>31413</v>
      </c>
      <c r="S543" s="8">
        <f t="shared" si="72"/>
        <v>1986</v>
      </c>
      <c r="T543" s="8">
        <v>1986</v>
      </c>
      <c r="U543" s="8">
        <f t="shared" si="73"/>
        <v>36</v>
      </c>
      <c r="V543" s="7">
        <v>1986</v>
      </c>
      <c r="W543" t="s">
        <v>580</v>
      </c>
      <c r="X543" s="2">
        <v>0.375</v>
      </c>
      <c r="Y543" s="6">
        <f t="shared" si="70"/>
        <v>1.0010410827260351E-2</v>
      </c>
      <c r="AA543">
        <v>135194</v>
      </c>
      <c r="AB543">
        <v>24918</v>
      </c>
      <c r="AD543" t="s">
        <v>5</v>
      </c>
      <c r="AE543">
        <v>22</v>
      </c>
      <c r="AF543">
        <v>7</v>
      </c>
      <c r="AH543" t="s">
        <v>1573</v>
      </c>
      <c r="AI543" t="s">
        <v>1572</v>
      </c>
      <c r="AJ543" t="s">
        <v>1571</v>
      </c>
      <c r="AK543" t="s">
        <v>1570</v>
      </c>
      <c r="AL543">
        <v>5</v>
      </c>
      <c r="AM543" s="5">
        <f t="shared" si="74"/>
        <v>0.1388888888888889</v>
      </c>
      <c r="AN543" s="4">
        <f t="shared" si="71"/>
        <v>2.103580293659809E-4</v>
      </c>
      <c r="AO543" s="3"/>
      <c r="AP543">
        <v>0</v>
      </c>
      <c r="AR543" t="s">
        <v>1</v>
      </c>
      <c r="AT543" s="2">
        <v>1.3140000000000001</v>
      </c>
      <c r="AU543" s="1">
        <f t="shared" si="75"/>
        <v>0.70703949878920391</v>
      </c>
      <c r="AV543" s="1">
        <f t="shared" si="76"/>
        <v>0.51103844283131661</v>
      </c>
      <c r="AW543" s="1">
        <f t="shared" si="77"/>
        <v>0.31503738687342919</v>
      </c>
    </row>
    <row r="544" spans="1:49" x14ac:dyDescent="0.2">
      <c r="A544">
        <v>542</v>
      </c>
      <c r="B544" t="s">
        <v>1569</v>
      </c>
      <c r="C544" t="s">
        <v>1568</v>
      </c>
      <c r="F544" t="s">
        <v>1567</v>
      </c>
      <c r="G544" t="s">
        <v>16</v>
      </c>
      <c r="H544" t="s">
        <v>15</v>
      </c>
      <c r="I544" t="s">
        <v>1141</v>
      </c>
      <c r="J544">
        <v>60009697</v>
      </c>
      <c r="K544" t="s">
        <v>1131</v>
      </c>
      <c r="L544" t="s">
        <v>1140</v>
      </c>
      <c r="M544" t="s">
        <v>616</v>
      </c>
      <c r="N544">
        <v>2</v>
      </c>
      <c r="O544" t="s">
        <v>1566</v>
      </c>
      <c r="P544" t="s">
        <v>1565</v>
      </c>
      <c r="Q544" t="s">
        <v>1564</v>
      </c>
      <c r="R544" s="7">
        <v>31413</v>
      </c>
      <c r="S544" s="8">
        <f t="shared" si="72"/>
        <v>1986</v>
      </c>
      <c r="T544" s="8">
        <v>1986</v>
      </c>
      <c r="U544" s="8">
        <f t="shared" si="73"/>
        <v>36</v>
      </c>
      <c r="V544" s="7" t="s">
        <v>1563</v>
      </c>
      <c r="W544" t="s">
        <v>1562</v>
      </c>
      <c r="X544" s="2" t="s">
        <v>0</v>
      </c>
      <c r="Y544" s="6" t="e">
        <f t="shared" si="70"/>
        <v>#VALUE!</v>
      </c>
      <c r="AA544">
        <v>84204</v>
      </c>
      <c r="AB544">
        <v>27420</v>
      </c>
      <c r="AD544" t="s">
        <v>5</v>
      </c>
      <c r="AE544">
        <v>64</v>
      </c>
      <c r="AF544">
        <v>3</v>
      </c>
      <c r="AH544" t="s">
        <v>1561</v>
      </c>
      <c r="AI544" t="s">
        <v>1560</v>
      </c>
      <c r="AK544" t="s">
        <v>1559</v>
      </c>
      <c r="AL544">
        <v>1</v>
      </c>
      <c r="AM544" s="5">
        <f t="shared" si="74"/>
        <v>2.7777777777777776E-2</v>
      </c>
      <c r="AN544" s="4">
        <f t="shared" si="71"/>
        <v>4.2071605873196175E-5</v>
      </c>
      <c r="AO544" s="3"/>
      <c r="AP544">
        <v>0</v>
      </c>
      <c r="AR544" t="s">
        <v>1</v>
      </c>
      <c r="AT544" s="2">
        <v>1.24</v>
      </c>
      <c r="AU544" s="1" t="e">
        <f t="shared" si="75"/>
        <v>#VALUE!</v>
      </c>
      <c r="AV544" s="1" t="e">
        <f t="shared" si="76"/>
        <v>#VALUE!</v>
      </c>
      <c r="AW544" s="1" t="e">
        <f t="shared" si="77"/>
        <v>#VALUE!</v>
      </c>
    </row>
    <row r="545" spans="1:49" x14ac:dyDescent="0.2">
      <c r="A545">
        <v>543</v>
      </c>
      <c r="B545" t="s">
        <v>1558</v>
      </c>
      <c r="C545" t="s">
        <v>1557</v>
      </c>
      <c r="F545" t="s">
        <v>1556</v>
      </c>
      <c r="G545" t="s">
        <v>16</v>
      </c>
      <c r="H545" t="s">
        <v>15</v>
      </c>
      <c r="I545" t="s">
        <v>1555</v>
      </c>
      <c r="J545">
        <v>60000356</v>
      </c>
      <c r="K545" t="s">
        <v>1554</v>
      </c>
      <c r="L545" t="s">
        <v>1553</v>
      </c>
      <c r="M545" t="s">
        <v>1552</v>
      </c>
      <c r="N545">
        <v>1</v>
      </c>
      <c r="O545" t="s">
        <v>1551</v>
      </c>
      <c r="P545">
        <v>7003381571</v>
      </c>
      <c r="Q545">
        <v>60000356</v>
      </c>
      <c r="R545" s="7">
        <v>31413</v>
      </c>
      <c r="S545" s="8">
        <f t="shared" si="72"/>
        <v>1986</v>
      </c>
      <c r="T545" s="8">
        <v>1986</v>
      </c>
      <c r="U545" s="8">
        <f t="shared" si="73"/>
        <v>36</v>
      </c>
      <c r="V545" s="7">
        <v>1986</v>
      </c>
      <c r="W545" t="s">
        <v>580</v>
      </c>
      <c r="X545" s="2">
        <v>0.375</v>
      </c>
      <c r="Y545" s="6">
        <f t="shared" si="70"/>
        <v>1.0010410827260351E-2</v>
      </c>
      <c r="AA545">
        <v>135194</v>
      </c>
      <c r="AB545">
        <v>24918</v>
      </c>
      <c r="AD545" t="s">
        <v>5</v>
      </c>
      <c r="AE545">
        <v>22</v>
      </c>
      <c r="AF545">
        <v>6</v>
      </c>
      <c r="AH545" t="s">
        <v>1550</v>
      </c>
      <c r="AI545" t="s">
        <v>1549</v>
      </c>
      <c r="AJ545" t="s">
        <v>1548</v>
      </c>
      <c r="AK545" t="s">
        <v>1547</v>
      </c>
      <c r="AL545">
        <v>0</v>
      </c>
      <c r="AM545" s="5">
        <f t="shared" si="74"/>
        <v>0</v>
      </c>
      <c r="AN545" s="4">
        <f t="shared" si="71"/>
        <v>0</v>
      </c>
      <c r="AO545" s="3"/>
      <c r="AP545">
        <v>0</v>
      </c>
      <c r="AR545" t="s">
        <v>1</v>
      </c>
      <c r="AT545" s="2">
        <v>1.3140000000000001</v>
      </c>
      <c r="AU545" s="1">
        <f t="shared" si="75"/>
        <v>0.70072875790822453</v>
      </c>
      <c r="AV545" s="1">
        <f t="shared" si="76"/>
        <v>0.5005205413630176</v>
      </c>
      <c r="AW545" s="1">
        <f t="shared" si="77"/>
        <v>0.30031232481781051</v>
      </c>
    </row>
    <row r="546" spans="1:49" x14ac:dyDescent="0.2">
      <c r="A546">
        <v>544</v>
      </c>
      <c r="B546" t="s">
        <v>1546</v>
      </c>
      <c r="C546" t="s">
        <v>1545</v>
      </c>
      <c r="F546" t="s">
        <v>1544</v>
      </c>
      <c r="G546" t="s">
        <v>16</v>
      </c>
      <c r="H546" t="s">
        <v>15</v>
      </c>
      <c r="I546" t="s">
        <v>1543</v>
      </c>
      <c r="J546">
        <v>60000809</v>
      </c>
      <c r="K546" t="s">
        <v>1542</v>
      </c>
      <c r="L546" t="s">
        <v>1541</v>
      </c>
      <c r="M546" t="s">
        <v>71</v>
      </c>
      <c r="N546">
        <v>2</v>
      </c>
      <c r="O546" t="s">
        <v>1540</v>
      </c>
      <c r="P546" t="s">
        <v>1539</v>
      </c>
      <c r="Q546" t="s">
        <v>1538</v>
      </c>
      <c r="R546" s="7">
        <v>31413</v>
      </c>
      <c r="S546" s="8">
        <f t="shared" si="72"/>
        <v>1986</v>
      </c>
      <c r="T546" s="8">
        <v>1986</v>
      </c>
      <c r="U546" s="8">
        <f t="shared" si="73"/>
        <v>36</v>
      </c>
      <c r="V546" s="7">
        <v>31472</v>
      </c>
      <c r="W546" t="s">
        <v>520</v>
      </c>
      <c r="X546" s="2">
        <v>0.75800000000000001</v>
      </c>
      <c r="Y546" s="6">
        <f t="shared" si="70"/>
        <v>2.0234377085502256E-2</v>
      </c>
      <c r="AA546">
        <v>224650</v>
      </c>
      <c r="AB546">
        <v>29589</v>
      </c>
      <c r="AD546" t="s">
        <v>5</v>
      </c>
      <c r="AE546">
        <v>23</v>
      </c>
      <c r="AF546">
        <v>2</v>
      </c>
      <c r="AH546" t="s">
        <v>1537</v>
      </c>
      <c r="AI546" t="s">
        <v>1536</v>
      </c>
      <c r="AK546" t="s">
        <v>1535</v>
      </c>
      <c r="AL546">
        <v>0</v>
      </c>
      <c r="AM546" s="5">
        <f t="shared" si="74"/>
        <v>0</v>
      </c>
      <c r="AN546" s="4">
        <f t="shared" si="71"/>
        <v>0</v>
      </c>
      <c r="AO546" s="3"/>
      <c r="AP546">
        <v>0</v>
      </c>
      <c r="AR546" t="s">
        <v>1</v>
      </c>
      <c r="AT546" s="2">
        <v>1.282</v>
      </c>
      <c r="AU546" s="1">
        <f t="shared" si="75"/>
        <v>1.4164063959851578</v>
      </c>
      <c r="AV546" s="1">
        <f t="shared" si="76"/>
        <v>1.0117188542751128</v>
      </c>
      <c r="AW546" s="1">
        <f t="shared" si="77"/>
        <v>0.60703131256506759</v>
      </c>
    </row>
    <row r="547" spans="1:49" x14ac:dyDescent="0.2">
      <c r="A547">
        <v>545</v>
      </c>
      <c r="B547" t="s">
        <v>1534</v>
      </c>
      <c r="C547" t="s">
        <v>1533</v>
      </c>
      <c r="F547" t="s">
        <v>1532</v>
      </c>
      <c r="G547" t="s">
        <v>16</v>
      </c>
      <c r="H547" t="s">
        <v>15</v>
      </c>
      <c r="I547" t="s">
        <v>1531</v>
      </c>
      <c r="J547">
        <v>60014313</v>
      </c>
      <c r="K547" t="s">
        <v>585</v>
      </c>
      <c r="L547" t="s">
        <v>584</v>
      </c>
      <c r="M547" t="s">
        <v>114</v>
      </c>
      <c r="N547">
        <v>1</v>
      </c>
      <c r="O547" t="s">
        <v>1530</v>
      </c>
      <c r="P547">
        <v>57211924426</v>
      </c>
      <c r="Q547">
        <v>60014313</v>
      </c>
      <c r="R547" s="7">
        <v>31413</v>
      </c>
      <c r="S547" s="8">
        <f t="shared" si="72"/>
        <v>1986</v>
      </c>
      <c r="T547" s="8">
        <v>1986</v>
      </c>
      <c r="U547" s="8">
        <f t="shared" si="73"/>
        <v>36</v>
      </c>
      <c r="V547" s="7">
        <v>1986</v>
      </c>
      <c r="W547" t="s">
        <v>580</v>
      </c>
      <c r="X547" s="2">
        <v>0.375</v>
      </c>
      <c r="Y547" s="6">
        <f t="shared" si="70"/>
        <v>1.0010410827260351E-2</v>
      </c>
      <c r="AA547">
        <v>135194</v>
      </c>
      <c r="AB547">
        <v>24918</v>
      </c>
      <c r="AD547" t="s">
        <v>5</v>
      </c>
      <c r="AE547">
        <v>22</v>
      </c>
      <c r="AF547">
        <v>6</v>
      </c>
      <c r="AH547" t="s">
        <v>1529</v>
      </c>
      <c r="AI547" t="s">
        <v>1528</v>
      </c>
      <c r="AJ547" t="s">
        <v>1527</v>
      </c>
      <c r="AK547" t="s">
        <v>1526</v>
      </c>
      <c r="AL547">
        <v>6</v>
      </c>
      <c r="AM547" s="5">
        <f t="shared" si="74"/>
        <v>0.16666666666666666</v>
      </c>
      <c r="AN547" s="4">
        <f t="shared" si="71"/>
        <v>2.5242963523917705E-4</v>
      </c>
      <c r="AO547" s="3"/>
      <c r="AP547">
        <v>0</v>
      </c>
      <c r="AR547" t="s">
        <v>1</v>
      </c>
      <c r="AT547" s="2">
        <v>1.3140000000000001</v>
      </c>
      <c r="AU547" s="1">
        <f t="shared" si="75"/>
        <v>0.70830164696539988</v>
      </c>
      <c r="AV547" s="1">
        <f t="shared" si="76"/>
        <v>0.51314202312497648</v>
      </c>
      <c r="AW547" s="1">
        <f t="shared" si="77"/>
        <v>0.31798239928455291</v>
      </c>
    </row>
    <row r="548" spans="1:49" x14ac:dyDescent="0.2">
      <c r="A548">
        <v>546</v>
      </c>
      <c r="B548" t="s">
        <v>1525</v>
      </c>
      <c r="C548" t="s">
        <v>1524</v>
      </c>
      <c r="F548" t="s">
        <v>1523</v>
      </c>
      <c r="G548" t="s">
        <v>16</v>
      </c>
      <c r="H548" t="s">
        <v>15</v>
      </c>
      <c r="I548" t="s">
        <v>1522</v>
      </c>
      <c r="N548">
        <v>1</v>
      </c>
      <c r="O548" t="s">
        <v>1521</v>
      </c>
      <c r="P548">
        <v>7403291091</v>
      </c>
      <c r="R548" s="7">
        <v>31413</v>
      </c>
      <c r="S548" s="8">
        <f t="shared" si="72"/>
        <v>1986</v>
      </c>
      <c r="T548" s="8">
        <v>1986</v>
      </c>
      <c r="U548" s="8">
        <f t="shared" si="73"/>
        <v>36</v>
      </c>
      <c r="V548" s="7" t="s">
        <v>1520</v>
      </c>
      <c r="W548" t="s">
        <v>223</v>
      </c>
      <c r="X548" s="2">
        <v>0.371</v>
      </c>
      <c r="Y548" s="6">
        <f t="shared" si="70"/>
        <v>9.9036331117695747E-3</v>
      </c>
      <c r="AA548">
        <v>486604</v>
      </c>
      <c r="AB548">
        <v>28580</v>
      </c>
      <c r="AC548" t="s">
        <v>222</v>
      </c>
      <c r="AD548" t="s">
        <v>5</v>
      </c>
      <c r="AE548">
        <v>21</v>
      </c>
      <c r="AF548">
        <v>2</v>
      </c>
      <c r="AH548" t="s">
        <v>1519</v>
      </c>
      <c r="AI548" t="s">
        <v>1518</v>
      </c>
      <c r="AK548" t="s">
        <v>1517</v>
      </c>
      <c r="AL548">
        <v>2</v>
      </c>
      <c r="AM548" s="5">
        <f t="shared" si="74"/>
        <v>5.5555555555555552E-2</v>
      </c>
      <c r="AN548" s="4">
        <f t="shared" si="71"/>
        <v>8.4143211746392349E-5</v>
      </c>
      <c r="AO548" s="3"/>
      <c r="AP548">
        <v>0</v>
      </c>
      <c r="AR548" t="s">
        <v>1</v>
      </c>
      <c r="AT548" s="2">
        <v>1.431</v>
      </c>
      <c r="AU548" s="1">
        <f t="shared" si="75"/>
        <v>0.69577861417626197</v>
      </c>
      <c r="AV548" s="1">
        <f t="shared" si="76"/>
        <v>0.49938881617579839</v>
      </c>
      <c r="AW548" s="1">
        <f t="shared" si="77"/>
        <v>0.3029990181753347</v>
      </c>
    </row>
    <row r="549" spans="1:49" x14ac:dyDescent="0.2">
      <c r="A549">
        <v>547</v>
      </c>
      <c r="B549" t="s">
        <v>1516</v>
      </c>
      <c r="C549" t="s">
        <v>1515</v>
      </c>
      <c r="F549" t="s">
        <v>1514</v>
      </c>
      <c r="G549" t="s">
        <v>16</v>
      </c>
      <c r="H549" t="s">
        <v>15</v>
      </c>
      <c r="I549" t="s">
        <v>1513</v>
      </c>
      <c r="J549" t="s">
        <v>1512</v>
      </c>
      <c r="K549" t="s">
        <v>1511</v>
      </c>
      <c r="L549" t="s">
        <v>1510</v>
      </c>
      <c r="M549" t="s">
        <v>1509</v>
      </c>
      <c r="N549">
        <v>4</v>
      </c>
      <c r="O549" t="s">
        <v>1508</v>
      </c>
      <c r="P549" t="s">
        <v>1507</v>
      </c>
      <c r="Q549" t="s">
        <v>1506</v>
      </c>
      <c r="R549" s="7">
        <v>31413</v>
      </c>
      <c r="S549" s="8">
        <f t="shared" si="72"/>
        <v>1986</v>
      </c>
      <c r="T549" s="8">
        <v>1986</v>
      </c>
      <c r="U549" s="8">
        <f t="shared" si="73"/>
        <v>36</v>
      </c>
      <c r="V549" s="7">
        <v>31472</v>
      </c>
      <c r="W549" t="s">
        <v>1505</v>
      </c>
      <c r="X549" s="2">
        <v>2.0070000000000001</v>
      </c>
      <c r="Y549" s="6">
        <f t="shared" si="70"/>
        <v>5.3575718747497406E-2</v>
      </c>
      <c r="AA549">
        <v>948276</v>
      </c>
      <c r="AB549">
        <v>27962</v>
      </c>
      <c r="AC549">
        <v>19448007</v>
      </c>
      <c r="AD549" t="s">
        <v>5</v>
      </c>
      <c r="AE549">
        <v>13</v>
      </c>
      <c r="AF549">
        <v>3</v>
      </c>
      <c r="AH549" t="s">
        <v>1504</v>
      </c>
      <c r="AI549" t="s">
        <v>1503</v>
      </c>
      <c r="AK549" t="s">
        <v>1502</v>
      </c>
      <c r="AL549">
        <v>31</v>
      </c>
      <c r="AM549" s="5">
        <f t="shared" si="74"/>
        <v>0.86111111111111116</v>
      </c>
      <c r="AN549" s="4">
        <f t="shared" si="71"/>
        <v>1.3042197820690817E-3</v>
      </c>
      <c r="AO549" s="3"/>
      <c r="AP549">
        <v>0</v>
      </c>
      <c r="AR549" t="s">
        <v>1</v>
      </c>
      <c r="AT549" s="2">
        <v>4.72</v>
      </c>
      <c r="AU549" s="1">
        <f t="shared" si="75"/>
        <v>3.7894269057868906</v>
      </c>
      <c r="AV549" s="1">
        <f t="shared" si="76"/>
        <v>2.7439969264783244</v>
      </c>
      <c r="AW549" s="1">
        <f t="shared" si="77"/>
        <v>1.6985669471697575</v>
      </c>
    </row>
    <row r="550" spans="1:49" x14ac:dyDescent="0.2">
      <c r="A550">
        <v>548</v>
      </c>
      <c r="B550" t="s">
        <v>1501</v>
      </c>
      <c r="C550" t="s">
        <v>1500</v>
      </c>
      <c r="F550" t="s">
        <v>1499</v>
      </c>
      <c r="G550" t="s">
        <v>16</v>
      </c>
      <c r="H550" t="s">
        <v>15</v>
      </c>
      <c r="I550" t="s">
        <v>1498</v>
      </c>
      <c r="J550">
        <v>60000305</v>
      </c>
      <c r="K550" t="s">
        <v>1497</v>
      </c>
      <c r="L550" t="s">
        <v>1496</v>
      </c>
      <c r="M550" t="s">
        <v>114</v>
      </c>
      <c r="N550">
        <v>1</v>
      </c>
      <c r="O550" t="s">
        <v>1495</v>
      </c>
      <c r="P550">
        <v>7007033594</v>
      </c>
      <c r="Q550">
        <v>60000305</v>
      </c>
      <c r="R550" s="7">
        <v>31413</v>
      </c>
      <c r="S550" s="8">
        <f t="shared" si="72"/>
        <v>1986</v>
      </c>
      <c r="T550" s="8">
        <v>1986</v>
      </c>
      <c r="U550" s="8">
        <f t="shared" si="73"/>
        <v>36</v>
      </c>
      <c r="V550" s="7" t="s">
        <v>1199</v>
      </c>
      <c r="W550" t="s">
        <v>346</v>
      </c>
      <c r="X550" s="2">
        <v>2.383</v>
      </c>
      <c r="Y550" s="6">
        <f t="shared" si="70"/>
        <v>6.3612824003630442E-2</v>
      </c>
      <c r="AA550">
        <v>189219</v>
      </c>
      <c r="AB550">
        <v>17915</v>
      </c>
      <c r="AD550" t="s">
        <v>5</v>
      </c>
      <c r="AE550">
        <v>74</v>
      </c>
      <c r="AF550">
        <v>2</v>
      </c>
      <c r="AH550" t="s">
        <v>1494</v>
      </c>
      <c r="AI550" t="s">
        <v>1493</v>
      </c>
      <c r="AK550" t="s">
        <v>1492</v>
      </c>
      <c r="AL550">
        <v>0</v>
      </c>
      <c r="AM550" s="5">
        <f t="shared" si="74"/>
        <v>0</v>
      </c>
      <c r="AN550" s="4">
        <f t="shared" si="71"/>
        <v>0</v>
      </c>
      <c r="AO550" s="3"/>
      <c r="AP550">
        <v>0</v>
      </c>
      <c r="AR550" t="s">
        <v>1</v>
      </c>
      <c r="AT550" s="2">
        <v>10.961</v>
      </c>
      <c r="AU550" s="1">
        <f t="shared" si="75"/>
        <v>4.4528976802541305</v>
      </c>
      <c r="AV550" s="1">
        <f t="shared" si="76"/>
        <v>3.1806412001815221</v>
      </c>
      <c r="AW550" s="1">
        <f t="shared" si="77"/>
        <v>1.9083847201089132</v>
      </c>
    </row>
    <row r="551" spans="1:49" x14ac:dyDescent="0.2">
      <c r="A551">
        <v>549</v>
      </c>
      <c r="B551" t="s">
        <v>1491</v>
      </c>
      <c r="C551" t="s">
        <v>1490</v>
      </c>
      <c r="F551" t="s">
        <v>1489</v>
      </c>
      <c r="G551" t="s">
        <v>16</v>
      </c>
      <c r="H551" t="s">
        <v>15</v>
      </c>
      <c r="I551" t="s">
        <v>1488</v>
      </c>
      <c r="J551">
        <v>60022109</v>
      </c>
      <c r="K551" t="s">
        <v>1487</v>
      </c>
      <c r="L551" t="s">
        <v>1486</v>
      </c>
      <c r="M551" t="s">
        <v>665</v>
      </c>
      <c r="N551">
        <v>2</v>
      </c>
      <c r="O551" t="s">
        <v>1485</v>
      </c>
      <c r="P551" t="s">
        <v>1484</v>
      </c>
      <c r="Q551" t="s">
        <v>1483</v>
      </c>
      <c r="R551" s="7">
        <v>31413</v>
      </c>
      <c r="S551" s="8">
        <f t="shared" si="72"/>
        <v>1986</v>
      </c>
      <c r="T551" s="8">
        <v>1986</v>
      </c>
      <c r="U551" s="8">
        <f t="shared" si="73"/>
        <v>36</v>
      </c>
      <c r="V551" s="7" t="s">
        <v>1199</v>
      </c>
      <c r="W551" s="11" t="s">
        <v>1017</v>
      </c>
      <c r="X551" s="2">
        <v>2.383</v>
      </c>
      <c r="Y551" s="6">
        <f t="shared" si="70"/>
        <v>6.3612824003630442E-2</v>
      </c>
      <c r="AA551" t="s">
        <v>1016</v>
      </c>
      <c r="AB551">
        <v>101151</v>
      </c>
      <c r="AD551" t="s">
        <v>5</v>
      </c>
      <c r="AE551">
        <v>133</v>
      </c>
      <c r="AF551">
        <v>1</v>
      </c>
      <c r="AH551" t="s">
        <v>1482</v>
      </c>
      <c r="AI551" t="s">
        <v>1481</v>
      </c>
      <c r="AK551" t="s">
        <v>1480</v>
      </c>
      <c r="AL551">
        <v>8</v>
      </c>
      <c r="AM551" s="5">
        <f t="shared" si="74"/>
        <v>0.22222222222222221</v>
      </c>
      <c r="AN551" s="4">
        <f t="shared" si="71"/>
        <v>3.365728469855694E-4</v>
      </c>
      <c r="AO551" s="3"/>
      <c r="AP551">
        <v>0</v>
      </c>
      <c r="AR551" t="s">
        <v>1</v>
      </c>
      <c r="AT551" s="2" t="s">
        <v>0</v>
      </c>
      <c r="AU551" s="1">
        <f t="shared" si="75"/>
        <v>4.4629948656636973</v>
      </c>
      <c r="AV551" s="1">
        <f t="shared" si="76"/>
        <v>3.1974698425308006</v>
      </c>
      <c r="AW551" s="1">
        <f t="shared" si="77"/>
        <v>1.931944819397903</v>
      </c>
    </row>
    <row r="552" spans="1:49" x14ac:dyDescent="0.2">
      <c r="A552">
        <v>550</v>
      </c>
      <c r="B552" t="s">
        <v>1479</v>
      </c>
      <c r="C552" t="s">
        <v>1478</v>
      </c>
      <c r="F552" t="s">
        <v>1477</v>
      </c>
      <c r="G552" t="s">
        <v>16</v>
      </c>
      <c r="H552" t="s">
        <v>15</v>
      </c>
      <c r="I552" t="s">
        <v>1476</v>
      </c>
      <c r="J552" t="s">
        <v>1475</v>
      </c>
      <c r="K552" t="s">
        <v>1474</v>
      </c>
      <c r="L552" t="s">
        <v>1473</v>
      </c>
      <c r="M552" t="s">
        <v>1472</v>
      </c>
      <c r="N552">
        <v>4</v>
      </c>
      <c r="O552" t="s">
        <v>1471</v>
      </c>
      <c r="P552" t="s">
        <v>1470</v>
      </c>
      <c r="Q552" t="s">
        <v>1469</v>
      </c>
      <c r="R552" s="7">
        <v>31413</v>
      </c>
      <c r="S552" s="8">
        <f t="shared" si="72"/>
        <v>1986</v>
      </c>
      <c r="T552" s="8">
        <v>1986</v>
      </c>
      <c r="U552" s="8">
        <f t="shared" si="73"/>
        <v>36</v>
      </c>
      <c r="V552" s="7">
        <v>31444</v>
      </c>
      <c r="W552" t="s">
        <v>153</v>
      </c>
      <c r="X552" s="2">
        <v>1.6519999999999999</v>
      </c>
      <c r="Y552" s="6">
        <f t="shared" si="70"/>
        <v>4.409919649769093E-2</v>
      </c>
      <c r="AA552" t="s">
        <v>152</v>
      </c>
      <c r="AB552">
        <v>17337</v>
      </c>
      <c r="AC552">
        <v>15582221</v>
      </c>
      <c r="AD552" t="s">
        <v>5</v>
      </c>
      <c r="AE552">
        <v>34</v>
      </c>
      <c r="AF552">
        <v>2</v>
      </c>
      <c r="AH552" t="s">
        <v>1468</v>
      </c>
      <c r="AI552" t="s">
        <v>1467</v>
      </c>
      <c r="AK552" t="s">
        <v>1466</v>
      </c>
      <c r="AL552">
        <v>1</v>
      </c>
      <c r="AM552" s="5">
        <f t="shared" si="74"/>
        <v>2.7777777777777776E-2</v>
      </c>
      <c r="AN552" s="4">
        <f t="shared" si="71"/>
        <v>4.2071605873196175E-5</v>
      </c>
      <c r="AO552" s="3"/>
      <c r="AP552">
        <v>0</v>
      </c>
      <c r="AR552" t="s">
        <v>1</v>
      </c>
      <c r="AT552" s="2" t="s">
        <v>0</v>
      </c>
      <c r="AU552" s="1">
        <f t="shared" si="75"/>
        <v>3.0882059030145608</v>
      </c>
      <c r="AV552" s="1">
        <f t="shared" si="76"/>
        <v>2.2070634051782063</v>
      </c>
      <c r="AW552" s="1">
        <f t="shared" si="77"/>
        <v>1.3259209073418514</v>
      </c>
    </row>
    <row r="553" spans="1:49" x14ac:dyDescent="0.2">
      <c r="A553">
        <v>551</v>
      </c>
      <c r="B553" t="s">
        <v>1465</v>
      </c>
      <c r="C553" t="s">
        <v>1464</v>
      </c>
      <c r="F553" t="s">
        <v>1463</v>
      </c>
      <c r="G553" t="s">
        <v>16</v>
      </c>
      <c r="H553" t="s">
        <v>15</v>
      </c>
      <c r="I553" t="s">
        <v>1462</v>
      </c>
      <c r="J553">
        <v>60020536</v>
      </c>
      <c r="K553" t="s">
        <v>1461</v>
      </c>
      <c r="L553" t="s">
        <v>441</v>
      </c>
      <c r="M553" t="s">
        <v>114</v>
      </c>
      <c r="N553">
        <v>1</v>
      </c>
      <c r="O553" t="s">
        <v>1460</v>
      </c>
      <c r="P553">
        <v>7402372006</v>
      </c>
      <c r="Q553">
        <v>60020536</v>
      </c>
      <c r="R553" s="7">
        <v>31413</v>
      </c>
      <c r="S553" s="8">
        <f t="shared" si="72"/>
        <v>1986</v>
      </c>
      <c r="T553" s="8">
        <v>1986</v>
      </c>
      <c r="U553" s="8">
        <f t="shared" si="73"/>
        <v>36</v>
      </c>
      <c r="V553" s="7" t="s">
        <v>1199</v>
      </c>
      <c r="W553" t="s">
        <v>1288</v>
      </c>
      <c r="X553" s="2">
        <v>0.65500000000000003</v>
      </c>
      <c r="Y553" s="6">
        <f t="shared" si="70"/>
        <v>1.7484850911614749E-2</v>
      </c>
      <c r="AA553">
        <v>189375</v>
      </c>
      <c r="AB553">
        <v>26051</v>
      </c>
      <c r="AD553" t="s">
        <v>5</v>
      </c>
      <c r="AE553" t="s">
        <v>1287</v>
      </c>
      <c r="AF553">
        <v>1</v>
      </c>
      <c r="AH553" s="9">
        <v>44349</v>
      </c>
      <c r="AI553" t="s">
        <v>1459</v>
      </c>
      <c r="AK553" t="s">
        <v>1458</v>
      </c>
      <c r="AL553">
        <v>20</v>
      </c>
      <c r="AM553" s="5">
        <f t="shared" si="74"/>
        <v>0.55555555555555558</v>
      </c>
      <c r="AN553" s="4">
        <f t="shared" si="71"/>
        <v>8.414321174639236E-4</v>
      </c>
      <c r="AO553" s="3"/>
      <c r="AP553">
        <v>0</v>
      </c>
      <c r="AR553" t="s">
        <v>1</v>
      </c>
      <c r="AT553" s="2" t="s">
        <v>0</v>
      </c>
      <c r="AU553" s="1">
        <f t="shared" si="75"/>
        <v>1.2491825273369501</v>
      </c>
      <c r="AV553" s="1">
        <f t="shared" si="76"/>
        <v>0.91631415145393358</v>
      </c>
      <c r="AW553" s="1">
        <f t="shared" si="77"/>
        <v>0.58344577557091715</v>
      </c>
    </row>
    <row r="554" spans="1:49" x14ac:dyDescent="0.2">
      <c r="A554">
        <v>552</v>
      </c>
      <c r="B554" t="s">
        <v>1457</v>
      </c>
      <c r="C554" t="s">
        <v>1456</v>
      </c>
      <c r="F554" t="s">
        <v>1455</v>
      </c>
      <c r="G554" t="s">
        <v>16</v>
      </c>
      <c r="H554" t="s">
        <v>15</v>
      </c>
      <c r="I554" t="s">
        <v>1454</v>
      </c>
      <c r="J554">
        <v>60014313</v>
      </c>
      <c r="K554" t="s">
        <v>585</v>
      </c>
      <c r="L554" t="s">
        <v>584</v>
      </c>
      <c r="M554" t="s">
        <v>114</v>
      </c>
      <c r="N554">
        <v>2</v>
      </c>
      <c r="O554" t="s">
        <v>1453</v>
      </c>
      <c r="P554" t="s">
        <v>1452</v>
      </c>
      <c r="Q554" t="s">
        <v>581</v>
      </c>
      <c r="R554" s="7">
        <v>31413</v>
      </c>
      <c r="S554" s="8">
        <f t="shared" si="72"/>
        <v>1986</v>
      </c>
      <c r="T554" s="8">
        <v>1986</v>
      </c>
      <c r="U554" s="8">
        <f t="shared" si="73"/>
        <v>36</v>
      </c>
      <c r="V554" s="7">
        <v>31444</v>
      </c>
      <c r="W554" t="s">
        <v>153</v>
      </c>
      <c r="X554" s="2">
        <v>1.6519999999999999</v>
      </c>
      <c r="Y554" s="6">
        <f t="shared" si="70"/>
        <v>4.409919649769093E-2</v>
      </c>
      <c r="AA554" t="s">
        <v>152</v>
      </c>
      <c r="AB554">
        <v>17337</v>
      </c>
      <c r="AC554">
        <v>15582221</v>
      </c>
      <c r="AD554" t="s">
        <v>5</v>
      </c>
      <c r="AE554">
        <v>34</v>
      </c>
      <c r="AF554">
        <v>2</v>
      </c>
      <c r="AH554" t="s">
        <v>1451</v>
      </c>
      <c r="AI554" t="s">
        <v>1450</v>
      </c>
      <c r="AK554" t="s">
        <v>1449</v>
      </c>
      <c r="AL554">
        <v>1</v>
      </c>
      <c r="AM554" s="5">
        <f t="shared" si="74"/>
        <v>2.7777777777777776E-2</v>
      </c>
      <c r="AN554" s="4">
        <f t="shared" si="71"/>
        <v>4.2071605873196175E-5</v>
      </c>
      <c r="AO554" s="3"/>
      <c r="AP554">
        <v>0</v>
      </c>
      <c r="AR554" t="s">
        <v>1</v>
      </c>
      <c r="AT554" s="2" t="s">
        <v>0</v>
      </c>
      <c r="AU554" s="1">
        <f t="shared" si="75"/>
        <v>3.0882059030145608</v>
      </c>
      <c r="AV554" s="1">
        <f t="shared" si="76"/>
        <v>2.2070634051782063</v>
      </c>
      <c r="AW554" s="1">
        <f t="shared" si="77"/>
        <v>1.3259209073418514</v>
      </c>
    </row>
    <row r="555" spans="1:49" x14ac:dyDescent="0.2">
      <c r="A555">
        <v>553</v>
      </c>
      <c r="B555" t="s">
        <v>1448</v>
      </c>
      <c r="C555" t="s">
        <v>1447</v>
      </c>
      <c r="F555" t="s">
        <v>1446</v>
      </c>
      <c r="G555" t="s">
        <v>16</v>
      </c>
      <c r="H555" t="s">
        <v>15</v>
      </c>
      <c r="I555" t="s">
        <v>1445</v>
      </c>
      <c r="J555">
        <v>60026340</v>
      </c>
      <c r="K555" t="s">
        <v>1444</v>
      </c>
      <c r="L555" t="s">
        <v>1443</v>
      </c>
      <c r="M555" t="s">
        <v>1442</v>
      </c>
      <c r="N555">
        <v>1</v>
      </c>
      <c r="O555" t="s">
        <v>1441</v>
      </c>
      <c r="P555">
        <v>7003895972</v>
      </c>
      <c r="Q555">
        <v>60026340</v>
      </c>
      <c r="R555" s="7">
        <v>31413</v>
      </c>
      <c r="S555" s="8">
        <f t="shared" si="72"/>
        <v>1986</v>
      </c>
      <c r="T555" s="8">
        <v>1986</v>
      </c>
      <c r="U555" s="8">
        <f t="shared" si="73"/>
        <v>36</v>
      </c>
      <c r="V555" s="7">
        <v>31444</v>
      </c>
      <c r="W555" t="s">
        <v>153</v>
      </c>
      <c r="X555" s="2">
        <v>1.6519999999999999</v>
      </c>
      <c r="Y555" s="6">
        <f t="shared" si="70"/>
        <v>4.409919649769093E-2</v>
      </c>
      <c r="AA555" t="s">
        <v>152</v>
      </c>
      <c r="AB555">
        <v>17337</v>
      </c>
      <c r="AC555">
        <v>15582221</v>
      </c>
      <c r="AD555" t="s">
        <v>5</v>
      </c>
      <c r="AE555">
        <v>34</v>
      </c>
      <c r="AF555">
        <v>2</v>
      </c>
      <c r="AH555" t="s">
        <v>1440</v>
      </c>
      <c r="AI555" t="s">
        <v>1439</v>
      </c>
      <c r="AK555" t="s">
        <v>1438</v>
      </c>
      <c r="AL555">
        <v>0</v>
      </c>
      <c r="AM555" s="5">
        <f t="shared" si="74"/>
        <v>0</v>
      </c>
      <c r="AN555" s="4">
        <f t="shared" si="71"/>
        <v>0</v>
      </c>
      <c r="AO555" s="3"/>
      <c r="AP555">
        <v>0</v>
      </c>
      <c r="AR555" t="s">
        <v>1</v>
      </c>
      <c r="AT555" s="2" t="s">
        <v>0</v>
      </c>
      <c r="AU555" s="1">
        <f t="shared" si="75"/>
        <v>3.0869437548383649</v>
      </c>
      <c r="AV555" s="1">
        <f t="shared" si="76"/>
        <v>2.2049598248845466</v>
      </c>
      <c r="AW555" s="1">
        <f t="shared" si="77"/>
        <v>1.3229758949307278</v>
      </c>
    </row>
    <row r="556" spans="1:49" x14ac:dyDescent="0.2">
      <c r="A556">
        <v>554</v>
      </c>
      <c r="B556" t="s">
        <v>1437</v>
      </c>
      <c r="C556" t="s">
        <v>1436</v>
      </c>
      <c r="F556" t="s">
        <v>1435</v>
      </c>
      <c r="G556" t="s">
        <v>16</v>
      </c>
      <c r="H556" t="s">
        <v>15</v>
      </c>
      <c r="I556" t="s">
        <v>1434</v>
      </c>
      <c r="J556">
        <v>60013901</v>
      </c>
      <c r="K556" t="s">
        <v>1433</v>
      </c>
      <c r="L556" t="s">
        <v>772</v>
      </c>
      <c r="M556" t="s">
        <v>114</v>
      </c>
      <c r="N556">
        <v>4</v>
      </c>
      <c r="O556" t="s">
        <v>1432</v>
      </c>
      <c r="P556" t="s">
        <v>1431</v>
      </c>
      <c r="Q556" t="s">
        <v>1430</v>
      </c>
      <c r="R556" s="7">
        <v>31413</v>
      </c>
      <c r="S556" s="8">
        <f t="shared" si="72"/>
        <v>1986</v>
      </c>
      <c r="T556" s="8">
        <v>1986</v>
      </c>
      <c r="U556" s="8">
        <f t="shared" si="73"/>
        <v>36</v>
      </c>
      <c r="V556" s="7">
        <v>31444</v>
      </c>
      <c r="W556" t="s">
        <v>1429</v>
      </c>
      <c r="X556" s="2">
        <v>0.46</v>
      </c>
      <c r="Y556" s="6">
        <f t="shared" si="70"/>
        <v>1.2279437281439364E-2</v>
      </c>
      <c r="AA556">
        <v>933813</v>
      </c>
      <c r="AB556">
        <v>28031</v>
      </c>
      <c r="AC556">
        <v>19399375</v>
      </c>
      <c r="AD556" t="s">
        <v>5</v>
      </c>
      <c r="AE556">
        <v>14</v>
      </c>
      <c r="AF556">
        <v>1</v>
      </c>
      <c r="AH556" t="s">
        <v>1428</v>
      </c>
      <c r="AI556" t="s">
        <v>1427</v>
      </c>
      <c r="AK556" t="s">
        <v>1426</v>
      </c>
      <c r="AL556">
        <v>2</v>
      </c>
      <c r="AM556" s="5">
        <f t="shared" si="74"/>
        <v>5.5555555555555552E-2</v>
      </c>
      <c r="AN556" s="4">
        <f t="shared" si="71"/>
        <v>8.4143211746392349E-5</v>
      </c>
      <c r="AO556" s="3"/>
      <c r="AP556">
        <v>0</v>
      </c>
      <c r="AR556" t="s">
        <v>1</v>
      </c>
      <c r="AT556" s="2">
        <v>1.222</v>
      </c>
      <c r="AU556" s="1">
        <f t="shared" si="75"/>
        <v>0.86208490605314703</v>
      </c>
      <c r="AV556" s="1">
        <f t="shared" si="76"/>
        <v>0.61817902465928787</v>
      </c>
      <c r="AW556" s="1">
        <f t="shared" si="77"/>
        <v>0.37427314326542838</v>
      </c>
    </row>
    <row r="557" spans="1:49" x14ac:dyDescent="0.2">
      <c r="A557">
        <v>555</v>
      </c>
      <c r="B557" t="s">
        <v>1425</v>
      </c>
      <c r="C557" t="s">
        <v>1424</v>
      </c>
      <c r="F557" t="s">
        <v>1423</v>
      </c>
      <c r="G557" t="s">
        <v>16</v>
      </c>
      <c r="H557" t="s">
        <v>15</v>
      </c>
      <c r="I557" t="s">
        <v>1422</v>
      </c>
      <c r="J557">
        <v>60005304</v>
      </c>
      <c r="K557" t="s">
        <v>1421</v>
      </c>
      <c r="L557" t="s">
        <v>1420</v>
      </c>
      <c r="M557" t="s">
        <v>114</v>
      </c>
      <c r="N557">
        <v>1</v>
      </c>
      <c r="O557" t="s">
        <v>1419</v>
      </c>
      <c r="P557">
        <v>7003325720</v>
      </c>
      <c r="Q557">
        <v>60005304</v>
      </c>
      <c r="R557" s="7">
        <v>31413</v>
      </c>
      <c r="S557" s="8">
        <f t="shared" si="72"/>
        <v>1986</v>
      </c>
      <c r="T557" s="8">
        <v>1986</v>
      </c>
      <c r="U557" s="8">
        <f t="shared" si="73"/>
        <v>36</v>
      </c>
      <c r="V557" s="7">
        <v>31444</v>
      </c>
      <c r="W557" t="s">
        <v>153</v>
      </c>
      <c r="X557" s="2">
        <v>1.6519999999999999</v>
      </c>
      <c r="Y557" s="6">
        <f t="shared" si="70"/>
        <v>4.409919649769093E-2</v>
      </c>
      <c r="AA557" t="s">
        <v>152</v>
      </c>
      <c r="AB557">
        <v>17337</v>
      </c>
      <c r="AC557">
        <v>15582221</v>
      </c>
      <c r="AD557" t="s">
        <v>5</v>
      </c>
      <c r="AE557">
        <v>34</v>
      </c>
      <c r="AF557">
        <v>2</v>
      </c>
      <c r="AH557" t="s">
        <v>1418</v>
      </c>
      <c r="AI557" t="s">
        <v>1417</v>
      </c>
      <c r="AK557" t="s">
        <v>1416</v>
      </c>
      <c r="AL557">
        <v>1</v>
      </c>
      <c r="AM557" s="5">
        <f t="shared" si="74"/>
        <v>2.7777777777777776E-2</v>
      </c>
      <c r="AN557" s="4">
        <f t="shared" si="71"/>
        <v>4.2071605873196175E-5</v>
      </c>
      <c r="AO557" s="3"/>
      <c r="AP557">
        <v>0</v>
      </c>
      <c r="AR557" t="s">
        <v>1</v>
      </c>
      <c r="AT557" s="2" t="s">
        <v>0</v>
      </c>
      <c r="AU557" s="1">
        <f t="shared" si="75"/>
        <v>3.0882059030145608</v>
      </c>
      <c r="AV557" s="1">
        <f t="shared" si="76"/>
        <v>2.2070634051782063</v>
      </c>
      <c r="AW557" s="1">
        <f t="shared" si="77"/>
        <v>1.3259209073418514</v>
      </c>
    </row>
    <row r="558" spans="1:49" x14ac:dyDescent="0.2">
      <c r="A558">
        <v>556</v>
      </c>
      <c r="B558" t="s">
        <v>1415</v>
      </c>
      <c r="C558" t="s">
        <v>1414</v>
      </c>
      <c r="F558" t="s">
        <v>1413</v>
      </c>
      <c r="G558" t="s">
        <v>16</v>
      </c>
      <c r="H558" t="s">
        <v>15</v>
      </c>
      <c r="I558" t="s">
        <v>1412</v>
      </c>
      <c r="J558">
        <v>60028333</v>
      </c>
      <c r="K558" t="s">
        <v>1411</v>
      </c>
      <c r="L558" t="s">
        <v>1410</v>
      </c>
      <c r="M558" t="s">
        <v>1409</v>
      </c>
      <c r="N558">
        <v>1</v>
      </c>
      <c r="O558" t="s">
        <v>1408</v>
      </c>
      <c r="P558">
        <v>7102344747</v>
      </c>
      <c r="Q558">
        <v>60028333</v>
      </c>
      <c r="R558" s="7">
        <v>31413</v>
      </c>
      <c r="S558" s="8">
        <f t="shared" si="72"/>
        <v>1986</v>
      </c>
      <c r="T558" s="8">
        <v>1986</v>
      </c>
      <c r="U558" s="8">
        <f t="shared" si="73"/>
        <v>36</v>
      </c>
      <c r="V558" s="7">
        <v>31444</v>
      </c>
      <c r="W558" t="s">
        <v>153</v>
      </c>
      <c r="X558" s="2">
        <v>1.6519999999999999</v>
      </c>
      <c r="Y558" s="6">
        <f t="shared" si="70"/>
        <v>4.409919649769093E-2</v>
      </c>
      <c r="AA558" t="s">
        <v>152</v>
      </c>
      <c r="AB558">
        <v>17337</v>
      </c>
      <c r="AC558">
        <v>15582221</v>
      </c>
      <c r="AD558" t="s">
        <v>5</v>
      </c>
      <c r="AE558">
        <v>34</v>
      </c>
      <c r="AF558">
        <v>2</v>
      </c>
      <c r="AH558" t="s">
        <v>1407</v>
      </c>
      <c r="AI558" t="s">
        <v>1406</v>
      </c>
      <c r="AK558" t="s">
        <v>1405</v>
      </c>
      <c r="AL558">
        <v>43</v>
      </c>
      <c r="AM558" s="5">
        <f t="shared" si="74"/>
        <v>1.1944444444444444</v>
      </c>
      <c r="AN558" s="4">
        <f t="shared" si="71"/>
        <v>1.8090790525474357E-3</v>
      </c>
      <c r="AO558" s="3"/>
      <c r="AP558">
        <v>0</v>
      </c>
      <c r="AR558" t="s">
        <v>1</v>
      </c>
      <c r="AT558" s="2" t="s">
        <v>0</v>
      </c>
      <c r="AU558" s="1">
        <f t="shared" si="75"/>
        <v>3.141216126414788</v>
      </c>
      <c r="AV558" s="1">
        <f t="shared" si="76"/>
        <v>2.2954137775119183</v>
      </c>
      <c r="AW558" s="1">
        <f t="shared" si="77"/>
        <v>1.4496114286090482</v>
      </c>
    </row>
    <row r="559" spans="1:49" x14ac:dyDescent="0.2">
      <c r="A559">
        <v>557</v>
      </c>
      <c r="B559" t="s">
        <v>1404</v>
      </c>
      <c r="C559" t="s">
        <v>1403</v>
      </c>
      <c r="F559" t="s">
        <v>1402</v>
      </c>
      <c r="G559" t="s">
        <v>16</v>
      </c>
      <c r="H559" t="s">
        <v>15</v>
      </c>
      <c r="I559" t="s">
        <v>1401</v>
      </c>
      <c r="J559">
        <v>60022002</v>
      </c>
      <c r="K559" t="s">
        <v>1400</v>
      </c>
      <c r="L559" t="s">
        <v>1399</v>
      </c>
      <c r="M559" t="s">
        <v>244</v>
      </c>
      <c r="N559">
        <v>1</v>
      </c>
      <c r="O559" t="s">
        <v>1398</v>
      </c>
      <c r="P559">
        <v>7004740682</v>
      </c>
      <c r="Q559">
        <v>60022002</v>
      </c>
      <c r="R559" s="7">
        <v>31413</v>
      </c>
      <c r="S559" s="8">
        <f t="shared" si="72"/>
        <v>1986</v>
      </c>
      <c r="T559" s="8">
        <v>1986</v>
      </c>
      <c r="U559" s="8">
        <f t="shared" si="73"/>
        <v>36</v>
      </c>
      <c r="V559" s="7">
        <v>31444</v>
      </c>
      <c r="W559" t="s">
        <v>153</v>
      </c>
      <c r="X559" s="2">
        <v>1.6519999999999999</v>
      </c>
      <c r="Y559" s="6">
        <f t="shared" si="70"/>
        <v>4.409919649769093E-2</v>
      </c>
      <c r="AA559" t="s">
        <v>152</v>
      </c>
      <c r="AB559">
        <v>17337</v>
      </c>
      <c r="AC559">
        <v>15582221</v>
      </c>
      <c r="AD559" t="s">
        <v>5</v>
      </c>
      <c r="AE559">
        <v>34</v>
      </c>
      <c r="AF559">
        <v>2</v>
      </c>
      <c r="AH559" t="s">
        <v>1397</v>
      </c>
      <c r="AI559" t="s">
        <v>1396</v>
      </c>
      <c r="AK559" t="s">
        <v>1395</v>
      </c>
      <c r="AL559">
        <v>11</v>
      </c>
      <c r="AM559" s="5">
        <f t="shared" si="74"/>
        <v>0.30555555555555558</v>
      </c>
      <c r="AN559" s="4">
        <f t="shared" si="71"/>
        <v>4.62787664605158E-4</v>
      </c>
      <c r="AO559" s="3"/>
      <c r="AP559">
        <v>0</v>
      </c>
      <c r="AR559" t="s">
        <v>1</v>
      </c>
      <c r="AT559" s="2" t="s">
        <v>0</v>
      </c>
      <c r="AU559" s="1">
        <f t="shared" si="75"/>
        <v>3.1008273847765198</v>
      </c>
      <c r="AV559" s="1">
        <f t="shared" si="76"/>
        <v>2.2280992081148043</v>
      </c>
      <c r="AW559" s="1">
        <f t="shared" si="77"/>
        <v>1.3553710314530889</v>
      </c>
    </row>
    <row r="560" spans="1:49" x14ac:dyDescent="0.2">
      <c r="A560">
        <v>558</v>
      </c>
      <c r="B560" t="s">
        <v>1394</v>
      </c>
      <c r="C560" t="s">
        <v>1393</v>
      </c>
      <c r="F560" t="s">
        <v>1392</v>
      </c>
      <c r="G560" t="s">
        <v>16</v>
      </c>
      <c r="H560" t="s">
        <v>15</v>
      </c>
      <c r="I560" t="s">
        <v>1391</v>
      </c>
      <c r="J560">
        <v>60026242</v>
      </c>
      <c r="K560" t="s">
        <v>1390</v>
      </c>
      <c r="L560" t="s">
        <v>1389</v>
      </c>
      <c r="M560" t="s">
        <v>665</v>
      </c>
      <c r="N560">
        <v>1</v>
      </c>
      <c r="O560" t="s">
        <v>1388</v>
      </c>
      <c r="P560">
        <v>55474293100</v>
      </c>
      <c r="Q560">
        <v>60026242</v>
      </c>
      <c r="R560" s="7">
        <v>31413</v>
      </c>
      <c r="S560" s="8">
        <f t="shared" si="72"/>
        <v>1986</v>
      </c>
      <c r="T560" s="8">
        <v>1986</v>
      </c>
      <c r="U560" s="8">
        <f t="shared" si="73"/>
        <v>36</v>
      </c>
      <c r="V560" s="7" t="s">
        <v>1199</v>
      </c>
      <c r="W560" t="s">
        <v>921</v>
      </c>
      <c r="X560" s="2" t="s">
        <v>0</v>
      </c>
      <c r="Y560" s="6" t="e">
        <f t="shared" si="70"/>
        <v>#VALUE!</v>
      </c>
      <c r="AA560">
        <v>2671689</v>
      </c>
      <c r="AB560">
        <v>87645</v>
      </c>
      <c r="AD560" t="s">
        <v>5</v>
      </c>
      <c r="AE560">
        <v>56</v>
      </c>
      <c r="AF560">
        <v>2</v>
      </c>
      <c r="AH560" t="s">
        <v>1387</v>
      </c>
      <c r="AI560" t="s">
        <v>1386</v>
      </c>
      <c r="AK560" t="s">
        <v>1385</v>
      </c>
      <c r="AL560">
        <v>0</v>
      </c>
      <c r="AM560" s="5">
        <f t="shared" si="74"/>
        <v>0</v>
      </c>
      <c r="AN560" s="4">
        <f t="shared" si="71"/>
        <v>0</v>
      </c>
      <c r="AO560" s="3"/>
      <c r="AP560">
        <v>0</v>
      </c>
      <c r="AR560" t="s">
        <v>1</v>
      </c>
      <c r="AT560" s="2" t="s">
        <v>0</v>
      </c>
      <c r="AU560" s="1" t="e">
        <f t="shared" si="75"/>
        <v>#VALUE!</v>
      </c>
      <c r="AV560" s="1" t="e">
        <f t="shared" si="76"/>
        <v>#VALUE!</v>
      </c>
      <c r="AW560" s="1" t="e">
        <f t="shared" si="77"/>
        <v>#VALUE!</v>
      </c>
    </row>
    <row r="561" spans="1:49" x14ac:dyDescent="0.2">
      <c r="A561">
        <v>559</v>
      </c>
      <c r="B561" t="s">
        <v>1384</v>
      </c>
      <c r="C561" t="s">
        <v>1383</v>
      </c>
      <c r="F561" t="s">
        <v>1382</v>
      </c>
      <c r="G561" t="s">
        <v>16</v>
      </c>
      <c r="H561" t="s">
        <v>15</v>
      </c>
      <c r="I561" t="s">
        <v>1381</v>
      </c>
      <c r="J561">
        <v>60031707</v>
      </c>
      <c r="K561" t="s">
        <v>1380</v>
      </c>
      <c r="L561" t="s">
        <v>1379</v>
      </c>
      <c r="M561" t="s">
        <v>114</v>
      </c>
      <c r="N561">
        <v>2</v>
      </c>
      <c r="O561" t="s">
        <v>1378</v>
      </c>
      <c r="P561" t="s">
        <v>1377</v>
      </c>
      <c r="Q561" t="s">
        <v>1376</v>
      </c>
      <c r="R561" s="7">
        <v>31413</v>
      </c>
      <c r="S561" s="8">
        <f t="shared" si="72"/>
        <v>1986</v>
      </c>
      <c r="T561" s="8">
        <v>1986</v>
      </c>
      <c r="U561" s="8">
        <f t="shared" si="73"/>
        <v>36</v>
      </c>
      <c r="V561" s="7" t="s">
        <v>1199</v>
      </c>
      <c r="W561" t="s">
        <v>153</v>
      </c>
      <c r="X561" s="2">
        <v>1.6519999999999999</v>
      </c>
      <c r="Y561" s="6">
        <f t="shared" si="70"/>
        <v>4.409919649769093E-2</v>
      </c>
      <c r="AA561" t="s">
        <v>152</v>
      </c>
      <c r="AB561">
        <v>17337</v>
      </c>
      <c r="AD561" t="s">
        <v>5</v>
      </c>
      <c r="AE561" t="s">
        <v>1375</v>
      </c>
      <c r="AF561">
        <v>2</v>
      </c>
      <c r="AH561">
        <v>271</v>
      </c>
      <c r="AI561" t="s">
        <v>1374</v>
      </c>
      <c r="AK561" t="s">
        <v>1373</v>
      </c>
      <c r="AL561">
        <v>1</v>
      </c>
      <c r="AM561" s="5">
        <f t="shared" si="74"/>
        <v>2.7777777777777776E-2</v>
      </c>
      <c r="AN561" s="4">
        <f t="shared" si="71"/>
        <v>4.2071605873196175E-5</v>
      </c>
      <c r="AO561" s="3"/>
      <c r="AP561">
        <v>0</v>
      </c>
      <c r="AR561" t="s">
        <v>1</v>
      </c>
      <c r="AT561" s="2" t="s">
        <v>0</v>
      </c>
      <c r="AU561" s="1">
        <f t="shared" si="75"/>
        <v>3.0882059030145608</v>
      </c>
      <c r="AV561" s="1">
        <f t="shared" si="76"/>
        <v>2.2070634051782063</v>
      </c>
      <c r="AW561" s="1">
        <f t="shared" si="77"/>
        <v>1.3259209073418514</v>
      </c>
    </row>
    <row r="562" spans="1:49" x14ac:dyDescent="0.2">
      <c r="A562">
        <v>560</v>
      </c>
      <c r="B562" t="s">
        <v>1372</v>
      </c>
      <c r="C562" t="s">
        <v>1371</v>
      </c>
      <c r="F562" t="s">
        <v>1370</v>
      </c>
      <c r="G562" t="s">
        <v>16</v>
      </c>
      <c r="H562" t="s">
        <v>15</v>
      </c>
      <c r="I562" t="s">
        <v>1369</v>
      </c>
      <c r="J562">
        <v>60027271</v>
      </c>
      <c r="K562" t="s">
        <v>1368</v>
      </c>
      <c r="L562" t="s">
        <v>502</v>
      </c>
      <c r="M562" t="s">
        <v>114</v>
      </c>
      <c r="N562">
        <v>1</v>
      </c>
      <c r="O562" t="s">
        <v>1367</v>
      </c>
      <c r="P562">
        <v>7006017795</v>
      </c>
      <c r="Q562">
        <v>60027271</v>
      </c>
      <c r="R562" s="7">
        <v>31413</v>
      </c>
      <c r="S562" s="8">
        <f t="shared" si="72"/>
        <v>1986</v>
      </c>
      <c r="T562" s="8">
        <v>1986</v>
      </c>
      <c r="U562" s="8">
        <f t="shared" si="73"/>
        <v>36</v>
      </c>
      <c r="V562" s="7">
        <v>31444</v>
      </c>
      <c r="W562" t="s">
        <v>153</v>
      </c>
      <c r="X562" s="2">
        <v>1.6519999999999999</v>
      </c>
      <c r="Y562" s="6">
        <f t="shared" si="70"/>
        <v>4.409919649769093E-2</v>
      </c>
      <c r="AA562" t="s">
        <v>152</v>
      </c>
      <c r="AB562">
        <v>17337</v>
      </c>
      <c r="AC562">
        <v>15582221</v>
      </c>
      <c r="AD562" t="s">
        <v>5</v>
      </c>
      <c r="AE562">
        <v>34</v>
      </c>
      <c r="AF562">
        <v>2</v>
      </c>
      <c r="AH562" t="s">
        <v>1366</v>
      </c>
      <c r="AI562" t="s">
        <v>1365</v>
      </c>
      <c r="AK562" t="s">
        <v>1364</v>
      </c>
      <c r="AL562">
        <v>34</v>
      </c>
      <c r="AM562" s="5">
        <f t="shared" si="74"/>
        <v>0.94444444444444442</v>
      </c>
      <c r="AN562" s="4">
        <f t="shared" si="71"/>
        <v>1.43043459968867E-3</v>
      </c>
      <c r="AO562" s="3"/>
      <c r="AP562">
        <v>0</v>
      </c>
      <c r="AR562" t="s">
        <v>1</v>
      </c>
      <c r="AT562" s="2" t="s">
        <v>0</v>
      </c>
      <c r="AU562" s="1">
        <f t="shared" si="75"/>
        <v>3.1298567928290248</v>
      </c>
      <c r="AV562" s="1">
        <f t="shared" si="76"/>
        <v>2.2764815548689801</v>
      </c>
      <c r="AW562" s="1">
        <f t="shared" si="77"/>
        <v>1.4231063169089346</v>
      </c>
    </row>
    <row r="563" spans="1:49" x14ac:dyDescent="0.2">
      <c r="A563">
        <v>561</v>
      </c>
      <c r="B563" t="s">
        <v>1363</v>
      </c>
      <c r="C563" t="s">
        <v>1362</v>
      </c>
      <c r="F563" t="s">
        <v>1361</v>
      </c>
      <c r="G563" t="s">
        <v>16</v>
      </c>
      <c r="H563" t="s">
        <v>15</v>
      </c>
      <c r="I563" t="s">
        <v>1360</v>
      </c>
      <c r="J563">
        <v>60013141</v>
      </c>
      <c r="K563" t="s">
        <v>535</v>
      </c>
      <c r="L563" t="s">
        <v>534</v>
      </c>
      <c r="M563" t="s">
        <v>533</v>
      </c>
      <c r="N563">
        <v>1</v>
      </c>
      <c r="O563" t="s">
        <v>1359</v>
      </c>
      <c r="P563">
        <v>7101988263</v>
      </c>
      <c r="Q563">
        <v>60013141</v>
      </c>
      <c r="R563" s="7">
        <v>31413</v>
      </c>
      <c r="S563" s="8">
        <f t="shared" si="72"/>
        <v>1986</v>
      </c>
      <c r="T563" s="8">
        <v>1986</v>
      </c>
      <c r="U563" s="8">
        <f t="shared" si="73"/>
        <v>36</v>
      </c>
      <c r="V563" s="7">
        <v>31444</v>
      </c>
      <c r="W563" t="s">
        <v>153</v>
      </c>
      <c r="X563" s="2">
        <v>1.6519999999999999</v>
      </c>
      <c r="Y563" s="6">
        <f t="shared" si="70"/>
        <v>4.409919649769093E-2</v>
      </c>
      <c r="AA563" t="s">
        <v>152</v>
      </c>
      <c r="AB563">
        <v>17337</v>
      </c>
      <c r="AC563">
        <v>15582221</v>
      </c>
      <c r="AD563" t="s">
        <v>5</v>
      </c>
      <c r="AE563">
        <v>34</v>
      </c>
      <c r="AF563">
        <v>2</v>
      </c>
      <c r="AH563" t="s">
        <v>1358</v>
      </c>
      <c r="AI563" t="s">
        <v>1357</v>
      </c>
      <c r="AK563" t="s">
        <v>1356</v>
      </c>
      <c r="AL563">
        <v>17</v>
      </c>
      <c r="AM563" s="5">
        <f t="shared" si="74"/>
        <v>0.47222222222222221</v>
      </c>
      <c r="AN563" s="4">
        <f t="shared" si="71"/>
        <v>7.15217299844335E-4</v>
      </c>
      <c r="AO563" s="3"/>
      <c r="AP563">
        <v>0</v>
      </c>
      <c r="AR563" t="s">
        <v>1</v>
      </c>
      <c r="AT563" s="2" t="s">
        <v>0</v>
      </c>
      <c r="AU563" s="1">
        <f t="shared" si="75"/>
        <v>3.1084002738336949</v>
      </c>
      <c r="AV563" s="1">
        <f t="shared" si="76"/>
        <v>2.2407206898767633</v>
      </c>
      <c r="AW563" s="1">
        <f t="shared" si="77"/>
        <v>1.3730411059198313</v>
      </c>
    </row>
    <row r="564" spans="1:49" x14ac:dyDescent="0.2">
      <c r="A564">
        <v>562</v>
      </c>
      <c r="B564" t="s">
        <v>1355</v>
      </c>
      <c r="C564" t="s">
        <v>1354</v>
      </c>
      <c r="F564" t="s">
        <v>1353</v>
      </c>
      <c r="G564" t="s">
        <v>16</v>
      </c>
      <c r="H564" t="s">
        <v>15</v>
      </c>
      <c r="I564" t="s">
        <v>1352</v>
      </c>
      <c r="J564" t="s">
        <v>1351</v>
      </c>
      <c r="K564" t="s">
        <v>1350</v>
      </c>
      <c r="L564" t="s">
        <v>1349</v>
      </c>
      <c r="M564" t="s">
        <v>1348</v>
      </c>
      <c r="N564">
        <v>2</v>
      </c>
      <c r="O564" t="s">
        <v>1347</v>
      </c>
      <c r="P564" t="s">
        <v>1346</v>
      </c>
      <c r="Q564" t="s">
        <v>1345</v>
      </c>
      <c r="R564" s="7">
        <v>31413</v>
      </c>
      <c r="S564" s="8">
        <f t="shared" si="72"/>
        <v>1986</v>
      </c>
      <c r="T564" s="8">
        <v>1986</v>
      </c>
      <c r="U564" s="8">
        <f t="shared" si="73"/>
        <v>36</v>
      </c>
      <c r="V564" s="7">
        <v>31444</v>
      </c>
      <c r="W564" t="s">
        <v>1344</v>
      </c>
      <c r="X564" s="2">
        <v>1.365</v>
      </c>
      <c r="Y564" s="6">
        <f t="shared" si="70"/>
        <v>3.6437895411227675E-2</v>
      </c>
      <c r="AA564">
        <v>189545</v>
      </c>
      <c r="AB564">
        <v>17393</v>
      </c>
      <c r="AC564">
        <v>19399359</v>
      </c>
      <c r="AD564" t="s">
        <v>5</v>
      </c>
      <c r="AE564">
        <v>35</v>
      </c>
      <c r="AF564">
        <v>1</v>
      </c>
      <c r="AH564" s="9">
        <v>44379</v>
      </c>
      <c r="AI564" t="s">
        <v>1343</v>
      </c>
      <c r="AK564" t="s">
        <v>1342</v>
      </c>
      <c r="AL564">
        <v>341</v>
      </c>
      <c r="AM564" s="5">
        <f t="shared" si="74"/>
        <v>9.4722222222222214</v>
      </c>
      <c r="AN564" s="4">
        <f t="shared" si="71"/>
        <v>1.4346417602759896E-2</v>
      </c>
      <c r="AO564" s="3"/>
      <c r="AP564">
        <v>0</v>
      </c>
      <c r="AR564" t="s">
        <v>1</v>
      </c>
      <c r="AT564" s="2" t="s">
        <v>0</v>
      </c>
      <c r="AU564" s="1">
        <f t="shared" si="75"/>
        <v>2.9810452068687336</v>
      </c>
      <c r="AV564" s="1">
        <f t="shared" si="76"/>
        <v>2.5392156506993788</v>
      </c>
      <c r="AW564" s="1">
        <f t="shared" si="77"/>
        <v>2.0973860945300231</v>
      </c>
    </row>
    <row r="565" spans="1:49" x14ac:dyDescent="0.2">
      <c r="A565">
        <v>563</v>
      </c>
      <c r="B565" t="s">
        <v>1341</v>
      </c>
      <c r="C565" t="s">
        <v>1340</v>
      </c>
      <c r="F565" t="s">
        <v>1339</v>
      </c>
      <c r="G565" t="s">
        <v>16</v>
      </c>
      <c r="H565" t="s">
        <v>15</v>
      </c>
      <c r="I565" t="s">
        <v>1338</v>
      </c>
      <c r="J565">
        <v>60073719</v>
      </c>
      <c r="K565" t="s">
        <v>1337</v>
      </c>
      <c r="L565" t="s">
        <v>1336</v>
      </c>
      <c r="M565" t="s">
        <v>460</v>
      </c>
      <c r="N565">
        <v>1</v>
      </c>
      <c r="O565" t="s">
        <v>1335</v>
      </c>
      <c r="P565">
        <v>7402219595</v>
      </c>
      <c r="Q565">
        <v>60073719</v>
      </c>
      <c r="R565" s="7">
        <v>31413</v>
      </c>
      <c r="S565" s="8">
        <f t="shared" si="72"/>
        <v>1986</v>
      </c>
      <c r="T565" s="8">
        <v>1986</v>
      </c>
      <c r="U565" s="8">
        <f t="shared" si="73"/>
        <v>36</v>
      </c>
      <c r="V565" s="7">
        <v>31444</v>
      </c>
      <c r="W565" t="s">
        <v>153</v>
      </c>
      <c r="X565" s="2">
        <v>1.6519999999999999</v>
      </c>
      <c r="Y565" s="6">
        <f t="shared" si="70"/>
        <v>4.409919649769093E-2</v>
      </c>
      <c r="AA565" t="s">
        <v>152</v>
      </c>
      <c r="AB565">
        <v>17337</v>
      </c>
      <c r="AC565">
        <v>15582221</v>
      </c>
      <c r="AD565" t="s">
        <v>5</v>
      </c>
      <c r="AE565">
        <v>34</v>
      </c>
      <c r="AF565">
        <v>2</v>
      </c>
      <c r="AH565" t="s">
        <v>1334</v>
      </c>
      <c r="AI565" t="s">
        <v>1333</v>
      </c>
      <c r="AK565" t="s">
        <v>1332</v>
      </c>
      <c r="AL565">
        <v>4</v>
      </c>
      <c r="AM565" s="5">
        <f t="shared" si="74"/>
        <v>0.1111111111111111</v>
      </c>
      <c r="AN565" s="4">
        <f t="shared" si="71"/>
        <v>1.682864234927847E-4</v>
      </c>
      <c r="AO565" s="3"/>
      <c r="AP565">
        <v>0</v>
      </c>
      <c r="AR565" t="s">
        <v>1</v>
      </c>
      <c r="AT565" s="2" t="s">
        <v>0</v>
      </c>
      <c r="AU565" s="1">
        <f t="shared" si="75"/>
        <v>3.0919923475431483</v>
      </c>
      <c r="AV565" s="1">
        <f t="shared" si="76"/>
        <v>2.213374146059186</v>
      </c>
      <c r="AW565" s="1">
        <f t="shared" si="77"/>
        <v>1.3347559445752226</v>
      </c>
    </row>
    <row r="566" spans="1:49" x14ac:dyDescent="0.2">
      <c r="A566">
        <v>564</v>
      </c>
      <c r="B566" t="s">
        <v>1331</v>
      </c>
      <c r="C566" t="s">
        <v>1330</v>
      </c>
      <c r="F566" t="s">
        <v>1329</v>
      </c>
      <c r="G566" t="s">
        <v>16</v>
      </c>
      <c r="H566" t="s">
        <v>15</v>
      </c>
      <c r="I566" t="s">
        <v>1328</v>
      </c>
      <c r="J566" t="s">
        <v>1327</v>
      </c>
      <c r="K566" t="s">
        <v>1326</v>
      </c>
      <c r="L566" t="s">
        <v>1325</v>
      </c>
      <c r="M566" t="s">
        <v>1324</v>
      </c>
      <c r="N566">
        <v>1</v>
      </c>
      <c r="O566" t="s">
        <v>1323</v>
      </c>
      <c r="P566">
        <v>7004468199</v>
      </c>
      <c r="Q566" t="s">
        <v>1322</v>
      </c>
      <c r="R566" s="7">
        <v>31413</v>
      </c>
      <c r="S566" s="8">
        <f t="shared" si="72"/>
        <v>1986</v>
      </c>
      <c r="T566" s="8">
        <v>1986</v>
      </c>
      <c r="U566" s="8">
        <f t="shared" si="73"/>
        <v>36</v>
      </c>
      <c r="V566" s="7">
        <v>31444</v>
      </c>
      <c r="W566" t="s">
        <v>686</v>
      </c>
      <c r="X566" s="2">
        <v>0.61899999999999999</v>
      </c>
      <c r="Y566" s="6">
        <f t="shared" si="70"/>
        <v>1.6523851472197752E-2</v>
      </c>
      <c r="AA566">
        <v>14966</v>
      </c>
      <c r="AB566">
        <v>12936</v>
      </c>
      <c r="AC566" t="s">
        <v>685</v>
      </c>
      <c r="AD566" t="s">
        <v>5</v>
      </c>
      <c r="AE566">
        <v>79</v>
      </c>
      <c r="AF566">
        <v>2</v>
      </c>
      <c r="AH566" t="s">
        <v>1321</v>
      </c>
      <c r="AI566" t="s">
        <v>1320</v>
      </c>
      <c r="AK566" t="s">
        <v>1319</v>
      </c>
      <c r="AL566">
        <v>10</v>
      </c>
      <c r="AM566" s="5">
        <f t="shared" si="74"/>
        <v>0.27777777777777779</v>
      </c>
      <c r="AN566" s="4">
        <f t="shared" si="71"/>
        <v>4.207160587319618E-4</v>
      </c>
      <c r="AO566" s="3"/>
      <c r="AP566">
        <v>0</v>
      </c>
      <c r="AR566" t="s">
        <v>1</v>
      </c>
      <c r="AT566" s="2" t="s">
        <v>0</v>
      </c>
      <c r="AU566" s="1">
        <f t="shared" si="75"/>
        <v>1.1692910848158014</v>
      </c>
      <c r="AV566" s="1">
        <f t="shared" si="76"/>
        <v>0.84722837654648575</v>
      </c>
      <c r="AW566" s="1">
        <f t="shared" si="77"/>
        <v>0.52516566827716993</v>
      </c>
    </row>
    <row r="567" spans="1:49" x14ac:dyDescent="0.2">
      <c r="A567">
        <v>565</v>
      </c>
      <c r="B567" t="s">
        <v>1318</v>
      </c>
      <c r="C567" t="s">
        <v>1317</v>
      </c>
      <c r="F567" t="s">
        <v>1316</v>
      </c>
      <c r="G567" t="s">
        <v>16</v>
      </c>
      <c r="H567" t="s">
        <v>15</v>
      </c>
      <c r="I567" t="s">
        <v>1315</v>
      </c>
      <c r="J567" t="s">
        <v>1314</v>
      </c>
      <c r="K567" t="s">
        <v>1313</v>
      </c>
      <c r="L567" t="s">
        <v>1312</v>
      </c>
      <c r="M567" t="s">
        <v>783</v>
      </c>
      <c r="N567">
        <v>2</v>
      </c>
      <c r="O567" t="s">
        <v>1311</v>
      </c>
      <c r="P567" t="s">
        <v>1310</v>
      </c>
      <c r="Q567" t="s">
        <v>1309</v>
      </c>
      <c r="R567" s="7">
        <v>31413</v>
      </c>
      <c r="S567" s="8">
        <f t="shared" si="72"/>
        <v>1986</v>
      </c>
      <c r="T567" s="8">
        <v>1986</v>
      </c>
      <c r="U567" s="8">
        <f t="shared" si="73"/>
        <v>36</v>
      </c>
      <c r="V567" s="7">
        <v>31444</v>
      </c>
      <c r="W567" t="s">
        <v>153</v>
      </c>
      <c r="X567" s="2">
        <v>1.6519999999999999</v>
      </c>
      <c r="Y567" s="6">
        <f t="shared" si="70"/>
        <v>4.409919649769093E-2</v>
      </c>
      <c r="AA567" t="s">
        <v>152</v>
      </c>
      <c r="AB567">
        <v>17337</v>
      </c>
      <c r="AC567">
        <v>15582221</v>
      </c>
      <c r="AD567" t="s">
        <v>5</v>
      </c>
      <c r="AE567">
        <v>34</v>
      </c>
      <c r="AF567">
        <v>2</v>
      </c>
      <c r="AH567" t="s">
        <v>1308</v>
      </c>
      <c r="AI567" t="s">
        <v>1307</v>
      </c>
      <c r="AK567" t="s">
        <v>1306</v>
      </c>
      <c r="AL567">
        <v>26</v>
      </c>
      <c r="AM567" s="5">
        <f t="shared" si="74"/>
        <v>0.72222222222222221</v>
      </c>
      <c r="AN567" s="4">
        <f t="shared" si="71"/>
        <v>1.0938617527031006E-3</v>
      </c>
      <c r="AO567" s="3"/>
      <c r="AP567">
        <v>0</v>
      </c>
      <c r="AR567" t="s">
        <v>1</v>
      </c>
      <c r="AT567" s="2" t="s">
        <v>0</v>
      </c>
      <c r="AU567" s="1">
        <f t="shared" si="75"/>
        <v>3.119759607419458</v>
      </c>
      <c r="AV567" s="1">
        <f t="shared" si="76"/>
        <v>2.2596529125197016</v>
      </c>
      <c r="AW567" s="1">
        <f t="shared" si="77"/>
        <v>1.3995462176199447</v>
      </c>
    </row>
    <row r="568" spans="1:49" x14ac:dyDescent="0.2">
      <c r="A568">
        <v>566</v>
      </c>
      <c r="B568" t="s">
        <v>1305</v>
      </c>
      <c r="C568" t="s">
        <v>1304</v>
      </c>
      <c r="F568" t="s">
        <v>1303</v>
      </c>
      <c r="G568" t="s">
        <v>16</v>
      </c>
      <c r="H568" t="s">
        <v>15</v>
      </c>
      <c r="I568" t="s">
        <v>1302</v>
      </c>
      <c r="J568">
        <v>60017293</v>
      </c>
      <c r="K568" t="s">
        <v>1301</v>
      </c>
      <c r="L568" t="s">
        <v>1300</v>
      </c>
      <c r="M568" t="s">
        <v>1299</v>
      </c>
      <c r="N568">
        <v>2</v>
      </c>
      <c r="O568" t="s">
        <v>1298</v>
      </c>
      <c r="P568" t="s">
        <v>1297</v>
      </c>
      <c r="Q568" t="s">
        <v>1296</v>
      </c>
      <c r="R568" s="7">
        <v>31413</v>
      </c>
      <c r="S568" s="8">
        <f t="shared" si="72"/>
        <v>1986</v>
      </c>
      <c r="T568" s="8">
        <v>1986</v>
      </c>
      <c r="U568" s="8">
        <f t="shared" si="73"/>
        <v>36</v>
      </c>
      <c r="V568" s="7" t="s">
        <v>1199</v>
      </c>
      <c r="W568" s="11" t="s">
        <v>1017</v>
      </c>
      <c r="X568" s="2">
        <v>2.383</v>
      </c>
      <c r="Y568" s="6">
        <f t="shared" si="70"/>
        <v>6.3612824003630442E-2</v>
      </c>
      <c r="AA568" t="s">
        <v>1016</v>
      </c>
      <c r="AB568">
        <v>101151</v>
      </c>
      <c r="AD568" t="s">
        <v>5</v>
      </c>
      <c r="AE568">
        <v>133</v>
      </c>
      <c r="AF568">
        <v>1</v>
      </c>
      <c r="AH568" t="s">
        <v>909</v>
      </c>
      <c r="AI568" t="s">
        <v>1295</v>
      </c>
      <c r="AK568" t="s">
        <v>1294</v>
      </c>
      <c r="AL568">
        <v>0</v>
      </c>
      <c r="AM568" s="5">
        <f t="shared" si="74"/>
        <v>0</v>
      </c>
      <c r="AN568" s="4">
        <f t="shared" si="71"/>
        <v>0</v>
      </c>
      <c r="AO568" s="3"/>
      <c r="AP568">
        <v>0</v>
      </c>
      <c r="AR568" t="s">
        <v>1</v>
      </c>
      <c r="AT568" s="2" t="s">
        <v>0</v>
      </c>
      <c r="AU568" s="1">
        <f t="shared" si="75"/>
        <v>4.4528976802541305</v>
      </c>
      <c r="AV568" s="1">
        <f t="shared" si="76"/>
        <v>3.1806412001815221</v>
      </c>
      <c r="AW568" s="1">
        <f t="shared" si="77"/>
        <v>1.9083847201089132</v>
      </c>
    </row>
    <row r="569" spans="1:49" x14ac:dyDescent="0.2">
      <c r="A569">
        <v>567</v>
      </c>
      <c r="B569" t="s">
        <v>1293</v>
      </c>
      <c r="C569" t="s">
        <v>1292</v>
      </c>
      <c r="F569" t="s">
        <v>1291</v>
      </c>
      <c r="G569" t="s">
        <v>16</v>
      </c>
      <c r="H569" t="s">
        <v>15</v>
      </c>
      <c r="I569" t="s">
        <v>1290</v>
      </c>
      <c r="J569">
        <v>60023053</v>
      </c>
      <c r="K569" t="s">
        <v>606</v>
      </c>
      <c r="L569" t="s">
        <v>605</v>
      </c>
      <c r="M569" t="s">
        <v>114</v>
      </c>
      <c r="N569">
        <v>1</v>
      </c>
      <c r="O569" t="s">
        <v>1289</v>
      </c>
      <c r="P569">
        <v>6603599117</v>
      </c>
      <c r="Q569">
        <v>60023053</v>
      </c>
      <c r="R569" s="7">
        <v>31413</v>
      </c>
      <c r="S569" s="8">
        <f t="shared" si="72"/>
        <v>1986</v>
      </c>
      <c r="T569" s="8">
        <v>1986</v>
      </c>
      <c r="U569" s="8">
        <f t="shared" si="73"/>
        <v>36</v>
      </c>
      <c r="V569" s="7" t="s">
        <v>1199</v>
      </c>
      <c r="W569" t="s">
        <v>1288</v>
      </c>
      <c r="X569" s="2">
        <v>0.65500000000000003</v>
      </c>
      <c r="Y569" s="6">
        <f t="shared" si="70"/>
        <v>1.7484850911614749E-2</v>
      </c>
      <c r="AA569">
        <v>189375</v>
      </c>
      <c r="AB569">
        <v>26051</v>
      </c>
      <c r="AD569" t="s">
        <v>5</v>
      </c>
      <c r="AE569" t="s">
        <v>1287</v>
      </c>
      <c r="AF569">
        <v>1</v>
      </c>
      <c r="AH569" t="s">
        <v>1286</v>
      </c>
      <c r="AI569" t="s">
        <v>1285</v>
      </c>
      <c r="AK569" t="s">
        <v>1284</v>
      </c>
      <c r="AL569">
        <v>10</v>
      </c>
      <c r="AM569" s="5">
        <f t="shared" si="74"/>
        <v>0.27777777777777779</v>
      </c>
      <c r="AN569" s="4">
        <f t="shared" si="71"/>
        <v>4.207160587319618E-4</v>
      </c>
      <c r="AO569" s="3"/>
      <c r="AP569">
        <v>0</v>
      </c>
      <c r="AR569" t="s">
        <v>1</v>
      </c>
      <c r="AT569" s="2" t="s">
        <v>0</v>
      </c>
      <c r="AU569" s="1">
        <f t="shared" si="75"/>
        <v>1.2365610455749911</v>
      </c>
      <c r="AV569" s="1">
        <f t="shared" si="76"/>
        <v>0.89527834851733556</v>
      </c>
      <c r="AW569" s="1">
        <f t="shared" si="77"/>
        <v>0.55399565145967977</v>
      </c>
    </row>
    <row r="570" spans="1:49" x14ac:dyDescent="0.2">
      <c r="A570">
        <v>568</v>
      </c>
      <c r="B570" t="s">
        <v>1283</v>
      </c>
      <c r="C570" t="s">
        <v>1282</v>
      </c>
      <c r="F570" t="s">
        <v>1281</v>
      </c>
      <c r="G570" t="s">
        <v>16</v>
      </c>
      <c r="H570" t="s">
        <v>15</v>
      </c>
      <c r="I570" t="s">
        <v>1280</v>
      </c>
      <c r="N570">
        <v>1</v>
      </c>
      <c r="O570" t="s">
        <v>1279</v>
      </c>
      <c r="P570">
        <v>6602629966</v>
      </c>
      <c r="R570" s="7">
        <v>31413</v>
      </c>
      <c r="S570" s="8">
        <f t="shared" si="72"/>
        <v>1986</v>
      </c>
      <c r="T570" s="8">
        <v>1986</v>
      </c>
      <c r="U570" s="8">
        <f t="shared" si="73"/>
        <v>36</v>
      </c>
      <c r="V570" s="7">
        <v>31444</v>
      </c>
      <c r="W570" t="s">
        <v>1278</v>
      </c>
      <c r="X570" s="2">
        <v>2.823</v>
      </c>
      <c r="Y570" s="6">
        <f t="shared" si="70"/>
        <v>7.5358372707615917E-2</v>
      </c>
      <c r="AA570">
        <v>1636804</v>
      </c>
      <c r="AB570">
        <v>17249</v>
      </c>
      <c r="AD570" t="s">
        <v>5</v>
      </c>
      <c r="AE570">
        <v>24</v>
      </c>
      <c r="AF570">
        <v>2</v>
      </c>
      <c r="AH570" t="s">
        <v>1277</v>
      </c>
      <c r="AL570">
        <v>2</v>
      </c>
      <c r="AM570" s="5">
        <f t="shared" si="74"/>
        <v>5.5555555555555552E-2</v>
      </c>
      <c r="AN570" s="4">
        <f t="shared" si="71"/>
        <v>8.4143211746392349E-5</v>
      </c>
      <c r="AO570" s="3"/>
      <c r="AP570">
        <v>0</v>
      </c>
      <c r="AR570" t="s">
        <v>1</v>
      </c>
      <c r="AT570" s="2">
        <v>9.6189999999999998</v>
      </c>
      <c r="AU570" s="1">
        <f t="shared" si="75"/>
        <v>5.277610385885505</v>
      </c>
      <c r="AV570" s="1">
        <f t="shared" si="76"/>
        <v>3.7721257959681154</v>
      </c>
      <c r="AW570" s="1">
        <f t="shared" si="77"/>
        <v>2.2666412060507248</v>
      </c>
    </row>
    <row r="571" spans="1:49" x14ac:dyDescent="0.2">
      <c r="A571">
        <v>569</v>
      </c>
      <c r="B571" t="s">
        <v>1276</v>
      </c>
      <c r="C571" t="s">
        <v>1275</v>
      </c>
      <c r="F571" t="s">
        <v>1274</v>
      </c>
      <c r="G571" t="s">
        <v>16</v>
      </c>
      <c r="H571" t="s">
        <v>15</v>
      </c>
      <c r="I571" t="s">
        <v>1273</v>
      </c>
      <c r="N571">
        <v>2</v>
      </c>
      <c r="O571" t="s">
        <v>1272</v>
      </c>
      <c r="P571" t="s">
        <v>1271</v>
      </c>
      <c r="Q571" t="s">
        <v>313</v>
      </c>
      <c r="R571" s="7">
        <v>31413</v>
      </c>
      <c r="S571" s="8">
        <f t="shared" si="72"/>
        <v>1986</v>
      </c>
      <c r="T571" s="8">
        <v>1986</v>
      </c>
      <c r="U571" s="8">
        <f t="shared" si="73"/>
        <v>36</v>
      </c>
      <c r="V571" s="7">
        <v>31444</v>
      </c>
      <c r="W571" t="s">
        <v>153</v>
      </c>
      <c r="X571" s="2">
        <v>1.6519999999999999</v>
      </c>
      <c r="Y571" s="6">
        <f t="shared" si="70"/>
        <v>4.409919649769093E-2</v>
      </c>
      <c r="AA571" t="s">
        <v>152</v>
      </c>
      <c r="AB571">
        <v>17337</v>
      </c>
      <c r="AC571">
        <v>15582221</v>
      </c>
      <c r="AD571" t="s">
        <v>5</v>
      </c>
      <c r="AE571">
        <v>34</v>
      </c>
      <c r="AF571">
        <v>2</v>
      </c>
      <c r="AH571" t="s">
        <v>1270</v>
      </c>
      <c r="AI571" t="s">
        <v>1269</v>
      </c>
      <c r="AK571" t="s">
        <v>1268</v>
      </c>
      <c r="AL571">
        <v>19</v>
      </c>
      <c r="AM571" s="5">
        <f t="shared" si="74"/>
        <v>0.52777777777777779</v>
      </c>
      <c r="AN571" s="4">
        <f t="shared" si="71"/>
        <v>7.993605115907274E-4</v>
      </c>
      <c r="AO571" s="3"/>
      <c r="AP571">
        <v>0</v>
      </c>
      <c r="AR571" t="s">
        <v>1</v>
      </c>
      <c r="AT571" s="2" t="s">
        <v>0</v>
      </c>
      <c r="AU571" s="1">
        <f t="shared" si="75"/>
        <v>3.110924570186087</v>
      </c>
      <c r="AV571" s="1">
        <f t="shared" si="76"/>
        <v>2.2449278504640828</v>
      </c>
      <c r="AW571" s="1">
        <f t="shared" si="77"/>
        <v>1.3789311307420786</v>
      </c>
    </row>
    <row r="572" spans="1:49" x14ac:dyDescent="0.2">
      <c r="A572">
        <v>570</v>
      </c>
      <c r="B572" t="s">
        <v>1267</v>
      </c>
      <c r="C572" t="s">
        <v>1266</v>
      </c>
      <c r="F572" t="s">
        <v>1265</v>
      </c>
      <c r="G572" t="s">
        <v>16</v>
      </c>
      <c r="H572" t="s">
        <v>15</v>
      </c>
      <c r="I572" t="s">
        <v>1264</v>
      </c>
      <c r="J572">
        <v>60007801</v>
      </c>
      <c r="K572" t="s">
        <v>1263</v>
      </c>
      <c r="L572" t="s">
        <v>1262</v>
      </c>
      <c r="M572" t="s">
        <v>114</v>
      </c>
      <c r="N572">
        <v>1</v>
      </c>
      <c r="O572" t="s">
        <v>1261</v>
      </c>
      <c r="P572">
        <v>7006776374</v>
      </c>
      <c r="Q572">
        <v>60007801</v>
      </c>
      <c r="R572" s="7">
        <v>31413</v>
      </c>
      <c r="S572" s="8">
        <f t="shared" si="72"/>
        <v>1986</v>
      </c>
      <c r="T572" s="8">
        <v>1986</v>
      </c>
      <c r="U572" s="8">
        <f t="shared" si="73"/>
        <v>36</v>
      </c>
      <c r="V572" s="7">
        <v>31444</v>
      </c>
      <c r="W572" t="s">
        <v>153</v>
      </c>
      <c r="X572" s="2">
        <v>1.6519999999999999</v>
      </c>
      <c r="Y572" s="6">
        <f t="shared" si="70"/>
        <v>4.409919649769093E-2</v>
      </c>
      <c r="AA572" t="s">
        <v>152</v>
      </c>
      <c r="AB572">
        <v>17337</v>
      </c>
      <c r="AC572">
        <v>15582221</v>
      </c>
      <c r="AD572" t="s">
        <v>5</v>
      </c>
      <c r="AE572">
        <v>34</v>
      </c>
      <c r="AF572">
        <v>2</v>
      </c>
      <c r="AH572" t="s">
        <v>1260</v>
      </c>
      <c r="AI572" t="s">
        <v>1259</v>
      </c>
      <c r="AK572" t="s">
        <v>1258</v>
      </c>
      <c r="AL572">
        <v>6</v>
      </c>
      <c r="AM572" s="5">
        <f t="shared" si="74"/>
        <v>0.16666666666666666</v>
      </c>
      <c r="AN572" s="4">
        <f t="shared" si="71"/>
        <v>2.5242963523917705E-4</v>
      </c>
      <c r="AO572" s="3"/>
      <c r="AP572">
        <v>0</v>
      </c>
      <c r="AR572" t="s">
        <v>1</v>
      </c>
      <c r="AT572" s="2" t="s">
        <v>0</v>
      </c>
      <c r="AU572" s="1">
        <f t="shared" si="75"/>
        <v>3.0945166438955405</v>
      </c>
      <c r="AV572" s="1">
        <f t="shared" si="76"/>
        <v>2.2175813066465055</v>
      </c>
      <c r="AW572" s="1">
        <f t="shared" si="77"/>
        <v>1.3406459693974702</v>
      </c>
    </row>
    <row r="573" spans="1:49" x14ac:dyDescent="0.2">
      <c r="A573">
        <v>571</v>
      </c>
      <c r="B573" t="s">
        <v>1257</v>
      </c>
      <c r="C573" t="s">
        <v>1256</v>
      </c>
      <c r="F573" t="s">
        <v>1255</v>
      </c>
      <c r="G573" t="s">
        <v>16</v>
      </c>
      <c r="H573" t="s">
        <v>15</v>
      </c>
      <c r="I573" t="s">
        <v>1254</v>
      </c>
      <c r="J573">
        <v>60103653</v>
      </c>
      <c r="K573" t="s">
        <v>1253</v>
      </c>
      <c r="L573" t="s">
        <v>1252</v>
      </c>
      <c r="M573" t="s">
        <v>1251</v>
      </c>
      <c r="N573">
        <v>3</v>
      </c>
      <c r="O573" t="s">
        <v>1250</v>
      </c>
      <c r="P573" t="s">
        <v>1249</v>
      </c>
      <c r="Q573" t="s">
        <v>1248</v>
      </c>
      <c r="R573" s="7">
        <v>31413</v>
      </c>
      <c r="S573" s="8">
        <f t="shared" si="72"/>
        <v>1986</v>
      </c>
      <c r="T573" s="8">
        <v>1986</v>
      </c>
      <c r="U573" s="8">
        <f t="shared" si="73"/>
        <v>36</v>
      </c>
      <c r="V573" s="7">
        <v>31444</v>
      </c>
      <c r="W573" t="s">
        <v>153</v>
      </c>
      <c r="X573" s="2">
        <v>1.6519999999999999</v>
      </c>
      <c r="Y573" s="6">
        <f t="shared" si="70"/>
        <v>4.409919649769093E-2</v>
      </c>
      <c r="AA573" t="s">
        <v>152</v>
      </c>
      <c r="AB573">
        <v>17337</v>
      </c>
      <c r="AC573">
        <v>15582221</v>
      </c>
      <c r="AD573" t="s">
        <v>5</v>
      </c>
      <c r="AE573">
        <v>34</v>
      </c>
      <c r="AF573">
        <v>2</v>
      </c>
      <c r="AH573" t="s">
        <v>1247</v>
      </c>
      <c r="AI573" t="s">
        <v>1246</v>
      </c>
      <c r="AK573" t="s">
        <v>1245</v>
      </c>
      <c r="AL573">
        <v>16</v>
      </c>
      <c r="AM573" s="5">
        <f t="shared" si="74"/>
        <v>0.44444444444444442</v>
      </c>
      <c r="AN573" s="4">
        <f t="shared" si="71"/>
        <v>6.7314569397113879E-4</v>
      </c>
      <c r="AO573" s="3"/>
      <c r="AP573">
        <v>0</v>
      </c>
      <c r="AR573" t="s">
        <v>1</v>
      </c>
      <c r="AT573" s="2" t="s">
        <v>0</v>
      </c>
      <c r="AU573" s="1">
        <f t="shared" si="75"/>
        <v>3.1071381256574995</v>
      </c>
      <c r="AV573" s="1">
        <f t="shared" si="76"/>
        <v>2.2386171095831036</v>
      </c>
      <c r="AW573" s="1">
        <f t="shared" si="77"/>
        <v>1.3700960935087076</v>
      </c>
    </row>
    <row r="574" spans="1:49" x14ac:dyDescent="0.2">
      <c r="A574">
        <v>572</v>
      </c>
      <c r="B574" t="s">
        <v>1244</v>
      </c>
      <c r="C574" t="s">
        <v>1243</v>
      </c>
      <c r="F574" t="s">
        <v>1242</v>
      </c>
      <c r="G574" t="s">
        <v>16</v>
      </c>
      <c r="H574" t="s">
        <v>15</v>
      </c>
      <c r="I574" t="s">
        <v>1241</v>
      </c>
      <c r="J574" t="s">
        <v>1240</v>
      </c>
      <c r="K574" t="s">
        <v>1239</v>
      </c>
      <c r="L574" t="s">
        <v>1238</v>
      </c>
      <c r="M574" t="s">
        <v>1237</v>
      </c>
      <c r="N574">
        <v>2</v>
      </c>
      <c r="O574" t="s">
        <v>1236</v>
      </c>
      <c r="P574" t="s">
        <v>1235</v>
      </c>
      <c r="Q574" t="s">
        <v>1234</v>
      </c>
      <c r="R574" s="7">
        <v>31413</v>
      </c>
      <c r="S574" s="8">
        <f t="shared" si="72"/>
        <v>1986</v>
      </c>
      <c r="T574" s="8">
        <v>1986</v>
      </c>
      <c r="U574" s="8">
        <f t="shared" si="73"/>
        <v>36</v>
      </c>
      <c r="V574" s="7">
        <v>31444</v>
      </c>
      <c r="W574" t="s">
        <v>153</v>
      </c>
      <c r="X574" s="2">
        <v>1.6519999999999999</v>
      </c>
      <c r="Y574" s="6">
        <f t="shared" si="70"/>
        <v>4.409919649769093E-2</v>
      </c>
      <c r="AA574" t="s">
        <v>152</v>
      </c>
      <c r="AB574">
        <v>17337</v>
      </c>
      <c r="AC574">
        <v>15582221</v>
      </c>
      <c r="AD574" t="s">
        <v>5</v>
      </c>
      <c r="AE574">
        <v>34</v>
      </c>
      <c r="AF574">
        <v>2</v>
      </c>
      <c r="AH574" t="s">
        <v>1233</v>
      </c>
      <c r="AI574" t="s">
        <v>1232</v>
      </c>
      <c r="AK574" t="s">
        <v>1231</v>
      </c>
      <c r="AL574">
        <v>14</v>
      </c>
      <c r="AM574" s="5">
        <f t="shared" si="74"/>
        <v>0.3888888888888889</v>
      </c>
      <c r="AN574" s="4">
        <f t="shared" si="71"/>
        <v>5.890024822247465E-4</v>
      </c>
      <c r="AO574" s="3"/>
      <c r="AP574">
        <v>0</v>
      </c>
      <c r="AR574" t="s">
        <v>1</v>
      </c>
      <c r="AT574" s="2" t="s">
        <v>0</v>
      </c>
      <c r="AU574" s="1">
        <f t="shared" si="75"/>
        <v>3.1046138293051073</v>
      </c>
      <c r="AV574" s="1">
        <f t="shared" si="76"/>
        <v>2.2344099489957836</v>
      </c>
      <c r="AW574" s="1">
        <f t="shared" si="77"/>
        <v>1.3642060686864601</v>
      </c>
    </row>
    <row r="575" spans="1:49" x14ac:dyDescent="0.2">
      <c r="A575">
        <v>573</v>
      </c>
      <c r="B575" t="s">
        <v>1230</v>
      </c>
      <c r="C575" t="s">
        <v>1229</v>
      </c>
      <c r="F575" t="s">
        <v>1228</v>
      </c>
      <c r="G575" t="s">
        <v>16</v>
      </c>
      <c r="H575" t="s">
        <v>15</v>
      </c>
      <c r="I575" t="s">
        <v>1227</v>
      </c>
      <c r="J575">
        <v>60000891</v>
      </c>
      <c r="K575" t="s">
        <v>1226</v>
      </c>
      <c r="L575" t="s">
        <v>1225</v>
      </c>
      <c r="M575" t="s">
        <v>665</v>
      </c>
      <c r="N575">
        <v>1</v>
      </c>
      <c r="O575" t="s">
        <v>1224</v>
      </c>
      <c r="P575">
        <v>7402565933</v>
      </c>
      <c r="Q575">
        <v>60000891</v>
      </c>
      <c r="R575" s="7">
        <v>31413</v>
      </c>
      <c r="S575" s="8">
        <f t="shared" si="72"/>
        <v>1986</v>
      </c>
      <c r="T575" s="8">
        <v>1986</v>
      </c>
      <c r="U575" s="8">
        <f t="shared" si="73"/>
        <v>36</v>
      </c>
      <c r="V575" s="7" t="s">
        <v>1199</v>
      </c>
      <c r="W575" s="11" t="s">
        <v>1017</v>
      </c>
      <c r="X575" s="2">
        <v>2.383</v>
      </c>
      <c r="Y575" s="6">
        <f t="shared" si="70"/>
        <v>6.3612824003630442E-2</v>
      </c>
      <c r="AA575" t="s">
        <v>1016</v>
      </c>
      <c r="AB575">
        <v>101151</v>
      </c>
      <c r="AD575" t="s">
        <v>5</v>
      </c>
      <c r="AE575">
        <v>133</v>
      </c>
      <c r="AF575">
        <v>1</v>
      </c>
      <c r="AH575" t="s">
        <v>1223</v>
      </c>
      <c r="AI575" t="s">
        <v>1222</v>
      </c>
      <c r="AK575" t="s">
        <v>1221</v>
      </c>
      <c r="AL575">
        <v>3</v>
      </c>
      <c r="AM575" s="5">
        <f t="shared" si="74"/>
        <v>8.3333333333333329E-2</v>
      </c>
      <c r="AN575" s="4">
        <f t="shared" si="71"/>
        <v>1.2621481761958852E-4</v>
      </c>
      <c r="AO575" s="3"/>
      <c r="AP575">
        <v>0</v>
      </c>
      <c r="AR575" t="s">
        <v>1</v>
      </c>
      <c r="AT575" s="2" t="s">
        <v>0</v>
      </c>
      <c r="AU575" s="1">
        <f t="shared" si="75"/>
        <v>4.4566841247827185</v>
      </c>
      <c r="AV575" s="1">
        <f t="shared" si="76"/>
        <v>3.1869519410625013</v>
      </c>
      <c r="AW575" s="1">
        <f t="shared" si="77"/>
        <v>1.9172197573422847</v>
      </c>
    </row>
    <row r="576" spans="1:49" x14ac:dyDescent="0.2">
      <c r="A576">
        <v>574</v>
      </c>
      <c r="B576" t="s">
        <v>1220</v>
      </c>
      <c r="C576" t="s">
        <v>1219</v>
      </c>
      <c r="F576" t="s">
        <v>1218</v>
      </c>
      <c r="G576" t="s">
        <v>16</v>
      </c>
      <c r="H576" t="s">
        <v>15</v>
      </c>
      <c r="I576" t="s">
        <v>1217</v>
      </c>
      <c r="J576">
        <v>60025225</v>
      </c>
      <c r="K576" t="s">
        <v>1216</v>
      </c>
      <c r="L576" t="s">
        <v>1215</v>
      </c>
      <c r="M576" t="s">
        <v>665</v>
      </c>
      <c r="N576">
        <v>3</v>
      </c>
      <c r="O576" t="s">
        <v>1214</v>
      </c>
      <c r="P576" t="s">
        <v>1213</v>
      </c>
      <c r="Q576" t="s">
        <v>1212</v>
      </c>
      <c r="R576" s="7">
        <v>31413</v>
      </c>
      <c r="S576" s="8">
        <f t="shared" si="72"/>
        <v>1986</v>
      </c>
      <c r="T576" s="8">
        <v>1986</v>
      </c>
      <c r="U576" s="8">
        <f t="shared" si="73"/>
        <v>36</v>
      </c>
      <c r="V576" s="7" t="s">
        <v>1199</v>
      </c>
      <c r="W576" s="11" t="s">
        <v>1017</v>
      </c>
      <c r="X576" s="2">
        <v>2.383</v>
      </c>
      <c r="Y576" s="6">
        <f t="shared" si="70"/>
        <v>6.3612824003630442E-2</v>
      </c>
      <c r="AA576" t="s">
        <v>1016</v>
      </c>
      <c r="AB576">
        <v>101151</v>
      </c>
      <c r="AD576" t="s">
        <v>5</v>
      </c>
      <c r="AE576">
        <v>133</v>
      </c>
      <c r="AF576">
        <v>1</v>
      </c>
      <c r="AH576" t="s">
        <v>1211</v>
      </c>
      <c r="AI576" t="s">
        <v>1210</v>
      </c>
      <c r="AK576" t="s">
        <v>1209</v>
      </c>
      <c r="AL576">
        <v>5</v>
      </c>
      <c r="AM576" s="5">
        <f t="shared" si="74"/>
        <v>0.1388888888888889</v>
      </c>
      <c r="AN576" s="4">
        <f t="shared" si="71"/>
        <v>2.103580293659809E-4</v>
      </c>
      <c r="AO576" s="3"/>
      <c r="AP576">
        <v>0</v>
      </c>
      <c r="AR576" t="s">
        <v>1</v>
      </c>
      <c r="AT576" s="2" t="s">
        <v>0</v>
      </c>
      <c r="AU576" s="1">
        <f t="shared" si="75"/>
        <v>4.4592084211351102</v>
      </c>
      <c r="AV576" s="1">
        <f t="shared" si="76"/>
        <v>3.1911591016498209</v>
      </c>
      <c r="AW576" s="1">
        <f t="shared" si="77"/>
        <v>1.923109782164532</v>
      </c>
    </row>
    <row r="577" spans="1:49" x14ac:dyDescent="0.2">
      <c r="A577">
        <v>575</v>
      </c>
      <c r="B577" t="s">
        <v>1208</v>
      </c>
      <c r="C577" t="s">
        <v>1207</v>
      </c>
      <c r="F577" t="s">
        <v>1206</v>
      </c>
      <c r="G577" t="s">
        <v>16</v>
      </c>
      <c r="H577" t="s">
        <v>15</v>
      </c>
      <c r="I577" t="s">
        <v>1205</v>
      </c>
      <c r="J577">
        <v>60001881</v>
      </c>
      <c r="K577" t="s">
        <v>1204</v>
      </c>
      <c r="L577" t="s">
        <v>1203</v>
      </c>
      <c r="M577" t="s">
        <v>665</v>
      </c>
      <c r="N577">
        <v>2</v>
      </c>
      <c r="O577" t="s">
        <v>1202</v>
      </c>
      <c r="P577" t="s">
        <v>1201</v>
      </c>
      <c r="Q577" t="s">
        <v>1200</v>
      </c>
      <c r="R577" s="7">
        <v>31413</v>
      </c>
      <c r="S577" s="8">
        <f t="shared" si="72"/>
        <v>1986</v>
      </c>
      <c r="T577" s="8">
        <v>1986</v>
      </c>
      <c r="U577" s="8">
        <f t="shared" si="73"/>
        <v>36</v>
      </c>
      <c r="V577" s="7" t="s">
        <v>1199</v>
      </c>
      <c r="W577" s="11" t="s">
        <v>1017</v>
      </c>
      <c r="X577" s="2">
        <v>2.383</v>
      </c>
      <c r="Y577" s="6">
        <f t="shared" si="70"/>
        <v>6.3612824003630442E-2</v>
      </c>
      <c r="AA577" t="s">
        <v>1016</v>
      </c>
      <c r="AB577">
        <v>101151</v>
      </c>
      <c r="AD577" t="s">
        <v>5</v>
      </c>
      <c r="AE577">
        <v>133</v>
      </c>
      <c r="AF577">
        <v>1</v>
      </c>
      <c r="AH577" t="s">
        <v>1198</v>
      </c>
      <c r="AI577" t="s">
        <v>1197</v>
      </c>
      <c r="AK577" t="s">
        <v>1196</v>
      </c>
      <c r="AL577">
        <v>2</v>
      </c>
      <c r="AM577" s="5">
        <f t="shared" si="74"/>
        <v>5.5555555555555552E-2</v>
      </c>
      <c r="AN577" s="4">
        <f t="shared" si="71"/>
        <v>8.4143211746392349E-5</v>
      </c>
      <c r="AO577" s="3"/>
      <c r="AP577">
        <v>0</v>
      </c>
      <c r="AR577" t="s">
        <v>1</v>
      </c>
      <c r="AT577" s="2" t="s">
        <v>0</v>
      </c>
      <c r="AU577" s="1">
        <f t="shared" si="75"/>
        <v>4.4554219766065222</v>
      </c>
      <c r="AV577" s="1">
        <f t="shared" si="76"/>
        <v>3.1848483607688416</v>
      </c>
      <c r="AW577" s="1">
        <f t="shared" si="77"/>
        <v>1.9142747449311608</v>
      </c>
    </row>
    <row r="578" spans="1:49" x14ac:dyDescent="0.2">
      <c r="A578">
        <v>576</v>
      </c>
      <c r="B578" t="s">
        <v>1195</v>
      </c>
      <c r="C578" t="s">
        <v>1194</v>
      </c>
      <c r="F578" t="s">
        <v>1193</v>
      </c>
      <c r="G578" t="s">
        <v>16</v>
      </c>
      <c r="H578" t="s">
        <v>15</v>
      </c>
      <c r="I578" t="s">
        <v>1192</v>
      </c>
      <c r="J578" t="s">
        <v>1191</v>
      </c>
      <c r="K578" t="s">
        <v>1190</v>
      </c>
      <c r="L578" t="s">
        <v>1189</v>
      </c>
      <c r="M578" t="s">
        <v>1188</v>
      </c>
      <c r="N578">
        <v>5</v>
      </c>
      <c r="O578" t="s">
        <v>1187</v>
      </c>
      <c r="P578" t="s">
        <v>1186</v>
      </c>
      <c r="Q578" t="s">
        <v>1185</v>
      </c>
      <c r="R578" s="7">
        <v>31413</v>
      </c>
      <c r="S578" s="8">
        <f t="shared" si="72"/>
        <v>1986</v>
      </c>
      <c r="T578" s="8">
        <v>1986</v>
      </c>
      <c r="U578" s="8">
        <f t="shared" si="73"/>
        <v>36</v>
      </c>
      <c r="V578" s="7">
        <v>31444</v>
      </c>
      <c r="W578" t="s">
        <v>414</v>
      </c>
      <c r="X578" s="2">
        <v>1.774</v>
      </c>
      <c r="Y578" s="6">
        <f t="shared" ref="Y578:Y641" si="78">(X578-$Z$4)/($Z$3-$Z$4)</f>
        <v>4.7355916820159633E-2</v>
      </c>
      <c r="AA578">
        <v>295515</v>
      </c>
      <c r="AB578">
        <v>29066</v>
      </c>
      <c r="AC578">
        <v>17414326</v>
      </c>
      <c r="AD578" t="s">
        <v>5</v>
      </c>
      <c r="AE578">
        <v>26</v>
      </c>
      <c r="AF578">
        <v>2</v>
      </c>
      <c r="AH578" t="s">
        <v>1184</v>
      </c>
      <c r="AI578" t="s">
        <v>1183</v>
      </c>
      <c r="AK578" t="s">
        <v>1182</v>
      </c>
      <c r="AL578">
        <v>7</v>
      </c>
      <c r="AM578" s="5">
        <f t="shared" si="74"/>
        <v>0.19444444444444445</v>
      </c>
      <c r="AN578" s="4">
        <f t="shared" ref="AN578:AN641" si="79">(AM578-$AO$4)/($AO$3-$AO$4)</f>
        <v>2.9450124111237325E-4</v>
      </c>
      <c r="AO578" s="3"/>
      <c r="AP578">
        <v>0</v>
      </c>
      <c r="AR578" t="s">
        <v>1</v>
      </c>
      <c r="AT578" s="2">
        <v>3.1789999999999998</v>
      </c>
      <c r="AU578" s="1">
        <f t="shared" si="75"/>
        <v>3.3237492146445455</v>
      </c>
      <c r="AV578" s="1">
        <f t="shared" si="76"/>
        <v>2.3825209030636003</v>
      </c>
      <c r="AW578" s="1">
        <f t="shared" si="77"/>
        <v>1.4412925914826549</v>
      </c>
    </row>
    <row r="579" spans="1:49" x14ac:dyDescent="0.2">
      <c r="A579">
        <v>577</v>
      </c>
      <c r="B579" t="s">
        <v>1181</v>
      </c>
      <c r="C579" t="s">
        <v>1180</v>
      </c>
      <c r="F579" t="s">
        <v>1179</v>
      </c>
      <c r="G579" t="s">
        <v>16</v>
      </c>
      <c r="H579" t="s">
        <v>15</v>
      </c>
      <c r="I579" t="s">
        <v>1178</v>
      </c>
      <c r="J579" t="s">
        <v>1177</v>
      </c>
      <c r="K579" t="s">
        <v>1176</v>
      </c>
      <c r="L579" t="s">
        <v>1175</v>
      </c>
      <c r="M579" t="s">
        <v>899</v>
      </c>
      <c r="N579">
        <v>4</v>
      </c>
      <c r="O579" t="s">
        <v>1174</v>
      </c>
      <c r="P579" t="s">
        <v>1173</v>
      </c>
      <c r="Q579" t="s">
        <v>1172</v>
      </c>
      <c r="R579" s="7">
        <v>31413</v>
      </c>
      <c r="S579" s="8">
        <f t="shared" si="72"/>
        <v>1986</v>
      </c>
      <c r="T579" s="8">
        <v>1986</v>
      </c>
      <c r="U579" s="8">
        <f t="shared" si="73"/>
        <v>36</v>
      </c>
      <c r="V579" s="7">
        <v>31444</v>
      </c>
      <c r="W579" t="s">
        <v>414</v>
      </c>
      <c r="X579" s="2">
        <v>1.774</v>
      </c>
      <c r="Y579" s="6">
        <f t="shared" si="78"/>
        <v>4.7355916820159633E-2</v>
      </c>
      <c r="AA579">
        <v>295515</v>
      </c>
      <c r="AB579">
        <v>29066</v>
      </c>
      <c r="AC579">
        <v>17414326</v>
      </c>
      <c r="AD579" t="s">
        <v>5</v>
      </c>
      <c r="AE579">
        <v>26</v>
      </c>
      <c r="AF579">
        <v>2</v>
      </c>
      <c r="AH579" t="s">
        <v>1171</v>
      </c>
      <c r="AI579" t="s">
        <v>1170</v>
      </c>
      <c r="AK579" t="s">
        <v>1169</v>
      </c>
      <c r="AL579">
        <v>0</v>
      </c>
      <c r="AM579" s="5">
        <f t="shared" si="74"/>
        <v>0</v>
      </c>
      <c r="AN579" s="4">
        <f t="shared" si="79"/>
        <v>0</v>
      </c>
      <c r="AO579" s="3"/>
      <c r="AP579">
        <v>0</v>
      </c>
      <c r="AR579" t="s">
        <v>1</v>
      </c>
      <c r="AT579" s="2">
        <v>3.1789999999999998</v>
      </c>
      <c r="AU579" s="1">
        <f t="shared" si="75"/>
        <v>3.3149141774111741</v>
      </c>
      <c r="AV579" s="1">
        <f t="shared" si="76"/>
        <v>2.3677958410079816</v>
      </c>
      <c r="AW579" s="1">
        <f t="shared" si="77"/>
        <v>1.4206775046047888</v>
      </c>
    </row>
    <row r="580" spans="1:49" x14ac:dyDescent="0.2">
      <c r="A580">
        <v>578</v>
      </c>
      <c r="B580" t="s">
        <v>1168</v>
      </c>
      <c r="C580" t="s">
        <v>1167</v>
      </c>
      <c r="F580" t="s">
        <v>1166</v>
      </c>
      <c r="G580" t="s">
        <v>16</v>
      </c>
      <c r="H580" t="s">
        <v>15</v>
      </c>
      <c r="I580" t="s">
        <v>327</v>
      </c>
      <c r="J580">
        <v>60032882</v>
      </c>
      <c r="K580" t="s">
        <v>326</v>
      </c>
      <c r="L580" t="s">
        <v>325</v>
      </c>
      <c r="M580" t="s">
        <v>212</v>
      </c>
      <c r="N580">
        <v>2</v>
      </c>
      <c r="O580" t="s">
        <v>1165</v>
      </c>
      <c r="P580" t="s">
        <v>1164</v>
      </c>
      <c r="Q580" t="s">
        <v>1163</v>
      </c>
      <c r="R580" s="7">
        <v>31413</v>
      </c>
      <c r="S580" s="8">
        <f t="shared" si="72"/>
        <v>1986</v>
      </c>
      <c r="T580" s="8">
        <v>1986</v>
      </c>
      <c r="U580" s="8">
        <f t="shared" si="73"/>
        <v>36</v>
      </c>
      <c r="V580" s="7">
        <v>1986</v>
      </c>
      <c r="W580" t="s">
        <v>580</v>
      </c>
      <c r="X580" s="2">
        <v>0.375</v>
      </c>
      <c r="Y580" s="6">
        <f t="shared" si="78"/>
        <v>1.0010410827260351E-2</v>
      </c>
      <c r="AA580">
        <v>135194</v>
      </c>
      <c r="AB580">
        <v>24918</v>
      </c>
      <c r="AD580" t="s">
        <v>5</v>
      </c>
      <c r="AE580">
        <v>22</v>
      </c>
      <c r="AF580">
        <v>5</v>
      </c>
      <c r="AH580" t="s">
        <v>1162</v>
      </c>
      <c r="AI580" t="s">
        <v>1161</v>
      </c>
      <c r="AJ580" t="s">
        <v>1160</v>
      </c>
      <c r="AK580" t="s">
        <v>1159</v>
      </c>
      <c r="AL580">
        <v>4</v>
      </c>
      <c r="AM580" s="5">
        <f t="shared" si="74"/>
        <v>0.1111111111111111</v>
      </c>
      <c r="AN580" s="4">
        <f t="shared" si="79"/>
        <v>1.682864234927847E-4</v>
      </c>
      <c r="AO580" s="3"/>
      <c r="AP580">
        <v>0</v>
      </c>
      <c r="AR580" t="s">
        <v>1</v>
      </c>
      <c r="AT580" s="2">
        <v>1.3140000000000001</v>
      </c>
      <c r="AU580" s="1">
        <f t="shared" si="75"/>
        <v>0.70577735061300817</v>
      </c>
      <c r="AV580" s="1">
        <f t="shared" si="76"/>
        <v>0.50893486253765674</v>
      </c>
      <c r="AW580" s="1">
        <f t="shared" si="77"/>
        <v>0.31209237446230542</v>
      </c>
    </row>
    <row r="581" spans="1:49" x14ac:dyDescent="0.2">
      <c r="A581">
        <v>579</v>
      </c>
      <c r="B581" t="s">
        <v>1158</v>
      </c>
      <c r="C581" t="s">
        <v>1157</v>
      </c>
      <c r="F581" t="s">
        <v>1156</v>
      </c>
      <c r="G581" t="s">
        <v>16</v>
      </c>
      <c r="H581" t="s">
        <v>15</v>
      </c>
      <c r="I581" t="s">
        <v>1155</v>
      </c>
      <c r="J581" t="s">
        <v>1154</v>
      </c>
      <c r="K581" t="s">
        <v>1153</v>
      </c>
      <c r="L581" t="s">
        <v>1152</v>
      </c>
      <c r="M581" t="s">
        <v>689</v>
      </c>
      <c r="N581">
        <v>2</v>
      </c>
      <c r="O581" t="s">
        <v>1151</v>
      </c>
      <c r="P581" t="s">
        <v>1150</v>
      </c>
      <c r="Q581" t="s">
        <v>1149</v>
      </c>
      <c r="R581" s="7">
        <v>31413</v>
      </c>
      <c r="S581" s="8">
        <f t="shared" si="72"/>
        <v>1986</v>
      </c>
      <c r="T581" s="8">
        <v>1986</v>
      </c>
      <c r="U581" s="8">
        <f t="shared" si="73"/>
        <v>36</v>
      </c>
      <c r="V581" s="7">
        <v>31444</v>
      </c>
      <c r="W581" t="s">
        <v>1148</v>
      </c>
      <c r="X581" s="2">
        <v>0.77200000000000002</v>
      </c>
      <c r="Y581" s="6">
        <f t="shared" si="78"/>
        <v>2.0608099089719976E-2</v>
      </c>
      <c r="AA581">
        <v>223778</v>
      </c>
      <c r="AB581">
        <v>28572</v>
      </c>
      <c r="AC581">
        <v>14697807</v>
      </c>
      <c r="AD581" t="s">
        <v>5</v>
      </c>
      <c r="AE581">
        <v>35</v>
      </c>
      <c r="AF581">
        <v>1</v>
      </c>
      <c r="AH581" t="s">
        <v>1147</v>
      </c>
      <c r="AI581" t="s">
        <v>1146</v>
      </c>
      <c r="AK581" t="s">
        <v>1145</v>
      </c>
      <c r="AL581">
        <v>20</v>
      </c>
      <c r="AM581" s="5">
        <f t="shared" si="74"/>
        <v>0.55555555555555558</v>
      </c>
      <c r="AN581" s="4">
        <f t="shared" si="79"/>
        <v>8.414321174639236E-4</v>
      </c>
      <c r="AO581" s="3"/>
      <c r="AP581">
        <v>0</v>
      </c>
      <c r="AR581" t="s">
        <v>1</v>
      </c>
      <c r="AT581" s="2">
        <v>2.0139999999999998</v>
      </c>
      <c r="AU581" s="1">
        <f t="shared" si="75"/>
        <v>1.4678098998043159</v>
      </c>
      <c r="AV581" s="1">
        <f t="shared" si="76"/>
        <v>1.072476560359195</v>
      </c>
      <c r="AW581" s="1">
        <f t="shared" si="77"/>
        <v>0.67714322091407386</v>
      </c>
    </row>
    <row r="582" spans="1:49" x14ac:dyDescent="0.2">
      <c r="A582">
        <v>580</v>
      </c>
      <c r="B582" t="s">
        <v>1144</v>
      </c>
      <c r="C582" t="s">
        <v>1143</v>
      </c>
      <c r="F582" t="s">
        <v>1142</v>
      </c>
      <c r="G582" t="s">
        <v>16</v>
      </c>
      <c r="H582" t="s">
        <v>15</v>
      </c>
      <c r="I582" t="s">
        <v>1141</v>
      </c>
      <c r="J582">
        <v>60009697</v>
      </c>
      <c r="K582" t="s">
        <v>1131</v>
      </c>
      <c r="L582" t="s">
        <v>1140</v>
      </c>
      <c r="M582" t="s">
        <v>616</v>
      </c>
      <c r="N582">
        <v>3</v>
      </c>
      <c r="O582" t="s">
        <v>1139</v>
      </c>
      <c r="P582" t="s">
        <v>1138</v>
      </c>
      <c r="Q582" t="s">
        <v>1137</v>
      </c>
      <c r="R582" s="7">
        <v>31413</v>
      </c>
      <c r="S582" s="8">
        <f t="shared" si="72"/>
        <v>1986</v>
      </c>
      <c r="T582" s="8">
        <v>1986</v>
      </c>
      <c r="U582" s="8">
        <f t="shared" si="73"/>
        <v>36</v>
      </c>
      <c r="V582" s="7">
        <v>31444</v>
      </c>
      <c r="W582" t="s">
        <v>1136</v>
      </c>
      <c r="X582" s="2">
        <v>0.251</v>
      </c>
      <c r="Y582" s="6">
        <f t="shared" si="78"/>
        <v>6.7003016470462617E-3</v>
      </c>
      <c r="AA582">
        <v>207217</v>
      </c>
      <c r="AB582">
        <v>26145</v>
      </c>
      <c r="AC582">
        <v>13623060</v>
      </c>
      <c r="AD582" t="s">
        <v>5</v>
      </c>
      <c r="AE582">
        <v>60</v>
      </c>
      <c r="AF582">
        <v>2</v>
      </c>
      <c r="AH582" t="s">
        <v>1135</v>
      </c>
      <c r="AI582" t="s">
        <v>1134</v>
      </c>
      <c r="AK582" t="s">
        <v>1133</v>
      </c>
      <c r="AL582">
        <v>4</v>
      </c>
      <c r="AM582" s="5">
        <f t="shared" si="74"/>
        <v>0.1111111111111111</v>
      </c>
      <c r="AN582" s="4">
        <f t="shared" si="79"/>
        <v>1.682864234927847E-4</v>
      </c>
      <c r="AO582" s="3"/>
      <c r="AP582">
        <v>0</v>
      </c>
      <c r="AQ582" t="s">
        <v>1132</v>
      </c>
      <c r="AR582" t="s">
        <v>1</v>
      </c>
      <c r="AS582" t="s">
        <v>1131</v>
      </c>
      <c r="AT582" s="2">
        <v>1.3360000000000001</v>
      </c>
      <c r="AU582" s="1">
        <f t="shared" si="75"/>
        <v>0.47406970799802178</v>
      </c>
      <c r="AV582" s="1">
        <f t="shared" si="76"/>
        <v>0.34342940352695228</v>
      </c>
      <c r="AW582" s="1">
        <f t="shared" si="77"/>
        <v>0.21278909905588275</v>
      </c>
    </row>
    <row r="583" spans="1:49" x14ac:dyDescent="0.2">
      <c r="A583">
        <v>581</v>
      </c>
      <c r="B583" t="s">
        <v>1130</v>
      </c>
      <c r="C583" t="s">
        <v>1129</v>
      </c>
      <c r="F583" t="s">
        <v>1128</v>
      </c>
      <c r="G583" t="s">
        <v>16</v>
      </c>
      <c r="H583" t="s">
        <v>15</v>
      </c>
      <c r="I583" t="s">
        <v>1127</v>
      </c>
      <c r="J583">
        <v>60023053</v>
      </c>
      <c r="K583" t="s">
        <v>606</v>
      </c>
      <c r="L583" t="s">
        <v>605</v>
      </c>
      <c r="M583" t="s">
        <v>114</v>
      </c>
      <c r="N583">
        <v>3</v>
      </c>
      <c r="O583" t="s">
        <v>1126</v>
      </c>
      <c r="P583" t="s">
        <v>1125</v>
      </c>
      <c r="Q583" t="s">
        <v>602</v>
      </c>
      <c r="R583" s="7">
        <v>31413</v>
      </c>
      <c r="S583" s="8">
        <f t="shared" si="72"/>
        <v>1986</v>
      </c>
      <c r="T583" s="8">
        <v>1986</v>
      </c>
      <c r="U583" s="8">
        <f t="shared" si="73"/>
        <v>36</v>
      </c>
      <c r="V583" s="7">
        <v>31413</v>
      </c>
      <c r="W583" t="s">
        <v>346</v>
      </c>
      <c r="X583" s="2">
        <v>2.383</v>
      </c>
      <c r="Y583" s="6">
        <f t="shared" si="78"/>
        <v>6.3612824003630442E-2</v>
      </c>
      <c r="AA583">
        <v>189219</v>
      </c>
      <c r="AB583">
        <v>17915</v>
      </c>
      <c r="AC583">
        <v>15582256</v>
      </c>
      <c r="AD583" t="s">
        <v>5</v>
      </c>
      <c r="AE583">
        <v>74</v>
      </c>
      <c r="AF583">
        <v>1</v>
      </c>
      <c r="AH583" t="s">
        <v>1124</v>
      </c>
      <c r="AI583" t="s">
        <v>1123</v>
      </c>
      <c r="AK583" t="s">
        <v>1122</v>
      </c>
      <c r="AL583">
        <v>13</v>
      </c>
      <c r="AM583" s="5">
        <f t="shared" si="74"/>
        <v>0.3611111111111111</v>
      </c>
      <c r="AN583" s="4">
        <f t="shared" si="79"/>
        <v>5.469308763515503E-4</v>
      </c>
      <c r="AO583" s="3"/>
      <c r="AP583">
        <v>0</v>
      </c>
      <c r="AR583" t="s">
        <v>1</v>
      </c>
      <c r="AT583" s="2">
        <v>10.961</v>
      </c>
      <c r="AU583" s="1">
        <f t="shared" si="75"/>
        <v>4.4693056065446779</v>
      </c>
      <c r="AV583" s="1">
        <f t="shared" si="76"/>
        <v>3.2079877439990994</v>
      </c>
      <c r="AW583" s="1">
        <f t="shared" si="77"/>
        <v>1.9466698814535217</v>
      </c>
    </row>
    <row r="584" spans="1:49" x14ac:dyDescent="0.2">
      <c r="A584">
        <v>582</v>
      </c>
      <c r="B584" t="s">
        <v>1121</v>
      </c>
      <c r="C584" t="s">
        <v>1120</v>
      </c>
      <c r="F584" t="s">
        <v>1119</v>
      </c>
      <c r="G584" t="s">
        <v>16</v>
      </c>
      <c r="H584" t="s">
        <v>15</v>
      </c>
      <c r="I584" t="s">
        <v>1118</v>
      </c>
      <c r="J584">
        <v>60029241</v>
      </c>
      <c r="K584" t="s">
        <v>1117</v>
      </c>
      <c r="L584" t="s">
        <v>1116</v>
      </c>
      <c r="M584" t="s">
        <v>114</v>
      </c>
      <c r="N584">
        <v>1</v>
      </c>
      <c r="O584" t="s">
        <v>1115</v>
      </c>
      <c r="P584">
        <v>57213482696</v>
      </c>
      <c r="Q584">
        <v>60029241</v>
      </c>
      <c r="R584" s="7">
        <v>31413</v>
      </c>
      <c r="S584" s="8">
        <f t="shared" si="72"/>
        <v>1986</v>
      </c>
      <c r="T584" s="8">
        <v>1986</v>
      </c>
      <c r="U584" s="8">
        <f t="shared" si="73"/>
        <v>36</v>
      </c>
      <c r="V584" s="7">
        <v>31413</v>
      </c>
      <c r="W584" t="s">
        <v>1114</v>
      </c>
      <c r="X584" s="2">
        <v>0.8</v>
      </c>
      <c r="Y584" s="6">
        <f t="shared" si="78"/>
        <v>2.1355543098155415E-2</v>
      </c>
      <c r="AA584">
        <v>3407594</v>
      </c>
      <c r="AB584">
        <v>23456</v>
      </c>
      <c r="AC584">
        <v>14321351</v>
      </c>
      <c r="AD584" t="s">
        <v>5</v>
      </c>
      <c r="AE584">
        <v>158</v>
      </c>
      <c r="AF584">
        <v>1</v>
      </c>
      <c r="AH584" t="s">
        <v>1113</v>
      </c>
      <c r="AI584" t="s">
        <v>1112</v>
      </c>
      <c r="AK584" t="s">
        <v>1111</v>
      </c>
      <c r="AL584">
        <v>26</v>
      </c>
      <c r="AM584" s="5">
        <f t="shared" si="74"/>
        <v>0.72222222222222221</v>
      </c>
      <c r="AN584" s="4">
        <f t="shared" si="79"/>
        <v>1.0938617527031006E-3</v>
      </c>
      <c r="AO584" s="3"/>
      <c r="AP584">
        <v>0</v>
      </c>
      <c r="AR584" t="s">
        <v>1</v>
      </c>
      <c r="AT584" s="2" t="s">
        <v>0</v>
      </c>
      <c r="AU584" s="1">
        <f t="shared" si="75"/>
        <v>1.527703869451972</v>
      </c>
      <c r="AV584" s="1">
        <f t="shared" si="76"/>
        <v>1.1224702425429258</v>
      </c>
      <c r="AW584" s="1">
        <f t="shared" si="77"/>
        <v>0.71723661563387942</v>
      </c>
    </row>
    <row r="585" spans="1:49" x14ac:dyDescent="0.2">
      <c r="A585">
        <v>583</v>
      </c>
      <c r="B585" t="s">
        <v>1110</v>
      </c>
      <c r="C585" t="s">
        <v>1109</v>
      </c>
      <c r="D585">
        <v>40816686900133</v>
      </c>
      <c r="F585" t="s">
        <v>1108</v>
      </c>
      <c r="G585" t="s">
        <v>16</v>
      </c>
      <c r="H585" t="s">
        <v>15</v>
      </c>
      <c r="I585" t="s">
        <v>1107</v>
      </c>
      <c r="J585">
        <v>60016908</v>
      </c>
      <c r="K585" t="s">
        <v>1106</v>
      </c>
      <c r="L585" t="s">
        <v>1105</v>
      </c>
      <c r="M585" t="s">
        <v>376</v>
      </c>
      <c r="N585">
        <v>1</v>
      </c>
      <c r="O585" t="s">
        <v>1104</v>
      </c>
      <c r="P585">
        <v>7102355964</v>
      </c>
      <c r="Q585">
        <v>60016908</v>
      </c>
      <c r="R585" s="7">
        <v>31413</v>
      </c>
      <c r="S585" s="8">
        <f t="shared" si="72"/>
        <v>1986</v>
      </c>
      <c r="T585" s="8">
        <v>1986</v>
      </c>
      <c r="U585" s="8">
        <f t="shared" si="73"/>
        <v>36</v>
      </c>
      <c r="V585" s="7">
        <v>1986</v>
      </c>
      <c r="W585" t="s">
        <v>1103</v>
      </c>
      <c r="X585" s="2">
        <v>0.58399999999999996</v>
      </c>
      <c r="Y585" s="6">
        <f t="shared" si="78"/>
        <v>1.5589546461653453E-2</v>
      </c>
      <c r="AA585">
        <v>408166</v>
      </c>
      <c r="AB585">
        <v>19057</v>
      </c>
      <c r="AD585" t="s">
        <v>5</v>
      </c>
      <c r="AE585">
        <v>18</v>
      </c>
      <c r="AF585">
        <v>1</v>
      </c>
      <c r="AH585" t="s">
        <v>1102</v>
      </c>
      <c r="AI585" t="s">
        <v>1101</v>
      </c>
      <c r="AJ585" t="s">
        <v>1100</v>
      </c>
      <c r="AK585" t="s">
        <v>1099</v>
      </c>
      <c r="AL585">
        <v>27</v>
      </c>
      <c r="AM585" s="5">
        <f t="shared" si="74"/>
        <v>0.75</v>
      </c>
      <c r="AN585" s="4">
        <f t="shared" si="79"/>
        <v>1.1359333585762969E-3</v>
      </c>
      <c r="AO585" s="3"/>
      <c r="AP585">
        <v>0</v>
      </c>
      <c r="AR585" t="s">
        <v>1</v>
      </c>
      <c r="AT585" s="2" t="s">
        <v>0</v>
      </c>
      <c r="AU585" s="1">
        <f t="shared" si="75"/>
        <v>1.1253462530730305</v>
      </c>
      <c r="AV585" s="1">
        <f t="shared" si="76"/>
        <v>0.83627399101148747</v>
      </c>
      <c r="AW585" s="1">
        <f t="shared" si="77"/>
        <v>0.54720172894994434</v>
      </c>
    </row>
    <row r="586" spans="1:49" x14ac:dyDescent="0.2">
      <c r="A586">
        <v>584</v>
      </c>
      <c r="B586" t="s">
        <v>1098</v>
      </c>
      <c r="C586" t="s">
        <v>1097</v>
      </c>
      <c r="E586">
        <v>3945589</v>
      </c>
      <c r="F586" t="s">
        <v>1096</v>
      </c>
      <c r="G586" t="s">
        <v>16</v>
      </c>
      <c r="H586" t="s">
        <v>15</v>
      </c>
      <c r="I586" t="s">
        <v>1095</v>
      </c>
      <c r="J586" t="s">
        <v>1094</v>
      </c>
      <c r="K586" t="s">
        <v>1093</v>
      </c>
      <c r="L586" t="s">
        <v>1092</v>
      </c>
      <c r="M586" t="s">
        <v>1091</v>
      </c>
      <c r="N586">
        <v>4</v>
      </c>
      <c r="O586" t="s">
        <v>1090</v>
      </c>
      <c r="P586" t="s">
        <v>1089</v>
      </c>
      <c r="Q586" t="s">
        <v>1088</v>
      </c>
      <c r="R586" s="7">
        <v>31413</v>
      </c>
      <c r="S586" s="8">
        <f t="shared" si="72"/>
        <v>1986</v>
      </c>
      <c r="T586" s="8">
        <v>1986</v>
      </c>
      <c r="U586" s="8">
        <f t="shared" si="73"/>
        <v>36</v>
      </c>
      <c r="V586" s="7">
        <v>1986</v>
      </c>
      <c r="W586" t="s">
        <v>1087</v>
      </c>
      <c r="X586" s="2">
        <v>0.54900000000000004</v>
      </c>
      <c r="Y586" s="6">
        <f t="shared" si="78"/>
        <v>1.4655241451109155E-2</v>
      </c>
      <c r="AA586">
        <v>2704137</v>
      </c>
      <c r="AB586">
        <v>20474</v>
      </c>
      <c r="AC586">
        <v>10970045</v>
      </c>
      <c r="AD586" t="s">
        <v>5</v>
      </c>
      <c r="AE586">
        <v>8</v>
      </c>
      <c r="AF586">
        <v>1</v>
      </c>
      <c r="AH586" t="s">
        <v>1086</v>
      </c>
      <c r="AI586" t="s">
        <v>1085</v>
      </c>
      <c r="AJ586" t="s">
        <v>1084</v>
      </c>
      <c r="AK586" t="s">
        <v>1083</v>
      </c>
      <c r="AL586">
        <v>34</v>
      </c>
      <c r="AM586" s="5">
        <f t="shared" si="74"/>
        <v>0.94444444444444442</v>
      </c>
      <c r="AN586" s="4">
        <f t="shared" si="79"/>
        <v>1.43043459968867E-3</v>
      </c>
      <c r="AO586" s="3"/>
      <c r="AP586">
        <v>0</v>
      </c>
      <c r="AR586" t="s">
        <v>1</v>
      </c>
      <c r="AT586" s="2" t="s">
        <v>0</v>
      </c>
      <c r="AU586" s="1">
        <f t="shared" si="75"/>
        <v>1.0687799395683009</v>
      </c>
      <c r="AV586" s="1">
        <f t="shared" si="76"/>
        <v>0.80428380253989118</v>
      </c>
      <c r="AW586" s="1">
        <f t="shared" si="77"/>
        <v>0.5397876655114815</v>
      </c>
    </row>
    <row r="587" spans="1:49" x14ac:dyDescent="0.2">
      <c r="A587">
        <v>585</v>
      </c>
      <c r="B587" t="s">
        <v>1082</v>
      </c>
      <c r="F587" t="s">
        <v>1081</v>
      </c>
      <c r="G587" t="s">
        <v>16</v>
      </c>
      <c r="H587" t="s">
        <v>15</v>
      </c>
      <c r="I587" t="s">
        <v>1080</v>
      </c>
      <c r="J587">
        <v>60019615</v>
      </c>
      <c r="K587" t="s">
        <v>705</v>
      </c>
      <c r="L587" t="s">
        <v>704</v>
      </c>
      <c r="M587" t="s">
        <v>59</v>
      </c>
      <c r="N587">
        <v>3</v>
      </c>
      <c r="O587" t="s">
        <v>1079</v>
      </c>
      <c r="P587" t="s">
        <v>1078</v>
      </c>
      <c r="Q587" t="s">
        <v>701</v>
      </c>
      <c r="R587" s="7">
        <v>31413</v>
      </c>
      <c r="S587" s="8">
        <f t="shared" si="72"/>
        <v>1986</v>
      </c>
      <c r="T587" s="8">
        <v>1986</v>
      </c>
      <c r="U587" s="8">
        <f t="shared" si="73"/>
        <v>36</v>
      </c>
      <c r="V587" s="7">
        <v>1986</v>
      </c>
      <c r="W587" t="s">
        <v>1077</v>
      </c>
      <c r="X587" s="2" t="s">
        <v>0</v>
      </c>
      <c r="Y587" s="6" t="e">
        <f t="shared" si="78"/>
        <v>#VALUE!</v>
      </c>
      <c r="AA587">
        <v>1658646</v>
      </c>
      <c r="AB587">
        <v>72360</v>
      </c>
      <c r="AD587" t="s">
        <v>5</v>
      </c>
      <c r="AE587">
        <v>10</v>
      </c>
      <c r="AF587">
        <v>4</v>
      </c>
      <c r="AH587" t="s">
        <v>1076</v>
      </c>
      <c r="AI587" t="s">
        <v>1075</v>
      </c>
      <c r="AK587" t="s">
        <v>1074</v>
      </c>
      <c r="AL587">
        <v>5</v>
      </c>
      <c r="AM587" s="5">
        <f t="shared" si="74"/>
        <v>0.1388888888888889</v>
      </c>
      <c r="AN587" s="4">
        <f t="shared" si="79"/>
        <v>2.103580293659809E-4</v>
      </c>
      <c r="AO587" s="3"/>
      <c r="AP587">
        <v>0</v>
      </c>
      <c r="AR587" t="s">
        <v>1</v>
      </c>
      <c r="AT587" s="2" t="s">
        <v>0</v>
      </c>
      <c r="AU587" s="1" t="e">
        <f t="shared" si="75"/>
        <v>#VALUE!</v>
      </c>
      <c r="AV587" s="1" t="e">
        <f t="shared" si="76"/>
        <v>#VALUE!</v>
      </c>
      <c r="AW587" s="1" t="e">
        <f t="shared" si="77"/>
        <v>#VALUE!</v>
      </c>
    </row>
    <row r="588" spans="1:49" x14ac:dyDescent="0.2">
      <c r="A588">
        <v>586</v>
      </c>
      <c r="B588" t="s">
        <v>1073</v>
      </c>
      <c r="C588" t="s">
        <v>1072</v>
      </c>
      <c r="E588">
        <v>3713491</v>
      </c>
      <c r="F588" t="s">
        <v>1071</v>
      </c>
      <c r="G588" t="s">
        <v>16</v>
      </c>
      <c r="H588" t="s">
        <v>15</v>
      </c>
      <c r="I588" t="s">
        <v>1070</v>
      </c>
      <c r="J588" t="s">
        <v>1069</v>
      </c>
      <c r="K588" t="s">
        <v>1068</v>
      </c>
      <c r="L588" t="s">
        <v>1067</v>
      </c>
      <c r="M588" t="s">
        <v>1066</v>
      </c>
      <c r="N588">
        <v>7</v>
      </c>
      <c r="O588" t="s">
        <v>1065</v>
      </c>
      <c r="P588" t="s">
        <v>1064</v>
      </c>
      <c r="Q588" t="s">
        <v>1063</v>
      </c>
      <c r="R588" s="7">
        <v>31413</v>
      </c>
      <c r="S588" s="8">
        <f t="shared" si="72"/>
        <v>1986</v>
      </c>
      <c r="T588" s="8">
        <v>1986</v>
      </c>
      <c r="U588" s="8">
        <f t="shared" si="73"/>
        <v>36</v>
      </c>
      <c r="V588" s="7">
        <v>31503</v>
      </c>
      <c r="W588" t="s">
        <v>1062</v>
      </c>
      <c r="X588" s="2">
        <v>1.696</v>
      </c>
      <c r="Y588" s="6">
        <f t="shared" si="78"/>
        <v>4.5273751368089483E-2</v>
      </c>
      <c r="AA588">
        <v>7403194</v>
      </c>
      <c r="AB588">
        <v>17267</v>
      </c>
      <c r="AC588">
        <v>15222594</v>
      </c>
      <c r="AD588" t="s">
        <v>5</v>
      </c>
      <c r="AE588">
        <v>3</v>
      </c>
      <c r="AF588">
        <v>2</v>
      </c>
      <c r="AH588" t="s">
        <v>1061</v>
      </c>
      <c r="AI588" t="s">
        <v>1060</v>
      </c>
      <c r="AK588" t="s">
        <v>1059</v>
      </c>
      <c r="AL588">
        <v>10</v>
      </c>
      <c r="AM588" s="5">
        <f t="shared" si="74"/>
        <v>0.27777777777777779</v>
      </c>
      <c r="AN588" s="4">
        <f t="shared" si="79"/>
        <v>4.207160587319618E-4</v>
      </c>
      <c r="AO588" s="3"/>
      <c r="AP588">
        <v>0</v>
      </c>
      <c r="AR588" t="s">
        <v>1</v>
      </c>
      <c r="AT588" s="2">
        <v>4.6680000000000001</v>
      </c>
      <c r="AU588" s="1">
        <f t="shared" si="75"/>
        <v>3.1817840775282229</v>
      </c>
      <c r="AV588" s="1">
        <f t="shared" si="76"/>
        <v>2.2847233713410722</v>
      </c>
      <c r="AW588" s="1">
        <f t="shared" si="77"/>
        <v>1.3876626651539219</v>
      </c>
    </row>
    <row r="589" spans="1:49" x14ac:dyDescent="0.2">
      <c r="A589">
        <v>587</v>
      </c>
      <c r="B589" t="s">
        <v>1058</v>
      </c>
      <c r="C589" t="s">
        <v>1057</v>
      </c>
      <c r="F589" t="s">
        <v>1056</v>
      </c>
      <c r="G589" t="s">
        <v>16</v>
      </c>
      <c r="H589" t="s">
        <v>15</v>
      </c>
      <c r="I589" t="s">
        <v>1055</v>
      </c>
      <c r="J589">
        <v>60008334</v>
      </c>
      <c r="K589" t="s">
        <v>1054</v>
      </c>
      <c r="L589" t="s">
        <v>1053</v>
      </c>
      <c r="M589" t="s">
        <v>114</v>
      </c>
      <c r="N589">
        <v>1</v>
      </c>
      <c r="O589" t="s">
        <v>1052</v>
      </c>
      <c r="P589">
        <v>57198005717</v>
      </c>
      <c r="Q589">
        <v>60008334</v>
      </c>
      <c r="R589" s="7">
        <v>31413</v>
      </c>
      <c r="S589" s="8">
        <f t="shared" si="72"/>
        <v>1986</v>
      </c>
      <c r="T589" s="8">
        <v>1986</v>
      </c>
      <c r="U589" s="8">
        <f t="shared" si="73"/>
        <v>36</v>
      </c>
      <c r="V589" s="7">
        <v>31413</v>
      </c>
      <c r="W589" t="s">
        <v>1051</v>
      </c>
      <c r="X589" s="2">
        <v>1.159</v>
      </c>
      <c r="Y589" s="6">
        <f t="shared" si="78"/>
        <v>3.093884306345266E-2</v>
      </c>
      <c r="AA589">
        <v>8853010</v>
      </c>
      <c r="AB589">
        <v>12998</v>
      </c>
      <c r="AD589" t="s">
        <v>5</v>
      </c>
      <c r="AE589">
        <v>33</v>
      </c>
      <c r="AF589">
        <v>1</v>
      </c>
      <c r="AH589" s="9">
        <v>44444</v>
      </c>
      <c r="AI589" t="s">
        <v>1050</v>
      </c>
      <c r="AK589" t="s">
        <v>1049</v>
      </c>
      <c r="AL589">
        <v>1</v>
      </c>
      <c r="AM589" s="5">
        <f t="shared" si="74"/>
        <v>2.7777777777777776E-2</v>
      </c>
      <c r="AN589" s="4">
        <f t="shared" si="79"/>
        <v>4.2071605873196175E-5</v>
      </c>
      <c r="AO589" s="3"/>
      <c r="AP589">
        <v>0</v>
      </c>
      <c r="AR589" t="s">
        <v>1</v>
      </c>
      <c r="AT589" s="2" t="s">
        <v>0</v>
      </c>
      <c r="AU589" s="1">
        <f t="shared" si="75"/>
        <v>2.1669811626178817</v>
      </c>
      <c r="AV589" s="1">
        <f t="shared" si="76"/>
        <v>1.5490457334662928</v>
      </c>
      <c r="AW589" s="1">
        <f t="shared" si="77"/>
        <v>0.93111030431470354</v>
      </c>
    </row>
    <row r="590" spans="1:49" x14ac:dyDescent="0.2">
      <c r="A590">
        <v>588</v>
      </c>
      <c r="B590" t="s">
        <v>1048</v>
      </c>
      <c r="C590" t="s">
        <v>1047</v>
      </c>
      <c r="F590" t="s">
        <v>1046</v>
      </c>
      <c r="G590" t="s">
        <v>16</v>
      </c>
      <c r="H590" t="s">
        <v>15</v>
      </c>
      <c r="I590" t="s">
        <v>1045</v>
      </c>
      <c r="J590" t="s">
        <v>1044</v>
      </c>
      <c r="K590" t="s">
        <v>1043</v>
      </c>
      <c r="L590" t="s">
        <v>1042</v>
      </c>
      <c r="M590" t="s">
        <v>783</v>
      </c>
      <c r="N590">
        <v>2</v>
      </c>
      <c r="O590" t="s">
        <v>1041</v>
      </c>
      <c r="P590" t="s">
        <v>1040</v>
      </c>
      <c r="Q590" t="s">
        <v>1039</v>
      </c>
      <c r="R590" s="7">
        <v>31413</v>
      </c>
      <c r="S590" s="8">
        <f t="shared" si="72"/>
        <v>1986</v>
      </c>
      <c r="T590" s="8">
        <v>1986</v>
      </c>
      <c r="U590" s="8">
        <f t="shared" si="73"/>
        <v>36</v>
      </c>
      <c r="V590" s="7">
        <v>31413</v>
      </c>
      <c r="W590" t="s">
        <v>6</v>
      </c>
      <c r="X590" s="2">
        <v>1.3720000000000001</v>
      </c>
      <c r="Y590" s="6">
        <f t="shared" si="78"/>
        <v>3.662475641333654E-2</v>
      </c>
      <c r="AA590">
        <v>189480</v>
      </c>
      <c r="AB590">
        <v>17366</v>
      </c>
      <c r="AC590">
        <v>15579670</v>
      </c>
      <c r="AD590" t="s">
        <v>5</v>
      </c>
      <c r="AE590">
        <v>34</v>
      </c>
      <c r="AF590">
        <v>1</v>
      </c>
      <c r="AH590" s="10">
        <v>43313</v>
      </c>
      <c r="AI590" t="s">
        <v>1038</v>
      </c>
      <c r="AK590" t="s">
        <v>1037</v>
      </c>
      <c r="AL590">
        <v>6</v>
      </c>
      <c r="AM590" s="5">
        <f t="shared" si="74"/>
        <v>0.16666666666666666</v>
      </c>
      <c r="AN590" s="4">
        <f t="shared" si="79"/>
        <v>2.5242963523917705E-4</v>
      </c>
      <c r="AO590" s="3"/>
      <c r="AP590">
        <v>0</v>
      </c>
      <c r="AR590" t="s">
        <v>1</v>
      </c>
      <c r="AT590" s="2" t="s">
        <v>0</v>
      </c>
      <c r="AU590" s="1">
        <f t="shared" si="75"/>
        <v>2.571305837990733</v>
      </c>
      <c r="AV590" s="1">
        <f t="shared" si="76"/>
        <v>1.8438593024287859</v>
      </c>
      <c r="AW590" s="1">
        <f t="shared" si="77"/>
        <v>1.1164127668668387</v>
      </c>
    </row>
    <row r="591" spans="1:49" x14ac:dyDescent="0.2">
      <c r="A591">
        <v>589</v>
      </c>
      <c r="B591" t="s">
        <v>1036</v>
      </c>
      <c r="F591" t="s">
        <v>1035</v>
      </c>
      <c r="G591" t="s">
        <v>16</v>
      </c>
      <c r="H591" t="s">
        <v>15</v>
      </c>
      <c r="I591" t="s">
        <v>1034</v>
      </c>
      <c r="N591">
        <v>4</v>
      </c>
      <c r="O591" t="s">
        <v>1033</v>
      </c>
      <c r="P591" t="s">
        <v>1032</v>
      </c>
      <c r="Q591" t="s">
        <v>1031</v>
      </c>
      <c r="R591" s="7">
        <v>31413</v>
      </c>
      <c r="S591" s="8">
        <f t="shared" si="72"/>
        <v>1986</v>
      </c>
      <c r="T591" s="8">
        <v>1986</v>
      </c>
      <c r="U591" s="8">
        <f t="shared" si="73"/>
        <v>36</v>
      </c>
      <c r="V591" s="7">
        <v>31413</v>
      </c>
      <c r="W591" t="s">
        <v>857</v>
      </c>
      <c r="X591" s="2" t="s">
        <v>0</v>
      </c>
      <c r="Y591" s="6" t="e">
        <f t="shared" si="78"/>
        <v>#VALUE!</v>
      </c>
      <c r="AA591">
        <v>87566648</v>
      </c>
      <c r="AB591">
        <v>74127</v>
      </c>
      <c r="AD591" t="s">
        <v>5</v>
      </c>
      <c r="AE591">
        <v>31</v>
      </c>
      <c r="AF591">
        <v>1</v>
      </c>
      <c r="AH591" t="s">
        <v>1030</v>
      </c>
      <c r="AI591" t="s">
        <v>1029</v>
      </c>
      <c r="AK591" t="s">
        <v>1028</v>
      </c>
      <c r="AL591">
        <v>0</v>
      </c>
      <c r="AM591" s="5">
        <f t="shared" si="74"/>
        <v>0</v>
      </c>
      <c r="AN591" s="4">
        <f t="shared" si="79"/>
        <v>0</v>
      </c>
      <c r="AO591" s="3"/>
      <c r="AP591">
        <v>0</v>
      </c>
      <c r="AR591" t="s">
        <v>1</v>
      </c>
      <c r="AT591" s="2" t="s">
        <v>0</v>
      </c>
      <c r="AU591" s="1" t="e">
        <f t="shared" si="75"/>
        <v>#VALUE!</v>
      </c>
      <c r="AV591" s="1" t="e">
        <f t="shared" si="76"/>
        <v>#VALUE!</v>
      </c>
      <c r="AW591" s="1" t="e">
        <f t="shared" si="77"/>
        <v>#VALUE!</v>
      </c>
    </row>
    <row r="592" spans="1:49" x14ac:dyDescent="0.2">
      <c r="A592">
        <v>590</v>
      </c>
      <c r="B592" t="s">
        <v>1027</v>
      </c>
      <c r="C592" t="s">
        <v>1026</v>
      </c>
      <c r="F592" t="s">
        <v>1025</v>
      </c>
      <c r="G592" t="s">
        <v>16</v>
      </c>
      <c r="H592" t="s">
        <v>15</v>
      </c>
      <c r="I592" t="s">
        <v>1024</v>
      </c>
      <c r="J592">
        <v>60033041</v>
      </c>
      <c r="K592" t="s">
        <v>1023</v>
      </c>
      <c r="L592" t="s">
        <v>1022</v>
      </c>
      <c r="M592" t="s">
        <v>1021</v>
      </c>
      <c r="N592">
        <v>3</v>
      </c>
      <c r="O592" t="s">
        <v>1020</v>
      </c>
      <c r="P592" t="s">
        <v>1019</v>
      </c>
      <c r="Q592" t="s">
        <v>1018</v>
      </c>
      <c r="R592" s="7">
        <v>31413</v>
      </c>
      <c r="S592" s="8">
        <f t="shared" si="72"/>
        <v>1986</v>
      </c>
      <c r="T592" s="8">
        <v>1986</v>
      </c>
      <c r="U592" s="8">
        <f t="shared" si="73"/>
        <v>36</v>
      </c>
      <c r="V592" s="7" t="s">
        <v>922</v>
      </c>
      <c r="W592" s="11" t="s">
        <v>1017</v>
      </c>
      <c r="X592" s="2">
        <v>2.383</v>
      </c>
      <c r="Y592" s="6">
        <f t="shared" si="78"/>
        <v>6.3612824003630442E-2</v>
      </c>
      <c r="AA592" t="s">
        <v>1016</v>
      </c>
      <c r="AB592">
        <v>101151</v>
      </c>
      <c r="AD592" t="s">
        <v>5</v>
      </c>
      <c r="AE592">
        <v>133</v>
      </c>
      <c r="AF592">
        <v>3</v>
      </c>
      <c r="AH592" t="s">
        <v>1015</v>
      </c>
      <c r="AI592" t="s">
        <v>1014</v>
      </c>
      <c r="AK592" t="s">
        <v>1013</v>
      </c>
      <c r="AL592">
        <v>23</v>
      </c>
      <c r="AM592" s="5">
        <f t="shared" si="74"/>
        <v>0.63888888888888884</v>
      </c>
      <c r="AN592" s="4">
        <f t="shared" si="79"/>
        <v>9.676469350835121E-4</v>
      </c>
      <c r="AO592" s="3"/>
      <c r="AP592">
        <v>0</v>
      </c>
      <c r="AR592" t="s">
        <v>1</v>
      </c>
      <c r="AT592" s="2" t="s">
        <v>0</v>
      </c>
      <c r="AU592" s="1">
        <f t="shared" si="75"/>
        <v>4.4819270883066364</v>
      </c>
      <c r="AV592" s="1">
        <f t="shared" si="76"/>
        <v>3.2290235469356978</v>
      </c>
      <c r="AW592" s="1">
        <f t="shared" si="77"/>
        <v>1.976120005564759</v>
      </c>
    </row>
    <row r="593" spans="1:49" x14ac:dyDescent="0.2">
      <c r="A593">
        <v>591</v>
      </c>
      <c r="B593" t="s">
        <v>1012</v>
      </c>
      <c r="F593" t="s">
        <v>1011</v>
      </c>
      <c r="G593" t="s">
        <v>16</v>
      </c>
      <c r="H593" t="s">
        <v>15</v>
      </c>
      <c r="I593" t="s">
        <v>1010</v>
      </c>
      <c r="N593">
        <v>2</v>
      </c>
      <c r="O593" t="s">
        <v>1009</v>
      </c>
      <c r="P593" t="s">
        <v>1008</v>
      </c>
      <c r="Q593" t="s">
        <v>313</v>
      </c>
      <c r="R593" s="7">
        <v>31413</v>
      </c>
      <c r="S593" s="8">
        <f t="shared" si="72"/>
        <v>1986</v>
      </c>
      <c r="T593" s="8">
        <v>1986</v>
      </c>
      <c r="U593" s="8">
        <f t="shared" si="73"/>
        <v>36</v>
      </c>
      <c r="V593" s="7">
        <v>31413</v>
      </c>
      <c r="W593" t="s">
        <v>857</v>
      </c>
      <c r="X593" s="2" t="s">
        <v>0</v>
      </c>
      <c r="Y593" s="6" t="e">
        <f t="shared" si="78"/>
        <v>#VALUE!</v>
      </c>
      <c r="AA593">
        <v>87566648</v>
      </c>
      <c r="AB593">
        <v>74127</v>
      </c>
      <c r="AD593" t="s">
        <v>5</v>
      </c>
      <c r="AE593">
        <v>31</v>
      </c>
      <c r="AF593">
        <v>1</v>
      </c>
      <c r="AH593" t="s">
        <v>1007</v>
      </c>
      <c r="AI593" t="s">
        <v>1006</v>
      </c>
      <c r="AK593" t="s">
        <v>1005</v>
      </c>
      <c r="AL593">
        <v>0</v>
      </c>
      <c r="AM593" s="5">
        <f t="shared" si="74"/>
        <v>0</v>
      </c>
      <c r="AN593" s="4">
        <f t="shared" si="79"/>
        <v>0</v>
      </c>
      <c r="AO593" s="3"/>
      <c r="AP593">
        <v>0</v>
      </c>
      <c r="AR593" t="s">
        <v>1</v>
      </c>
      <c r="AT593" s="2" t="s">
        <v>0</v>
      </c>
      <c r="AU593" s="1" t="e">
        <f t="shared" si="75"/>
        <v>#VALUE!</v>
      </c>
      <c r="AV593" s="1" t="e">
        <f t="shared" si="76"/>
        <v>#VALUE!</v>
      </c>
      <c r="AW593" s="1" t="e">
        <f t="shared" si="77"/>
        <v>#VALUE!</v>
      </c>
    </row>
    <row r="594" spans="1:49" x14ac:dyDescent="0.2">
      <c r="A594">
        <v>592</v>
      </c>
      <c r="B594" t="s">
        <v>1004</v>
      </c>
      <c r="C594" t="s">
        <v>1003</v>
      </c>
      <c r="F594" t="s">
        <v>1002</v>
      </c>
      <c r="G594" t="s">
        <v>16</v>
      </c>
      <c r="H594" t="s">
        <v>15</v>
      </c>
      <c r="I594" t="s">
        <v>1001</v>
      </c>
      <c r="J594">
        <v>60029503</v>
      </c>
      <c r="K594" t="s">
        <v>1000</v>
      </c>
      <c r="L594" t="s">
        <v>999</v>
      </c>
      <c r="M594" t="s">
        <v>114</v>
      </c>
      <c r="N594">
        <v>2</v>
      </c>
      <c r="O594" t="s">
        <v>998</v>
      </c>
      <c r="P594" t="s">
        <v>997</v>
      </c>
      <c r="Q594" t="s">
        <v>996</v>
      </c>
      <c r="R594" s="7">
        <v>31413</v>
      </c>
      <c r="S594" s="8">
        <f t="shared" si="72"/>
        <v>1986</v>
      </c>
      <c r="T594" s="8">
        <v>1986</v>
      </c>
      <c r="U594" s="8">
        <f t="shared" si="73"/>
        <v>36</v>
      </c>
      <c r="V594" s="7">
        <v>31413</v>
      </c>
      <c r="W594" t="s">
        <v>995</v>
      </c>
      <c r="X594" s="2" t="s">
        <v>0</v>
      </c>
      <c r="Y594" s="6" t="e">
        <f t="shared" si="78"/>
        <v>#VALUE!</v>
      </c>
      <c r="AA594">
        <v>144754</v>
      </c>
      <c r="AB594">
        <v>74305</v>
      </c>
      <c r="AC594">
        <v>14209071</v>
      </c>
      <c r="AD594" t="s">
        <v>5</v>
      </c>
      <c r="AE594">
        <v>42</v>
      </c>
      <c r="AF594">
        <v>1</v>
      </c>
      <c r="AH594" t="s">
        <v>994</v>
      </c>
      <c r="AI594" t="s">
        <v>993</v>
      </c>
      <c r="AJ594" t="s">
        <v>992</v>
      </c>
      <c r="AK594" t="s">
        <v>991</v>
      </c>
      <c r="AL594">
        <v>1</v>
      </c>
      <c r="AM594" s="5">
        <f t="shared" si="74"/>
        <v>2.7777777777777776E-2</v>
      </c>
      <c r="AN594" s="4">
        <f t="shared" si="79"/>
        <v>4.2071605873196175E-5</v>
      </c>
      <c r="AO594" s="3"/>
      <c r="AP594">
        <v>0</v>
      </c>
      <c r="AR594" t="s">
        <v>1</v>
      </c>
      <c r="AT594" s="2" t="s">
        <v>0</v>
      </c>
      <c r="AU594" s="1" t="e">
        <f t="shared" si="75"/>
        <v>#VALUE!</v>
      </c>
      <c r="AV594" s="1" t="e">
        <f t="shared" si="76"/>
        <v>#VALUE!</v>
      </c>
      <c r="AW594" s="1" t="e">
        <f t="shared" si="77"/>
        <v>#VALUE!</v>
      </c>
    </row>
    <row r="595" spans="1:49" x14ac:dyDescent="0.2">
      <c r="A595">
        <v>593</v>
      </c>
      <c r="B595" t="s">
        <v>990</v>
      </c>
      <c r="C595" t="s">
        <v>989</v>
      </c>
      <c r="F595" t="s">
        <v>988</v>
      </c>
      <c r="G595" t="s">
        <v>16</v>
      </c>
      <c r="H595" t="s">
        <v>15</v>
      </c>
      <c r="I595" t="s">
        <v>928</v>
      </c>
      <c r="J595">
        <v>60008524</v>
      </c>
      <c r="K595" t="s">
        <v>927</v>
      </c>
      <c r="L595" t="s">
        <v>926</v>
      </c>
      <c r="M595" t="s">
        <v>665</v>
      </c>
      <c r="N595">
        <v>2</v>
      </c>
      <c r="O595" t="s">
        <v>987</v>
      </c>
      <c r="P595" t="s">
        <v>986</v>
      </c>
      <c r="Q595" t="s">
        <v>923</v>
      </c>
      <c r="R595" s="7">
        <v>31413</v>
      </c>
      <c r="S595" s="8">
        <f t="shared" ref="S595:S658" si="80">YEAR(R595)</f>
        <v>1986</v>
      </c>
      <c r="T595" s="8">
        <v>1986</v>
      </c>
      <c r="U595" s="8">
        <f t="shared" ref="U595:U658" si="81">2022-T595</f>
        <v>36</v>
      </c>
      <c r="V595" s="7" t="s">
        <v>922</v>
      </c>
      <c r="W595" t="s">
        <v>921</v>
      </c>
      <c r="X595" s="2" t="s">
        <v>0</v>
      </c>
      <c r="Y595" s="6" t="e">
        <f t="shared" si="78"/>
        <v>#VALUE!</v>
      </c>
      <c r="AA595">
        <v>2671689</v>
      </c>
      <c r="AB595">
        <v>87645</v>
      </c>
      <c r="AD595" t="s">
        <v>5</v>
      </c>
      <c r="AE595">
        <v>56</v>
      </c>
      <c r="AF595">
        <v>1</v>
      </c>
      <c r="AH595" t="s">
        <v>846</v>
      </c>
      <c r="AI595" t="s">
        <v>985</v>
      </c>
      <c r="AK595" t="s">
        <v>984</v>
      </c>
      <c r="AL595">
        <v>4</v>
      </c>
      <c r="AM595" s="5">
        <f t="shared" ref="AM595:AM658" si="82">AL595/U595</f>
        <v>0.1111111111111111</v>
      </c>
      <c r="AN595" s="4">
        <f t="shared" si="79"/>
        <v>1.682864234927847E-4</v>
      </c>
      <c r="AO595" s="3"/>
      <c r="AP595">
        <v>0</v>
      </c>
      <c r="AR595" t="s">
        <v>1</v>
      </c>
      <c r="AT595" s="2" t="s">
        <v>0</v>
      </c>
      <c r="AU595" s="1" t="e">
        <f t="shared" ref="AU595:AU658" si="83">(Y595*0.7+AN595*0.3)*100</f>
        <v>#VALUE!</v>
      </c>
      <c r="AV595" s="1" t="e">
        <f t="shared" ref="AV595:AV658" si="84">(Y595*0.5+AN595*0.5)*100</f>
        <v>#VALUE!</v>
      </c>
      <c r="AW595" s="1" t="e">
        <f t="shared" ref="AW595:AW658" si="85">(Y595*0.3+AN595*0.7)*100</f>
        <v>#VALUE!</v>
      </c>
    </row>
    <row r="596" spans="1:49" x14ac:dyDescent="0.2">
      <c r="A596">
        <v>594</v>
      </c>
      <c r="B596" t="s">
        <v>983</v>
      </c>
      <c r="F596" t="s">
        <v>982</v>
      </c>
      <c r="G596" t="s">
        <v>16</v>
      </c>
      <c r="H596" t="s">
        <v>15</v>
      </c>
      <c r="I596" t="s">
        <v>981</v>
      </c>
      <c r="J596">
        <v>60031818</v>
      </c>
      <c r="K596" t="s">
        <v>980</v>
      </c>
      <c r="L596" t="s">
        <v>979</v>
      </c>
      <c r="M596" t="s">
        <v>336</v>
      </c>
      <c r="N596">
        <v>2</v>
      </c>
      <c r="O596" t="s">
        <v>978</v>
      </c>
      <c r="P596" t="s">
        <v>977</v>
      </c>
      <c r="Q596" t="s">
        <v>976</v>
      </c>
      <c r="R596" s="7">
        <v>31413</v>
      </c>
      <c r="S596" s="8">
        <f t="shared" si="80"/>
        <v>1986</v>
      </c>
      <c r="T596" s="8">
        <v>1986</v>
      </c>
      <c r="U596" s="8">
        <f t="shared" si="81"/>
        <v>36</v>
      </c>
      <c r="V596" s="7">
        <v>1986</v>
      </c>
      <c r="W596" t="s">
        <v>953</v>
      </c>
      <c r="X596" s="2" t="s">
        <v>0</v>
      </c>
      <c r="Y596" s="6" t="e">
        <f t="shared" si="78"/>
        <v>#VALUE!</v>
      </c>
      <c r="AA596">
        <v>7612508</v>
      </c>
      <c r="AB596">
        <v>28513</v>
      </c>
      <c r="AD596" t="s">
        <v>5</v>
      </c>
      <c r="AE596">
        <v>7</v>
      </c>
      <c r="AF596">
        <v>1</v>
      </c>
      <c r="AH596" t="s">
        <v>975</v>
      </c>
      <c r="AI596" t="s">
        <v>974</v>
      </c>
      <c r="AK596" t="s">
        <v>973</v>
      </c>
      <c r="AL596">
        <v>0</v>
      </c>
      <c r="AM596" s="5">
        <f t="shared" si="82"/>
        <v>0</v>
      </c>
      <c r="AN596" s="4">
        <f t="shared" si="79"/>
        <v>0</v>
      </c>
      <c r="AO596" s="3"/>
      <c r="AP596">
        <v>0</v>
      </c>
      <c r="AR596" t="s">
        <v>1</v>
      </c>
      <c r="AT596" s="2" t="s">
        <v>0</v>
      </c>
      <c r="AU596" s="1" t="e">
        <f t="shared" si="83"/>
        <v>#VALUE!</v>
      </c>
      <c r="AV596" s="1" t="e">
        <f t="shared" si="84"/>
        <v>#VALUE!</v>
      </c>
      <c r="AW596" s="1" t="e">
        <f t="shared" si="85"/>
        <v>#VALUE!</v>
      </c>
    </row>
    <row r="597" spans="1:49" x14ac:dyDescent="0.2">
      <c r="A597">
        <v>595</v>
      </c>
      <c r="B597" t="s">
        <v>972</v>
      </c>
      <c r="F597" t="s">
        <v>971</v>
      </c>
      <c r="G597" t="s">
        <v>16</v>
      </c>
      <c r="H597" t="s">
        <v>15</v>
      </c>
      <c r="I597" t="s">
        <v>970</v>
      </c>
      <c r="J597">
        <v>60092258</v>
      </c>
      <c r="K597" t="s">
        <v>969</v>
      </c>
      <c r="L597" t="s">
        <v>968</v>
      </c>
      <c r="M597" t="s">
        <v>71</v>
      </c>
      <c r="N597">
        <v>2</v>
      </c>
      <c r="O597" t="s">
        <v>967</v>
      </c>
      <c r="P597" t="s">
        <v>966</v>
      </c>
      <c r="Q597" t="s">
        <v>965</v>
      </c>
      <c r="R597" s="7">
        <v>31413</v>
      </c>
      <c r="S597" s="8">
        <f t="shared" si="80"/>
        <v>1986</v>
      </c>
      <c r="T597" s="8">
        <v>1986</v>
      </c>
      <c r="U597" s="8">
        <f t="shared" si="81"/>
        <v>36</v>
      </c>
      <c r="V597" s="7">
        <v>1986</v>
      </c>
      <c r="W597" t="s">
        <v>964</v>
      </c>
      <c r="X597" s="2" t="s">
        <v>0</v>
      </c>
      <c r="Y597" s="6" t="e">
        <f t="shared" si="78"/>
        <v>#VALUE!</v>
      </c>
      <c r="AA597">
        <v>3792285</v>
      </c>
      <c r="AB597">
        <v>34899</v>
      </c>
      <c r="AD597" t="s">
        <v>5</v>
      </c>
      <c r="AE597">
        <v>10</v>
      </c>
      <c r="AF597">
        <v>1</v>
      </c>
      <c r="AH597" t="s">
        <v>963</v>
      </c>
      <c r="AI597" t="s">
        <v>962</v>
      </c>
      <c r="AK597" t="s">
        <v>961</v>
      </c>
      <c r="AL597">
        <v>3</v>
      </c>
      <c r="AM597" s="5">
        <f t="shared" si="82"/>
        <v>8.3333333333333329E-2</v>
      </c>
      <c r="AN597" s="4">
        <f t="shared" si="79"/>
        <v>1.2621481761958852E-4</v>
      </c>
      <c r="AO597" s="3"/>
      <c r="AP597">
        <v>0</v>
      </c>
      <c r="AR597" t="s">
        <v>1</v>
      </c>
      <c r="AT597" s="2" t="s">
        <v>0</v>
      </c>
      <c r="AU597" s="1" t="e">
        <f t="shared" si="83"/>
        <v>#VALUE!</v>
      </c>
      <c r="AV597" s="1" t="e">
        <f t="shared" si="84"/>
        <v>#VALUE!</v>
      </c>
      <c r="AW597" s="1" t="e">
        <f t="shared" si="85"/>
        <v>#VALUE!</v>
      </c>
    </row>
    <row r="598" spans="1:49" x14ac:dyDescent="0.2">
      <c r="A598">
        <v>596</v>
      </c>
      <c r="B598" t="s">
        <v>960</v>
      </c>
      <c r="F598" t="s">
        <v>959</v>
      </c>
      <c r="G598" t="s">
        <v>16</v>
      </c>
      <c r="H598" t="s">
        <v>15</v>
      </c>
      <c r="I598" t="s">
        <v>958</v>
      </c>
      <c r="J598">
        <v>101269343</v>
      </c>
      <c r="K598" t="s">
        <v>957</v>
      </c>
      <c r="L598" t="s">
        <v>956</v>
      </c>
      <c r="M598" t="s">
        <v>955</v>
      </c>
      <c r="N598">
        <v>1</v>
      </c>
      <c r="O598" t="s">
        <v>954</v>
      </c>
      <c r="P598">
        <v>6506951838</v>
      </c>
      <c r="Q598">
        <v>101269343</v>
      </c>
      <c r="R598" s="7">
        <v>31413</v>
      </c>
      <c r="S598" s="8">
        <f t="shared" si="80"/>
        <v>1986</v>
      </c>
      <c r="T598" s="8">
        <v>1986</v>
      </c>
      <c r="U598" s="8">
        <f t="shared" si="81"/>
        <v>36</v>
      </c>
      <c r="V598" s="7">
        <v>1986</v>
      </c>
      <c r="W598" t="s">
        <v>953</v>
      </c>
      <c r="X598" s="2" t="s">
        <v>0</v>
      </c>
      <c r="Y598" s="6" t="e">
        <f t="shared" si="78"/>
        <v>#VALUE!</v>
      </c>
      <c r="AA598">
        <v>7612508</v>
      </c>
      <c r="AB598">
        <v>28513</v>
      </c>
      <c r="AD598" t="s">
        <v>5</v>
      </c>
      <c r="AE598">
        <v>6</v>
      </c>
      <c r="AF598">
        <v>2</v>
      </c>
      <c r="AH598" s="9">
        <v>44409</v>
      </c>
      <c r="AI598" t="s">
        <v>952</v>
      </c>
      <c r="AK598" t="s">
        <v>951</v>
      </c>
      <c r="AL598">
        <v>0</v>
      </c>
      <c r="AM598" s="5">
        <f t="shared" si="82"/>
        <v>0</v>
      </c>
      <c r="AN598" s="4">
        <f t="shared" si="79"/>
        <v>0</v>
      </c>
      <c r="AO598" s="3"/>
      <c r="AP598">
        <v>0</v>
      </c>
      <c r="AR598" t="s">
        <v>1</v>
      </c>
      <c r="AT598" s="2" t="s">
        <v>0</v>
      </c>
      <c r="AU598" s="1" t="e">
        <f t="shared" si="83"/>
        <v>#VALUE!</v>
      </c>
      <c r="AV598" s="1" t="e">
        <f t="shared" si="84"/>
        <v>#VALUE!</v>
      </c>
      <c r="AW598" s="1" t="e">
        <f t="shared" si="85"/>
        <v>#VALUE!</v>
      </c>
    </row>
    <row r="599" spans="1:49" x14ac:dyDescent="0.2">
      <c r="A599">
        <v>597</v>
      </c>
      <c r="B599" t="s">
        <v>950</v>
      </c>
      <c r="C599" t="s">
        <v>949</v>
      </c>
      <c r="E599">
        <v>3084703</v>
      </c>
      <c r="F599" t="s">
        <v>948</v>
      </c>
      <c r="G599" t="s">
        <v>16</v>
      </c>
      <c r="H599" t="s">
        <v>15</v>
      </c>
      <c r="I599" t="s">
        <v>947</v>
      </c>
      <c r="J599" t="s">
        <v>946</v>
      </c>
      <c r="K599" t="s">
        <v>945</v>
      </c>
      <c r="L599" t="s">
        <v>944</v>
      </c>
      <c r="M599" t="s">
        <v>783</v>
      </c>
      <c r="N599">
        <v>2</v>
      </c>
      <c r="O599" t="s">
        <v>943</v>
      </c>
      <c r="P599" t="s">
        <v>942</v>
      </c>
      <c r="Q599" t="s">
        <v>941</v>
      </c>
      <c r="R599" s="7">
        <v>31413</v>
      </c>
      <c r="S599" s="8">
        <f t="shared" si="80"/>
        <v>1986</v>
      </c>
      <c r="T599" s="8">
        <v>1986</v>
      </c>
      <c r="U599" s="8">
        <f t="shared" si="81"/>
        <v>36</v>
      </c>
      <c r="V599" s="7">
        <v>31472</v>
      </c>
      <c r="W599" t="s">
        <v>940</v>
      </c>
      <c r="X599" s="2" t="s">
        <v>0</v>
      </c>
      <c r="Y599" s="6" t="e">
        <f t="shared" si="78"/>
        <v>#VALUE!</v>
      </c>
      <c r="AA599" t="s">
        <v>939</v>
      </c>
      <c r="AB599">
        <v>35950</v>
      </c>
      <c r="AC599" t="s">
        <v>938</v>
      </c>
      <c r="AD599" t="s">
        <v>5</v>
      </c>
      <c r="AE599">
        <v>237</v>
      </c>
      <c r="AF599">
        <v>3</v>
      </c>
      <c r="AH599" t="s">
        <v>937</v>
      </c>
      <c r="AI599" t="s">
        <v>936</v>
      </c>
      <c r="AK599" t="s">
        <v>935</v>
      </c>
      <c r="AL599">
        <v>118</v>
      </c>
      <c r="AM599" s="5">
        <f t="shared" si="82"/>
        <v>3.2777777777777777</v>
      </c>
      <c r="AN599" s="4">
        <f t="shared" si="79"/>
        <v>4.9644494930371494E-3</v>
      </c>
      <c r="AO599" s="3"/>
      <c r="AP599">
        <v>0</v>
      </c>
      <c r="AQ599" t="s">
        <v>934</v>
      </c>
      <c r="AR599" t="s">
        <v>933</v>
      </c>
      <c r="AS599" t="s">
        <v>932</v>
      </c>
      <c r="AT599" s="2" t="s">
        <v>0</v>
      </c>
      <c r="AU599" s="1" t="e">
        <f t="shared" si="83"/>
        <v>#VALUE!</v>
      </c>
      <c r="AV599" s="1" t="e">
        <f t="shared" si="84"/>
        <v>#VALUE!</v>
      </c>
      <c r="AW599" s="1" t="e">
        <f t="shared" si="85"/>
        <v>#VALUE!</v>
      </c>
    </row>
    <row r="600" spans="1:49" x14ac:dyDescent="0.2">
      <c r="A600">
        <v>598</v>
      </c>
      <c r="B600" t="s">
        <v>931</v>
      </c>
      <c r="C600" t="s">
        <v>930</v>
      </c>
      <c r="F600" t="s">
        <v>929</v>
      </c>
      <c r="G600" t="s">
        <v>16</v>
      </c>
      <c r="H600" t="s">
        <v>15</v>
      </c>
      <c r="I600" t="s">
        <v>928</v>
      </c>
      <c r="J600">
        <v>60008524</v>
      </c>
      <c r="K600" t="s">
        <v>927</v>
      </c>
      <c r="L600" t="s">
        <v>926</v>
      </c>
      <c r="M600" t="s">
        <v>665</v>
      </c>
      <c r="N600">
        <v>2</v>
      </c>
      <c r="O600" t="s">
        <v>925</v>
      </c>
      <c r="P600" t="s">
        <v>924</v>
      </c>
      <c r="Q600" t="s">
        <v>923</v>
      </c>
      <c r="R600" s="7">
        <v>31413</v>
      </c>
      <c r="S600" s="8">
        <f t="shared" si="80"/>
        <v>1986</v>
      </c>
      <c r="T600" s="8">
        <v>1986</v>
      </c>
      <c r="U600" s="8">
        <f t="shared" si="81"/>
        <v>36</v>
      </c>
      <c r="V600" s="7" t="s">
        <v>922</v>
      </c>
      <c r="W600" t="s">
        <v>921</v>
      </c>
      <c r="X600" s="2" t="s">
        <v>0</v>
      </c>
      <c r="Y600" s="6" t="e">
        <f t="shared" si="78"/>
        <v>#VALUE!</v>
      </c>
      <c r="AA600">
        <v>2671689</v>
      </c>
      <c r="AB600">
        <v>87645</v>
      </c>
      <c r="AD600" t="s">
        <v>5</v>
      </c>
      <c r="AE600">
        <v>56</v>
      </c>
      <c r="AF600">
        <v>1</v>
      </c>
      <c r="AH600" t="s">
        <v>920</v>
      </c>
      <c r="AI600" t="s">
        <v>919</v>
      </c>
      <c r="AK600" t="s">
        <v>918</v>
      </c>
      <c r="AL600">
        <v>5</v>
      </c>
      <c r="AM600" s="5">
        <f t="shared" si="82"/>
        <v>0.1388888888888889</v>
      </c>
      <c r="AN600" s="4">
        <f t="shared" si="79"/>
        <v>2.103580293659809E-4</v>
      </c>
      <c r="AO600" s="3"/>
      <c r="AP600">
        <v>0</v>
      </c>
      <c r="AR600" t="s">
        <v>1</v>
      </c>
      <c r="AT600" s="2" t="s">
        <v>0</v>
      </c>
      <c r="AU600" s="1" t="e">
        <f t="shared" si="83"/>
        <v>#VALUE!</v>
      </c>
      <c r="AV600" s="1" t="e">
        <f t="shared" si="84"/>
        <v>#VALUE!</v>
      </c>
      <c r="AW600" s="1" t="e">
        <f t="shared" si="85"/>
        <v>#VALUE!</v>
      </c>
    </row>
    <row r="601" spans="1:49" x14ac:dyDescent="0.2">
      <c r="A601">
        <v>599</v>
      </c>
      <c r="B601" t="s">
        <v>917</v>
      </c>
      <c r="C601" t="s">
        <v>916</v>
      </c>
      <c r="E601">
        <v>3701324</v>
      </c>
      <c r="F601" t="s">
        <v>915</v>
      </c>
      <c r="G601" t="s">
        <v>16</v>
      </c>
      <c r="H601" t="s">
        <v>15</v>
      </c>
      <c r="I601" t="s">
        <v>914</v>
      </c>
      <c r="J601">
        <v>100573135</v>
      </c>
      <c r="K601" t="s">
        <v>913</v>
      </c>
      <c r="L601" t="s">
        <v>912</v>
      </c>
      <c r="M601" t="s">
        <v>59</v>
      </c>
      <c r="N601">
        <v>1</v>
      </c>
      <c r="O601" t="s">
        <v>911</v>
      </c>
      <c r="P601">
        <v>7006646532</v>
      </c>
      <c r="Q601">
        <v>100573135</v>
      </c>
      <c r="R601" s="7">
        <v>31413</v>
      </c>
      <c r="S601" s="8">
        <f t="shared" si="80"/>
        <v>1986</v>
      </c>
      <c r="T601" s="8">
        <v>1986</v>
      </c>
      <c r="U601" s="8">
        <f t="shared" si="81"/>
        <v>36</v>
      </c>
      <c r="V601" s="7">
        <v>31472</v>
      </c>
      <c r="W601" t="s">
        <v>910</v>
      </c>
      <c r="X601" s="2" t="s">
        <v>0</v>
      </c>
      <c r="Y601" s="6" t="e">
        <f t="shared" si="78"/>
        <v>#VALUE!</v>
      </c>
      <c r="AA601">
        <v>223034</v>
      </c>
      <c r="AB601">
        <v>23463</v>
      </c>
      <c r="AC601">
        <v>10974695</v>
      </c>
      <c r="AD601" t="s">
        <v>5</v>
      </c>
      <c r="AE601">
        <v>17</v>
      </c>
      <c r="AF601">
        <v>2</v>
      </c>
      <c r="AH601" t="s">
        <v>909</v>
      </c>
      <c r="AI601" t="s">
        <v>908</v>
      </c>
      <c r="AK601" t="s">
        <v>907</v>
      </c>
      <c r="AL601">
        <v>7</v>
      </c>
      <c r="AM601" s="5">
        <f t="shared" si="82"/>
        <v>0.19444444444444445</v>
      </c>
      <c r="AN601" s="4">
        <f t="shared" si="79"/>
        <v>2.9450124111237325E-4</v>
      </c>
      <c r="AO601" s="3"/>
      <c r="AP601">
        <v>0</v>
      </c>
      <c r="AR601" t="s">
        <v>1</v>
      </c>
      <c r="AT601" s="2" t="s">
        <v>0</v>
      </c>
      <c r="AU601" s="1" t="e">
        <f t="shared" si="83"/>
        <v>#VALUE!</v>
      </c>
      <c r="AV601" s="1" t="e">
        <f t="shared" si="84"/>
        <v>#VALUE!</v>
      </c>
      <c r="AW601" s="1" t="e">
        <f t="shared" si="85"/>
        <v>#VALUE!</v>
      </c>
    </row>
    <row r="602" spans="1:49" x14ac:dyDescent="0.2">
      <c r="A602">
        <v>600</v>
      </c>
      <c r="B602" t="s">
        <v>906</v>
      </c>
      <c r="C602" t="s">
        <v>905</v>
      </c>
      <c r="E602">
        <v>3081920</v>
      </c>
      <c r="F602" t="s">
        <v>904</v>
      </c>
      <c r="G602" t="s">
        <v>16</v>
      </c>
      <c r="H602" t="s">
        <v>15</v>
      </c>
      <c r="I602" t="s">
        <v>903</v>
      </c>
      <c r="J602" t="s">
        <v>902</v>
      </c>
      <c r="K602" t="s">
        <v>901</v>
      </c>
      <c r="L602" t="s">
        <v>900</v>
      </c>
      <c r="M602" t="s">
        <v>899</v>
      </c>
      <c r="N602">
        <v>4</v>
      </c>
      <c r="O602" t="s">
        <v>898</v>
      </c>
      <c r="P602" t="s">
        <v>897</v>
      </c>
      <c r="Q602" t="s">
        <v>896</v>
      </c>
      <c r="R602" s="7">
        <v>31413</v>
      </c>
      <c r="S602" s="8">
        <f t="shared" si="80"/>
        <v>1986</v>
      </c>
      <c r="T602" s="8">
        <v>1986</v>
      </c>
      <c r="U602" s="8">
        <f t="shared" si="81"/>
        <v>36</v>
      </c>
      <c r="V602" s="7">
        <v>31413</v>
      </c>
      <c r="W602" t="s">
        <v>895</v>
      </c>
      <c r="X602" s="2">
        <v>0.81799999999999995</v>
      </c>
      <c r="Y602" s="6">
        <f t="shared" si="78"/>
        <v>2.1836042817863912E-2</v>
      </c>
      <c r="AA602">
        <v>318655</v>
      </c>
      <c r="AB602">
        <v>27010</v>
      </c>
      <c r="AC602">
        <v>17511097</v>
      </c>
      <c r="AD602" t="s">
        <v>5</v>
      </c>
      <c r="AE602">
        <v>43</v>
      </c>
      <c r="AF602">
        <v>1</v>
      </c>
      <c r="AH602" t="s">
        <v>894</v>
      </c>
      <c r="AI602" t="s">
        <v>893</v>
      </c>
      <c r="AK602" t="s">
        <v>892</v>
      </c>
      <c r="AL602">
        <v>4</v>
      </c>
      <c r="AM602" s="5">
        <f t="shared" si="82"/>
        <v>0.1111111111111111</v>
      </c>
      <c r="AN602" s="4">
        <f t="shared" si="79"/>
        <v>1.682864234927847E-4</v>
      </c>
      <c r="AO602" s="3"/>
      <c r="AP602">
        <v>0</v>
      </c>
      <c r="AR602" t="s">
        <v>1</v>
      </c>
      <c r="AT602" s="2">
        <v>3.4209999999999998</v>
      </c>
      <c r="AU602" s="1">
        <f t="shared" si="83"/>
        <v>1.5335715899552573</v>
      </c>
      <c r="AV602" s="1">
        <f t="shared" si="84"/>
        <v>1.100216462067835</v>
      </c>
      <c r="AW602" s="1">
        <f t="shared" si="85"/>
        <v>0.66686133418041227</v>
      </c>
    </row>
    <row r="603" spans="1:49" x14ac:dyDescent="0.2">
      <c r="A603">
        <v>601</v>
      </c>
      <c r="B603" t="s">
        <v>891</v>
      </c>
      <c r="C603" t="s">
        <v>890</v>
      </c>
      <c r="D603">
        <v>3986186901153</v>
      </c>
      <c r="E603">
        <v>3080948</v>
      </c>
      <c r="F603" t="s">
        <v>889</v>
      </c>
      <c r="G603" t="s">
        <v>16</v>
      </c>
      <c r="H603" t="s">
        <v>15</v>
      </c>
      <c r="I603" t="s">
        <v>888</v>
      </c>
      <c r="J603">
        <v>60025272</v>
      </c>
      <c r="K603" t="s">
        <v>887</v>
      </c>
      <c r="L603" t="s">
        <v>886</v>
      </c>
      <c r="M603" t="s">
        <v>71</v>
      </c>
      <c r="N603">
        <v>2</v>
      </c>
      <c r="O603" t="s">
        <v>885</v>
      </c>
      <c r="P603" t="s">
        <v>884</v>
      </c>
      <c r="Q603" t="s">
        <v>883</v>
      </c>
      <c r="R603" s="7">
        <v>31413</v>
      </c>
      <c r="S603" s="8">
        <f t="shared" si="80"/>
        <v>1986</v>
      </c>
      <c r="T603" s="8">
        <v>1986</v>
      </c>
      <c r="U603" s="8">
        <f t="shared" si="81"/>
        <v>36</v>
      </c>
      <c r="V603" s="7">
        <v>31413</v>
      </c>
      <c r="W603" t="s">
        <v>882</v>
      </c>
      <c r="X603" s="2">
        <v>1.097</v>
      </c>
      <c r="Y603" s="6">
        <f t="shared" si="78"/>
        <v>2.9283788473345614E-2</v>
      </c>
      <c r="AA603">
        <v>39861</v>
      </c>
      <c r="AB603">
        <v>16811</v>
      </c>
      <c r="AC603">
        <v>10960384</v>
      </c>
      <c r="AD603" t="s">
        <v>5</v>
      </c>
      <c r="AE603">
        <v>244</v>
      </c>
      <c r="AF603">
        <v>1</v>
      </c>
      <c r="AH603" t="s">
        <v>881</v>
      </c>
      <c r="AI603" t="s">
        <v>880</v>
      </c>
      <c r="AK603" t="s">
        <v>879</v>
      </c>
      <c r="AL603">
        <v>8</v>
      </c>
      <c r="AM603" s="5">
        <f t="shared" si="82"/>
        <v>0.22222222222222221</v>
      </c>
      <c r="AN603" s="4">
        <f t="shared" si="79"/>
        <v>3.365728469855694E-4</v>
      </c>
      <c r="AO603" s="3"/>
      <c r="AP603">
        <v>0</v>
      </c>
      <c r="AQ603" t="s">
        <v>878</v>
      </c>
      <c r="AR603" t="s">
        <v>1</v>
      </c>
      <c r="AS603" t="s">
        <v>877</v>
      </c>
      <c r="AT603" s="2" t="s">
        <v>0</v>
      </c>
      <c r="AU603" s="1">
        <f t="shared" si="83"/>
        <v>2.05996237854376</v>
      </c>
      <c r="AV603" s="1">
        <f t="shared" si="84"/>
        <v>1.4810180660165591</v>
      </c>
      <c r="AW603" s="1">
        <f t="shared" si="85"/>
        <v>0.90207375348935814</v>
      </c>
    </row>
    <row r="604" spans="1:49" x14ac:dyDescent="0.2">
      <c r="A604">
        <v>602</v>
      </c>
      <c r="B604" t="s">
        <v>876</v>
      </c>
      <c r="C604" t="s">
        <v>875</v>
      </c>
      <c r="F604" t="s">
        <v>874</v>
      </c>
      <c r="G604" t="s">
        <v>16</v>
      </c>
      <c r="H604" t="s">
        <v>15</v>
      </c>
      <c r="I604" t="s">
        <v>873</v>
      </c>
      <c r="J604">
        <v>60014652</v>
      </c>
      <c r="K604" t="s">
        <v>872</v>
      </c>
      <c r="L604" t="s">
        <v>871</v>
      </c>
      <c r="M604" t="s">
        <v>71</v>
      </c>
      <c r="N604">
        <v>3</v>
      </c>
      <c r="O604" t="s">
        <v>870</v>
      </c>
      <c r="P604" t="s">
        <v>869</v>
      </c>
      <c r="Q604" t="s">
        <v>868</v>
      </c>
      <c r="R604" s="7">
        <v>31413</v>
      </c>
      <c r="S604" s="8">
        <f t="shared" si="80"/>
        <v>1986</v>
      </c>
      <c r="T604" s="8">
        <v>1986</v>
      </c>
      <c r="U604" s="8">
        <f t="shared" si="81"/>
        <v>36</v>
      </c>
      <c r="V604" s="7">
        <v>1986</v>
      </c>
      <c r="W604" t="s">
        <v>867</v>
      </c>
      <c r="X604" s="2">
        <v>0.13900000000000001</v>
      </c>
      <c r="Y604" s="6">
        <f t="shared" si="78"/>
        <v>3.7105256133045036E-3</v>
      </c>
      <c r="AA604" t="s">
        <v>866</v>
      </c>
      <c r="AB604">
        <v>24891</v>
      </c>
      <c r="AC604">
        <v>15206432</v>
      </c>
      <c r="AD604" t="s">
        <v>5</v>
      </c>
      <c r="AE604">
        <v>69</v>
      </c>
      <c r="AF604">
        <v>4</v>
      </c>
      <c r="AH604" t="s">
        <v>865</v>
      </c>
      <c r="AI604" t="s">
        <v>864</v>
      </c>
      <c r="AK604" t="s">
        <v>863</v>
      </c>
      <c r="AL604">
        <v>0</v>
      </c>
      <c r="AM604" s="5">
        <f t="shared" si="82"/>
        <v>0</v>
      </c>
      <c r="AN604" s="4">
        <f t="shared" si="79"/>
        <v>0</v>
      </c>
      <c r="AO604" s="3"/>
      <c r="AP604">
        <v>0</v>
      </c>
      <c r="AR604" t="s">
        <v>1</v>
      </c>
      <c r="AT604" s="2" t="s">
        <v>0</v>
      </c>
      <c r="AU604" s="1">
        <f t="shared" si="83"/>
        <v>0.25973679293131524</v>
      </c>
      <c r="AV604" s="1">
        <f t="shared" si="84"/>
        <v>0.1855262806652252</v>
      </c>
      <c r="AW604" s="1">
        <f t="shared" si="85"/>
        <v>0.1113157683991351</v>
      </c>
    </row>
    <row r="605" spans="1:49" x14ac:dyDescent="0.2">
      <c r="A605">
        <v>603</v>
      </c>
      <c r="B605" t="s">
        <v>862</v>
      </c>
      <c r="F605" t="s">
        <v>861</v>
      </c>
      <c r="G605" t="s">
        <v>16</v>
      </c>
      <c r="H605" t="s">
        <v>15</v>
      </c>
      <c r="I605" t="s">
        <v>860</v>
      </c>
      <c r="N605">
        <v>2</v>
      </c>
      <c r="O605" t="s">
        <v>859</v>
      </c>
      <c r="P605" t="s">
        <v>858</v>
      </c>
      <c r="Q605" t="s">
        <v>313</v>
      </c>
      <c r="R605" s="7">
        <v>31413</v>
      </c>
      <c r="S605" s="8">
        <f t="shared" si="80"/>
        <v>1986</v>
      </c>
      <c r="T605" s="8">
        <v>1986</v>
      </c>
      <c r="U605" s="8">
        <f t="shared" si="81"/>
        <v>36</v>
      </c>
      <c r="V605" s="7">
        <v>31413</v>
      </c>
      <c r="W605" t="s">
        <v>857</v>
      </c>
      <c r="X605" s="2" t="s">
        <v>0</v>
      </c>
      <c r="Y605" s="6" t="e">
        <f t="shared" si="78"/>
        <v>#VALUE!</v>
      </c>
      <c r="AA605">
        <v>87566648</v>
      </c>
      <c r="AB605">
        <v>74127</v>
      </c>
      <c r="AD605" t="s">
        <v>5</v>
      </c>
      <c r="AE605">
        <v>31</v>
      </c>
      <c r="AF605">
        <v>1</v>
      </c>
      <c r="AH605" s="10">
        <v>41487</v>
      </c>
      <c r="AI605" t="s">
        <v>856</v>
      </c>
      <c r="AK605" t="s">
        <v>855</v>
      </c>
      <c r="AL605">
        <v>0</v>
      </c>
      <c r="AM605" s="5">
        <f t="shared" si="82"/>
        <v>0</v>
      </c>
      <c r="AN605" s="4">
        <f t="shared" si="79"/>
        <v>0</v>
      </c>
      <c r="AO605" s="3"/>
      <c r="AP605">
        <v>0</v>
      </c>
      <c r="AR605" t="s">
        <v>1</v>
      </c>
      <c r="AT605" s="2" t="s">
        <v>0</v>
      </c>
      <c r="AU605" s="1" t="e">
        <f t="shared" si="83"/>
        <v>#VALUE!</v>
      </c>
      <c r="AV605" s="1" t="e">
        <f t="shared" si="84"/>
        <v>#VALUE!</v>
      </c>
      <c r="AW605" s="1" t="e">
        <f t="shared" si="85"/>
        <v>#VALUE!</v>
      </c>
    </row>
    <row r="606" spans="1:49" x14ac:dyDescent="0.2">
      <c r="A606">
        <v>604</v>
      </c>
      <c r="B606" t="s">
        <v>854</v>
      </c>
      <c r="C606" t="s">
        <v>853</v>
      </c>
      <c r="F606" t="s">
        <v>852</v>
      </c>
      <c r="G606" t="s">
        <v>16</v>
      </c>
      <c r="H606" t="s">
        <v>15</v>
      </c>
      <c r="I606" t="s">
        <v>851</v>
      </c>
      <c r="N606">
        <v>3</v>
      </c>
      <c r="O606" t="s">
        <v>850</v>
      </c>
      <c r="P606" t="s">
        <v>849</v>
      </c>
      <c r="Q606" t="s">
        <v>295</v>
      </c>
      <c r="R606" s="7">
        <v>31413</v>
      </c>
      <c r="S606" s="8">
        <f t="shared" si="80"/>
        <v>1986</v>
      </c>
      <c r="T606" s="8">
        <v>1986</v>
      </c>
      <c r="U606" s="8">
        <f t="shared" si="81"/>
        <v>36</v>
      </c>
      <c r="V606" s="7" t="s">
        <v>848</v>
      </c>
      <c r="W606" t="s">
        <v>847</v>
      </c>
      <c r="X606" s="2">
        <v>0.218</v>
      </c>
      <c r="Y606" s="6">
        <f t="shared" si="78"/>
        <v>5.8193854942473512E-3</v>
      </c>
      <c r="AA606">
        <v>3772063</v>
      </c>
      <c r="AB606">
        <v>130012</v>
      </c>
      <c r="AD606" t="s">
        <v>5</v>
      </c>
      <c r="AE606">
        <v>32</v>
      </c>
      <c r="AF606">
        <v>1</v>
      </c>
      <c r="AH606" t="s">
        <v>846</v>
      </c>
      <c r="AI606" t="s">
        <v>845</v>
      </c>
      <c r="AK606" t="s">
        <v>844</v>
      </c>
      <c r="AL606">
        <v>0</v>
      </c>
      <c r="AM606" s="5">
        <f t="shared" si="82"/>
        <v>0</v>
      </c>
      <c r="AN606" s="4">
        <f t="shared" si="79"/>
        <v>0</v>
      </c>
      <c r="AO606" s="3"/>
      <c r="AP606">
        <v>0</v>
      </c>
      <c r="AR606" t="s">
        <v>1</v>
      </c>
      <c r="AT606" s="2">
        <v>2.3330000000000002</v>
      </c>
      <c r="AU606" s="1">
        <f t="shared" si="83"/>
        <v>0.40735698459731456</v>
      </c>
      <c r="AV606" s="1">
        <f t="shared" si="84"/>
        <v>0.29096927471236755</v>
      </c>
      <c r="AW606" s="1">
        <f t="shared" si="85"/>
        <v>0.17458156482742054</v>
      </c>
    </row>
    <row r="607" spans="1:49" x14ac:dyDescent="0.2">
      <c r="A607">
        <v>605</v>
      </c>
      <c r="B607" t="s">
        <v>843</v>
      </c>
      <c r="C607" t="s">
        <v>842</v>
      </c>
      <c r="D607" t="s">
        <v>841</v>
      </c>
      <c r="E607">
        <v>11538319</v>
      </c>
      <c r="F607" t="s">
        <v>840</v>
      </c>
      <c r="G607" t="s">
        <v>16</v>
      </c>
      <c r="H607" t="s">
        <v>15</v>
      </c>
      <c r="I607" t="s">
        <v>839</v>
      </c>
      <c r="J607">
        <v>60007478</v>
      </c>
      <c r="K607" t="s">
        <v>838</v>
      </c>
      <c r="L607" t="s">
        <v>837</v>
      </c>
      <c r="M607" t="s">
        <v>114</v>
      </c>
      <c r="N607">
        <v>1</v>
      </c>
      <c r="O607" t="s">
        <v>836</v>
      </c>
      <c r="P607">
        <v>6602631485</v>
      </c>
      <c r="Q607">
        <v>60007478</v>
      </c>
      <c r="R607" s="7">
        <v>31413</v>
      </c>
      <c r="S607" s="8">
        <f t="shared" si="80"/>
        <v>1986</v>
      </c>
      <c r="T607" s="8">
        <v>1986</v>
      </c>
      <c r="U607" s="8">
        <f t="shared" si="81"/>
        <v>36</v>
      </c>
      <c r="V607" s="7">
        <v>31413</v>
      </c>
      <c r="W607" t="s">
        <v>835</v>
      </c>
      <c r="X607" s="2">
        <v>1.1339999999999999</v>
      </c>
      <c r="Y607" s="6">
        <f t="shared" si="78"/>
        <v>3.0271482341635299E-2</v>
      </c>
      <c r="AA607">
        <v>945765</v>
      </c>
      <c r="AB607">
        <v>12372</v>
      </c>
      <c r="AD607" t="s">
        <v>5</v>
      </c>
      <c r="AE607">
        <v>13</v>
      </c>
      <c r="AF607">
        <v>1</v>
      </c>
      <c r="AH607" t="s">
        <v>834</v>
      </c>
      <c r="AI607" t="s">
        <v>833</v>
      </c>
      <c r="AK607" t="s">
        <v>832</v>
      </c>
      <c r="AL607">
        <v>1</v>
      </c>
      <c r="AM607" s="5">
        <f t="shared" si="82"/>
        <v>2.7777777777777776E-2</v>
      </c>
      <c r="AN607" s="4">
        <f t="shared" si="79"/>
        <v>4.2071605873196175E-5</v>
      </c>
      <c r="AO607" s="3"/>
      <c r="AP607">
        <v>0</v>
      </c>
      <c r="AR607" t="s">
        <v>1</v>
      </c>
      <c r="AT607" s="2">
        <v>2.4129999999999998</v>
      </c>
      <c r="AU607" s="1">
        <f t="shared" si="83"/>
        <v>2.1202659120906664</v>
      </c>
      <c r="AV607" s="1">
        <f t="shared" si="84"/>
        <v>1.5156776973754247</v>
      </c>
      <c r="AW607" s="1">
        <f t="shared" si="85"/>
        <v>0.91108948266018264</v>
      </c>
    </row>
    <row r="608" spans="1:49" x14ac:dyDescent="0.2">
      <c r="A608">
        <v>606</v>
      </c>
      <c r="B608" t="s">
        <v>831</v>
      </c>
      <c r="C608" t="s">
        <v>830</v>
      </c>
      <c r="D608">
        <v>12160686901193</v>
      </c>
      <c r="F608" t="s">
        <v>829</v>
      </c>
      <c r="G608" t="s">
        <v>16</v>
      </c>
      <c r="H608" t="s">
        <v>15</v>
      </c>
      <c r="I608" t="s">
        <v>828</v>
      </c>
      <c r="J608">
        <v>60024631</v>
      </c>
      <c r="K608" t="s">
        <v>827</v>
      </c>
      <c r="L608" t="s">
        <v>826</v>
      </c>
      <c r="M608" t="s">
        <v>825</v>
      </c>
      <c r="N608">
        <v>3</v>
      </c>
      <c r="O608" t="s">
        <v>824</v>
      </c>
      <c r="P608" t="s">
        <v>823</v>
      </c>
      <c r="Q608" t="s">
        <v>822</v>
      </c>
      <c r="R608" s="7">
        <v>31413</v>
      </c>
      <c r="S608" s="8">
        <f t="shared" si="80"/>
        <v>1986</v>
      </c>
      <c r="T608" s="8">
        <v>1986</v>
      </c>
      <c r="U608" s="8">
        <f t="shared" si="81"/>
        <v>36</v>
      </c>
      <c r="V608" s="7">
        <v>31413</v>
      </c>
      <c r="W608" t="s">
        <v>821</v>
      </c>
      <c r="X608" s="2">
        <v>1.77</v>
      </c>
      <c r="Y608" s="6">
        <f t="shared" si="78"/>
        <v>4.7249139104668859E-2</v>
      </c>
      <c r="AA608">
        <v>121606</v>
      </c>
      <c r="AB608">
        <v>14536</v>
      </c>
      <c r="AD608" t="s">
        <v>5</v>
      </c>
      <c r="AE608">
        <v>113</v>
      </c>
      <c r="AF608">
        <v>1</v>
      </c>
      <c r="AH608" t="s">
        <v>820</v>
      </c>
      <c r="AI608" t="s">
        <v>819</v>
      </c>
      <c r="AK608" t="s">
        <v>818</v>
      </c>
      <c r="AL608">
        <v>10</v>
      </c>
      <c r="AM608" s="5">
        <f t="shared" si="82"/>
        <v>0.27777777777777779</v>
      </c>
      <c r="AN608" s="4">
        <f t="shared" si="79"/>
        <v>4.207160587319618E-4</v>
      </c>
      <c r="AO608" s="3"/>
      <c r="AP608">
        <v>0</v>
      </c>
      <c r="AQ608" t="s">
        <v>817</v>
      </c>
      <c r="AR608" t="s">
        <v>816</v>
      </c>
      <c r="AS608" t="s">
        <v>815</v>
      </c>
      <c r="AT608" s="2">
        <v>3.5819999999999999</v>
      </c>
      <c r="AU608" s="1">
        <f t="shared" si="83"/>
        <v>3.320061219088779</v>
      </c>
      <c r="AV608" s="1">
        <f t="shared" si="84"/>
        <v>2.3834927581700409</v>
      </c>
      <c r="AW608" s="1">
        <f t="shared" si="85"/>
        <v>1.446924297251303</v>
      </c>
    </row>
    <row r="609" spans="1:49" x14ac:dyDescent="0.2">
      <c r="A609">
        <v>607</v>
      </c>
      <c r="B609" t="s">
        <v>814</v>
      </c>
      <c r="C609" t="s">
        <v>813</v>
      </c>
      <c r="F609" t="s">
        <v>812</v>
      </c>
      <c r="G609" t="s">
        <v>16</v>
      </c>
      <c r="H609" t="s">
        <v>15</v>
      </c>
      <c r="I609" t="s">
        <v>811</v>
      </c>
      <c r="J609">
        <v>60027550</v>
      </c>
      <c r="K609" t="s">
        <v>810</v>
      </c>
      <c r="L609" t="s">
        <v>809</v>
      </c>
      <c r="M609" t="s">
        <v>114</v>
      </c>
      <c r="N609">
        <v>2</v>
      </c>
      <c r="O609" t="s">
        <v>808</v>
      </c>
      <c r="P609" t="s">
        <v>807</v>
      </c>
      <c r="Q609" t="s">
        <v>806</v>
      </c>
      <c r="R609" s="7">
        <v>31413</v>
      </c>
      <c r="S609" s="8">
        <f t="shared" si="80"/>
        <v>1986</v>
      </c>
      <c r="T609" s="8">
        <v>1986</v>
      </c>
      <c r="U609" s="8">
        <f t="shared" si="81"/>
        <v>36</v>
      </c>
      <c r="V609" s="7">
        <v>31413</v>
      </c>
      <c r="W609" t="s">
        <v>624</v>
      </c>
      <c r="X609" s="2">
        <v>0.61499999999999999</v>
      </c>
      <c r="Y609" s="6">
        <f t="shared" si="78"/>
        <v>1.6417073756706976E-2</v>
      </c>
      <c r="AA609">
        <v>1959271</v>
      </c>
      <c r="AB609">
        <v>12141</v>
      </c>
      <c r="AC609">
        <v>15729559</v>
      </c>
      <c r="AD609" t="s">
        <v>5</v>
      </c>
      <c r="AE609">
        <v>7</v>
      </c>
      <c r="AF609">
        <v>1</v>
      </c>
      <c r="AH609" s="10">
        <v>46023</v>
      </c>
      <c r="AI609" t="s">
        <v>805</v>
      </c>
      <c r="AJ609" t="s">
        <v>804</v>
      </c>
      <c r="AK609" t="s">
        <v>803</v>
      </c>
      <c r="AL609">
        <v>24</v>
      </c>
      <c r="AM609" s="5">
        <f t="shared" si="82"/>
        <v>0.66666666666666663</v>
      </c>
      <c r="AN609" s="4">
        <f t="shared" si="79"/>
        <v>1.0097185409567082E-3</v>
      </c>
      <c r="AO609" s="3"/>
      <c r="AP609">
        <v>0</v>
      </c>
      <c r="AR609" t="s">
        <v>1</v>
      </c>
      <c r="AT609" s="2" t="s">
        <v>0</v>
      </c>
      <c r="AU609" s="1">
        <f t="shared" si="83"/>
        <v>1.1794867191981895</v>
      </c>
      <c r="AV609" s="1">
        <f t="shared" si="84"/>
        <v>0.87133961488318423</v>
      </c>
      <c r="AW609" s="1">
        <f t="shared" si="85"/>
        <v>0.56319251056817887</v>
      </c>
    </row>
    <row r="610" spans="1:49" x14ac:dyDescent="0.2">
      <c r="A610">
        <v>608</v>
      </c>
      <c r="B610" t="s">
        <v>802</v>
      </c>
      <c r="C610" t="s">
        <v>801</v>
      </c>
      <c r="F610" t="s">
        <v>800</v>
      </c>
      <c r="G610" t="s">
        <v>16</v>
      </c>
      <c r="H610" t="s">
        <v>15</v>
      </c>
      <c r="I610" t="s">
        <v>799</v>
      </c>
      <c r="J610">
        <v>60027090</v>
      </c>
      <c r="K610" t="s">
        <v>798</v>
      </c>
      <c r="L610" t="s">
        <v>797</v>
      </c>
      <c r="M610" t="s">
        <v>114</v>
      </c>
      <c r="N610">
        <v>3</v>
      </c>
      <c r="O610" t="s">
        <v>796</v>
      </c>
      <c r="P610" t="s">
        <v>795</v>
      </c>
      <c r="Q610" t="s">
        <v>794</v>
      </c>
      <c r="R610" s="7">
        <v>31413</v>
      </c>
      <c r="S610" s="8">
        <f t="shared" si="80"/>
        <v>1986</v>
      </c>
      <c r="T610" s="8">
        <v>1986</v>
      </c>
      <c r="U610" s="8">
        <f t="shared" si="81"/>
        <v>36</v>
      </c>
      <c r="V610" s="7">
        <v>31413</v>
      </c>
      <c r="W610" t="s">
        <v>153</v>
      </c>
      <c r="X610" s="2">
        <v>1.6519999999999999</v>
      </c>
      <c r="Y610" s="6">
        <f t="shared" si="78"/>
        <v>4.409919649769093E-2</v>
      </c>
      <c r="AA610" t="s">
        <v>152</v>
      </c>
      <c r="AB610">
        <v>17337</v>
      </c>
      <c r="AC610">
        <v>15582221</v>
      </c>
      <c r="AD610" t="s">
        <v>5</v>
      </c>
      <c r="AE610">
        <v>34</v>
      </c>
      <c r="AF610">
        <v>1</v>
      </c>
      <c r="AH610" t="s">
        <v>793</v>
      </c>
      <c r="AI610" t="s">
        <v>792</v>
      </c>
      <c r="AK610" t="s">
        <v>791</v>
      </c>
      <c r="AL610">
        <v>6</v>
      </c>
      <c r="AM610" s="5">
        <f t="shared" si="82"/>
        <v>0.16666666666666666</v>
      </c>
      <c r="AN610" s="4">
        <f t="shared" si="79"/>
        <v>2.5242963523917705E-4</v>
      </c>
      <c r="AO610" s="3"/>
      <c r="AP610">
        <v>0</v>
      </c>
      <c r="AR610" t="s">
        <v>1</v>
      </c>
      <c r="AT610" s="2" t="s">
        <v>0</v>
      </c>
      <c r="AU610" s="1">
        <f t="shared" si="83"/>
        <v>3.0945166438955405</v>
      </c>
      <c r="AV610" s="1">
        <f t="shared" si="84"/>
        <v>2.2175813066465055</v>
      </c>
      <c r="AW610" s="1">
        <f t="shared" si="85"/>
        <v>1.3406459693974702</v>
      </c>
    </row>
    <row r="611" spans="1:49" x14ac:dyDescent="0.2">
      <c r="A611">
        <v>609</v>
      </c>
      <c r="B611" t="s">
        <v>790</v>
      </c>
      <c r="C611" t="s">
        <v>789</v>
      </c>
      <c r="F611" t="s">
        <v>788</v>
      </c>
      <c r="G611" t="s">
        <v>16</v>
      </c>
      <c r="H611" t="s">
        <v>15</v>
      </c>
      <c r="I611" t="s">
        <v>787</v>
      </c>
      <c r="J611" t="s">
        <v>786</v>
      </c>
      <c r="K611" t="s">
        <v>785</v>
      </c>
      <c r="L611" t="s">
        <v>784</v>
      </c>
      <c r="M611" t="s">
        <v>783</v>
      </c>
      <c r="N611">
        <v>5</v>
      </c>
      <c r="O611" t="s">
        <v>782</v>
      </c>
      <c r="P611" t="s">
        <v>781</v>
      </c>
      <c r="Q611" t="s">
        <v>780</v>
      </c>
      <c r="R611" s="7">
        <v>31413</v>
      </c>
      <c r="S611" s="8">
        <f t="shared" si="80"/>
        <v>1986</v>
      </c>
      <c r="T611" s="8">
        <v>1986</v>
      </c>
      <c r="U611" s="8">
        <f t="shared" si="81"/>
        <v>36</v>
      </c>
      <c r="V611" s="7">
        <v>31413</v>
      </c>
      <c r="W611" t="s">
        <v>153</v>
      </c>
      <c r="X611" s="2">
        <v>1.6519999999999999</v>
      </c>
      <c r="Y611" s="6">
        <f t="shared" si="78"/>
        <v>4.409919649769093E-2</v>
      </c>
      <c r="AA611" t="s">
        <v>152</v>
      </c>
      <c r="AB611">
        <v>17337</v>
      </c>
      <c r="AC611">
        <v>15582221</v>
      </c>
      <c r="AD611" t="s">
        <v>5</v>
      </c>
      <c r="AE611">
        <v>34</v>
      </c>
      <c r="AF611">
        <v>1</v>
      </c>
      <c r="AH611" t="s">
        <v>779</v>
      </c>
      <c r="AI611" t="s">
        <v>778</v>
      </c>
      <c r="AK611" t="s">
        <v>777</v>
      </c>
      <c r="AL611">
        <v>50</v>
      </c>
      <c r="AM611" s="5">
        <f t="shared" si="82"/>
        <v>1.3888888888888888</v>
      </c>
      <c r="AN611" s="4">
        <f t="shared" si="79"/>
        <v>2.103580293659809E-3</v>
      </c>
      <c r="AO611" s="3"/>
      <c r="AP611">
        <v>0</v>
      </c>
      <c r="AR611" t="s">
        <v>1</v>
      </c>
      <c r="AT611" s="2" t="s">
        <v>0</v>
      </c>
      <c r="AU611" s="1">
        <f t="shared" si="83"/>
        <v>3.150051163648159</v>
      </c>
      <c r="AV611" s="1">
        <f t="shared" si="84"/>
        <v>2.3101388395675366</v>
      </c>
      <c r="AW611" s="1">
        <f t="shared" si="85"/>
        <v>1.4702265154869145</v>
      </c>
    </row>
    <row r="612" spans="1:49" x14ac:dyDescent="0.2">
      <c r="A612">
        <v>610</v>
      </c>
      <c r="B612" t="s">
        <v>776</v>
      </c>
      <c r="F612" t="s">
        <v>775</v>
      </c>
      <c r="G612" t="s">
        <v>16</v>
      </c>
      <c r="H612" t="s">
        <v>15</v>
      </c>
      <c r="I612" t="s">
        <v>774</v>
      </c>
      <c r="J612">
        <v>105328052</v>
      </c>
      <c r="K612" t="s">
        <v>773</v>
      </c>
      <c r="L612" t="s">
        <v>772</v>
      </c>
      <c r="M612" t="s">
        <v>114</v>
      </c>
      <c r="N612">
        <v>2</v>
      </c>
      <c r="O612" t="s">
        <v>771</v>
      </c>
      <c r="P612" t="s">
        <v>770</v>
      </c>
      <c r="Q612" t="s">
        <v>769</v>
      </c>
      <c r="R612" s="7">
        <v>31413</v>
      </c>
      <c r="S612" s="8">
        <f t="shared" si="80"/>
        <v>1986</v>
      </c>
      <c r="T612" s="8">
        <v>1986</v>
      </c>
      <c r="U612" s="8">
        <f t="shared" si="81"/>
        <v>36</v>
      </c>
      <c r="V612" s="7">
        <v>31413</v>
      </c>
      <c r="W612" t="s">
        <v>768</v>
      </c>
      <c r="X612" s="2">
        <v>0.10100000000000001</v>
      </c>
      <c r="Y612" s="6">
        <f t="shared" si="78"/>
        <v>2.6961373161421215E-3</v>
      </c>
      <c r="AA612">
        <v>7452993</v>
      </c>
      <c r="AB612">
        <v>18563</v>
      </c>
      <c r="AD612" t="s">
        <v>5</v>
      </c>
      <c r="AE612">
        <v>25</v>
      </c>
      <c r="AF612">
        <v>1</v>
      </c>
      <c r="AH612" t="s">
        <v>767</v>
      </c>
      <c r="AI612" t="s">
        <v>766</v>
      </c>
      <c r="AK612" t="s">
        <v>765</v>
      </c>
      <c r="AL612">
        <v>0</v>
      </c>
      <c r="AM612" s="5">
        <f t="shared" si="82"/>
        <v>0</v>
      </c>
      <c r="AN612" s="4">
        <f t="shared" si="79"/>
        <v>0</v>
      </c>
      <c r="AO612" s="3"/>
      <c r="AP612">
        <v>0</v>
      </c>
      <c r="AR612" t="s">
        <v>1</v>
      </c>
      <c r="AT612" s="2" t="s">
        <v>0</v>
      </c>
      <c r="AU612" s="1">
        <f t="shared" si="83"/>
        <v>0.18872961212994849</v>
      </c>
      <c r="AV612" s="1">
        <f t="shared" si="84"/>
        <v>0.13480686580710607</v>
      </c>
      <c r="AW612" s="1">
        <f t="shared" si="85"/>
        <v>8.0884119484263647E-2</v>
      </c>
    </row>
    <row r="613" spans="1:49" x14ac:dyDescent="0.2">
      <c r="A613">
        <v>611</v>
      </c>
      <c r="B613" t="s">
        <v>764</v>
      </c>
      <c r="C613" t="s">
        <v>763</v>
      </c>
      <c r="F613" t="s">
        <v>762</v>
      </c>
      <c r="G613" t="s">
        <v>16</v>
      </c>
      <c r="H613" t="s">
        <v>15</v>
      </c>
      <c r="I613" t="s">
        <v>761</v>
      </c>
      <c r="J613">
        <v>60020585</v>
      </c>
      <c r="K613" t="s">
        <v>760</v>
      </c>
      <c r="L613" t="s">
        <v>759</v>
      </c>
      <c r="M613" t="s">
        <v>758</v>
      </c>
      <c r="N613">
        <v>4</v>
      </c>
      <c r="O613" t="s">
        <v>757</v>
      </c>
      <c r="P613" t="s">
        <v>756</v>
      </c>
      <c r="Q613" t="s">
        <v>755</v>
      </c>
      <c r="R613" s="7">
        <v>31413</v>
      </c>
      <c r="S613" s="8">
        <f t="shared" si="80"/>
        <v>1986</v>
      </c>
      <c r="T613" s="8">
        <v>1986</v>
      </c>
      <c r="U613" s="8">
        <f t="shared" si="81"/>
        <v>36</v>
      </c>
      <c r="V613" s="7">
        <v>1986</v>
      </c>
      <c r="W613" t="s">
        <v>580</v>
      </c>
      <c r="X613" s="2">
        <v>0.375</v>
      </c>
      <c r="Y613" s="6">
        <f t="shared" si="78"/>
        <v>1.0010410827260351E-2</v>
      </c>
      <c r="AA613">
        <v>135194</v>
      </c>
      <c r="AB613">
        <v>24918</v>
      </c>
      <c r="AD613" t="s">
        <v>5</v>
      </c>
      <c r="AE613">
        <v>22</v>
      </c>
      <c r="AF613">
        <v>2</v>
      </c>
      <c r="AH613" t="s">
        <v>754</v>
      </c>
      <c r="AI613" t="s">
        <v>753</v>
      </c>
      <c r="AJ613" t="s">
        <v>752</v>
      </c>
      <c r="AK613" t="s">
        <v>751</v>
      </c>
      <c r="AL613">
        <v>2</v>
      </c>
      <c r="AM613" s="5">
        <f t="shared" si="82"/>
        <v>5.5555555555555552E-2</v>
      </c>
      <c r="AN613" s="4">
        <f t="shared" si="79"/>
        <v>8.4143211746392349E-5</v>
      </c>
      <c r="AO613" s="3"/>
      <c r="AP613">
        <v>0</v>
      </c>
      <c r="AR613" t="s">
        <v>1</v>
      </c>
      <c r="AT613" s="2">
        <v>1.3140000000000001</v>
      </c>
      <c r="AU613" s="1">
        <f t="shared" si="83"/>
        <v>0.70325305426061635</v>
      </c>
      <c r="AV613" s="1">
        <f t="shared" si="84"/>
        <v>0.50472770195033723</v>
      </c>
      <c r="AW613" s="1">
        <f t="shared" si="85"/>
        <v>0.30620234964005794</v>
      </c>
    </row>
    <row r="614" spans="1:49" x14ac:dyDescent="0.2">
      <c r="A614">
        <v>612</v>
      </c>
      <c r="B614" t="s">
        <v>750</v>
      </c>
      <c r="C614" t="s">
        <v>749</v>
      </c>
      <c r="F614" t="s">
        <v>748</v>
      </c>
      <c r="G614" t="s">
        <v>16</v>
      </c>
      <c r="H614" t="s">
        <v>15</v>
      </c>
      <c r="I614" t="s">
        <v>747</v>
      </c>
      <c r="J614">
        <v>109541487</v>
      </c>
      <c r="K614" t="s">
        <v>746</v>
      </c>
      <c r="L614" t="s">
        <v>745</v>
      </c>
      <c r="M614" t="s">
        <v>114</v>
      </c>
      <c r="N614">
        <v>1</v>
      </c>
      <c r="O614" t="s">
        <v>744</v>
      </c>
      <c r="P614">
        <v>7005431123</v>
      </c>
      <c r="Q614">
        <v>109541487</v>
      </c>
      <c r="R614" s="7">
        <v>31413</v>
      </c>
      <c r="S614" s="8">
        <f t="shared" si="80"/>
        <v>1986</v>
      </c>
      <c r="T614" s="8">
        <v>1986</v>
      </c>
      <c r="U614" s="8">
        <f t="shared" si="81"/>
        <v>36</v>
      </c>
      <c r="V614" s="7">
        <v>31413</v>
      </c>
      <c r="W614" t="s">
        <v>153</v>
      </c>
      <c r="X614" s="2">
        <v>1.6519999999999999</v>
      </c>
      <c r="Y614" s="6">
        <f t="shared" si="78"/>
        <v>4.409919649769093E-2</v>
      </c>
      <c r="AA614" t="s">
        <v>152</v>
      </c>
      <c r="AB614">
        <v>17337</v>
      </c>
      <c r="AC614">
        <v>15582221</v>
      </c>
      <c r="AD614" t="s">
        <v>5</v>
      </c>
      <c r="AE614">
        <v>34</v>
      </c>
      <c r="AF614">
        <v>1</v>
      </c>
      <c r="AH614" t="s">
        <v>743</v>
      </c>
      <c r="AI614" t="s">
        <v>742</v>
      </c>
      <c r="AK614" t="s">
        <v>741</v>
      </c>
      <c r="AL614">
        <v>14</v>
      </c>
      <c r="AM614" s="5">
        <f t="shared" si="82"/>
        <v>0.3888888888888889</v>
      </c>
      <c r="AN614" s="4">
        <f t="shared" si="79"/>
        <v>5.890024822247465E-4</v>
      </c>
      <c r="AO614" s="3"/>
      <c r="AP614">
        <v>0</v>
      </c>
      <c r="AR614" t="s">
        <v>1</v>
      </c>
      <c r="AT614" s="2" t="s">
        <v>0</v>
      </c>
      <c r="AU614" s="1">
        <f t="shared" si="83"/>
        <v>3.1046138293051073</v>
      </c>
      <c r="AV614" s="1">
        <f t="shared" si="84"/>
        <v>2.2344099489957836</v>
      </c>
      <c r="AW614" s="1">
        <f t="shared" si="85"/>
        <v>1.3642060686864601</v>
      </c>
    </row>
    <row r="615" spans="1:49" x14ac:dyDescent="0.2">
      <c r="A615">
        <v>613</v>
      </c>
      <c r="B615" t="s">
        <v>740</v>
      </c>
      <c r="C615" t="s">
        <v>739</v>
      </c>
      <c r="F615" t="s">
        <v>738</v>
      </c>
      <c r="G615" t="s">
        <v>16</v>
      </c>
      <c r="H615" t="s">
        <v>15</v>
      </c>
      <c r="I615" t="s">
        <v>737</v>
      </c>
      <c r="J615">
        <v>60001247</v>
      </c>
      <c r="K615" t="s">
        <v>728</v>
      </c>
      <c r="M615" t="s">
        <v>114</v>
      </c>
      <c r="N615">
        <v>1</v>
      </c>
      <c r="O615" t="s">
        <v>736</v>
      </c>
      <c r="P615">
        <v>7003451771</v>
      </c>
      <c r="Q615">
        <v>60001247</v>
      </c>
      <c r="R615" s="7">
        <v>31413</v>
      </c>
      <c r="S615" s="8">
        <f t="shared" si="80"/>
        <v>1986</v>
      </c>
      <c r="T615" s="8">
        <v>1986</v>
      </c>
      <c r="U615" s="8">
        <f t="shared" si="81"/>
        <v>36</v>
      </c>
      <c r="V615" s="7">
        <v>31413</v>
      </c>
      <c r="W615" t="s">
        <v>153</v>
      </c>
      <c r="X615" s="2">
        <v>1.6519999999999999</v>
      </c>
      <c r="Y615" s="6">
        <f t="shared" si="78"/>
        <v>4.409919649769093E-2</v>
      </c>
      <c r="AA615" t="s">
        <v>152</v>
      </c>
      <c r="AB615">
        <v>17337</v>
      </c>
      <c r="AC615">
        <v>15582221</v>
      </c>
      <c r="AD615" t="s">
        <v>5</v>
      </c>
      <c r="AE615">
        <v>34</v>
      </c>
      <c r="AF615">
        <v>1</v>
      </c>
      <c r="AH615" t="s">
        <v>735</v>
      </c>
      <c r="AI615" t="s">
        <v>734</v>
      </c>
      <c r="AK615" t="s">
        <v>733</v>
      </c>
      <c r="AL615">
        <v>783</v>
      </c>
      <c r="AM615" s="5">
        <f t="shared" si="82"/>
        <v>21.75</v>
      </c>
      <c r="AN615" s="4">
        <f t="shared" si="79"/>
        <v>3.294206739871261E-2</v>
      </c>
      <c r="AO615" s="3"/>
      <c r="AP615">
        <v>0</v>
      </c>
      <c r="AR615" t="s">
        <v>1</v>
      </c>
      <c r="AT615" s="2" t="s">
        <v>0</v>
      </c>
      <c r="AU615" s="1">
        <f t="shared" si="83"/>
        <v>4.0752057767997432</v>
      </c>
      <c r="AV615" s="1">
        <f t="shared" si="84"/>
        <v>3.8520631948201767</v>
      </c>
      <c r="AW615" s="1">
        <f t="shared" si="85"/>
        <v>3.6289206128406102</v>
      </c>
    </row>
    <row r="616" spans="1:49" x14ac:dyDescent="0.2">
      <c r="A616">
        <v>614</v>
      </c>
      <c r="B616" t="s">
        <v>732</v>
      </c>
      <c r="C616" t="s">
        <v>731</v>
      </c>
      <c r="F616" t="s">
        <v>730</v>
      </c>
      <c r="G616" t="s">
        <v>16</v>
      </c>
      <c r="H616" t="s">
        <v>15</v>
      </c>
      <c r="I616" t="s">
        <v>729</v>
      </c>
      <c r="J616">
        <v>60001247</v>
      </c>
      <c r="K616" t="s">
        <v>728</v>
      </c>
      <c r="M616" t="s">
        <v>114</v>
      </c>
      <c r="N616">
        <v>1</v>
      </c>
      <c r="O616" t="s">
        <v>727</v>
      </c>
      <c r="P616">
        <v>7101912204</v>
      </c>
      <c r="Q616">
        <v>60001247</v>
      </c>
      <c r="R616" s="7">
        <v>31413</v>
      </c>
      <c r="S616" s="8">
        <f t="shared" si="80"/>
        <v>1986</v>
      </c>
      <c r="T616" s="8">
        <v>1986</v>
      </c>
      <c r="U616" s="8">
        <f t="shared" si="81"/>
        <v>36</v>
      </c>
      <c r="V616" s="7">
        <v>31413</v>
      </c>
      <c r="W616" t="s">
        <v>153</v>
      </c>
      <c r="X616" s="2">
        <v>1.6519999999999999</v>
      </c>
      <c r="Y616" s="6">
        <f t="shared" si="78"/>
        <v>4.409919649769093E-2</v>
      </c>
      <c r="AA616" t="s">
        <v>152</v>
      </c>
      <c r="AB616">
        <v>17337</v>
      </c>
      <c r="AC616">
        <v>15582221</v>
      </c>
      <c r="AD616" t="s">
        <v>5</v>
      </c>
      <c r="AE616">
        <v>34</v>
      </c>
      <c r="AF616">
        <v>1</v>
      </c>
      <c r="AH616" t="s">
        <v>726</v>
      </c>
      <c r="AI616" t="s">
        <v>725</v>
      </c>
      <c r="AK616" t="s">
        <v>724</v>
      </c>
      <c r="AL616">
        <v>135</v>
      </c>
      <c r="AM616" s="5">
        <f t="shared" si="82"/>
        <v>3.75</v>
      </c>
      <c r="AN616" s="4">
        <f t="shared" si="79"/>
        <v>5.6796667928814843E-3</v>
      </c>
      <c r="AO616" s="3"/>
      <c r="AP616">
        <v>0</v>
      </c>
      <c r="AR616" t="s">
        <v>1</v>
      </c>
      <c r="AT616" s="2" t="s">
        <v>0</v>
      </c>
      <c r="AU616" s="1">
        <f t="shared" si="83"/>
        <v>3.2573337586248092</v>
      </c>
      <c r="AV616" s="1">
        <f t="shared" si="84"/>
        <v>2.4889431645286209</v>
      </c>
      <c r="AW616" s="1">
        <f t="shared" si="85"/>
        <v>1.7205525704324316</v>
      </c>
    </row>
    <row r="617" spans="1:49" x14ac:dyDescent="0.2">
      <c r="A617">
        <v>615</v>
      </c>
      <c r="B617" t="s">
        <v>723</v>
      </c>
      <c r="F617" t="s">
        <v>722</v>
      </c>
      <c r="G617" t="s">
        <v>16</v>
      </c>
      <c r="H617" t="s">
        <v>15</v>
      </c>
      <c r="I617" t="s">
        <v>721</v>
      </c>
      <c r="J617">
        <v>100335522</v>
      </c>
      <c r="K617" t="s">
        <v>720</v>
      </c>
      <c r="L617" t="s">
        <v>719</v>
      </c>
      <c r="M617" t="s">
        <v>114</v>
      </c>
      <c r="N617">
        <v>1</v>
      </c>
      <c r="O617" t="s">
        <v>718</v>
      </c>
      <c r="P617">
        <v>57196609108</v>
      </c>
      <c r="Q617">
        <v>100335522</v>
      </c>
      <c r="R617" s="7">
        <v>31413</v>
      </c>
      <c r="S617" s="8">
        <f t="shared" si="80"/>
        <v>1986</v>
      </c>
      <c r="T617" s="8">
        <v>1986</v>
      </c>
      <c r="U617" s="8">
        <f t="shared" si="81"/>
        <v>36</v>
      </c>
      <c r="V617" s="7">
        <v>31413</v>
      </c>
      <c r="W617" t="s">
        <v>717</v>
      </c>
      <c r="X617" s="2" t="s">
        <v>0</v>
      </c>
      <c r="Y617" s="6" t="e">
        <f t="shared" si="78"/>
        <v>#VALUE!</v>
      </c>
      <c r="AA617">
        <v>7441657</v>
      </c>
      <c r="AB617">
        <v>19326</v>
      </c>
      <c r="AD617" t="s">
        <v>5</v>
      </c>
      <c r="AE617">
        <v>6</v>
      </c>
      <c r="AF617">
        <v>1</v>
      </c>
      <c r="AI617" t="s">
        <v>716</v>
      </c>
      <c r="AK617" t="s">
        <v>715</v>
      </c>
      <c r="AL617">
        <v>0</v>
      </c>
      <c r="AM617" s="5">
        <f t="shared" si="82"/>
        <v>0</v>
      </c>
      <c r="AN617" s="4">
        <f t="shared" si="79"/>
        <v>0</v>
      </c>
      <c r="AO617" s="3"/>
      <c r="AP617">
        <v>0</v>
      </c>
      <c r="AR617" t="s">
        <v>1</v>
      </c>
      <c r="AT617" s="2" t="s">
        <v>0</v>
      </c>
      <c r="AU617" s="1" t="e">
        <f t="shared" si="83"/>
        <v>#VALUE!</v>
      </c>
      <c r="AV617" s="1" t="e">
        <f t="shared" si="84"/>
        <v>#VALUE!</v>
      </c>
      <c r="AW617" s="1" t="e">
        <f t="shared" si="85"/>
        <v>#VALUE!</v>
      </c>
    </row>
    <row r="618" spans="1:49" x14ac:dyDescent="0.2">
      <c r="A618">
        <v>616</v>
      </c>
      <c r="B618" t="s">
        <v>714</v>
      </c>
      <c r="C618" t="s">
        <v>713</v>
      </c>
      <c r="F618" t="s">
        <v>712</v>
      </c>
      <c r="G618" t="s">
        <v>16</v>
      </c>
      <c r="H618" t="s">
        <v>15</v>
      </c>
      <c r="I618" t="s">
        <v>572</v>
      </c>
      <c r="N618">
        <v>5</v>
      </c>
      <c r="O618" t="s">
        <v>571</v>
      </c>
      <c r="P618" t="s">
        <v>570</v>
      </c>
      <c r="Q618" t="s">
        <v>428</v>
      </c>
      <c r="R618" s="7">
        <v>31413</v>
      </c>
      <c r="S618" s="8">
        <f t="shared" si="80"/>
        <v>1986</v>
      </c>
      <c r="T618" s="8">
        <v>1986</v>
      </c>
      <c r="U618" s="8">
        <f t="shared" si="81"/>
        <v>36</v>
      </c>
      <c r="V618" s="7" t="s">
        <v>294</v>
      </c>
      <c r="W618" t="s">
        <v>223</v>
      </c>
      <c r="X618" s="2">
        <v>0.371</v>
      </c>
      <c r="Y618" s="6">
        <f t="shared" si="78"/>
        <v>9.9036331117695747E-3</v>
      </c>
      <c r="AA618">
        <v>486604</v>
      </c>
      <c r="AB618">
        <v>28580</v>
      </c>
      <c r="AC618" t="s">
        <v>222</v>
      </c>
      <c r="AD618" t="s">
        <v>5</v>
      </c>
      <c r="AE618">
        <v>21</v>
      </c>
      <c r="AF618">
        <v>1</v>
      </c>
      <c r="AH618" s="9">
        <v>44531</v>
      </c>
      <c r="AI618" t="s">
        <v>711</v>
      </c>
      <c r="AK618" t="s">
        <v>710</v>
      </c>
      <c r="AL618">
        <v>9</v>
      </c>
      <c r="AM618" s="5">
        <f t="shared" si="82"/>
        <v>0.25</v>
      </c>
      <c r="AN618" s="4">
        <f t="shared" si="79"/>
        <v>3.786444528587656E-4</v>
      </c>
      <c r="AO618" s="3"/>
      <c r="AP618">
        <v>0</v>
      </c>
      <c r="AR618" t="s">
        <v>1</v>
      </c>
      <c r="AT618" s="2">
        <v>1.431</v>
      </c>
      <c r="AU618" s="1">
        <f t="shared" si="83"/>
        <v>0.70461365140963317</v>
      </c>
      <c r="AV618" s="1">
        <f t="shared" si="84"/>
        <v>0.51411387823141697</v>
      </c>
      <c r="AW618" s="1">
        <f t="shared" si="85"/>
        <v>0.32361410505320082</v>
      </c>
    </row>
    <row r="619" spans="1:49" x14ac:dyDescent="0.2">
      <c r="A619">
        <v>617</v>
      </c>
      <c r="B619" t="s">
        <v>709</v>
      </c>
      <c r="C619" t="s">
        <v>708</v>
      </c>
      <c r="F619" t="s">
        <v>707</v>
      </c>
      <c r="G619" t="s">
        <v>16</v>
      </c>
      <c r="H619" t="s">
        <v>15</v>
      </c>
      <c r="I619" t="s">
        <v>706</v>
      </c>
      <c r="J619">
        <v>60019615</v>
      </c>
      <c r="K619" t="s">
        <v>705</v>
      </c>
      <c r="L619" t="s">
        <v>704</v>
      </c>
      <c r="M619" t="s">
        <v>59</v>
      </c>
      <c r="N619">
        <v>3</v>
      </c>
      <c r="O619" t="s">
        <v>703</v>
      </c>
      <c r="P619" t="s">
        <v>702</v>
      </c>
      <c r="Q619" t="s">
        <v>701</v>
      </c>
      <c r="R619" s="7">
        <v>31413</v>
      </c>
      <c r="S619" s="8">
        <f t="shared" si="80"/>
        <v>1986</v>
      </c>
      <c r="T619" s="8">
        <v>1986</v>
      </c>
      <c r="U619" s="8">
        <f t="shared" si="81"/>
        <v>36</v>
      </c>
      <c r="V619" s="7">
        <v>1986</v>
      </c>
      <c r="W619" t="s">
        <v>700</v>
      </c>
      <c r="X619" s="2">
        <v>5.0110000000000001</v>
      </c>
      <c r="Y619" s="6">
        <f t="shared" si="78"/>
        <v>0.13376578308107098</v>
      </c>
      <c r="AA619">
        <v>278424</v>
      </c>
      <c r="AB619">
        <v>21121</v>
      </c>
      <c r="AD619" t="s">
        <v>5</v>
      </c>
      <c r="AE619">
        <v>83</v>
      </c>
      <c r="AF619">
        <v>6</v>
      </c>
      <c r="AH619" t="s">
        <v>699</v>
      </c>
      <c r="AI619" t="s">
        <v>698</v>
      </c>
      <c r="AK619" t="s">
        <v>697</v>
      </c>
      <c r="AL619">
        <v>33</v>
      </c>
      <c r="AM619" s="5">
        <f t="shared" si="82"/>
        <v>0.91666666666666663</v>
      </c>
      <c r="AN619" s="4">
        <f t="shared" si="79"/>
        <v>1.3883629938154739E-3</v>
      </c>
      <c r="AO619" s="3"/>
      <c r="AP619">
        <v>0</v>
      </c>
      <c r="AR619" t="s">
        <v>1</v>
      </c>
      <c r="AT619" s="2" t="s">
        <v>0</v>
      </c>
      <c r="AU619" s="1">
        <f t="shared" si="83"/>
        <v>9.4052557054894326</v>
      </c>
      <c r="AV619" s="1">
        <f t="shared" si="84"/>
        <v>6.7577073037443229</v>
      </c>
      <c r="AW619" s="1">
        <f t="shared" si="85"/>
        <v>4.1101589019992124</v>
      </c>
    </row>
    <row r="620" spans="1:49" x14ac:dyDescent="0.2">
      <c r="A620">
        <v>618</v>
      </c>
      <c r="B620" t="s">
        <v>696</v>
      </c>
      <c r="C620" t="s">
        <v>695</v>
      </c>
      <c r="F620" t="s">
        <v>694</v>
      </c>
      <c r="G620" t="s">
        <v>16</v>
      </c>
      <c r="H620" t="s">
        <v>15</v>
      </c>
      <c r="I620" t="s">
        <v>693</v>
      </c>
      <c r="J620" t="s">
        <v>692</v>
      </c>
      <c r="K620" t="s">
        <v>691</v>
      </c>
      <c r="L620" t="s">
        <v>690</v>
      </c>
      <c r="M620" t="s">
        <v>689</v>
      </c>
      <c r="N620">
        <v>1</v>
      </c>
      <c r="O620" t="s">
        <v>688</v>
      </c>
      <c r="P620">
        <v>7003446625</v>
      </c>
      <c r="Q620" t="s">
        <v>687</v>
      </c>
      <c r="R620" s="7">
        <v>31413</v>
      </c>
      <c r="S620" s="8">
        <f t="shared" si="80"/>
        <v>1986</v>
      </c>
      <c r="T620" s="8">
        <v>1986</v>
      </c>
      <c r="U620" s="8">
        <f t="shared" si="81"/>
        <v>36</v>
      </c>
      <c r="V620" s="7">
        <v>31656</v>
      </c>
      <c r="W620" t="s">
        <v>686</v>
      </c>
      <c r="X620" s="2">
        <v>0.61899999999999999</v>
      </c>
      <c r="Y620" s="6">
        <f t="shared" si="78"/>
        <v>1.6523851472197752E-2</v>
      </c>
      <c r="AA620">
        <v>14966</v>
      </c>
      <c r="AB620">
        <v>12936</v>
      </c>
      <c r="AC620" t="s">
        <v>685</v>
      </c>
      <c r="AD620" t="s">
        <v>5</v>
      </c>
      <c r="AE620">
        <v>80</v>
      </c>
      <c r="AF620">
        <v>3</v>
      </c>
      <c r="AH620" t="s">
        <v>684</v>
      </c>
      <c r="AI620" t="s">
        <v>683</v>
      </c>
      <c r="AK620" t="s">
        <v>682</v>
      </c>
      <c r="AL620">
        <v>10</v>
      </c>
      <c r="AM620" s="5">
        <f t="shared" si="82"/>
        <v>0.27777777777777779</v>
      </c>
      <c r="AN620" s="4">
        <f t="shared" si="79"/>
        <v>4.207160587319618E-4</v>
      </c>
      <c r="AO620" s="3"/>
      <c r="AP620">
        <v>0</v>
      </c>
      <c r="AR620" t="s">
        <v>1</v>
      </c>
      <c r="AT620" s="2" t="s">
        <v>0</v>
      </c>
      <c r="AU620" s="1">
        <f t="shared" si="83"/>
        <v>1.1692910848158014</v>
      </c>
      <c r="AV620" s="1">
        <f t="shared" si="84"/>
        <v>0.84722837654648575</v>
      </c>
      <c r="AW620" s="1">
        <f t="shared" si="85"/>
        <v>0.52516566827716993</v>
      </c>
    </row>
    <row r="621" spans="1:49" x14ac:dyDescent="0.2">
      <c r="A621">
        <v>619</v>
      </c>
      <c r="B621" t="s">
        <v>681</v>
      </c>
      <c r="C621" t="s">
        <v>680</v>
      </c>
      <c r="F621" t="s">
        <v>679</v>
      </c>
      <c r="G621" t="s">
        <v>16</v>
      </c>
      <c r="H621" t="s">
        <v>15</v>
      </c>
      <c r="I621" t="s">
        <v>678</v>
      </c>
      <c r="J621">
        <v>60024025</v>
      </c>
      <c r="K621" t="s">
        <v>677</v>
      </c>
      <c r="L621" t="s">
        <v>676</v>
      </c>
      <c r="M621" t="s">
        <v>376</v>
      </c>
      <c r="N621">
        <v>1</v>
      </c>
      <c r="O621" t="s">
        <v>675</v>
      </c>
      <c r="P621">
        <v>6603760531</v>
      </c>
      <c r="Q621">
        <v>60024025</v>
      </c>
      <c r="R621" s="7">
        <v>31413</v>
      </c>
      <c r="S621" s="8">
        <f t="shared" si="80"/>
        <v>1986</v>
      </c>
      <c r="T621" s="8">
        <v>1986</v>
      </c>
      <c r="U621" s="8">
        <f t="shared" si="81"/>
        <v>36</v>
      </c>
      <c r="V621" s="7">
        <v>31413</v>
      </c>
      <c r="W621" t="s">
        <v>624</v>
      </c>
      <c r="X621" s="2">
        <v>0.61499999999999999</v>
      </c>
      <c r="Y621" s="6">
        <f t="shared" si="78"/>
        <v>1.6417073756706976E-2</v>
      </c>
      <c r="AA621">
        <v>1959271</v>
      </c>
      <c r="AB621">
        <v>12141</v>
      </c>
      <c r="AC621">
        <v>15729559</v>
      </c>
      <c r="AD621" t="s">
        <v>5</v>
      </c>
      <c r="AE621">
        <v>7</v>
      </c>
      <c r="AF621">
        <v>1</v>
      </c>
      <c r="AH621" t="s">
        <v>674</v>
      </c>
      <c r="AI621" t="s">
        <v>673</v>
      </c>
      <c r="AK621" t="s">
        <v>672</v>
      </c>
      <c r="AL621">
        <v>12</v>
      </c>
      <c r="AM621" s="5">
        <f t="shared" si="82"/>
        <v>0.33333333333333331</v>
      </c>
      <c r="AN621" s="4">
        <f t="shared" si="79"/>
        <v>5.048592704783541E-4</v>
      </c>
      <c r="AO621" s="3"/>
      <c r="AP621">
        <v>0</v>
      </c>
      <c r="AR621" t="s">
        <v>1</v>
      </c>
      <c r="AT621" s="2" t="s">
        <v>0</v>
      </c>
      <c r="AU621" s="1">
        <f t="shared" si="83"/>
        <v>1.1643409410838388</v>
      </c>
      <c r="AV621" s="1">
        <f t="shared" si="84"/>
        <v>0.84609665135926648</v>
      </c>
      <c r="AW621" s="1">
        <f t="shared" si="85"/>
        <v>0.52785236163469396</v>
      </c>
    </row>
    <row r="622" spans="1:49" x14ac:dyDescent="0.2">
      <c r="A622">
        <v>620</v>
      </c>
      <c r="B622" t="s">
        <v>671</v>
      </c>
      <c r="C622" t="s">
        <v>670</v>
      </c>
      <c r="F622" t="s">
        <v>669</v>
      </c>
      <c r="G622" t="s">
        <v>16</v>
      </c>
      <c r="H622" t="s">
        <v>15</v>
      </c>
      <c r="I622" t="s">
        <v>668</v>
      </c>
      <c r="J622">
        <v>60025475</v>
      </c>
      <c r="K622" t="s">
        <v>667</v>
      </c>
      <c r="L622" t="s">
        <v>666</v>
      </c>
      <c r="M622" t="s">
        <v>665</v>
      </c>
      <c r="N622">
        <v>2</v>
      </c>
      <c r="O622" t="s">
        <v>664</v>
      </c>
      <c r="P622" t="s">
        <v>663</v>
      </c>
      <c r="Q622" t="s">
        <v>662</v>
      </c>
      <c r="R622" s="7">
        <v>31413</v>
      </c>
      <c r="S622" s="8">
        <f t="shared" si="80"/>
        <v>1986</v>
      </c>
      <c r="T622" s="8">
        <v>1986</v>
      </c>
      <c r="U622" s="8">
        <f t="shared" si="81"/>
        <v>36</v>
      </c>
      <c r="V622" s="7">
        <v>31413</v>
      </c>
      <c r="W622" t="s">
        <v>153</v>
      </c>
      <c r="X622" s="2">
        <v>1.6519999999999999</v>
      </c>
      <c r="Y622" s="6">
        <f t="shared" si="78"/>
        <v>4.409919649769093E-2</v>
      </c>
      <c r="AA622" t="s">
        <v>152</v>
      </c>
      <c r="AB622">
        <v>17337</v>
      </c>
      <c r="AC622">
        <v>15582221</v>
      </c>
      <c r="AD622" t="s">
        <v>5</v>
      </c>
      <c r="AE622">
        <v>34</v>
      </c>
      <c r="AF622">
        <v>1</v>
      </c>
      <c r="AH622" s="9">
        <v>44471</v>
      </c>
      <c r="AI622" t="s">
        <v>661</v>
      </c>
      <c r="AK622" t="s">
        <v>660</v>
      </c>
      <c r="AL622">
        <v>13</v>
      </c>
      <c r="AM622" s="5">
        <f t="shared" si="82"/>
        <v>0.3611111111111111</v>
      </c>
      <c r="AN622" s="4">
        <f t="shared" si="79"/>
        <v>5.469308763515503E-4</v>
      </c>
      <c r="AO622" s="3"/>
      <c r="AP622">
        <v>0</v>
      </c>
      <c r="AR622" t="s">
        <v>1</v>
      </c>
      <c r="AT622" s="2" t="s">
        <v>0</v>
      </c>
      <c r="AU622" s="1">
        <f t="shared" si="83"/>
        <v>3.1033516811289115</v>
      </c>
      <c r="AV622" s="1">
        <f t="shared" si="84"/>
        <v>2.2323063687021238</v>
      </c>
      <c r="AW622" s="1">
        <f t="shared" si="85"/>
        <v>1.3612610562753364</v>
      </c>
    </row>
    <row r="623" spans="1:49" x14ac:dyDescent="0.2">
      <c r="A623">
        <v>621</v>
      </c>
      <c r="B623" t="s">
        <v>659</v>
      </c>
      <c r="C623" t="s">
        <v>658</v>
      </c>
      <c r="F623" t="s">
        <v>657</v>
      </c>
      <c r="G623" t="s">
        <v>16</v>
      </c>
      <c r="H623" t="s">
        <v>15</v>
      </c>
      <c r="I623" t="s">
        <v>536</v>
      </c>
      <c r="J623">
        <v>60013141</v>
      </c>
      <c r="K623" t="s">
        <v>535</v>
      </c>
      <c r="L623" t="s">
        <v>534</v>
      </c>
      <c r="M623" t="s">
        <v>533</v>
      </c>
      <c r="N623">
        <v>1</v>
      </c>
      <c r="O623" t="s">
        <v>656</v>
      </c>
      <c r="P623">
        <v>55884538900</v>
      </c>
      <c r="Q623">
        <v>60013141</v>
      </c>
      <c r="R623" s="7">
        <v>31413</v>
      </c>
      <c r="S623" s="8">
        <f t="shared" si="80"/>
        <v>1986</v>
      </c>
      <c r="T623" s="8">
        <v>1986</v>
      </c>
      <c r="U623" s="8">
        <f t="shared" si="81"/>
        <v>36</v>
      </c>
      <c r="V623" s="7">
        <v>31413</v>
      </c>
      <c r="W623" t="s">
        <v>153</v>
      </c>
      <c r="X623" s="2">
        <v>1.6519999999999999</v>
      </c>
      <c r="Y623" s="6">
        <f t="shared" si="78"/>
        <v>4.409919649769093E-2</v>
      </c>
      <c r="AA623" t="s">
        <v>152</v>
      </c>
      <c r="AB623">
        <v>17337</v>
      </c>
      <c r="AC623">
        <v>15582221</v>
      </c>
      <c r="AD623" t="s">
        <v>5</v>
      </c>
      <c r="AE623">
        <v>34</v>
      </c>
      <c r="AF623">
        <v>1</v>
      </c>
      <c r="AH623" t="s">
        <v>655</v>
      </c>
      <c r="AI623" t="s">
        <v>654</v>
      </c>
      <c r="AK623" t="s">
        <v>653</v>
      </c>
      <c r="AL623">
        <v>8</v>
      </c>
      <c r="AM623" s="5">
        <f t="shared" si="82"/>
        <v>0.22222222222222221</v>
      </c>
      <c r="AN623" s="4">
        <f t="shared" si="79"/>
        <v>3.365728469855694E-4</v>
      </c>
      <c r="AO623" s="3"/>
      <c r="AP623">
        <v>0</v>
      </c>
      <c r="AR623" t="s">
        <v>1</v>
      </c>
      <c r="AT623" s="2" t="s">
        <v>0</v>
      </c>
      <c r="AU623" s="1">
        <f t="shared" si="83"/>
        <v>3.0970409402479322</v>
      </c>
      <c r="AV623" s="1">
        <f t="shared" si="84"/>
        <v>2.2217884672338251</v>
      </c>
      <c r="AW623" s="1">
        <f t="shared" si="85"/>
        <v>1.3465359942197175</v>
      </c>
    </row>
    <row r="624" spans="1:49" x14ac:dyDescent="0.2">
      <c r="A624">
        <v>622</v>
      </c>
      <c r="B624" t="s">
        <v>652</v>
      </c>
      <c r="C624" t="s">
        <v>651</v>
      </c>
      <c r="F624" t="s">
        <v>650</v>
      </c>
      <c r="G624" t="s">
        <v>16</v>
      </c>
      <c r="H624" t="s">
        <v>15</v>
      </c>
      <c r="I624" t="s">
        <v>649</v>
      </c>
      <c r="J624" t="s">
        <v>648</v>
      </c>
      <c r="K624" t="s">
        <v>647</v>
      </c>
      <c r="L624" t="s">
        <v>646</v>
      </c>
      <c r="M624" t="s">
        <v>645</v>
      </c>
      <c r="N624">
        <v>3</v>
      </c>
      <c r="O624" t="s">
        <v>644</v>
      </c>
      <c r="P624" t="s">
        <v>643</v>
      </c>
      <c r="Q624" t="s">
        <v>642</v>
      </c>
      <c r="R624" s="7">
        <v>31413</v>
      </c>
      <c r="S624" s="8">
        <f t="shared" si="80"/>
        <v>1986</v>
      </c>
      <c r="T624" s="8">
        <v>1986</v>
      </c>
      <c r="U624" s="8">
        <f t="shared" si="81"/>
        <v>36</v>
      </c>
      <c r="V624" s="7">
        <v>31413</v>
      </c>
      <c r="W624" t="s">
        <v>153</v>
      </c>
      <c r="X624" s="2">
        <v>1.6519999999999999</v>
      </c>
      <c r="Y624" s="6">
        <f t="shared" si="78"/>
        <v>4.409919649769093E-2</v>
      </c>
      <c r="AA624" t="s">
        <v>152</v>
      </c>
      <c r="AB624">
        <v>17337</v>
      </c>
      <c r="AC624">
        <v>15582221</v>
      </c>
      <c r="AD624" t="s">
        <v>5</v>
      </c>
      <c r="AE624">
        <v>34</v>
      </c>
      <c r="AF624">
        <v>1</v>
      </c>
      <c r="AH624" t="s">
        <v>641</v>
      </c>
      <c r="AI624" t="s">
        <v>640</v>
      </c>
      <c r="AK624" t="s">
        <v>639</v>
      </c>
      <c r="AL624">
        <v>6</v>
      </c>
      <c r="AM624" s="5">
        <f t="shared" si="82"/>
        <v>0.16666666666666666</v>
      </c>
      <c r="AN624" s="4">
        <f t="shared" si="79"/>
        <v>2.5242963523917705E-4</v>
      </c>
      <c r="AO624" s="3"/>
      <c r="AP624">
        <v>0</v>
      </c>
      <c r="AR624" t="s">
        <v>1</v>
      </c>
      <c r="AT624" s="2" t="s">
        <v>0</v>
      </c>
      <c r="AU624" s="1">
        <f t="shared" si="83"/>
        <v>3.0945166438955405</v>
      </c>
      <c r="AV624" s="1">
        <f t="shared" si="84"/>
        <v>2.2175813066465055</v>
      </c>
      <c r="AW624" s="1">
        <f t="shared" si="85"/>
        <v>1.3406459693974702</v>
      </c>
    </row>
    <row r="625" spans="1:49" x14ac:dyDescent="0.2">
      <c r="A625">
        <v>623</v>
      </c>
      <c r="B625" t="s">
        <v>638</v>
      </c>
      <c r="C625" t="s">
        <v>637</v>
      </c>
      <c r="F625" t="s">
        <v>636</v>
      </c>
      <c r="G625" t="s">
        <v>16</v>
      </c>
      <c r="H625" t="s">
        <v>15</v>
      </c>
      <c r="I625" t="s">
        <v>635</v>
      </c>
      <c r="N625">
        <v>1</v>
      </c>
      <c r="O625" t="s">
        <v>634</v>
      </c>
      <c r="P625">
        <v>57197159573</v>
      </c>
      <c r="R625" s="7">
        <v>31413</v>
      </c>
      <c r="S625" s="8">
        <f t="shared" si="80"/>
        <v>1986</v>
      </c>
      <c r="T625" s="8">
        <v>1986</v>
      </c>
      <c r="U625" s="8">
        <f t="shared" si="81"/>
        <v>36</v>
      </c>
      <c r="V625" s="7">
        <v>31413</v>
      </c>
      <c r="W625" t="s">
        <v>633</v>
      </c>
      <c r="X625" s="2">
        <v>0.318</v>
      </c>
      <c r="Y625" s="6">
        <f t="shared" si="78"/>
        <v>8.4888283815167786E-3</v>
      </c>
      <c r="AA625">
        <v>338443</v>
      </c>
      <c r="AB625">
        <v>27160</v>
      </c>
      <c r="AC625">
        <v>15739120</v>
      </c>
      <c r="AD625" t="s">
        <v>5</v>
      </c>
      <c r="AE625">
        <v>29</v>
      </c>
      <c r="AF625">
        <v>1</v>
      </c>
      <c r="AH625" t="s">
        <v>632</v>
      </c>
      <c r="AL625">
        <v>0</v>
      </c>
      <c r="AM625" s="5">
        <f t="shared" si="82"/>
        <v>0</v>
      </c>
      <c r="AN625" s="4">
        <f t="shared" si="79"/>
        <v>0</v>
      </c>
      <c r="AO625" s="3"/>
      <c r="AP625">
        <v>0</v>
      </c>
      <c r="AR625" t="s">
        <v>1</v>
      </c>
      <c r="AT625" s="2">
        <v>0.77</v>
      </c>
      <c r="AU625" s="1">
        <f t="shared" si="83"/>
        <v>0.59421798670617454</v>
      </c>
      <c r="AV625" s="1">
        <f t="shared" si="84"/>
        <v>0.42444141907583893</v>
      </c>
      <c r="AW625" s="1">
        <f t="shared" si="85"/>
        <v>0.25466485144550338</v>
      </c>
    </row>
    <row r="626" spans="1:49" x14ac:dyDescent="0.2">
      <c r="A626">
        <v>624</v>
      </c>
      <c r="B626" t="s">
        <v>631</v>
      </c>
      <c r="C626" t="s">
        <v>630</v>
      </c>
      <c r="F626" t="s">
        <v>629</v>
      </c>
      <c r="G626" t="s">
        <v>16</v>
      </c>
      <c r="H626" t="s">
        <v>15</v>
      </c>
      <c r="I626" t="s">
        <v>628</v>
      </c>
      <c r="J626">
        <v>60001753</v>
      </c>
      <c r="K626" t="s">
        <v>627</v>
      </c>
      <c r="L626" t="s">
        <v>626</v>
      </c>
      <c r="M626" t="s">
        <v>59</v>
      </c>
      <c r="N626">
        <v>1</v>
      </c>
      <c r="O626" t="s">
        <v>625</v>
      </c>
      <c r="P626">
        <v>7003267978</v>
      </c>
      <c r="Q626">
        <v>60001753</v>
      </c>
      <c r="R626" s="7">
        <v>31413</v>
      </c>
      <c r="S626" s="8">
        <f t="shared" si="80"/>
        <v>1986</v>
      </c>
      <c r="T626" s="8">
        <v>1986</v>
      </c>
      <c r="U626" s="8">
        <f t="shared" si="81"/>
        <v>36</v>
      </c>
      <c r="V626" s="7">
        <v>31413</v>
      </c>
      <c r="W626" t="s">
        <v>624</v>
      </c>
      <c r="X626" s="2">
        <v>0.61499999999999999</v>
      </c>
      <c r="Y626" s="6">
        <f t="shared" si="78"/>
        <v>1.6417073756706976E-2</v>
      </c>
      <c r="AA626">
        <v>1959271</v>
      </c>
      <c r="AB626">
        <v>12141</v>
      </c>
      <c r="AC626">
        <v>15729559</v>
      </c>
      <c r="AD626" t="s">
        <v>5</v>
      </c>
      <c r="AE626">
        <v>7</v>
      </c>
      <c r="AF626">
        <v>1</v>
      </c>
      <c r="AH626" t="s">
        <v>623</v>
      </c>
      <c r="AL626">
        <v>10</v>
      </c>
      <c r="AM626" s="5">
        <f t="shared" si="82"/>
        <v>0.27777777777777779</v>
      </c>
      <c r="AN626" s="4">
        <f t="shared" si="79"/>
        <v>4.207160587319618E-4</v>
      </c>
      <c r="AO626" s="3"/>
      <c r="AP626">
        <v>0</v>
      </c>
      <c r="AR626" t="s">
        <v>1</v>
      </c>
      <c r="AT626" s="2" t="s">
        <v>0</v>
      </c>
      <c r="AU626" s="1">
        <f t="shared" si="83"/>
        <v>1.1618166447314469</v>
      </c>
      <c r="AV626" s="1">
        <f t="shared" si="84"/>
        <v>0.84188949077194686</v>
      </c>
      <c r="AW626" s="1">
        <f t="shared" si="85"/>
        <v>0.52196233681244653</v>
      </c>
    </row>
    <row r="627" spans="1:49" x14ac:dyDescent="0.2">
      <c r="A627">
        <v>625</v>
      </c>
      <c r="B627" t="s">
        <v>622</v>
      </c>
      <c r="C627" t="s">
        <v>621</v>
      </c>
      <c r="F627" t="s">
        <v>620</v>
      </c>
      <c r="G627" t="s">
        <v>16</v>
      </c>
      <c r="H627" t="s">
        <v>15</v>
      </c>
      <c r="I627" t="s">
        <v>619</v>
      </c>
      <c r="J627">
        <v>60031828</v>
      </c>
      <c r="K627" t="s">
        <v>618</v>
      </c>
      <c r="L627" t="s">
        <v>617</v>
      </c>
      <c r="M627" t="s">
        <v>616</v>
      </c>
      <c r="N627">
        <v>2</v>
      </c>
      <c r="O627" t="s">
        <v>615</v>
      </c>
      <c r="P627" t="s">
        <v>614</v>
      </c>
      <c r="Q627" t="s">
        <v>613</v>
      </c>
      <c r="R627" s="7">
        <v>31413</v>
      </c>
      <c r="S627" s="8">
        <f t="shared" si="80"/>
        <v>1986</v>
      </c>
      <c r="T627" s="8">
        <v>1986</v>
      </c>
      <c r="U627" s="8">
        <f t="shared" si="81"/>
        <v>36</v>
      </c>
      <c r="V627" s="7">
        <v>31413</v>
      </c>
      <c r="W627" t="s">
        <v>346</v>
      </c>
      <c r="X627" s="2">
        <v>2.383</v>
      </c>
      <c r="Y627" s="6">
        <f t="shared" si="78"/>
        <v>6.3612824003630442E-2</v>
      </c>
      <c r="AA627">
        <v>189219</v>
      </c>
      <c r="AB627">
        <v>17915</v>
      </c>
      <c r="AC627">
        <v>15582256</v>
      </c>
      <c r="AD627" t="s">
        <v>5</v>
      </c>
      <c r="AE627">
        <v>74</v>
      </c>
      <c r="AF627">
        <v>1</v>
      </c>
      <c r="AH627">
        <v>217</v>
      </c>
      <c r="AI627" t="s">
        <v>612</v>
      </c>
      <c r="AK627" t="s">
        <v>611</v>
      </c>
      <c r="AL627">
        <v>73</v>
      </c>
      <c r="AM627" s="5">
        <f t="shared" si="82"/>
        <v>2.0277777777777777</v>
      </c>
      <c r="AN627" s="4">
        <f t="shared" si="79"/>
        <v>3.0712272287433209E-3</v>
      </c>
      <c r="AO627" s="3"/>
      <c r="AP627">
        <v>0</v>
      </c>
      <c r="AR627" t="s">
        <v>1</v>
      </c>
      <c r="AT627" s="2">
        <v>10.961</v>
      </c>
      <c r="AU627" s="1">
        <f t="shared" si="83"/>
        <v>4.5450344971164309</v>
      </c>
      <c r="AV627" s="1">
        <f t="shared" si="84"/>
        <v>3.3342025616186883</v>
      </c>
      <c r="AW627" s="1">
        <f t="shared" si="85"/>
        <v>2.1233706261209457</v>
      </c>
    </row>
    <row r="628" spans="1:49" x14ac:dyDescent="0.2">
      <c r="A628">
        <v>626</v>
      </c>
      <c r="B628" t="s">
        <v>610</v>
      </c>
      <c r="C628" t="s">
        <v>609</v>
      </c>
      <c r="F628" t="s">
        <v>608</v>
      </c>
      <c r="G628" t="s">
        <v>16</v>
      </c>
      <c r="H628" t="s">
        <v>15</v>
      </c>
      <c r="I628" t="s">
        <v>607</v>
      </c>
      <c r="J628">
        <v>60023053</v>
      </c>
      <c r="K628" t="s">
        <v>606</v>
      </c>
      <c r="L628" t="s">
        <v>605</v>
      </c>
      <c r="M628" t="s">
        <v>114</v>
      </c>
      <c r="N628">
        <v>3</v>
      </c>
      <c r="O628" t="s">
        <v>604</v>
      </c>
      <c r="P628" t="s">
        <v>603</v>
      </c>
      <c r="Q628" t="s">
        <v>602</v>
      </c>
      <c r="R628" s="7">
        <v>31413</v>
      </c>
      <c r="S628" s="8">
        <f t="shared" si="80"/>
        <v>1986</v>
      </c>
      <c r="T628" s="8">
        <v>1986</v>
      </c>
      <c r="U628" s="8">
        <f t="shared" si="81"/>
        <v>36</v>
      </c>
      <c r="V628" s="7">
        <v>31413</v>
      </c>
      <c r="W628" t="s">
        <v>346</v>
      </c>
      <c r="X628" s="2">
        <v>2.383</v>
      </c>
      <c r="Y628" s="6">
        <f t="shared" si="78"/>
        <v>6.3612824003630442E-2</v>
      </c>
      <c r="AA628">
        <v>189219</v>
      </c>
      <c r="AB628">
        <v>17915</v>
      </c>
      <c r="AC628">
        <v>15582256</v>
      </c>
      <c r="AD628" t="s">
        <v>5</v>
      </c>
      <c r="AE628">
        <v>74</v>
      </c>
      <c r="AF628">
        <v>1</v>
      </c>
      <c r="AH628" t="s">
        <v>601</v>
      </c>
      <c r="AI628" t="s">
        <v>600</v>
      </c>
      <c r="AK628" t="s">
        <v>599</v>
      </c>
      <c r="AL628">
        <v>12</v>
      </c>
      <c r="AM628" s="5">
        <f t="shared" si="82"/>
        <v>0.33333333333333331</v>
      </c>
      <c r="AN628" s="4">
        <f t="shared" si="79"/>
        <v>5.048592704783541E-4</v>
      </c>
      <c r="AO628" s="3"/>
      <c r="AP628">
        <v>0</v>
      </c>
      <c r="AR628" t="s">
        <v>1</v>
      </c>
      <c r="AT628" s="2">
        <v>10.961</v>
      </c>
      <c r="AU628" s="1">
        <f t="shared" si="83"/>
        <v>4.4680434583684816</v>
      </c>
      <c r="AV628" s="1">
        <f t="shared" si="84"/>
        <v>3.20588416370544</v>
      </c>
      <c r="AW628" s="1">
        <f t="shared" si="85"/>
        <v>1.9437248690423978</v>
      </c>
    </row>
    <row r="629" spans="1:49" x14ac:dyDescent="0.2">
      <c r="A629">
        <v>627</v>
      </c>
      <c r="B629" t="s">
        <v>598</v>
      </c>
      <c r="C629" t="s">
        <v>597</v>
      </c>
      <c r="F629" t="s">
        <v>596</v>
      </c>
      <c r="G629" t="s">
        <v>16</v>
      </c>
      <c r="H629" t="s">
        <v>15</v>
      </c>
      <c r="I629" t="s">
        <v>595</v>
      </c>
      <c r="J629">
        <v>60014313</v>
      </c>
      <c r="K629" t="s">
        <v>585</v>
      </c>
      <c r="L629" t="s">
        <v>584</v>
      </c>
      <c r="M629" t="s">
        <v>114</v>
      </c>
      <c r="N629">
        <v>2</v>
      </c>
      <c r="O629" t="s">
        <v>594</v>
      </c>
      <c r="P629" t="s">
        <v>593</v>
      </c>
      <c r="Q629" t="s">
        <v>581</v>
      </c>
      <c r="R629" s="7">
        <v>31413</v>
      </c>
      <c r="S629" s="8">
        <f t="shared" si="80"/>
        <v>1986</v>
      </c>
      <c r="T629" s="8">
        <v>1986</v>
      </c>
      <c r="U629" s="8">
        <f t="shared" si="81"/>
        <v>36</v>
      </c>
      <c r="V629" s="7">
        <v>31413</v>
      </c>
      <c r="W629" t="s">
        <v>153</v>
      </c>
      <c r="X629" s="2">
        <v>1.6519999999999999</v>
      </c>
      <c r="Y629" s="6">
        <f t="shared" si="78"/>
        <v>4.409919649769093E-2</v>
      </c>
      <c r="AA629" t="s">
        <v>152</v>
      </c>
      <c r="AB629">
        <v>17337</v>
      </c>
      <c r="AC629">
        <v>15582221</v>
      </c>
      <c r="AD629" t="s">
        <v>5</v>
      </c>
      <c r="AE629">
        <v>34</v>
      </c>
      <c r="AF629">
        <v>1</v>
      </c>
      <c r="AH629" t="s">
        <v>592</v>
      </c>
      <c r="AI629" t="s">
        <v>591</v>
      </c>
      <c r="AK629" t="s">
        <v>590</v>
      </c>
      <c r="AL629">
        <v>46</v>
      </c>
      <c r="AM629" s="5">
        <f t="shared" si="82"/>
        <v>1.2777777777777777</v>
      </c>
      <c r="AN629" s="4">
        <f t="shared" si="79"/>
        <v>1.9352938701670242E-3</v>
      </c>
      <c r="AO629" s="3"/>
      <c r="AP629">
        <v>0</v>
      </c>
      <c r="AR629" t="s">
        <v>1</v>
      </c>
      <c r="AT629" s="2" t="s">
        <v>0</v>
      </c>
      <c r="AU629" s="1">
        <f t="shared" si="83"/>
        <v>3.1450025709433755</v>
      </c>
      <c r="AV629" s="1">
        <f t="shared" si="84"/>
        <v>2.301724518392898</v>
      </c>
      <c r="AW629" s="1">
        <f t="shared" si="85"/>
        <v>1.4584464658424197</v>
      </c>
    </row>
    <row r="630" spans="1:49" x14ac:dyDescent="0.2">
      <c r="A630">
        <v>628</v>
      </c>
      <c r="B630" t="s">
        <v>589</v>
      </c>
      <c r="C630" t="s">
        <v>588</v>
      </c>
      <c r="F630" t="s">
        <v>587</v>
      </c>
      <c r="G630" t="s">
        <v>16</v>
      </c>
      <c r="H630" t="s">
        <v>15</v>
      </c>
      <c r="I630" t="s">
        <v>586</v>
      </c>
      <c r="J630">
        <v>60014313</v>
      </c>
      <c r="K630" t="s">
        <v>585</v>
      </c>
      <c r="L630" t="s">
        <v>584</v>
      </c>
      <c r="M630" t="s">
        <v>114</v>
      </c>
      <c r="N630">
        <v>2</v>
      </c>
      <c r="O630" t="s">
        <v>583</v>
      </c>
      <c r="P630" t="s">
        <v>582</v>
      </c>
      <c r="Q630" t="s">
        <v>581</v>
      </c>
      <c r="R630" s="7">
        <v>31413</v>
      </c>
      <c r="S630" s="8">
        <f t="shared" si="80"/>
        <v>1986</v>
      </c>
      <c r="T630" s="8">
        <v>1986</v>
      </c>
      <c r="U630" s="8">
        <f t="shared" si="81"/>
        <v>36</v>
      </c>
      <c r="V630" s="7">
        <v>1986</v>
      </c>
      <c r="W630" t="s">
        <v>580</v>
      </c>
      <c r="X630" s="2">
        <v>0.375</v>
      </c>
      <c r="Y630" s="6">
        <f t="shared" si="78"/>
        <v>1.0010410827260351E-2</v>
      </c>
      <c r="AA630">
        <v>135194</v>
      </c>
      <c r="AB630">
        <v>24918</v>
      </c>
      <c r="AD630" t="s">
        <v>5</v>
      </c>
      <c r="AE630">
        <v>22</v>
      </c>
      <c r="AF630">
        <v>3</v>
      </c>
      <c r="AH630" t="s">
        <v>579</v>
      </c>
      <c r="AI630" t="s">
        <v>578</v>
      </c>
      <c r="AJ630" t="s">
        <v>577</v>
      </c>
      <c r="AK630" t="s">
        <v>576</v>
      </c>
      <c r="AL630">
        <v>31</v>
      </c>
      <c r="AM630" s="5">
        <f t="shared" si="82"/>
        <v>0.86111111111111116</v>
      </c>
      <c r="AN630" s="4">
        <f t="shared" si="79"/>
        <v>1.3042197820690817E-3</v>
      </c>
      <c r="AO630" s="3"/>
      <c r="AP630">
        <v>0</v>
      </c>
      <c r="AR630" t="s">
        <v>1</v>
      </c>
      <c r="AT630" s="2">
        <v>1.3140000000000001</v>
      </c>
      <c r="AU630" s="1">
        <f t="shared" si="83"/>
        <v>0.73985535137029701</v>
      </c>
      <c r="AV630" s="1">
        <f t="shared" si="84"/>
        <v>0.56573153046647162</v>
      </c>
      <c r="AW630" s="1">
        <f t="shared" si="85"/>
        <v>0.39160770956264623</v>
      </c>
    </row>
    <row r="631" spans="1:49" x14ac:dyDescent="0.2">
      <c r="A631">
        <v>629</v>
      </c>
      <c r="B631" t="s">
        <v>575</v>
      </c>
      <c r="C631" t="s">
        <v>574</v>
      </c>
      <c r="F631" t="s">
        <v>573</v>
      </c>
      <c r="G631" t="s">
        <v>16</v>
      </c>
      <c r="H631" t="s">
        <v>15</v>
      </c>
      <c r="I631" t="s">
        <v>572</v>
      </c>
      <c r="N631">
        <v>5</v>
      </c>
      <c r="O631" t="s">
        <v>571</v>
      </c>
      <c r="P631" t="s">
        <v>570</v>
      </c>
      <c r="Q631" t="s">
        <v>428</v>
      </c>
      <c r="R631" s="7">
        <v>31413</v>
      </c>
      <c r="S631" s="8">
        <f t="shared" si="80"/>
        <v>1986</v>
      </c>
      <c r="T631" s="8">
        <v>1986</v>
      </c>
      <c r="U631" s="8">
        <f t="shared" si="81"/>
        <v>36</v>
      </c>
      <c r="V631" s="7" t="s">
        <v>294</v>
      </c>
      <c r="W631" t="s">
        <v>223</v>
      </c>
      <c r="X631" s="2">
        <v>0.371</v>
      </c>
      <c r="Y631" s="6">
        <f t="shared" si="78"/>
        <v>9.9036331117695747E-3</v>
      </c>
      <c r="AA631">
        <v>486604</v>
      </c>
      <c r="AB631">
        <v>28580</v>
      </c>
      <c r="AC631" t="s">
        <v>222</v>
      </c>
      <c r="AD631" t="s">
        <v>5</v>
      </c>
      <c r="AE631">
        <v>21</v>
      </c>
      <c r="AF631">
        <v>1</v>
      </c>
      <c r="AH631" t="s">
        <v>569</v>
      </c>
      <c r="AI631" t="s">
        <v>568</v>
      </c>
      <c r="AK631" t="s">
        <v>567</v>
      </c>
      <c r="AL631">
        <v>0</v>
      </c>
      <c r="AM631" s="5">
        <f t="shared" si="82"/>
        <v>0</v>
      </c>
      <c r="AN631" s="4">
        <f t="shared" si="79"/>
        <v>0</v>
      </c>
      <c r="AO631" s="3"/>
      <c r="AP631">
        <v>0</v>
      </c>
      <c r="AR631" t="s">
        <v>1</v>
      </c>
      <c r="AT631" s="2">
        <v>1.431</v>
      </c>
      <c r="AU631" s="1">
        <f t="shared" si="83"/>
        <v>0.69325431782387015</v>
      </c>
      <c r="AV631" s="1">
        <f t="shared" si="84"/>
        <v>0.49518165558847871</v>
      </c>
      <c r="AW631" s="1">
        <f t="shared" si="85"/>
        <v>0.29710899335308727</v>
      </c>
    </row>
    <row r="632" spans="1:49" x14ac:dyDescent="0.2">
      <c r="A632">
        <v>630</v>
      </c>
      <c r="B632" t="s">
        <v>566</v>
      </c>
      <c r="C632" t="s">
        <v>565</v>
      </c>
      <c r="F632" t="s">
        <v>564</v>
      </c>
      <c r="G632" t="s">
        <v>16</v>
      </c>
      <c r="H632" t="s">
        <v>15</v>
      </c>
      <c r="I632" t="s">
        <v>563</v>
      </c>
      <c r="N632">
        <v>5</v>
      </c>
      <c r="O632" t="s">
        <v>562</v>
      </c>
      <c r="P632" t="s">
        <v>561</v>
      </c>
      <c r="Q632" t="s">
        <v>428</v>
      </c>
      <c r="R632" s="7">
        <v>31413</v>
      </c>
      <c r="S632" s="8">
        <f t="shared" si="80"/>
        <v>1986</v>
      </c>
      <c r="T632" s="8">
        <v>1986</v>
      </c>
      <c r="U632" s="8">
        <f t="shared" si="81"/>
        <v>36</v>
      </c>
      <c r="V632" s="7" t="s">
        <v>294</v>
      </c>
      <c r="W632" t="s">
        <v>223</v>
      </c>
      <c r="X632" s="2">
        <v>0.371</v>
      </c>
      <c r="Y632" s="6">
        <f t="shared" si="78"/>
        <v>9.9036331117695747E-3</v>
      </c>
      <c r="AA632">
        <v>486604</v>
      </c>
      <c r="AB632">
        <v>28580</v>
      </c>
      <c r="AC632" t="s">
        <v>222</v>
      </c>
      <c r="AD632" t="s">
        <v>5</v>
      </c>
      <c r="AE632">
        <v>21</v>
      </c>
      <c r="AF632">
        <v>1</v>
      </c>
      <c r="AH632" t="s">
        <v>560</v>
      </c>
      <c r="AI632" t="s">
        <v>559</v>
      </c>
      <c r="AK632" t="s">
        <v>558</v>
      </c>
      <c r="AL632">
        <v>14</v>
      </c>
      <c r="AM632" s="5">
        <f t="shared" si="82"/>
        <v>0.3888888888888889</v>
      </c>
      <c r="AN632" s="4">
        <f t="shared" si="79"/>
        <v>5.890024822247465E-4</v>
      </c>
      <c r="AO632" s="3"/>
      <c r="AP632">
        <v>0</v>
      </c>
      <c r="AR632" t="s">
        <v>1</v>
      </c>
      <c r="AT632" s="2">
        <v>1.431</v>
      </c>
      <c r="AU632" s="1">
        <f t="shared" si="83"/>
        <v>0.71092439229061255</v>
      </c>
      <c r="AV632" s="1">
        <f t="shared" si="84"/>
        <v>0.52463177969971608</v>
      </c>
      <c r="AW632" s="1">
        <f t="shared" si="85"/>
        <v>0.33833916710881951</v>
      </c>
    </row>
    <row r="633" spans="1:49" x14ac:dyDescent="0.2">
      <c r="A633">
        <v>631</v>
      </c>
      <c r="B633" t="s">
        <v>557</v>
      </c>
      <c r="E633">
        <v>3755374</v>
      </c>
      <c r="F633" t="s">
        <v>556</v>
      </c>
      <c r="G633" t="s">
        <v>16</v>
      </c>
      <c r="H633" t="s">
        <v>15</v>
      </c>
      <c r="I633" t="s">
        <v>555</v>
      </c>
      <c r="J633">
        <v>60004670</v>
      </c>
      <c r="K633" t="s">
        <v>554</v>
      </c>
      <c r="L633" t="s">
        <v>553</v>
      </c>
      <c r="M633" t="s">
        <v>114</v>
      </c>
      <c r="N633">
        <v>1</v>
      </c>
      <c r="O633" t="s">
        <v>552</v>
      </c>
      <c r="P633">
        <v>7202979823</v>
      </c>
      <c r="Q633">
        <v>60004670</v>
      </c>
      <c r="R633" s="7">
        <v>31413</v>
      </c>
      <c r="S633" s="8">
        <f t="shared" si="80"/>
        <v>1986</v>
      </c>
      <c r="T633" s="8">
        <v>1986</v>
      </c>
      <c r="U633" s="8">
        <f t="shared" si="81"/>
        <v>36</v>
      </c>
      <c r="V633" s="7">
        <v>31656</v>
      </c>
      <c r="W633" t="s">
        <v>551</v>
      </c>
      <c r="X633" s="2">
        <v>4.1029999999999998</v>
      </c>
      <c r="Y633" s="6">
        <f t="shared" si="78"/>
        <v>0.10952724166466458</v>
      </c>
      <c r="AA633">
        <v>85472</v>
      </c>
      <c r="AB633">
        <v>29183</v>
      </c>
      <c r="AC633">
        <v>15387445</v>
      </c>
      <c r="AD633" t="s">
        <v>5</v>
      </c>
      <c r="AE633">
        <v>46</v>
      </c>
      <c r="AF633">
        <v>9</v>
      </c>
      <c r="AH633" t="s">
        <v>550</v>
      </c>
      <c r="AI633" t="s">
        <v>549</v>
      </c>
      <c r="AK633" t="s">
        <v>548</v>
      </c>
      <c r="AL633">
        <v>43</v>
      </c>
      <c r="AM633" s="5">
        <f t="shared" si="82"/>
        <v>1.1944444444444444</v>
      </c>
      <c r="AN633" s="4">
        <f t="shared" si="79"/>
        <v>1.8090790525474357E-3</v>
      </c>
      <c r="AO633" s="3"/>
      <c r="AP633">
        <v>0</v>
      </c>
      <c r="AR633" t="s">
        <v>1</v>
      </c>
      <c r="AT633" s="2">
        <v>12.701000000000001</v>
      </c>
      <c r="AU633" s="1">
        <f t="shared" si="83"/>
        <v>7.7211792881029444</v>
      </c>
      <c r="AV633" s="1">
        <f t="shared" si="84"/>
        <v>5.5668160358606009</v>
      </c>
      <c r="AW633" s="1">
        <f t="shared" si="85"/>
        <v>3.4124527836182574</v>
      </c>
    </row>
    <row r="634" spans="1:49" x14ac:dyDescent="0.2">
      <c r="A634">
        <v>632</v>
      </c>
      <c r="B634" t="s">
        <v>547</v>
      </c>
      <c r="F634" t="s">
        <v>546</v>
      </c>
      <c r="G634" t="s">
        <v>16</v>
      </c>
      <c r="H634" t="s">
        <v>15</v>
      </c>
      <c r="I634" t="s">
        <v>545</v>
      </c>
      <c r="N634">
        <v>1</v>
      </c>
      <c r="O634" t="s">
        <v>544</v>
      </c>
      <c r="P634">
        <v>7403318540</v>
      </c>
      <c r="R634" s="7">
        <v>31413</v>
      </c>
      <c r="S634" s="8">
        <f t="shared" si="80"/>
        <v>1986</v>
      </c>
      <c r="T634" s="8">
        <v>1986</v>
      </c>
      <c r="U634" s="8">
        <f t="shared" si="81"/>
        <v>36</v>
      </c>
      <c r="V634" s="7">
        <v>31413</v>
      </c>
      <c r="W634" t="s">
        <v>543</v>
      </c>
      <c r="X634" s="2" t="s">
        <v>0</v>
      </c>
      <c r="Y634" s="6" t="e">
        <f t="shared" si="78"/>
        <v>#VALUE!</v>
      </c>
      <c r="AA634">
        <v>2663244</v>
      </c>
      <c r="AB634">
        <v>35055</v>
      </c>
      <c r="AD634" t="s">
        <v>5</v>
      </c>
      <c r="AE634">
        <v>92</v>
      </c>
      <c r="AF634">
        <v>1599</v>
      </c>
      <c r="AH634" t="s">
        <v>542</v>
      </c>
      <c r="AI634" t="s">
        <v>541</v>
      </c>
      <c r="AK634" t="s">
        <v>540</v>
      </c>
      <c r="AL634">
        <v>0</v>
      </c>
      <c r="AM634" s="5">
        <f t="shared" si="82"/>
        <v>0</v>
      </c>
      <c r="AN634" s="4">
        <f t="shared" si="79"/>
        <v>0</v>
      </c>
      <c r="AO634" s="3"/>
      <c r="AP634">
        <v>0</v>
      </c>
      <c r="AR634" t="s">
        <v>1</v>
      </c>
      <c r="AT634" s="2" t="s">
        <v>0</v>
      </c>
      <c r="AU634" s="1" t="e">
        <f t="shared" si="83"/>
        <v>#VALUE!</v>
      </c>
      <c r="AV634" s="1" t="e">
        <f t="shared" si="84"/>
        <v>#VALUE!</v>
      </c>
      <c r="AW634" s="1" t="e">
        <f t="shared" si="85"/>
        <v>#VALUE!</v>
      </c>
    </row>
    <row r="635" spans="1:49" x14ac:dyDescent="0.2">
      <c r="A635">
        <v>633</v>
      </c>
      <c r="B635" t="s">
        <v>539</v>
      </c>
      <c r="C635" t="s">
        <v>538</v>
      </c>
      <c r="F635" t="s">
        <v>537</v>
      </c>
      <c r="G635" t="s">
        <v>16</v>
      </c>
      <c r="H635" t="s">
        <v>15</v>
      </c>
      <c r="I635" t="s">
        <v>536</v>
      </c>
      <c r="J635">
        <v>60013141</v>
      </c>
      <c r="K635" t="s">
        <v>535</v>
      </c>
      <c r="L635" t="s">
        <v>534</v>
      </c>
      <c r="M635" t="s">
        <v>533</v>
      </c>
      <c r="N635">
        <v>1</v>
      </c>
      <c r="O635" t="s">
        <v>532</v>
      </c>
      <c r="P635">
        <v>55884538900</v>
      </c>
      <c r="Q635">
        <v>60013141</v>
      </c>
      <c r="R635" s="7">
        <v>31413</v>
      </c>
      <c r="S635" s="8">
        <f t="shared" si="80"/>
        <v>1986</v>
      </c>
      <c r="T635" s="8">
        <v>1986</v>
      </c>
      <c r="U635" s="8">
        <f t="shared" si="81"/>
        <v>36</v>
      </c>
      <c r="V635" s="7">
        <v>31413</v>
      </c>
      <c r="W635" t="s">
        <v>153</v>
      </c>
      <c r="X635" s="2">
        <v>1.6519999999999999</v>
      </c>
      <c r="Y635" s="6">
        <f t="shared" si="78"/>
        <v>4.409919649769093E-2</v>
      </c>
      <c r="AA635" t="s">
        <v>152</v>
      </c>
      <c r="AB635">
        <v>17337</v>
      </c>
      <c r="AC635">
        <v>15582221</v>
      </c>
      <c r="AD635" t="s">
        <v>5</v>
      </c>
      <c r="AE635">
        <v>34</v>
      </c>
      <c r="AF635">
        <v>1</v>
      </c>
      <c r="AH635" t="s">
        <v>531</v>
      </c>
      <c r="AI635" t="s">
        <v>530</v>
      </c>
      <c r="AK635" t="s">
        <v>529</v>
      </c>
      <c r="AL635">
        <v>70</v>
      </c>
      <c r="AM635" s="5">
        <f t="shared" si="82"/>
        <v>1.9444444444444444</v>
      </c>
      <c r="AN635" s="4">
        <f t="shared" si="79"/>
        <v>2.9450124111237326E-3</v>
      </c>
      <c r="AO635" s="3"/>
      <c r="AP635">
        <v>0</v>
      </c>
      <c r="AR635" t="s">
        <v>1</v>
      </c>
      <c r="AT635" s="2" t="s">
        <v>0</v>
      </c>
      <c r="AU635" s="1">
        <f t="shared" si="83"/>
        <v>3.1752941271720769</v>
      </c>
      <c r="AV635" s="1">
        <f t="shared" si="84"/>
        <v>2.3522104454407335</v>
      </c>
      <c r="AW635" s="1">
        <f t="shared" si="85"/>
        <v>1.529126763709389</v>
      </c>
    </row>
    <row r="636" spans="1:49" x14ac:dyDescent="0.2">
      <c r="A636">
        <v>634</v>
      </c>
      <c r="B636" t="s">
        <v>528</v>
      </c>
      <c r="C636" t="s">
        <v>527</v>
      </c>
      <c r="F636" t="s">
        <v>526</v>
      </c>
      <c r="G636" t="s">
        <v>16</v>
      </c>
      <c r="H636" t="s">
        <v>15</v>
      </c>
      <c r="I636" t="s">
        <v>525</v>
      </c>
      <c r="J636">
        <v>60073775</v>
      </c>
      <c r="K636" t="s">
        <v>524</v>
      </c>
      <c r="M636" t="s">
        <v>114</v>
      </c>
      <c r="N636">
        <v>2</v>
      </c>
      <c r="O636" t="s">
        <v>523</v>
      </c>
      <c r="P636" t="s">
        <v>522</v>
      </c>
      <c r="Q636" t="s">
        <v>521</v>
      </c>
      <c r="R636" s="7">
        <v>31413</v>
      </c>
      <c r="S636" s="8">
        <f t="shared" si="80"/>
        <v>1986</v>
      </c>
      <c r="T636" s="8">
        <v>1986</v>
      </c>
      <c r="U636" s="8">
        <f t="shared" si="81"/>
        <v>36</v>
      </c>
      <c r="V636" s="7">
        <v>31594</v>
      </c>
      <c r="W636" t="s">
        <v>520</v>
      </c>
      <c r="X636" s="2">
        <v>0.75800000000000001</v>
      </c>
      <c r="Y636" s="6">
        <f t="shared" si="78"/>
        <v>2.0234377085502256E-2</v>
      </c>
      <c r="AA636">
        <v>224650</v>
      </c>
      <c r="AB636">
        <v>29589</v>
      </c>
      <c r="AD636" t="s">
        <v>5</v>
      </c>
      <c r="AE636">
        <v>23</v>
      </c>
      <c r="AF636">
        <v>1</v>
      </c>
      <c r="AH636" t="s">
        <v>519</v>
      </c>
      <c r="AI636" t="s">
        <v>518</v>
      </c>
      <c r="AK636" t="s">
        <v>517</v>
      </c>
      <c r="AL636">
        <v>5</v>
      </c>
      <c r="AM636" s="5">
        <f t="shared" si="82"/>
        <v>0.1388888888888889</v>
      </c>
      <c r="AN636" s="4">
        <f t="shared" si="79"/>
        <v>2.103580293659809E-4</v>
      </c>
      <c r="AO636" s="3"/>
      <c r="AP636">
        <v>0</v>
      </c>
      <c r="AR636" t="s">
        <v>1</v>
      </c>
      <c r="AT636" s="2">
        <v>1.282</v>
      </c>
      <c r="AU636" s="1">
        <f t="shared" si="83"/>
        <v>1.4227171368661373</v>
      </c>
      <c r="AV636" s="1">
        <f t="shared" si="84"/>
        <v>1.022236755743412</v>
      </c>
      <c r="AW636" s="1">
        <f t="shared" si="85"/>
        <v>0.62175637462068634</v>
      </c>
    </row>
    <row r="637" spans="1:49" x14ac:dyDescent="0.2">
      <c r="A637">
        <v>635</v>
      </c>
      <c r="B637" t="s">
        <v>516</v>
      </c>
      <c r="F637" t="s">
        <v>515</v>
      </c>
      <c r="G637" t="s">
        <v>16</v>
      </c>
      <c r="H637" t="s">
        <v>15</v>
      </c>
      <c r="I637" t="s">
        <v>514</v>
      </c>
      <c r="N637">
        <v>3</v>
      </c>
      <c r="O637" t="s">
        <v>513</v>
      </c>
      <c r="P637" t="s">
        <v>512</v>
      </c>
      <c r="Q637" t="s">
        <v>295</v>
      </c>
      <c r="R637" s="7">
        <v>31413</v>
      </c>
      <c r="S637" s="8">
        <f t="shared" si="80"/>
        <v>1986</v>
      </c>
      <c r="T637" s="8">
        <v>1986</v>
      </c>
      <c r="U637" s="8">
        <f t="shared" si="81"/>
        <v>36</v>
      </c>
      <c r="V637" s="7">
        <v>31413</v>
      </c>
      <c r="W637" t="s">
        <v>511</v>
      </c>
      <c r="X637" s="2" t="s">
        <v>0</v>
      </c>
      <c r="Y637" s="6" t="e">
        <f t="shared" si="78"/>
        <v>#VALUE!</v>
      </c>
      <c r="AA637">
        <v>3761207</v>
      </c>
      <c r="AB637">
        <v>30443</v>
      </c>
      <c r="AD637" t="s">
        <v>5</v>
      </c>
      <c r="AF637">
        <v>25</v>
      </c>
      <c r="AH637" t="s">
        <v>510</v>
      </c>
      <c r="AI637" t="s">
        <v>509</v>
      </c>
      <c r="AK637" t="s">
        <v>508</v>
      </c>
      <c r="AL637">
        <v>0</v>
      </c>
      <c r="AM637" s="5">
        <f t="shared" si="82"/>
        <v>0</v>
      </c>
      <c r="AN637" s="4">
        <f t="shared" si="79"/>
        <v>0</v>
      </c>
      <c r="AO637" s="3"/>
      <c r="AP637">
        <v>0</v>
      </c>
      <c r="AR637" t="s">
        <v>1</v>
      </c>
      <c r="AT637" s="2" t="s">
        <v>0</v>
      </c>
      <c r="AU637" s="1" t="e">
        <f t="shared" si="83"/>
        <v>#VALUE!</v>
      </c>
      <c r="AV637" s="1" t="e">
        <f t="shared" si="84"/>
        <v>#VALUE!</v>
      </c>
      <c r="AW637" s="1" t="e">
        <f t="shared" si="85"/>
        <v>#VALUE!</v>
      </c>
    </row>
    <row r="638" spans="1:49" x14ac:dyDescent="0.2">
      <c r="A638">
        <v>636</v>
      </c>
      <c r="B638" t="s">
        <v>507</v>
      </c>
      <c r="C638" t="s">
        <v>506</v>
      </c>
      <c r="E638">
        <v>3730004</v>
      </c>
      <c r="F638" t="s">
        <v>505</v>
      </c>
      <c r="G638" t="s">
        <v>16</v>
      </c>
      <c r="H638" t="s">
        <v>15</v>
      </c>
      <c r="I638" t="s">
        <v>504</v>
      </c>
      <c r="J638">
        <v>60003103</v>
      </c>
      <c r="K638" t="s">
        <v>503</v>
      </c>
      <c r="L638" t="s">
        <v>502</v>
      </c>
      <c r="M638" t="s">
        <v>114</v>
      </c>
      <c r="N638">
        <v>4</v>
      </c>
      <c r="O638" t="s">
        <v>501</v>
      </c>
      <c r="P638" t="s">
        <v>500</v>
      </c>
      <c r="Q638" t="s">
        <v>499</v>
      </c>
      <c r="R638" s="7">
        <v>31413</v>
      </c>
      <c r="S638" s="8">
        <f t="shared" si="80"/>
        <v>1986</v>
      </c>
      <c r="T638" s="8">
        <v>1986</v>
      </c>
      <c r="U638" s="8">
        <f t="shared" si="81"/>
        <v>36</v>
      </c>
      <c r="V638" s="7">
        <v>1986</v>
      </c>
      <c r="W638" t="s">
        <v>498</v>
      </c>
      <c r="X638" s="2">
        <v>0.435</v>
      </c>
      <c r="Y638" s="6">
        <f t="shared" si="78"/>
        <v>1.1612076559622007E-2</v>
      </c>
      <c r="AA638">
        <v>1978462</v>
      </c>
      <c r="AB638">
        <v>14839</v>
      </c>
      <c r="AC638" t="s">
        <v>497</v>
      </c>
      <c r="AD638" t="s">
        <v>5</v>
      </c>
      <c r="AE638">
        <v>7</v>
      </c>
      <c r="AF638">
        <v>1</v>
      </c>
      <c r="AH638" t="s">
        <v>496</v>
      </c>
      <c r="AI638" t="s">
        <v>495</v>
      </c>
      <c r="AJ638" t="s">
        <v>494</v>
      </c>
      <c r="AK638" t="s">
        <v>493</v>
      </c>
      <c r="AL638">
        <v>14</v>
      </c>
      <c r="AM638" s="5">
        <f t="shared" si="82"/>
        <v>0.3888888888888889</v>
      </c>
      <c r="AN638" s="4">
        <f t="shared" si="79"/>
        <v>5.890024822247465E-4</v>
      </c>
      <c r="AO638" s="3"/>
      <c r="AP638">
        <v>0</v>
      </c>
      <c r="AR638" t="s">
        <v>1</v>
      </c>
      <c r="AT638" s="2">
        <v>2.0099999999999998</v>
      </c>
      <c r="AU638" s="1">
        <f t="shared" si="83"/>
        <v>0.8305154336402828</v>
      </c>
      <c r="AV638" s="1">
        <f t="shared" si="84"/>
        <v>0.6100539520923377</v>
      </c>
      <c r="AW638" s="1">
        <f t="shared" si="85"/>
        <v>0.38959247054439244</v>
      </c>
    </row>
    <row r="639" spans="1:49" x14ac:dyDescent="0.2">
      <c r="A639">
        <v>637</v>
      </c>
      <c r="B639" t="s">
        <v>492</v>
      </c>
      <c r="C639" t="s">
        <v>491</v>
      </c>
      <c r="F639" t="s">
        <v>490</v>
      </c>
      <c r="G639" t="s">
        <v>16</v>
      </c>
      <c r="H639" t="s">
        <v>15</v>
      </c>
      <c r="I639" t="s">
        <v>489</v>
      </c>
      <c r="J639">
        <v>60002787</v>
      </c>
      <c r="K639" t="s">
        <v>488</v>
      </c>
      <c r="L639" t="s">
        <v>487</v>
      </c>
      <c r="M639" t="s">
        <v>71</v>
      </c>
      <c r="N639">
        <v>2</v>
      </c>
      <c r="O639" t="s">
        <v>486</v>
      </c>
      <c r="P639" t="s">
        <v>485</v>
      </c>
      <c r="Q639" t="s">
        <v>484</v>
      </c>
      <c r="R639" s="7">
        <v>31413</v>
      </c>
      <c r="S639" s="8">
        <f t="shared" si="80"/>
        <v>1986</v>
      </c>
      <c r="T639" s="8">
        <v>1986</v>
      </c>
      <c r="U639" s="8">
        <f t="shared" si="81"/>
        <v>36</v>
      </c>
      <c r="V639" s="7">
        <v>1986</v>
      </c>
      <c r="W639" t="s">
        <v>483</v>
      </c>
      <c r="X639" s="2">
        <v>0.111</v>
      </c>
      <c r="Y639" s="6">
        <f t="shared" si="78"/>
        <v>2.9630816048690639E-3</v>
      </c>
      <c r="AA639">
        <v>87566621</v>
      </c>
      <c r="AB639">
        <v>24890</v>
      </c>
      <c r="AC639">
        <v>15206424</v>
      </c>
      <c r="AD639" t="s">
        <v>5</v>
      </c>
      <c r="AE639">
        <v>69</v>
      </c>
      <c r="AF639">
        <v>1</v>
      </c>
      <c r="AH639" t="s">
        <v>482</v>
      </c>
      <c r="AI639" t="s">
        <v>481</v>
      </c>
      <c r="AK639" t="s">
        <v>480</v>
      </c>
      <c r="AL639">
        <v>0</v>
      </c>
      <c r="AM639" s="5">
        <f t="shared" si="82"/>
        <v>0</v>
      </c>
      <c r="AN639" s="4">
        <f t="shared" si="79"/>
        <v>0</v>
      </c>
      <c r="AO639" s="3"/>
      <c r="AP639">
        <v>0</v>
      </c>
      <c r="AR639" t="s">
        <v>1</v>
      </c>
      <c r="AT639" s="2" t="s">
        <v>0</v>
      </c>
      <c r="AU639" s="1">
        <f t="shared" si="83"/>
        <v>0.20741571234083445</v>
      </c>
      <c r="AV639" s="1">
        <f t="shared" si="84"/>
        <v>0.1481540802434532</v>
      </c>
      <c r="AW639" s="1">
        <f t="shared" si="85"/>
        <v>8.8892448146071903E-2</v>
      </c>
    </row>
    <row r="640" spans="1:49" x14ac:dyDescent="0.2">
      <c r="A640">
        <v>638</v>
      </c>
      <c r="B640" t="s">
        <v>479</v>
      </c>
      <c r="C640" t="s">
        <v>478</v>
      </c>
      <c r="F640" t="s">
        <v>477</v>
      </c>
      <c r="G640" t="s">
        <v>16</v>
      </c>
      <c r="H640" t="s">
        <v>15</v>
      </c>
      <c r="I640" t="s">
        <v>476</v>
      </c>
      <c r="J640">
        <v>60001844</v>
      </c>
      <c r="K640" t="s">
        <v>475</v>
      </c>
      <c r="L640" t="s">
        <v>474</v>
      </c>
      <c r="M640" t="s">
        <v>114</v>
      </c>
      <c r="N640">
        <v>6</v>
      </c>
      <c r="O640" t="s">
        <v>473</v>
      </c>
      <c r="P640" t="s">
        <v>472</v>
      </c>
      <c r="Q640" t="s">
        <v>471</v>
      </c>
      <c r="R640" s="7">
        <v>31413</v>
      </c>
      <c r="S640" s="8">
        <f t="shared" si="80"/>
        <v>1986</v>
      </c>
      <c r="T640" s="8">
        <v>1986</v>
      </c>
      <c r="U640" s="8">
        <f t="shared" si="81"/>
        <v>36</v>
      </c>
      <c r="V640" s="7">
        <v>1986</v>
      </c>
      <c r="W640" t="s">
        <v>470</v>
      </c>
      <c r="X640" s="2">
        <v>1.5640000000000001</v>
      </c>
      <c r="Y640" s="6">
        <f t="shared" si="78"/>
        <v>4.1750086756893838E-2</v>
      </c>
      <c r="AA640">
        <v>223085</v>
      </c>
      <c r="AB640">
        <v>16767</v>
      </c>
      <c r="AD640" t="s">
        <v>5</v>
      </c>
      <c r="AE640">
        <v>64</v>
      </c>
      <c r="AF640">
        <v>4</v>
      </c>
      <c r="AH640" t="s">
        <v>469</v>
      </c>
      <c r="AI640" t="s">
        <v>468</v>
      </c>
      <c r="AK640" t="s">
        <v>467</v>
      </c>
      <c r="AL640">
        <v>70</v>
      </c>
      <c r="AM640" s="5">
        <f t="shared" si="82"/>
        <v>1.9444444444444444</v>
      </c>
      <c r="AN640" s="4">
        <f t="shared" si="79"/>
        <v>2.9450124111237326E-3</v>
      </c>
      <c r="AO640" s="3"/>
      <c r="AP640">
        <v>0</v>
      </c>
      <c r="AR640" t="s">
        <v>1</v>
      </c>
      <c r="AT640" s="2">
        <v>5.1150000000000002</v>
      </c>
      <c r="AU640" s="1">
        <f t="shared" si="83"/>
        <v>3.0108564453162803</v>
      </c>
      <c r="AV640" s="1">
        <f t="shared" si="84"/>
        <v>2.2347549584008788</v>
      </c>
      <c r="AW640" s="1">
        <f t="shared" si="85"/>
        <v>1.4586534714854764</v>
      </c>
    </row>
    <row r="641" spans="1:49" x14ac:dyDescent="0.2">
      <c r="A641">
        <v>639</v>
      </c>
      <c r="B641" t="s">
        <v>466</v>
      </c>
      <c r="C641" t="s">
        <v>465</v>
      </c>
      <c r="F641" t="s">
        <v>464</v>
      </c>
      <c r="G641" t="s">
        <v>16</v>
      </c>
      <c r="H641" t="s">
        <v>15</v>
      </c>
      <c r="I641" t="s">
        <v>463</v>
      </c>
      <c r="J641">
        <v>112926785</v>
      </c>
      <c r="K641" t="s">
        <v>462</v>
      </c>
      <c r="L641" t="s">
        <v>461</v>
      </c>
      <c r="M641" t="s">
        <v>460</v>
      </c>
      <c r="N641">
        <v>1</v>
      </c>
      <c r="O641" t="s">
        <v>459</v>
      </c>
      <c r="P641">
        <v>7404570371</v>
      </c>
      <c r="Q641">
        <v>112926785</v>
      </c>
      <c r="R641" s="7">
        <v>31413</v>
      </c>
      <c r="S641" s="8">
        <f t="shared" si="80"/>
        <v>1986</v>
      </c>
      <c r="T641" s="8">
        <v>1986</v>
      </c>
      <c r="U641" s="8">
        <f t="shared" si="81"/>
        <v>36</v>
      </c>
      <c r="V641" s="7">
        <v>31413</v>
      </c>
      <c r="W641" t="s">
        <v>153</v>
      </c>
      <c r="X641" s="2">
        <v>1.6519999999999999</v>
      </c>
      <c r="Y641" s="6">
        <f t="shared" si="78"/>
        <v>4.409919649769093E-2</v>
      </c>
      <c r="AA641" t="s">
        <v>152</v>
      </c>
      <c r="AB641">
        <v>17337</v>
      </c>
      <c r="AC641">
        <v>15582221</v>
      </c>
      <c r="AD641" t="s">
        <v>5</v>
      </c>
      <c r="AE641">
        <v>34</v>
      </c>
      <c r="AF641">
        <v>1</v>
      </c>
      <c r="AH641" t="s">
        <v>458</v>
      </c>
      <c r="AI641" t="s">
        <v>457</v>
      </c>
      <c r="AK641" t="s">
        <v>456</v>
      </c>
      <c r="AL641">
        <v>4</v>
      </c>
      <c r="AM641" s="5">
        <f t="shared" si="82"/>
        <v>0.1111111111111111</v>
      </c>
      <c r="AN641" s="4">
        <f t="shared" si="79"/>
        <v>1.682864234927847E-4</v>
      </c>
      <c r="AO641" s="3"/>
      <c r="AP641">
        <v>0</v>
      </c>
      <c r="AR641" t="s">
        <v>1</v>
      </c>
      <c r="AT641" s="2" t="s">
        <v>0</v>
      </c>
      <c r="AU641" s="1">
        <f t="shared" si="83"/>
        <v>3.0919923475431483</v>
      </c>
      <c r="AV641" s="1">
        <f t="shared" si="84"/>
        <v>2.213374146059186</v>
      </c>
      <c r="AW641" s="1">
        <f t="shared" si="85"/>
        <v>1.3347559445752226</v>
      </c>
    </row>
    <row r="642" spans="1:49" x14ac:dyDescent="0.2">
      <c r="A642">
        <v>640</v>
      </c>
      <c r="B642" t="s">
        <v>455</v>
      </c>
      <c r="C642" t="s">
        <v>454</v>
      </c>
      <c r="F642" t="s">
        <v>453</v>
      </c>
      <c r="G642" t="s">
        <v>16</v>
      </c>
      <c r="H642" t="s">
        <v>15</v>
      </c>
      <c r="I642" t="s">
        <v>452</v>
      </c>
      <c r="N642">
        <v>2</v>
      </c>
      <c r="O642" t="s">
        <v>451</v>
      </c>
      <c r="P642" t="s">
        <v>450</v>
      </c>
      <c r="Q642" t="s">
        <v>313</v>
      </c>
      <c r="R642" s="7">
        <v>31413</v>
      </c>
      <c r="S642" s="8">
        <f t="shared" si="80"/>
        <v>1986</v>
      </c>
      <c r="T642" s="8">
        <v>1986</v>
      </c>
      <c r="U642" s="8">
        <f t="shared" si="81"/>
        <v>36</v>
      </c>
      <c r="V642" s="7" t="s">
        <v>294</v>
      </c>
      <c r="W642" t="s">
        <v>223</v>
      </c>
      <c r="X642" s="2">
        <v>0.371</v>
      </c>
      <c r="Y642" s="6">
        <f t="shared" ref="Y642:Y676" si="86">(X642-$Z$4)/($Z$3-$Z$4)</f>
        <v>9.9036331117695747E-3</v>
      </c>
      <c r="AA642">
        <v>486604</v>
      </c>
      <c r="AB642">
        <v>28580</v>
      </c>
      <c r="AC642" t="s">
        <v>222</v>
      </c>
      <c r="AD642" t="s">
        <v>5</v>
      </c>
      <c r="AE642">
        <v>21</v>
      </c>
      <c r="AF642">
        <v>1</v>
      </c>
      <c r="AH642" t="s">
        <v>449</v>
      </c>
      <c r="AI642" t="s">
        <v>448</v>
      </c>
      <c r="AK642" t="s">
        <v>447</v>
      </c>
      <c r="AL642">
        <v>18</v>
      </c>
      <c r="AM642" s="5">
        <f t="shared" si="82"/>
        <v>0.5</v>
      </c>
      <c r="AN642" s="4">
        <f t="shared" ref="AN642:AN676" si="87">(AM642-$AO$4)/($AO$3-$AO$4)</f>
        <v>7.572889057175312E-4</v>
      </c>
      <c r="AO642" s="3"/>
      <c r="AP642">
        <v>0</v>
      </c>
      <c r="AR642" t="s">
        <v>1</v>
      </c>
      <c r="AT642" s="2">
        <v>1.431</v>
      </c>
      <c r="AU642" s="1">
        <f t="shared" si="83"/>
        <v>0.71597298499539619</v>
      </c>
      <c r="AV642" s="1">
        <f t="shared" si="84"/>
        <v>0.53304610087435522</v>
      </c>
      <c r="AW642" s="1">
        <f t="shared" si="85"/>
        <v>0.35011921675331442</v>
      </c>
    </row>
    <row r="643" spans="1:49" x14ac:dyDescent="0.2">
      <c r="A643">
        <v>641</v>
      </c>
      <c r="B643" t="s">
        <v>446</v>
      </c>
      <c r="C643" t="s">
        <v>445</v>
      </c>
      <c r="F643" t="s">
        <v>444</v>
      </c>
      <c r="G643" t="s">
        <v>16</v>
      </c>
      <c r="H643" t="s">
        <v>15</v>
      </c>
      <c r="I643" t="s">
        <v>443</v>
      </c>
      <c r="J643">
        <v>60011688</v>
      </c>
      <c r="K643" t="s">
        <v>442</v>
      </c>
      <c r="L643" t="s">
        <v>441</v>
      </c>
      <c r="M643" t="s">
        <v>114</v>
      </c>
      <c r="N643">
        <v>2</v>
      </c>
      <c r="O643" t="s">
        <v>440</v>
      </c>
      <c r="P643" t="s">
        <v>439</v>
      </c>
      <c r="Q643" t="s">
        <v>438</v>
      </c>
      <c r="R643" s="7">
        <v>31413</v>
      </c>
      <c r="S643" s="8">
        <f t="shared" si="80"/>
        <v>1986</v>
      </c>
      <c r="T643" s="8">
        <v>1986</v>
      </c>
      <c r="U643" s="8">
        <f t="shared" si="81"/>
        <v>36</v>
      </c>
      <c r="V643" s="7">
        <v>31413</v>
      </c>
      <c r="W643" t="s">
        <v>153</v>
      </c>
      <c r="X643" s="2">
        <v>1.6519999999999999</v>
      </c>
      <c r="Y643" s="6">
        <f t="shared" si="86"/>
        <v>4.409919649769093E-2</v>
      </c>
      <c r="AA643" t="s">
        <v>152</v>
      </c>
      <c r="AB643">
        <v>17337</v>
      </c>
      <c r="AC643">
        <v>15582221</v>
      </c>
      <c r="AD643" t="s">
        <v>5</v>
      </c>
      <c r="AE643">
        <v>34</v>
      </c>
      <c r="AF643">
        <v>1</v>
      </c>
      <c r="AH643" t="s">
        <v>437</v>
      </c>
      <c r="AI643" t="s">
        <v>436</v>
      </c>
      <c r="AK643" t="s">
        <v>435</v>
      </c>
      <c r="AL643">
        <v>0</v>
      </c>
      <c r="AM643" s="5">
        <f t="shared" si="82"/>
        <v>0</v>
      </c>
      <c r="AN643" s="4">
        <f t="shared" si="87"/>
        <v>0</v>
      </c>
      <c r="AO643" s="3"/>
      <c r="AP643">
        <v>0</v>
      </c>
      <c r="AR643" t="s">
        <v>1</v>
      </c>
      <c r="AT643" s="2" t="s">
        <v>0</v>
      </c>
      <c r="AU643" s="1">
        <f t="shared" si="83"/>
        <v>3.0869437548383649</v>
      </c>
      <c r="AV643" s="1">
        <f t="shared" si="84"/>
        <v>2.2049598248845466</v>
      </c>
      <c r="AW643" s="1">
        <f t="shared" si="85"/>
        <v>1.3229758949307278</v>
      </c>
    </row>
    <row r="644" spans="1:49" x14ac:dyDescent="0.2">
      <c r="A644">
        <v>642</v>
      </c>
      <c r="B644" t="s">
        <v>434</v>
      </c>
      <c r="C644" t="s">
        <v>433</v>
      </c>
      <c r="F644" t="s">
        <v>432</v>
      </c>
      <c r="G644" t="s">
        <v>16</v>
      </c>
      <c r="H644" t="s">
        <v>15</v>
      </c>
      <c r="I644" t="s">
        <v>431</v>
      </c>
      <c r="N644">
        <v>5</v>
      </c>
      <c r="O644" t="s">
        <v>430</v>
      </c>
      <c r="P644" t="s">
        <v>429</v>
      </c>
      <c r="Q644" t="s">
        <v>428</v>
      </c>
      <c r="R644" s="7">
        <v>31413</v>
      </c>
      <c r="S644" s="8">
        <f t="shared" si="80"/>
        <v>1986</v>
      </c>
      <c r="T644" s="8">
        <v>1986</v>
      </c>
      <c r="U644" s="8">
        <f t="shared" si="81"/>
        <v>36</v>
      </c>
      <c r="V644" s="7" t="s">
        <v>294</v>
      </c>
      <c r="W644" t="s">
        <v>223</v>
      </c>
      <c r="X644" s="2">
        <v>0.371</v>
      </c>
      <c r="Y644" s="6">
        <f t="shared" si="86"/>
        <v>9.9036331117695747E-3</v>
      </c>
      <c r="AA644">
        <v>486604</v>
      </c>
      <c r="AB644">
        <v>28580</v>
      </c>
      <c r="AC644" t="s">
        <v>222</v>
      </c>
      <c r="AD644" t="s">
        <v>5</v>
      </c>
      <c r="AE644">
        <v>21</v>
      </c>
      <c r="AF644">
        <v>1</v>
      </c>
      <c r="AH644" t="s">
        <v>427</v>
      </c>
      <c r="AI644" t="s">
        <v>426</v>
      </c>
      <c r="AK644" t="s">
        <v>425</v>
      </c>
      <c r="AL644">
        <v>5</v>
      </c>
      <c r="AM644" s="5">
        <f t="shared" si="82"/>
        <v>0.1388888888888889</v>
      </c>
      <c r="AN644" s="4">
        <f t="shared" si="87"/>
        <v>2.103580293659809E-4</v>
      </c>
      <c r="AO644" s="3"/>
      <c r="AP644">
        <v>0</v>
      </c>
      <c r="AR644" t="s">
        <v>1</v>
      </c>
      <c r="AT644" s="2">
        <v>1.431</v>
      </c>
      <c r="AU644" s="1">
        <f t="shared" si="83"/>
        <v>0.69956505870484953</v>
      </c>
      <c r="AV644" s="1">
        <f t="shared" si="84"/>
        <v>0.50569955705677783</v>
      </c>
      <c r="AW644" s="1">
        <f t="shared" si="85"/>
        <v>0.3118340554087059</v>
      </c>
    </row>
    <row r="645" spans="1:49" x14ac:dyDescent="0.2">
      <c r="A645">
        <v>643</v>
      </c>
      <c r="B645" t="s">
        <v>424</v>
      </c>
      <c r="C645" t="s">
        <v>423</v>
      </c>
      <c r="F645" t="s">
        <v>422</v>
      </c>
      <c r="G645" t="s">
        <v>16</v>
      </c>
      <c r="H645" t="s">
        <v>15</v>
      </c>
      <c r="I645" t="s">
        <v>421</v>
      </c>
      <c r="J645" t="s">
        <v>415</v>
      </c>
      <c r="K645" t="s">
        <v>420</v>
      </c>
      <c r="L645" t="s">
        <v>419</v>
      </c>
      <c r="M645" t="s">
        <v>418</v>
      </c>
      <c r="N645">
        <v>2</v>
      </c>
      <c r="O645" t="s">
        <v>417</v>
      </c>
      <c r="P645" t="s">
        <v>416</v>
      </c>
      <c r="Q645" t="s">
        <v>415</v>
      </c>
      <c r="R645" s="7">
        <v>31413</v>
      </c>
      <c r="S645" s="8">
        <f t="shared" si="80"/>
        <v>1986</v>
      </c>
      <c r="T645" s="8">
        <v>1986</v>
      </c>
      <c r="U645" s="8">
        <f t="shared" si="81"/>
        <v>36</v>
      </c>
      <c r="V645" s="7">
        <v>31413</v>
      </c>
      <c r="W645" t="s">
        <v>414</v>
      </c>
      <c r="X645" s="2">
        <v>1.774</v>
      </c>
      <c r="Y645" s="6">
        <f t="shared" si="86"/>
        <v>4.7355916820159633E-2</v>
      </c>
      <c r="AA645">
        <v>295515</v>
      </c>
      <c r="AB645">
        <v>29066</v>
      </c>
      <c r="AC645">
        <v>17414326</v>
      </c>
      <c r="AD645" t="s">
        <v>5</v>
      </c>
      <c r="AE645">
        <v>26</v>
      </c>
      <c r="AF645">
        <v>1</v>
      </c>
      <c r="AH645" t="s">
        <v>413</v>
      </c>
      <c r="AI645" t="s">
        <v>412</v>
      </c>
      <c r="AK645" t="s">
        <v>411</v>
      </c>
      <c r="AL645">
        <v>7</v>
      </c>
      <c r="AM645" s="5">
        <f t="shared" si="82"/>
        <v>0.19444444444444445</v>
      </c>
      <c r="AN645" s="4">
        <f t="shared" si="87"/>
        <v>2.9450124111237325E-4</v>
      </c>
      <c r="AO645" s="3"/>
      <c r="AP645">
        <v>0</v>
      </c>
      <c r="AR645" t="s">
        <v>1</v>
      </c>
      <c r="AT645" s="2">
        <v>3.1789999999999998</v>
      </c>
      <c r="AU645" s="1">
        <f t="shared" si="83"/>
        <v>3.3237492146445455</v>
      </c>
      <c r="AV645" s="1">
        <f t="shared" si="84"/>
        <v>2.3825209030636003</v>
      </c>
      <c r="AW645" s="1">
        <f t="shared" si="85"/>
        <v>1.4412925914826549</v>
      </c>
    </row>
    <row r="646" spans="1:49" x14ac:dyDescent="0.2">
      <c r="A646">
        <v>644</v>
      </c>
      <c r="B646" t="s">
        <v>410</v>
      </c>
      <c r="C646" t="s">
        <v>409</v>
      </c>
      <c r="F646" t="s">
        <v>408</v>
      </c>
      <c r="G646" t="s">
        <v>16</v>
      </c>
      <c r="H646" t="s">
        <v>15</v>
      </c>
      <c r="I646" t="s">
        <v>407</v>
      </c>
      <c r="J646" t="s">
        <v>406</v>
      </c>
      <c r="K646" t="s">
        <v>405</v>
      </c>
      <c r="L646" t="s">
        <v>404</v>
      </c>
      <c r="M646" t="s">
        <v>403</v>
      </c>
      <c r="N646">
        <v>1</v>
      </c>
      <c r="O646" t="s">
        <v>402</v>
      </c>
      <c r="P646">
        <v>7404765306</v>
      </c>
      <c r="Q646" t="s">
        <v>401</v>
      </c>
      <c r="R646" s="7">
        <v>31413</v>
      </c>
      <c r="S646" s="8">
        <f t="shared" si="80"/>
        <v>1986</v>
      </c>
      <c r="T646" s="8">
        <v>1986</v>
      </c>
      <c r="U646" s="8">
        <f t="shared" si="81"/>
        <v>36</v>
      </c>
      <c r="V646" s="7">
        <v>31413</v>
      </c>
      <c r="W646" t="s">
        <v>400</v>
      </c>
      <c r="X646" s="2">
        <v>0.82799999999999996</v>
      </c>
      <c r="Y646" s="6">
        <f t="shared" si="86"/>
        <v>2.2102987106590855E-2</v>
      </c>
      <c r="AA646">
        <v>11452</v>
      </c>
      <c r="AB646">
        <v>29964</v>
      </c>
      <c r="AD646" t="s">
        <v>5</v>
      </c>
      <c r="AE646">
        <v>24</v>
      </c>
      <c r="AF646">
        <v>1</v>
      </c>
      <c r="AH646" t="s">
        <v>399</v>
      </c>
      <c r="AI646" t="s">
        <v>398</v>
      </c>
      <c r="AK646" t="s">
        <v>397</v>
      </c>
      <c r="AL646">
        <v>23</v>
      </c>
      <c r="AM646" s="5">
        <f t="shared" si="82"/>
        <v>0.63888888888888884</v>
      </c>
      <c r="AN646" s="4">
        <f t="shared" si="87"/>
        <v>9.676469350835121E-4</v>
      </c>
      <c r="AO646" s="3"/>
      <c r="AP646">
        <v>0</v>
      </c>
      <c r="AR646" t="s">
        <v>1</v>
      </c>
      <c r="AT646" s="2">
        <v>2.1269999999999998</v>
      </c>
      <c r="AU646" s="1">
        <f t="shared" si="83"/>
        <v>1.576238505513865</v>
      </c>
      <c r="AV646" s="1">
        <f t="shared" si="84"/>
        <v>1.1535317020837184</v>
      </c>
      <c r="AW646" s="1">
        <f t="shared" si="85"/>
        <v>0.73082489865357148</v>
      </c>
    </row>
    <row r="647" spans="1:49" x14ac:dyDescent="0.2">
      <c r="A647">
        <v>645</v>
      </c>
      <c r="B647" t="s">
        <v>396</v>
      </c>
      <c r="C647" t="s">
        <v>395</v>
      </c>
      <c r="F647" t="s">
        <v>394</v>
      </c>
      <c r="G647" t="s">
        <v>16</v>
      </c>
      <c r="H647" t="s">
        <v>15</v>
      </c>
      <c r="I647" t="s">
        <v>393</v>
      </c>
      <c r="J647">
        <v>60022054</v>
      </c>
      <c r="K647" t="s">
        <v>392</v>
      </c>
      <c r="L647" t="s">
        <v>391</v>
      </c>
      <c r="M647" t="s">
        <v>114</v>
      </c>
      <c r="N647">
        <v>2</v>
      </c>
      <c r="O647" t="s">
        <v>390</v>
      </c>
      <c r="P647" t="s">
        <v>389</v>
      </c>
      <c r="Q647" t="s">
        <v>388</v>
      </c>
      <c r="R647" s="7">
        <v>31413</v>
      </c>
      <c r="S647" s="8">
        <f t="shared" si="80"/>
        <v>1986</v>
      </c>
      <c r="T647" s="8">
        <v>1986</v>
      </c>
      <c r="U647" s="8">
        <f t="shared" si="81"/>
        <v>36</v>
      </c>
      <c r="V647" s="7">
        <v>1986</v>
      </c>
      <c r="W647" t="s">
        <v>387</v>
      </c>
      <c r="X647" s="2">
        <v>1.67</v>
      </c>
      <c r="Y647" s="6">
        <f t="shared" si="86"/>
        <v>4.4579696217399427E-2</v>
      </c>
      <c r="AA647">
        <v>1480227</v>
      </c>
      <c r="AB647">
        <v>28428</v>
      </c>
      <c r="AD647" t="s">
        <v>5</v>
      </c>
      <c r="AE647">
        <v>91</v>
      </c>
      <c r="AF647" t="s">
        <v>386</v>
      </c>
      <c r="AH647" t="s">
        <v>385</v>
      </c>
      <c r="AI647" t="s">
        <v>384</v>
      </c>
      <c r="AK647" t="s">
        <v>383</v>
      </c>
      <c r="AL647">
        <v>3</v>
      </c>
      <c r="AM647" s="5">
        <f t="shared" si="82"/>
        <v>8.3333333333333329E-2</v>
      </c>
      <c r="AN647" s="4">
        <f t="shared" si="87"/>
        <v>1.2621481761958852E-4</v>
      </c>
      <c r="AO647" s="3"/>
      <c r="AP647">
        <v>0</v>
      </c>
      <c r="AR647" t="s">
        <v>1</v>
      </c>
      <c r="AT647" s="2" t="s">
        <v>0</v>
      </c>
      <c r="AU647" s="1">
        <f t="shared" si="83"/>
        <v>3.1243651797465475</v>
      </c>
      <c r="AV647" s="1">
        <f t="shared" si="84"/>
        <v>2.235295551750951</v>
      </c>
      <c r="AW647" s="1">
        <f t="shared" si="85"/>
        <v>1.346225923755354</v>
      </c>
    </row>
    <row r="648" spans="1:49" x14ac:dyDescent="0.2">
      <c r="A648">
        <v>646</v>
      </c>
      <c r="B648" t="s">
        <v>382</v>
      </c>
      <c r="C648" t="s">
        <v>381</v>
      </c>
      <c r="E648">
        <v>3700720</v>
      </c>
      <c r="F648" t="s">
        <v>380</v>
      </c>
      <c r="G648" t="s">
        <v>16</v>
      </c>
      <c r="H648" t="s">
        <v>15</v>
      </c>
      <c r="I648" t="s">
        <v>379</v>
      </c>
      <c r="J648">
        <v>60000762</v>
      </c>
      <c r="K648" t="s">
        <v>378</v>
      </c>
      <c r="L648" t="s">
        <v>377</v>
      </c>
      <c r="M648" t="s">
        <v>376</v>
      </c>
      <c r="N648">
        <v>2</v>
      </c>
      <c r="O648" t="s">
        <v>375</v>
      </c>
      <c r="P648" t="s">
        <v>374</v>
      </c>
      <c r="Q648" t="s">
        <v>373</v>
      </c>
      <c r="R648" s="7">
        <v>31413</v>
      </c>
      <c r="S648" s="8">
        <f t="shared" si="80"/>
        <v>1986</v>
      </c>
      <c r="T648" s="8">
        <v>1986</v>
      </c>
      <c r="U648" s="8">
        <f t="shared" si="81"/>
        <v>36</v>
      </c>
      <c r="V648" s="7">
        <v>31517</v>
      </c>
      <c r="W648" t="s">
        <v>372</v>
      </c>
      <c r="X648" s="2">
        <v>1.855</v>
      </c>
      <c r="Y648" s="6">
        <f t="shared" si="86"/>
        <v>4.9518165558847867E-2</v>
      </c>
      <c r="AA648">
        <v>219967</v>
      </c>
      <c r="AB648">
        <v>16689</v>
      </c>
      <c r="AC648">
        <v>10969861</v>
      </c>
      <c r="AD648" t="s">
        <v>5</v>
      </c>
      <c r="AE648">
        <v>246</v>
      </c>
      <c r="AF648">
        <v>3</v>
      </c>
      <c r="AH648" t="s">
        <v>371</v>
      </c>
      <c r="AI648" t="s">
        <v>370</v>
      </c>
      <c r="AJ648" t="s">
        <v>369</v>
      </c>
      <c r="AK648" t="s">
        <v>368</v>
      </c>
      <c r="AL648">
        <v>150</v>
      </c>
      <c r="AM648" s="5">
        <f t="shared" si="82"/>
        <v>4.166666666666667</v>
      </c>
      <c r="AN648" s="4">
        <f t="shared" si="87"/>
        <v>6.310740880979427E-3</v>
      </c>
      <c r="AO648" s="3"/>
      <c r="AP648">
        <v>0</v>
      </c>
      <c r="AR648" t="s">
        <v>1</v>
      </c>
      <c r="AT648" s="2">
        <v>3.2149999999999999</v>
      </c>
      <c r="AU648" s="1">
        <f t="shared" si="83"/>
        <v>3.6555938155487335</v>
      </c>
      <c r="AV648" s="1">
        <f t="shared" si="84"/>
        <v>2.7914453219913646</v>
      </c>
      <c r="AW648" s="1">
        <f t="shared" si="85"/>
        <v>1.9272968284339955</v>
      </c>
    </row>
    <row r="649" spans="1:49" x14ac:dyDescent="0.2">
      <c r="A649">
        <v>647</v>
      </c>
      <c r="B649" t="s">
        <v>367</v>
      </c>
      <c r="C649" t="s">
        <v>366</v>
      </c>
      <c r="F649" t="s">
        <v>365</v>
      </c>
      <c r="G649" t="s">
        <v>16</v>
      </c>
      <c r="H649" t="s">
        <v>15</v>
      </c>
      <c r="I649" t="s">
        <v>364</v>
      </c>
      <c r="J649" t="s">
        <v>363</v>
      </c>
      <c r="K649" t="s">
        <v>362</v>
      </c>
      <c r="L649" t="s">
        <v>361</v>
      </c>
      <c r="M649" t="s">
        <v>360</v>
      </c>
      <c r="N649">
        <v>2</v>
      </c>
      <c r="O649" t="s">
        <v>359</v>
      </c>
      <c r="P649" t="s">
        <v>358</v>
      </c>
      <c r="Q649" t="s">
        <v>357</v>
      </c>
      <c r="R649" s="7">
        <v>31413</v>
      </c>
      <c r="S649" s="8">
        <f t="shared" si="80"/>
        <v>1986</v>
      </c>
      <c r="T649" s="8">
        <v>1986</v>
      </c>
      <c r="U649" s="8">
        <f t="shared" si="81"/>
        <v>36</v>
      </c>
      <c r="V649" s="7">
        <v>31413</v>
      </c>
      <c r="W649" t="s">
        <v>153</v>
      </c>
      <c r="X649" s="2">
        <v>1.6519999999999999</v>
      </c>
      <c r="Y649" s="6">
        <f t="shared" si="86"/>
        <v>4.409919649769093E-2</v>
      </c>
      <c r="AA649" t="s">
        <v>152</v>
      </c>
      <c r="AB649">
        <v>17337</v>
      </c>
      <c r="AC649">
        <v>15582221</v>
      </c>
      <c r="AD649" t="s">
        <v>5</v>
      </c>
      <c r="AE649">
        <v>34</v>
      </c>
      <c r="AF649">
        <v>1</v>
      </c>
      <c r="AH649" t="s">
        <v>356</v>
      </c>
      <c r="AI649" t="s">
        <v>355</v>
      </c>
      <c r="AK649" t="s">
        <v>354</v>
      </c>
      <c r="AL649">
        <v>4</v>
      </c>
      <c r="AM649" s="5">
        <f t="shared" si="82"/>
        <v>0.1111111111111111</v>
      </c>
      <c r="AN649" s="4">
        <f t="shared" si="87"/>
        <v>1.682864234927847E-4</v>
      </c>
      <c r="AO649" s="3"/>
      <c r="AP649">
        <v>0</v>
      </c>
      <c r="AR649" t="s">
        <v>1</v>
      </c>
      <c r="AT649" s="2" t="s">
        <v>0</v>
      </c>
      <c r="AU649" s="1">
        <f t="shared" si="83"/>
        <v>3.0919923475431483</v>
      </c>
      <c r="AV649" s="1">
        <f t="shared" si="84"/>
        <v>2.213374146059186</v>
      </c>
      <c r="AW649" s="1">
        <f t="shared" si="85"/>
        <v>1.3347559445752226</v>
      </c>
    </row>
    <row r="650" spans="1:49" x14ac:dyDescent="0.2">
      <c r="A650">
        <v>648</v>
      </c>
      <c r="B650" t="s">
        <v>353</v>
      </c>
      <c r="C650" t="s">
        <v>352</v>
      </c>
      <c r="F650" t="s">
        <v>351</v>
      </c>
      <c r="G650" t="s">
        <v>16</v>
      </c>
      <c r="H650" t="s">
        <v>15</v>
      </c>
      <c r="I650" t="s">
        <v>350</v>
      </c>
      <c r="N650">
        <v>7</v>
      </c>
      <c r="O650" t="s">
        <v>349</v>
      </c>
      <c r="P650" t="s">
        <v>348</v>
      </c>
      <c r="Q650" t="s">
        <v>347</v>
      </c>
      <c r="R650" s="7">
        <v>31413</v>
      </c>
      <c r="S650" s="8">
        <f t="shared" si="80"/>
        <v>1986</v>
      </c>
      <c r="T650" s="8">
        <v>1986</v>
      </c>
      <c r="U650" s="8">
        <f t="shared" si="81"/>
        <v>36</v>
      </c>
      <c r="V650" s="7">
        <v>31413</v>
      </c>
      <c r="W650" t="s">
        <v>346</v>
      </c>
      <c r="X650" s="2">
        <v>2.383</v>
      </c>
      <c r="Y650" s="6">
        <f t="shared" si="86"/>
        <v>6.3612824003630442E-2</v>
      </c>
      <c r="AA650">
        <v>189219</v>
      </c>
      <c r="AB650">
        <v>17915</v>
      </c>
      <c r="AC650">
        <v>15582256</v>
      </c>
      <c r="AD650" t="s">
        <v>5</v>
      </c>
      <c r="AE650">
        <v>74</v>
      </c>
      <c r="AF650">
        <v>1</v>
      </c>
      <c r="AH650" t="s">
        <v>345</v>
      </c>
      <c r="AI650" t="s">
        <v>344</v>
      </c>
      <c r="AK650" t="s">
        <v>343</v>
      </c>
      <c r="AL650">
        <v>2</v>
      </c>
      <c r="AM650" s="5">
        <f t="shared" si="82"/>
        <v>5.5555555555555552E-2</v>
      </c>
      <c r="AN650" s="4">
        <f t="shared" si="87"/>
        <v>8.4143211746392349E-5</v>
      </c>
      <c r="AO650" s="3"/>
      <c r="AP650">
        <v>0</v>
      </c>
      <c r="AR650" t="s">
        <v>1</v>
      </c>
      <c r="AT650" s="2">
        <v>10.961</v>
      </c>
      <c r="AU650" s="1">
        <f t="shared" si="83"/>
        <v>4.4554219766065222</v>
      </c>
      <c r="AV650" s="1">
        <f t="shared" si="84"/>
        <v>3.1848483607688416</v>
      </c>
      <c r="AW650" s="1">
        <f t="shared" si="85"/>
        <v>1.9142747449311608</v>
      </c>
    </row>
    <row r="651" spans="1:49" x14ac:dyDescent="0.2">
      <c r="A651">
        <v>649</v>
      </c>
      <c r="B651" t="s">
        <v>342</v>
      </c>
      <c r="C651" t="s">
        <v>341</v>
      </c>
      <c r="F651" t="s">
        <v>340</v>
      </c>
      <c r="G651" t="s">
        <v>16</v>
      </c>
      <c r="H651" t="s">
        <v>15</v>
      </c>
      <c r="I651" t="s">
        <v>339</v>
      </c>
      <c r="J651">
        <v>60014097</v>
      </c>
      <c r="K651" t="s">
        <v>338</v>
      </c>
      <c r="L651" t="s">
        <v>337</v>
      </c>
      <c r="M651" t="s">
        <v>336</v>
      </c>
      <c r="N651">
        <v>2</v>
      </c>
      <c r="O651" t="s">
        <v>335</v>
      </c>
      <c r="P651" t="s">
        <v>334</v>
      </c>
      <c r="Q651" t="s">
        <v>333</v>
      </c>
      <c r="R651" s="7">
        <v>31413</v>
      </c>
      <c r="S651" s="8">
        <f t="shared" si="80"/>
        <v>1986</v>
      </c>
      <c r="T651" s="8">
        <v>1986</v>
      </c>
      <c r="U651" s="8">
        <f t="shared" si="81"/>
        <v>36</v>
      </c>
      <c r="V651" s="7">
        <v>31413</v>
      </c>
      <c r="W651" t="s">
        <v>153</v>
      </c>
      <c r="X651" s="2">
        <v>1.6519999999999999</v>
      </c>
      <c r="Y651" s="6">
        <f t="shared" si="86"/>
        <v>4.409919649769093E-2</v>
      </c>
      <c r="AA651" t="s">
        <v>152</v>
      </c>
      <c r="AB651">
        <v>17337</v>
      </c>
      <c r="AC651">
        <v>15582221</v>
      </c>
      <c r="AD651" t="s">
        <v>5</v>
      </c>
      <c r="AE651">
        <v>34</v>
      </c>
      <c r="AF651">
        <v>1</v>
      </c>
      <c r="AH651" t="s">
        <v>332</v>
      </c>
      <c r="AI651" t="s">
        <v>331</v>
      </c>
      <c r="AK651" t="s">
        <v>330</v>
      </c>
      <c r="AL651">
        <v>7</v>
      </c>
      <c r="AM651" s="5">
        <f t="shared" si="82"/>
        <v>0.19444444444444445</v>
      </c>
      <c r="AN651" s="4">
        <f t="shared" si="87"/>
        <v>2.9450124111237325E-4</v>
      </c>
      <c r="AO651" s="3"/>
      <c r="AP651">
        <v>0</v>
      </c>
      <c r="AR651" t="s">
        <v>1</v>
      </c>
      <c r="AT651" s="2" t="s">
        <v>0</v>
      </c>
      <c r="AU651" s="1">
        <f t="shared" si="83"/>
        <v>3.0957787920717363</v>
      </c>
      <c r="AV651" s="1">
        <f t="shared" si="84"/>
        <v>2.2196848869401653</v>
      </c>
      <c r="AW651" s="1">
        <f t="shared" si="85"/>
        <v>1.3435909818085938</v>
      </c>
    </row>
    <row r="652" spans="1:49" x14ac:dyDescent="0.2">
      <c r="A652">
        <v>650</v>
      </c>
      <c r="B652" t="s">
        <v>329</v>
      </c>
      <c r="F652" t="s">
        <v>328</v>
      </c>
      <c r="G652" t="s">
        <v>16</v>
      </c>
      <c r="H652" t="s">
        <v>15</v>
      </c>
      <c r="I652" t="s">
        <v>327</v>
      </c>
      <c r="J652">
        <v>60032882</v>
      </c>
      <c r="K652" t="s">
        <v>326</v>
      </c>
      <c r="L652" t="s">
        <v>325</v>
      </c>
      <c r="M652" t="s">
        <v>212</v>
      </c>
      <c r="N652">
        <v>1</v>
      </c>
      <c r="O652" t="s">
        <v>324</v>
      </c>
      <c r="P652">
        <v>7003821814</v>
      </c>
      <c r="Q652">
        <v>60032882</v>
      </c>
      <c r="R652" s="7">
        <v>31413</v>
      </c>
      <c r="S652" s="8">
        <f t="shared" si="80"/>
        <v>1986</v>
      </c>
      <c r="T652" s="8">
        <v>1986</v>
      </c>
      <c r="U652" s="8">
        <f t="shared" si="81"/>
        <v>36</v>
      </c>
      <c r="V652" s="7">
        <v>31413</v>
      </c>
      <c r="W652" t="s">
        <v>323</v>
      </c>
      <c r="X652" s="2">
        <v>0.54700000000000004</v>
      </c>
      <c r="Y652" s="6">
        <f t="shared" si="86"/>
        <v>1.4601852593363766E-2</v>
      </c>
      <c r="AA652">
        <v>11096</v>
      </c>
      <c r="AB652">
        <v>31211</v>
      </c>
      <c r="AD652" t="s">
        <v>5</v>
      </c>
      <c r="AE652">
        <v>40</v>
      </c>
      <c r="AF652">
        <v>1</v>
      </c>
      <c r="AH652" t="s">
        <v>322</v>
      </c>
      <c r="AI652" t="s">
        <v>321</v>
      </c>
      <c r="AK652" t="s">
        <v>320</v>
      </c>
      <c r="AL652">
        <v>2</v>
      </c>
      <c r="AM652" s="5">
        <f t="shared" si="82"/>
        <v>5.5555555555555552E-2</v>
      </c>
      <c r="AN652" s="4">
        <f t="shared" si="87"/>
        <v>8.4143211746392349E-5</v>
      </c>
      <c r="AO652" s="3"/>
      <c r="AP652">
        <v>0</v>
      </c>
      <c r="AR652" t="s">
        <v>1</v>
      </c>
      <c r="AT652" s="2" t="s">
        <v>0</v>
      </c>
      <c r="AU652" s="1">
        <f t="shared" si="83"/>
        <v>1.0246539778878552</v>
      </c>
      <c r="AV652" s="1">
        <f t="shared" si="84"/>
        <v>0.73429979025550796</v>
      </c>
      <c r="AW652" s="1">
        <f t="shared" si="85"/>
        <v>0.44394560262316041</v>
      </c>
    </row>
    <row r="653" spans="1:49" x14ac:dyDescent="0.2">
      <c r="A653">
        <v>651</v>
      </c>
      <c r="B653" t="s">
        <v>319</v>
      </c>
      <c r="C653" t="s">
        <v>318</v>
      </c>
      <c r="F653" t="s">
        <v>317</v>
      </c>
      <c r="G653" t="s">
        <v>16</v>
      </c>
      <c r="H653" t="s">
        <v>15</v>
      </c>
      <c r="I653" t="s">
        <v>316</v>
      </c>
      <c r="N653">
        <v>2</v>
      </c>
      <c r="O653" t="s">
        <v>315</v>
      </c>
      <c r="P653" t="s">
        <v>314</v>
      </c>
      <c r="Q653" t="s">
        <v>313</v>
      </c>
      <c r="R653" s="7">
        <v>31413</v>
      </c>
      <c r="S653" s="8">
        <f t="shared" si="80"/>
        <v>1986</v>
      </c>
      <c r="T653" s="8">
        <v>1986</v>
      </c>
      <c r="U653" s="8">
        <f t="shared" si="81"/>
        <v>36</v>
      </c>
      <c r="V653" s="7" t="s">
        <v>294</v>
      </c>
      <c r="W653" t="s">
        <v>223</v>
      </c>
      <c r="X653" s="2">
        <v>0.371</v>
      </c>
      <c r="Y653" s="6">
        <f t="shared" si="86"/>
        <v>9.9036331117695747E-3</v>
      </c>
      <c r="AA653">
        <v>486604</v>
      </c>
      <c r="AB653">
        <v>28580</v>
      </c>
      <c r="AC653" t="s">
        <v>222</v>
      </c>
      <c r="AD653" t="s">
        <v>5</v>
      </c>
      <c r="AE653">
        <v>21</v>
      </c>
      <c r="AF653">
        <v>1</v>
      </c>
      <c r="AH653" t="s">
        <v>312</v>
      </c>
      <c r="AI653" t="s">
        <v>311</v>
      </c>
      <c r="AK653" t="s">
        <v>310</v>
      </c>
      <c r="AL653">
        <v>1</v>
      </c>
      <c r="AM653" s="5">
        <f t="shared" si="82"/>
        <v>2.7777777777777776E-2</v>
      </c>
      <c r="AN653" s="4">
        <f t="shared" si="87"/>
        <v>4.2071605873196175E-5</v>
      </c>
      <c r="AO653" s="3"/>
      <c r="AP653">
        <v>0</v>
      </c>
      <c r="AR653" t="s">
        <v>1</v>
      </c>
      <c r="AT653" s="2">
        <v>1.431</v>
      </c>
      <c r="AU653" s="1">
        <f t="shared" si="83"/>
        <v>0.694516466000066</v>
      </c>
      <c r="AV653" s="1">
        <f t="shared" si="84"/>
        <v>0.49728523588213858</v>
      </c>
      <c r="AW653" s="1">
        <f t="shared" si="85"/>
        <v>0.30005400576421098</v>
      </c>
    </row>
    <row r="654" spans="1:49" x14ac:dyDescent="0.2">
      <c r="A654">
        <v>652</v>
      </c>
      <c r="B654" t="s">
        <v>309</v>
      </c>
      <c r="C654" t="s">
        <v>308</v>
      </c>
      <c r="F654" t="s">
        <v>307</v>
      </c>
      <c r="G654" t="s">
        <v>16</v>
      </c>
      <c r="H654" t="s">
        <v>15</v>
      </c>
      <c r="I654" t="s">
        <v>306</v>
      </c>
      <c r="N654">
        <v>1</v>
      </c>
      <c r="O654" t="s">
        <v>305</v>
      </c>
      <c r="P654">
        <v>6603956870</v>
      </c>
      <c r="R654" s="7">
        <v>31413</v>
      </c>
      <c r="S654" s="8">
        <f t="shared" si="80"/>
        <v>1986</v>
      </c>
      <c r="T654" s="8">
        <v>1986</v>
      </c>
      <c r="U654" s="8">
        <f t="shared" si="81"/>
        <v>36</v>
      </c>
      <c r="V654" s="7" t="s">
        <v>294</v>
      </c>
      <c r="W654" t="s">
        <v>223</v>
      </c>
      <c r="X654" s="2">
        <v>0.371</v>
      </c>
      <c r="Y654" s="6">
        <f t="shared" si="86"/>
        <v>9.9036331117695747E-3</v>
      </c>
      <c r="AA654">
        <v>486604</v>
      </c>
      <c r="AB654">
        <v>28580</v>
      </c>
      <c r="AC654" t="s">
        <v>222</v>
      </c>
      <c r="AD654" t="s">
        <v>5</v>
      </c>
      <c r="AE654">
        <v>21</v>
      </c>
      <c r="AF654">
        <v>1</v>
      </c>
      <c r="AH654" t="s">
        <v>304</v>
      </c>
      <c r="AI654" t="s">
        <v>303</v>
      </c>
      <c r="AK654" t="s">
        <v>302</v>
      </c>
      <c r="AL654">
        <v>2</v>
      </c>
      <c r="AM654" s="5">
        <f t="shared" si="82"/>
        <v>5.5555555555555552E-2</v>
      </c>
      <c r="AN654" s="4">
        <f t="shared" si="87"/>
        <v>8.4143211746392349E-5</v>
      </c>
      <c r="AO654" s="3"/>
      <c r="AP654">
        <v>0</v>
      </c>
      <c r="AR654" t="s">
        <v>1</v>
      </c>
      <c r="AT654" s="2">
        <v>1.431</v>
      </c>
      <c r="AU654" s="1">
        <f t="shared" si="83"/>
        <v>0.69577861417626197</v>
      </c>
      <c r="AV654" s="1">
        <f t="shared" si="84"/>
        <v>0.49938881617579839</v>
      </c>
      <c r="AW654" s="1">
        <f t="shared" si="85"/>
        <v>0.3029990181753347</v>
      </c>
    </row>
    <row r="655" spans="1:49" x14ac:dyDescent="0.2">
      <c r="A655">
        <v>653</v>
      </c>
      <c r="B655" t="s">
        <v>301</v>
      </c>
      <c r="C655" t="s">
        <v>300</v>
      </c>
      <c r="F655" t="s">
        <v>299</v>
      </c>
      <c r="G655" t="s">
        <v>16</v>
      </c>
      <c r="H655" t="s">
        <v>15</v>
      </c>
      <c r="I655" t="s">
        <v>298</v>
      </c>
      <c r="N655">
        <v>3</v>
      </c>
      <c r="O655" t="s">
        <v>297</v>
      </c>
      <c r="P655" t="s">
        <v>296</v>
      </c>
      <c r="Q655" t="s">
        <v>295</v>
      </c>
      <c r="R655" s="7">
        <v>31413</v>
      </c>
      <c r="S655" s="8">
        <f t="shared" si="80"/>
        <v>1986</v>
      </c>
      <c r="T655" s="8">
        <v>1986</v>
      </c>
      <c r="U655" s="8">
        <f t="shared" si="81"/>
        <v>36</v>
      </c>
      <c r="V655" s="7" t="s">
        <v>294</v>
      </c>
      <c r="W655" t="s">
        <v>223</v>
      </c>
      <c r="X655" s="2">
        <v>0.371</v>
      </c>
      <c r="Y655" s="6">
        <f t="shared" si="86"/>
        <v>9.9036331117695747E-3</v>
      </c>
      <c r="AA655">
        <v>486604</v>
      </c>
      <c r="AB655">
        <v>28580</v>
      </c>
      <c r="AC655" t="s">
        <v>222</v>
      </c>
      <c r="AD655" t="s">
        <v>5</v>
      </c>
      <c r="AE655">
        <v>21</v>
      </c>
      <c r="AF655">
        <v>1</v>
      </c>
      <c r="AH655" t="s">
        <v>293</v>
      </c>
      <c r="AI655" t="s">
        <v>292</v>
      </c>
      <c r="AK655" t="s">
        <v>291</v>
      </c>
      <c r="AL655">
        <v>17</v>
      </c>
      <c r="AM655" s="5">
        <f t="shared" si="82"/>
        <v>0.47222222222222221</v>
      </c>
      <c r="AN655" s="4">
        <f t="shared" si="87"/>
        <v>7.15217299844335E-4</v>
      </c>
      <c r="AO655" s="3"/>
      <c r="AP655">
        <v>0</v>
      </c>
      <c r="AR655" t="s">
        <v>1</v>
      </c>
      <c r="AT655" s="2">
        <v>1.431</v>
      </c>
      <c r="AU655" s="1">
        <f t="shared" si="83"/>
        <v>0.71471083681920022</v>
      </c>
      <c r="AV655" s="1">
        <f t="shared" si="84"/>
        <v>0.53094252058069558</v>
      </c>
      <c r="AW655" s="1">
        <f t="shared" si="85"/>
        <v>0.34717420434219071</v>
      </c>
    </row>
    <row r="656" spans="1:49" x14ac:dyDescent="0.2">
      <c r="A656">
        <v>654</v>
      </c>
      <c r="B656" t="s">
        <v>290</v>
      </c>
      <c r="C656" t="s">
        <v>289</v>
      </c>
      <c r="F656" t="s">
        <v>288</v>
      </c>
      <c r="G656" t="s">
        <v>16</v>
      </c>
      <c r="H656" t="s">
        <v>15</v>
      </c>
      <c r="I656" t="s">
        <v>287</v>
      </c>
      <c r="N656">
        <v>1</v>
      </c>
      <c r="O656" t="s">
        <v>286</v>
      </c>
      <c r="P656">
        <v>55611893200</v>
      </c>
      <c r="R656" s="7">
        <v>31413</v>
      </c>
      <c r="S656" s="8">
        <f t="shared" si="80"/>
        <v>1986</v>
      </c>
      <c r="T656" s="8">
        <v>1986</v>
      </c>
      <c r="U656" s="8">
        <f t="shared" si="81"/>
        <v>36</v>
      </c>
      <c r="V656" s="7">
        <v>1986</v>
      </c>
      <c r="W656" t="s">
        <v>285</v>
      </c>
      <c r="X656" s="2" t="s">
        <v>0</v>
      </c>
      <c r="Y656" s="6" t="e">
        <f t="shared" si="86"/>
        <v>#VALUE!</v>
      </c>
      <c r="AA656">
        <v>3875024</v>
      </c>
      <c r="AB656">
        <v>110132</v>
      </c>
      <c r="AD656" t="s">
        <v>5</v>
      </c>
      <c r="AE656">
        <v>52</v>
      </c>
      <c r="AF656">
        <v>473</v>
      </c>
      <c r="AH656" t="s">
        <v>284</v>
      </c>
      <c r="AI656" t="s">
        <v>283</v>
      </c>
      <c r="AJ656" t="s">
        <v>282</v>
      </c>
      <c r="AK656" t="s">
        <v>281</v>
      </c>
      <c r="AL656">
        <v>1</v>
      </c>
      <c r="AM656" s="5">
        <f t="shared" si="82"/>
        <v>2.7777777777777776E-2</v>
      </c>
      <c r="AN656" s="4">
        <f t="shared" si="87"/>
        <v>4.2071605873196175E-5</v>
      </c>
      <c r="AO656" s="3"/>
      <c r="AP656">
        <v>1</v>
      </c>
      <c r="AR656" t="s">
        <v>1</v>
      </c>
      <c r="AT656" s="2" t="s">
        <v>0</v>
      </c>
      <c r="AU656" s="1" t="e">
        <f t="shared" si="83"/>
        <v>#VALUE!</v>
      </c>
      <c r="AV656" s="1" t="e">
        <f t="shared" si="84"/>
        <v>#VALUE!</v>
      </c>
      <c r="AW656" s="1" t="e">
        <f t="shared" si="85"/>
        <v>#VALUE!</v>
      </c>
    </row>
    <row r="657" spans="1:49" x14ac:dyDescent="0.2">
      <c r="A657">
        <v>655</v>
      </c>
      <c r="B657" t="s">
        <v>280</v>
      </c>
      <c r="C657" t="s">
        <v>279</v>
      </c>
      <c r="D657" t="s">
        <v>278</v>
      </c>
      <c r="F657" t="s">
        <v>277</v>
      </c>
      <c r="G657" t="s">
        <v>16</v>
      </c>
      <c r="H657" t="s">
        <v>15</v>
      </c>
      <c r="I657" t="s">
        <v>276</v>
      </c>
      <c r="J657" t="s">
        <v>270</v>
      </c>
      <c r="K657" t="s">
        <v>275</v>
      </c>
      <c r="L657" t="s">
        <v>274</v>
      </c>
      <c r="M657" t="s">
        <v>273</v>
      </c>
      <c r="N657">
        <v>2</v>
      </c>
      <c r="O657" t="s">
        <v>272</v>
      </c>
      <c r="P657" t="s">
        <v>271</v>
      </c>
      <c r="Q657" t="s">
        <v>270</v>
      </c>
      <c r="R657" s="7">
        <v>31413</v>
      </c>
      <c r="S657" s="8">
        <f t="shared" si="80"/>
        <v>1986</v>
      </c>
      <c r="T657" s="8">
        <v>1986</v>
      </c>
      <c r="U657" s="8">
        <f t="shared" si="81"/>
        <v>36</v>
      </c>
      <c r="V657" s="7">
        <v>1986</v>
      </c>
      <c r="W657" t="s">
        <v>255</v>
      </c>
      <c r="X657" s="2">
        <v>1.1359999999999999</v>
      </c>
      <c r="Y657" s="6">
        <f t="shared" si="86"/>
        <v>3.0324871199380689E-2</v>
      </c>
      <c r="AA657">
        <v>1676105</v>
      </c>
      <c r="AB657">
        <v>110486</v>
      </c>
      <c r="AD657" t="s">
        <v>5</v>
      </c>
      <c r="AE657">
        <v>23</v>
      </c>
      <c r="AF657" t="s">
        <v>254</v>
      </c>
      <c r="AH657" t="s">
        <v>269</v>
      </c>
      <c r="AI657" t="s">
        <v>268</v>
      </c>
      <c r="AK657" t="s">
        <v>267</v>
      </c>
      <c r="AL657">
        <v>1</v>
      </c>
      <c r="AM657" s="5">
        <f t="shared" si="82"/>
        <v>2.7777777777777776E-2</v>
      </c>
      <c r="AN657" s="4">
        <f t="shared" si="87"/>
        <v>4.2071605873196175E-5</v>
      </c>
      <c r="AO657" s="3"/>
      <c r="AP657">
        <v>0</v>
      </c>
      <c r="AR657" t="s">
        <v>1</v>
      </c>
      <c r="AT657" s="2" t="s">
        <v>0</v>
      </c>
      <c r="AU657" s="1">
        <f t="shared" si="83"/>
        <v>2.1240031321328439</v>
      </c>
      <c r="AV657" s="1">
        <f t="shared" si="84"/>
        <v>1.5183471402626942</v>
      </c>
      <c r="AW657" s="1">
        <f t="shared" si="85"/>
        <v>0.91269114839254428</v>
      </c>
    </row>
    <row r="658" spans="1:49" x14ac:dyDescent="0.2">
      <c r="A658">
        <v>656</v>
      </c>
      <c r="B658" t="s">
        <v>266</v>
      </c>
      <c r="C658" t="s">
        <v>265</v>
      </c>
      <c r="D658" t="s">
        <v>264</v>
      </c>
      <c r="F658" t="s">
        <v>263</v>
      </c>
      <c r="G658" t="s">
        <v>16</v>
      </c>
      <c r="H658" t="s">
        <v>15</v>
      </c>
      <c r="I658" t="s">
        <v>262</v>
      </c>
      <c r="J658" t="s">
        <v>256</v>
      </c>
      <c r="K658" t="s">
        <v>261</v>
      </c>
      <c r="L658" t="s">
        <v>260</v>
      </c>
      <c r="M658" t="s">
        <v>259</v>
      </c>
      <c r="N658">
        <v>2</v>
      </c>
      <c r="O658" t="s">
        <v>258</v>
      </c>
      <c r="P658" t="s">
        <v>257</v>
      </c>
      <c r="Q658" t="s">
        <v>256</v>
      </c>
      <c r="R658" s="7">
        <v>31413</v>
      </c>
      <c r="S658" s="8">
        <f t="shared" si="80"/>
        <v>1986</v>
      </c>
      <c r="T658" s="8">
        <v>1986</v>
      </c>
      <c r="U658" s="8">
        <f t="shared" si="81"/>
        <v>36</v>
      </c>
      <c r="V658" s="7">
        <v>1986</v>
      </c>
      <c r="W658" t="s">
        <v>255</v>
      </c>
      <c r="X658" s="2">
        <v>1.1359999999999999</v>
      </c>
      <c r="Y658" s="6">
        <f t="shared" si="86"/>
        <v>3.0324871199380689E-2</v>
      </c>
      <c r="AA658">
        <v>1676105</v>
      </c>
      <c r="AB658">
        <v>110486</v>
      </c>
      <c r="AD658" t="s">
        <v>5</v>
      </c>
      <c r="AE658">
        <v>23</v>
      </c>
      <c r="AF658" t="s">
        <v>254</v>
      </c>
      <c r="AH658" t="s">
        <v>253</v>
      </c>
      <c r="AI658" t="s">
        <v>252</v>
      </c>
      <c r="AK658" t="s">
        <v>251</v>
      </c>
      <c r="AL658">
        <v>10</v>
      </c>
      <c r="AM658" s="5">
        <f t="shared" si="82"/>
        <v>0.27777777777777779</v>
      </c>
      <c r="AN658" s="4">
        <f t="shared" si="87"/>
        <v>4.207160587319618E-4</v>
      </c>
      <c r="AO658" s="3"/>
      <c r="AP658">
        <v>0</v>
      </c>
      <c r="AR658" t="s">
        <v>1</v>
      </c>
      <c r="AT658" s="2" t="s">
        <v>0</v>
      </c>
      <c r="AU658" s="1">
        <f t="shared" si="83"/>
        <v>2.135362465718607</v>
      </c>
      <c r="AV658" s="1">
        <f t="shared" si="84"/>
        <v>1.5372793629056325</v>
      </c>
      <c r="AW658" s="1">
        <f t="shared" si="85"/>
        <v>0.939196260092658</v>
      </c>
    </row>
    <row r="659" spans="1:49" x14ac:dyDescent="0.2">
      <c r="A659">
        <v>657</v>
      </c>
      <c r="B659" t="s">
        <v>250</v>
      </c>
      <c r="C659" t="s">
        <v>249</v>
      </c>
      <c r="F659" t="s">
        <v>248</v>
      </c>
      <c r="G659" t="s">
        <v>16</v>
      </c>
      <c r="H659" t="s">
        <v>15</v>
      </c>
      <c r="I659" t="s">
        <v>247</v>
      </c>
      <c r="J659">
        <v>60032587</v>
      </c>
      <c r="K659" t="s">
        <v>246</v>
      </c>
      <c r="L659" t="s">
        <v>245</v>
      </c>
      <c r="M659" t="s">
        <v>244</v>
      </c>
      <c r="N659">
        <v>1</v>
      </c>
      <c r="O659" t="s">
        <v>243</v>
      </c>
      <c r="P659">
        <v>6701788189</v>
      </c>
      <c r="Q659">
        <v>60032587</v>
      </c>
      <c r="R659" s="7">
        <v>31413</v>
      </c>
      <c r="S659" s="8">
        <f t="shared" ref="S659:S676" si="88">YEAR(R659)</f>
        <v>1986</v>
      </c>
      <c r="T659" s="8">
        <v>1986</v>
      </c>
      <c r="U659" s="8">
        <f t="shared" ref="U659:U676" si="89">2022-T659</f>
        <v>36</v>
      </c>
      <c r="V659" s="7">
        <v>31564</v>
      </c>
      <c r="W659" t="s">
        <v>153</v>
      </c>
      <c r="X659" s="2">
        <v>1.6519999999999999</v>
      </c>
      <c r="Y659" s="6">
        <f t="shared" si="86"/>
        <v>4.409919649769093E-2</v>
      </c>
      <c r="AA659" t="s">
        <v>152</v>
      </c>
      <c r="AB659">
        <v>17337</v>
      </c>
      <c r="AC659">
        <v>15582221</v>
      </c>
      <c r="AD659" t="s">
        <v>5</v>
      </c>
      <c r="AE659">
        <v>34</v>
      </c>
      <c r="AF659">
        <v>6</v>
      </c>
      <c r="AH659" t="s">
        <v>242</v>
      </c>
      <c r="AI659" t="s">
        <v>241</v>
      </c>
      <c r="AK659" t="s">
        <v>240</v>
      </c>
      <c r="AL659">
        <v>8</v>
      </c>
      <c r="AM659" s="5">
        <f t="shared" ref="AM659:AM676" si="90">AL659/U659</f>
        <v>0.22222222222222221</v>
      </c>
      <c r="AN659" s="4">
        <f t="shared" si="87"/>
        <v>3.365728469855694E-4</v>
      </c>
      <c r="AO659" s="3"/>
      <c r="AP659">
        <v>0</v>
      </c>
      <c r="AR659" t="s">
        <v>1</v>
      </c>
      <c r="AT659" s="2" t="s">
        <v>0</v>
      </c>
      <c r="AU659" s="1">
        <f t="shared" ref="AU659:AU676" si="91">(Y659*0.7+AN659*0.3)*100</f>
        <v>3.0970409402479322</v>
      </c>
      <c r="AV659" s="1">
        <f t="shared" ref="AV659:AV676" si="92">(Y659*0.5+AN659*0.5)*100</f>
        <v>2.2217884672338251</v>
      </c>
      <c r="AW659" s="1">
        <f t="shared" ref="AW659:AW676" si="93">(Y659*0.3+AN659*0.7)*100</f>
        <v>1.3465359942197175</v>
      </c>
    </row>
    <row r="660" spans="1:49" x14ac:dyDescent="0.2">
      <c r="A660">
        <v>658</v>
      </c>
      <c r="B660" t="s">
        <v>239</v>
      </c>
      <c r="C660" t="s">
        <v>238</v>
      </c>
      <c r="F660" t="s">
        <v>237</v>
      </c>
      <c r="G660" t="s">
        <v>16</v>
      </c>
      <c r="H660" t="s">
        <v>15</v>
      </c>
      <c r="I660" t="s">
        <v>236</v>
      </c>
      <c r="J660">
        <v>60015099</v>
      </c>
      <c r="K660" t="s">
        <v>235</v>
      </c>
      <c r="L660" t="s">
        <v>234</v>
      </c>
      <c r="M660" t="s">
        <v>114</v>
      </c>
      <c r="N660">
        <v>1</v>
      </c>
      <c r="O660" t="s">
        <v>233</v>
      </c>
      <c r="P660">
        <v>56717808400</v>
      </c>
      <c r="Q660">
        <v>60015099</v>
      </c>
      <c r="R660" s="7">
        <v>31413</v>
      </c>
      <c r="S660" s="8">
        <f t="shared" si="88"/>
        <v>1986</v>
      </c>
      <c r="T660" s="8">
        <v>1986</v>
      </c>
      <c r="U660" s="8">
        <f t="shared" si="89"/>
        <v>36</v>
      </c>
      <c r="V660" s="7">
        <v>31564</v>
      </c>
      <c r="W660" t="s">
        <v>153</v>
      </c>
      <c r="X660" s="2">
        <v>1.6519999999999999</v>
      </c>
      <c r="Y660" s="6">
        <f t="shared" si="86"/>
        <v>4.409919649769093E-2</v>
      </c>
      <c r="AA660" t="s">
        <v>152</v>
      </c>
      <c r="AB660">
        <v>17337</v>
      </c>
      <c r="AC660">
        <v>15582221</v>
      </c>
      <c r="AD660" t="s">
        <v>5</v>
      </c>
      <c r="AE660">
        <v>34</v>
      </c>
      <c r="AF660">
        <v>6</v>
      </c>
      <c r="AH660" t="s">
        <v>232</v>
      </c>
      <c r="AI660" t="s">
        <v>231</v>
      </c>
      <c r="AK660" t="s">
        <v>230</v>
      </c>
      <c r="AL660">
        <v>4</v>
      </c>
      <c r="AM660" s="5">
        <f t="shared" si="90"/>
        <v>0.1111111111111111</v>
      </c>
      <c r="AN660" s="4">
        <f t="shared" si="87"/>
        <v>1.682864234927847E-4</v>
      </c>
      <c r="AO660" s="3"/>
      <c r="AP660">
        <v>0</v>
      </c>
      <c r="AR660" t="s">
        <v>1</v>
      </c>
      <c r="AT660" s="2" t="s">
        <v>0</v>
      </c>
      <c r="AU660" s="1">
        <f t="shared" si="91"/>
        <v>3.0919923475431483</v>
      </c>
      <c r="AV660" s="1">
        <f t="shared" si="92"/>
        <v>2.213374146059186</v>
      </c>
      <c r="AW660" s="1">
        <f t="shared" si="93"/>
        <v>1.3347559445752226</v>
      </c>
    </row>
    <row r="661" spans="1:49" x14ac:dyDescent="0.2">
      <c r="A661">
        <v>659</v>
      </c>
      <c r="B661" t="s">
        <v>229</v>
      </c>
      <c r="C661" t="s">
        <v>228</v>
      </c>
      <c r="F661" t="s">
        <v>227</v>
      </c>
      <c r="G661" t="s">
        <v>16</v>
      </c>
      <c r="H661" t="s">
        <v>15</v>
      </c>
      <c r="I661" t="s">
        <v>226</v>
      </c>
      <c r="N661">
        <v>1</v>
      </c>
      <c r="O661" t="s">
        <v>225</v>
      </c>
      <c r="P661">
        <v>7006701810</v>
      </c>
      <c r="R661" s="7">
        <v>31413</v>
      </c>
      <c r="S661" s="8">
        <f t="shared" si="88"/>
        <v>1986</v>
      </c>
      <c r="T661" s="8">
        <v>1986</v>
      </c>
      <c r="U661" s="8">
        <f t="shared" si="89"/>
        <v>36</v>
      </c>
      <c r="V661" s="7" t="s">
        <v>224</v>
      </c>
      <c r="W661" t="s">
        <v>223</v>
      </c>
      <c r="X661" s="2">
        <v>0.371</v>
      </c>
      <c r="Y661" s="6">
        <f t="shared" si="86"/>
        <v>9.9036331117695747E-3</v>
      </c>
      <c r="AA661">
        <v>486604</v>
      </c>
      <c r="AB661">
        <v>28580</v>
      </c>
      <c r="AC661" t="s">
        <v>222</v>
      </c>
      <c r="AD661" t="s">
        <v>5</v>
      </c>
      <c r="AE661">
        <v>21</v>
      </c>
      <c r="AF661">
        <v>3</v>
      </c>
      <c r="AH661" t="s">
        <v>221</v>
      </c>
      <c r="AI661" t="s">
        <v>220</v>
      </c>
      <c r="AK661" t="s">
        <v>219</v>
      </c>
      <c r="AL661">
        <v>80</v>
      </c>
      <c r="AM661" s="5">
        <f t="shared" si="90"/>
        <v>2.2222222222222223</v>
      </c>
      <c r="AN661" s="4">
        <f t="shared" si="87"/>
        <v>3.3657284698556944E-3</v>
      </c>
      <c r="AO661" s="3"/>
      <c r="AP661">
        <v>0</v>
      </c>
      <c r="AR661" t="s">
        <v>1</v>
      </c>
      <c r="AT661" s="2">
        <v>1.431</v>
      </c>
      <c r="AU661" s="1">
        <f t="shared" si="91"/>
        <v>0.79422617191954104</v>
      </c>
      <c r="AV661" s="1">
        <f t="shared" si="92"/>
        <v>0.66346807908126348</v>
      </c>
      <c r="AW661" s="1">
        <f t="shared" si="93"/>
        <v>0.53270998624298582</v>
      </c>
    </row>
    <row r="662" spans="1:49" x14ac:dyDescent="0.2">
      <c r="A662">
        <v>660</v>
      </c>
      <c r="B662" t="s">
        <v>218</v>
      </c>
      <c r="C662" t="s">
        <v>217</v>
      </c>
      <c r="F662" t="s">
        <v>216</v>
      </c>
      <c r="G662" t="s">
        <v>16</v>
      </c>
      <c r="H662" t="s">
        <v>15</v>
      </c>
      <c r="I662" t="s">
        <v>215</v>
      </c>
      <c r="J662">
        <v>60003878</v>
      </c>
      <c r="K662" t="s">
        <v>214</v>
      </c>
      <c r="L662" t="s">
        <v>213</v>
      </c>
      <c r="M662" t="s">
        <v>212</v>
      </c>
      <c r="N662">
        <v>4</v>
      </c>
      <c r="O662" t="s">
        <v>211</v>
      </c>
      <c r="P662" t="s">
        <v>210</v>
      </c>
      <c r="Q662" t="s">
        <v>209</v>
      </c>
      <c r="R662" s="7">
        <v>31413</v>
      </c>
      <c r="S662" s="8">
        <f t="shared" si="88"/>
        <v>1986</v>
      </c>
      <c r="T662" s="8">
        <v>1986</v>
      </c>
      <c r="U662" s="8">
        <f t="shared" si="89"/>
        <v>36</v>
      </c>
      <c r="V662" s="7">
        <v>31413</v>
      </c>
      <c r="W662" t="s">
        <v>95</v>
      </c>
      <c r="X662" s="2">
        <v>1.1579999999999999</v>
      </c>
      <c r="Y662" s="6">
        <f t="shared" si="86"/>
        <v>3.0912148634579962E-2</v>
      </c>
      <c r="AA662">
        <v>1668595</v>
      </c>
      <c r="AB662">
        <v>14223</v>
      </c>
      <c r="AC662">
        <v>15735079</v>
      </c>
      <c r="AD662" t="s">
        <v>5</v>
      </c>
      <c r="AE662">
        <v>7</v>
      </c>
      <c r="AF662">
        <v>3</v>
      </c>
      <c r="AH662" t="s">
        <v>208</v>
      </c>
      <c r="AI662" t="s">
        <v>207</v>
      </c>
      <c r="AJ662" t="s">
        <v>206</v>
      </c>
      <c r="AK662" t="s">
        <v>205</v>
      </c>
      <c r="AL662">
        <v>40</v>
      </c>
      <c r="AM662" s="5">
        <f t="shared" si="90"/>
        <v>1.1111111111111112</v>
      </c>
      <c r="AN662" s="4">
        <f t="shared" si="87"/>
        <v>1.6828642349278472E-3</v>
      </c>
      <c r="AO662" s="3"/>
      <c r="AP662">
        <v>0</v>
      </c>
      <c r="AR662" t="s">
        <v>1</v>
      </c>
      <c r="AT662" s="2">
        <v>3.573</v>
      </c>
      <c r="AU662" s="1">
        <f t="shared" si="91"/>
        <v>2.2143363314684326</v>
      </c>
      <c r="AV662" s="1">
        <f t="shared" si="92"/>
        <v>1.6297506434753903</v>
      </c>
      <c r="AW662" s="1">
        <f t="shared" si="93"/>
        <v>1.0451649554823481</v>
      </c>
    </row>
    <row r="663" spans="1:49" x14ac:dyDescent="0.2">
      <c r="A663">
        <v>661</v>
      </c>
      <c r="B663" t="s">
        <v>204</v>
      </c>
      <c r="C663" t="s">
        <v>203</v>
      </c>
      <c r="F663" t="s">
        <v>202</v>
      </c>
      <c r="G663" t="s">
        <v>16</v>
      </c>
      <c r="H663" t="s">
        <v>15</v>
      </c>
      <c r="I663" t="s">
        <v>201</v>
      </c>
      <c r="J663">
        <v>60008134</v>
      </c>
      <c r="K663" t="s">
        <v>200</v>
      </c>
      <c r="L663" t="s">
        <v>199</v>
      </c>
      <c r="M663" t="s">
        <v>59</v>
      </c>
      <c r="N663">
        <v>2</v>
      </c>
      <c r="O663" t="s">
        <v>198</v>
      </c>
      <c r="P663" t="s">
        <v>197</v>
      </c>
      <c r="Q663" t="s">
        <v>196</v>
      </c>
      <c r="R663" s="7">
        <v>31413</v>
      </c>
      <c r="S663" s="8">
        <f t="shared" si="88"/>
        <v>1986</v>
      </c>
      <c r="T663" s="8">
        <v>1986</v>
      </c>
      <c r="U663" s="8">
        <f t="shared" si="89"/>
        <v>36</v>
      </c>
      <c r="V663" s="7">
        <v>31413</v>
      </c>
      <c r="W663" t="s">
        <v>95</v>
      </c>
      <c r="X663" s="2">
        <v>1.1579999999999999</v>
      </c>
      <c r="Y663" s="6">
        <f t="shared" si="86"/>
        <v>3.0912148634579962E-2</v>
      </c>
      <c r="AA663">
        <v>1668595</v>
      </c>
      <c r="AB663">
        <v>14223</v>
      </c>
      <c r="AC663">
        <v>15735079</v>
      </c>
      <c r="AD663" t="s">
        <v>5</v>
      </c>
      <c r="AE663">
        <v>7</v>
      </c>
      <c r="AF663">
        <v>3</v>
      </c>
      <c r="AH663" t="s">
        <v>195</v>
      </c>
      <c r="AI663" t="s">
        <v>194</v>
      </c>
      <c r="AJ663" t="s">
        <v>193</v>
      </c>
      <c r="AK663" t="s">
        <v>192</v>
      </c>
      <c r="AL663">
        <v>7</v>
      </c>
      <c r="AM663" s="5">
        <f t="shared" si="90"/>
        <v>0.19444444444444445</v>
      </c>
      <c r="AN663" s="4">
        <f t="shared" si="87"/>
        <v>2.9450124111237325E-4</v>
      </c>
      <c r="AO663" s="3"/>
      <c r="AP663">
        <v>0</v>
      </c>
      <c r="AR663" t="s">
        <v>1</v>
      </c>
      <c r="AT663" s="2">
        <v>3.573</v>
      </c>
      <c r="AU663" s="1">
        <f t="shared" si="91"/>
        <v>2.1726854416539685</v>
      </c>
      <c r="AV663" s="1">
        <f t="shared" si="92"/>
        <v>1.5603324937846168</v>
      </c>
      <c r="AW663" s="1">
        <f t="shared" si="93"/>
        <v>0.9479795459152649</v>
      </c>
    </row>
    <row r="664" spans="1:49" x14ac:dyDescent="0.2">
      <c r="A664">
        <v>662</v>
      </c>
      <c r="B664" t="s">
        <v>191</v>
      </c>
      <c r="C664" t="s">
        <v>190</v>
      </c>
      <c r="F664" t="s">
        <v>189</v>
      </c>
      <c r="G664" t="s">
        <v>16</v>
      </c>
      <c r="H664" t="s">
        <v>15</v>
      </c>
      <c r="I664" t="s">
        <v>188</v>
      </c>
      <c r="J664">
        <v>60007313</v>
      </c>
      <c r="K664" t="s">
        <v>187</v>
      </c>
      <c r="L664" t="s">
        <v>186</v>
      </c>
      <c r="M664" t="s">
        <v>114</v>
      </c>
      <c r="N664">
        <v>2</v>
      </c>
      <c r="O664" t="s">
        <v>185</v>
      </c>
      <c r="P664" t="s">
        <v>184</v>
      </c>
      <c r="Q664" t="s">
        <v>183</v>
      </c>
      <c r="R664" s="7">
        <v>31413</v>
      </c>
      <c r="S664" s="8">
        <f t="shared" si="88"/>
        <v>1986</v>
      </c>
      <c r="T664" s="8">
        <v>1986</v>
      </c>
      <c r="U664" s="8">
        <f t="shared" si="89"/>
        <v>36</v>
      </c>
      <c r="V664" s="7">
        <v>31413</v>
      </c>
      <c r="W664" t="s">
        <v>182</v>
      </c>
      <c r="X664" s="2">
        <v>0.76500000000000001</v>
      </c>
      <c r="Y664" s="6">
        <f t="shared" si="86"/>
        <v>2.0421238087611118E-2</v>
      </c>
      <c r="AA664">
        <v>138703</v>
      </c>
      <c r="AB664">
        <v>19793</v>
      </c>
      <c r="AC664">
        <v>15707458</v>
      </c>
      <c r="AD664" t="s">
        <v>5</v>
      </c>
      <c r="AE664">
        <v>40</v>
      </c>
      <c r="AF664">
        <v>1</v>
      </c>
      <c r="AH664" s="9">
        <v>44533</v>
      </c>
      <c r="AI664" t="s">
        <v>181</v>
      </c>
      <c r="AJ664" t="s">
        <v>180</v>
      </c>
      <c r="AK664" t="s">
        <v>179</v>
      </c>
      <c r="AL664">
        <v>21</v>
      </c>
      <c r="AM664" s="5">
        <f t="shared" si="90"/>
        <v>0.58333333333333337</v>
      </c>
      <c r="AN664" s="4">
        <f t="shared" si="87"/>
        <v>8.835037233371198E-4</v>
      </c>
      <c r="AO664" s="3"/>
      <c r="AP664">
        <v>0</v>
      </c>
      <c r="AR664" t="s">
        <v>1</v>
      </c>
      <c r="AT664" s="2" t="s">
        <v>0</v>
      </c>
      <c r="AU664" s="1">
        <f t="shared" si="91"/>
        <v>1.4559917778328917</v>
      </c>
      <c r="AV664" s="1">
        <f t="shared" si="92"/>
        <v>1.0652370905474118</v>
      </c>
      <c r="AW664" s="1">
        <f t="shared" si="93"/>
        <v>0.67448240326193187</v>
      </c>
    </row>
    <row r="665" spans="1:49" x14ac:dyDescent="0.2">
      <c r="A665">
        <v>663</v>
      </c>
      <c r="B665" t="s">
        <v>178</v>
      </c>
      <c r="C665" t="s">
        <v>177</v>
      </c>
      <c r="F665" t="s">
        <v>176</v>
      </c>
      <c r="G665" t="s">
        <v>16</v>
      </c>
      <c r="H665" t="s">
        <v>15</v>
      </c>
      <c r="I665" t="s">
        <v>175</v>
      </c>
      <c r="J665" t="s">
        <v>174</v>
      </c>
      <c r="K665" t="s">
        <v>173</v>
      </c>
      <c r="L665" t="s">
        <v>172</v>
      </c>
      <c r="M665" t="s">
        <v>171</v>
      </c>
      <c r="N665">
        <v>2</v>
      </c>
      <c r="O665" t="s">
        <v>170</v>
      </c>
      <c r="P665" t="s">
        <v>169</v>
      </c>
      <c r="Q665" t="s">
        <v>168</v>
      </c>
      <c r="R665" s="7">
        <v>31413</v>
      </c>
      <c r="S665" s="8">
        <f t="shared" si="88"/>
        <v>1986</v>
      </c>
      <c r="T665" s="8">
        <v>1986</v>
      </c>
      <c r="U665" s="8">
        <f t="shared" si="89"/>
        <v>36</v>
      </c>
      <c r="V665" s="7">
        <v>1986</v>
      </c>
      <c r="W665" t="s">
        <v>40</v>
      </c>
      <c r="X665" s="2">
        <v>1.994</v>
      </c>
      <c r="Y665" s="6">
        <f t="shared" si="86"/>
        <v>5.322869117215237E-2</v>
      </c>
      <c r="AA665">
        <v>249297</v>
      </c>
      <c r="AB665">
        <v>21100779404</v>
      </c>
      <c r="AC665">
        <v>15205835</v>
      </c>
      <c r="AD665" t="s">
        <v>5</v>
      </c>
      <c r="AE665">
        <v>19</v>
      </c>
      <c r="AF665">
        <v>1</v>
      </c>
      <c r="AH665" t="s">
        <v>167</v>
      </c>
      <c r="AI665" t="s">
        <v>166</v>
      </c>
      <c r="AK665" t="s">
        <v>165</v>
      </c>
      <c r="AL665">
        <v>66</v>
      </c>
      <c r="AM665" s="5">
        <f t="shared" si="90"/>
        <v>1.8333333333333333</v>
      </c>
      <c r="AN665" s="4">
        <f t="shared" si="87"/>
        <v>2.7767259876309478E-3</v>
      </c>
      <c r="AO665" s="3"/>
      <c r="AP665">
        <v>0</v>
      </c>
      <c r="AR665" t="s">
        <v>1</v>
      </c>
      <c r="AT665" s="2">
        <v>5.9850000000000003</v>
      </c>
      <c r="AU665" s="1">
        <f t="shared" si="91"/>
        <v>3.8093101616795937</v>
      </c>
      <c r="AV665" s="1">
        <f t="shared" si="92"/>
        <v>2.8002708579891662</v>
      </c>
      <c r="AW665" s="1">
        <f t="shared" si="93"/>
        <v>1.7912315542987376</v>
      </c>
    </row>
    <row r="666" spans="1:49" x14ac:dyDescent="0.2">
      <c r="A666">
        <v>664</v>
      </c>
      <c r="B666" t="s">
        <v>164</v>
      </c>
      <c r="C666" t="s">
        <v>163</v>
      </c>
      <c r="F666" t="s">
        <v>162</v>
      </c>
      <c r="G666" t="s">
        <v>16</v>
      </c>
      <c r="H666" t="s">
        <v>15</v>
      </c>
      <c r="I666" t="s">
        <v>161</v>
      </c>
      <c r="J666" t="s">
        <v>160</v>
      </c>
      <c r="K666" t="s">
        <v>159</v>
      </c>
      <c r="L666" t="s">
        <v>158</v>
      </c>
      <c r="M666" t="s">
        <v>157</v>
      </c>
      <c r="N666">
        <v>3</v>
      </c>
      <c r="O666" t="s">
        <v>156</v>
      </c>
      <c r="P666" t="s">
        <v>155</v>
      </c>
      <c r="Q666" t="s">
        <v>154</v>
      </c>
      <c r="R666" s="7">
        <v>31413</v>
      </c>
      <c r="S666" s="8">
        <f t="shared" si="88"/>
        <v>1986</v>
      </c>
      <c r="T666" s="8">
        <v>1986</v>
      </c>
      <c r="U666" s="8">
        <f t="shared" si="89"/>
        <v>36</v>
      </c>
      <c r="V666" s="7">
        <v>31656</v>
      </c>
      <c r="W666" t="s">
        <v>153</v>
      </c>
      <c r="X666" s="2">
        <v>1.6519999999999999</v>
      </c>
      <c r="Y666" s="6">
        <f t="shared" si="86"/>
        <v>4.409919649769093E-2</v>
      </c>
      <c r="AA666" t="s">
        <v>152</v>
      </c>
      <c r="AB666">
        <v>17337</v>
      </c>
      <c r="AC666">
        <v>15582221</v>
      </c>
      <c r="AD666" t="s">
        <v>5</v>
      </c>
      <c r="AE666">
        <v>34</v>
      </c>
      <c r="AF666">
        <v>9</v>
      </c>
      <c r="AH666" t="s">
        <v>151</v>
      </c>
      <c r="AI666" t="s">
        <v>150</v>
      </c>
      <c r="AK666" t="s">
        <v>149</v>
      </c>
      <c r="AL666">
        <v>59</v>
      </c>
      <c r="AM666" s="5">
        <f t="shared" si="90"/>
        <v>1.6388888888888888</v>
      </c>
      <c r="AN666" s="4">
        <f t="shared" si="87"/>
        <v>2.4822247465185747E-3</v>
      </c>
      <c r="AO666" s="3"/>
      <c r="AP666">
        <v>0</v>
      </c>
      <c r="AR666" t="s">
        <v>1</v>
      </c>
      <c r="AT666" s="2" t="s">
        <v>0</v>
      </c>
      <c r="AU666" s="1">
        <f t="shared" si="91"/>
        <v>3.1614104972339221</v>
      </c>
      <c r="AV666" s="1">
        <f t="shared" si="92"/>
        <v>2.3290710622104753</v>
      </c>
      <c r="AW666" s="1">
        <f t="shared" si="93"/>
        <v>1.4967316271870281</v>
      </c>
    </row>
    <row r="667" spans="1:49" x14ac:dyDescent="0.2">
      <c r="A667">
        <v>665</v>
      </c>
      <c r="B667" t="s">
        <v>148</v>
      </c>
      <c r="C667" t="s">
        <v>147</v>
      </c>
      <c r="D667">
        <v>10465586901451</v>
      </c>
      <c r="F667" t="s">
        <v>146</v>
      </c>
      <c r="G667" t="s">
        <v>16</v>
      </c>
      <c r="H667" t="s">
        <v>15</v>
      </c>
      <c r="I667" t="s">
        <v>145</v>
      </c>
      <c r="J667">
        <v>60004280</v>
      </c>
      <c r="K667" t="s">
        <v>144</v>
      </c>
      <c r="L667" t="s">
        <v>143</v>
      </c>
      <c r="M667" t="s">
        <v>142</v>
      </c>
      <c r="N667">
        <v>4</v>
      </c>
      <c r="O667" t="s">
        <v>141</v>
      </c>
      <c r="P667" t="s">
        <v>140</v>
      </c>
      <c r="Q667" t="s">
        <v>139</v>
      </c>
      <c r="R667" s="7">
        <v>31413</v>
      </c>
      <c r="S667" s="8">
        <f t="shared" si="88"/>
        <v>1986</v>
      </c>
      <c r="T667" s="8">
        <v>1986</v>
      </c>
      <c r="U667" s="8">
        <f t="shared" si="89"/>
        <v>36</v>
      </c>
      <c r="V667" s="7">
        <v>31533</v>
      </c>
      <c r="W667" t="s">
        <v>138</v>
      </c>
      <c r="X667" s="2">
        <v>1.319</v>
      </c>
      <c r="Y667" s="6">
        <f t="shared" si="86"/>
        <v>3.5209951683083739E-2</v>
      </c>
      <c r="AA667">
        <v>104655</v>
      </c>
      <c r="AB667">
        <v>13184</v>
      </c>
      <c r="AD667" t="s">
        <v>5</v>
      </c>
      <c r="AE667">
        <v>40</v>
      </c>
      <c r="AF667">
        <v>1</v>
      </c>
      <c r="AH667" s="10">
        <v>44562</v>
      </c>
      <c r="AI667" t="s">
        <v>137</v>
      </c>
      <c r="AK667" t="s">
        <v>136</v>
      </c>
      <c r="AL667">
        <v>60</v>
      </c>
      <c r="AM667" s="5">
        <f t="shared" si="90"/>
        <v>1.6666666666666667</v>
      </c>
      <c r="AN667" s="4">
        <f t="shared" si="87"/>
        <v>2.5242963523917708E-3</v>
      </c>
      <c r="AO667" s="3"/>
      <c r="AP667">
        <v>0</v>
      </c>
      <c r="AR667" t="s">
        <v>1</v>
      </c>
      <c r="AT667" s="2">
        <v>4.3899999999999997</v>
      </c>
      <c r="AU667" s="1">
        <f t="shared" si="91"/>
        <v>2.5404255083876146</v>
      </c>
      <c r="AV667" s="1">
        <f t="shared" si="92"/>
        <v>1.8867124017737755</v>
      </c>
      <c r="AW667" s="1">
        <f t="shared" si="93"/>
        <v>1.232999295159936</v>
      </c>
    </row>
    <row r="668" spans="1:49" x14ac:dyDescent="0.2">
      <c r="A668">
        <v>666</v>
      </c>
      <c r="B668" t="s">
        <v>135</v>
      </c>
      <c r="C668" t="s">
        <v>134</v>
      </c>
      <c r="F668" t="s">
        <v>133</v>
      </c>
      <c r="G668" t="s">
        <v>16</v>
      </c>
      <c r="H668" t="s">
        <v>15</v>
      </c>
      <c r="I668" t="s">
        <v>132</v>
      </c>
      <c r="J668">
        <v>100346215</v>
      </c>
      <c r="K668" t="s">
        <v>131</v>
      </c>
      <c r="L668" t="s">
        <v>130</v>
      </c>
      <c r="M668" t="s">
        <v>129</v>
      </c>
      <c r="N668">
        <v>6</v>
      </c>
      <c r="O668" t="s">
        <v>128</v>
      </c>
      <c r="P668" t="s">
        <v>127</v>
      </c>
      <c r="Q668" t="s">
        <v>126</v>
      </c>
      <c r="R668" s="7">
        <v>31413</v>
      </c>
      <c r="S668" s="8">
        <f t="shared" si="88"/>
        <v>1986</v>
      </c>
      <c r="T668" s="8">
        <v>1986</v>
      </c>
      <c r="U668" s="8">
        <f t="shared" si="89"/>
        <v>36</v>
      </c>
      <c r="V668" s="7">
        <v>31413</v>
      </c>
      <c r="W668" t="s">
        <v>125</v>
      </c>
      <c r="X668" s="2">
        <v>0.39800000000000002</v>
      </c>
      <c r="Y668" s="6">
        <f t="shared" si="86"/>
        <v>1.0624382691332319E-2</v>
      </c>
      <c r="AA668" t="s">
        <v>124</v>
      </c>
      <c r="AB668">
        <v>26771</v>
      </c>
      <c r="AC668" t="s">
        <v>123</v>
      </c>
      <c r="AD668" t="s">
        <v>5</v>
      </c>
      <c r="AE668">
        <v>119</v>
      </c>
      <c r="AF668">
        <v>1</v>
      </c>
      <c r="AH668" s="9">
        <v>44287</v>
      </c>
      <c r="AI668" t="s">
        <v>122</v>
      </c>
      <c r="AK668" t="s">
        <v>121</v>
      </c>
      <c r="AL668">
        <v>47</v>
      </c>
      <c r="AM668" s="5">
        <f t="shared" si="90"/>
        <v>1.3055555555555556</v>
      </c>
      <c r="AN668" s="4">
        <f t="shared" si="87"/>
        <v>1.9773654760402203E-3</v>
      </c>
      <c r="AO668" s="3"/>
      <c r="AP668">
        <v>0</v>
      </c>
      <c r="AR668" t="s">
        <v>1</v>
      </c>
      <c r="AT668" s="2">
        <v>1.83</v>
      </c>
      <c r="AU668" s="1">
        <f t="shared" si="91"/>
        <v>0.8030277526744688</v>
      </c>
      <c r="AV668" s="1">
        <f t="shared" si="92"/>
        <v>0.63008740836862698</v>
      </c>
      <c r="AW668" s="1">
        <f t="shared" si="93"/>
        <v>0.45714706406278505</v>
      </c>
    </row>
    <row r="669" spans="1:49" x14ac:dyDescent="0.2">
      <c r="A669">
        <v>667</v>
      </c>
      <c r="B669" t="s">
        <v>120</v>
      </c>
      <c r="C669" t="s">
        <v>119</v>
      </c>
      <c r="F669" t="s">
        <v>118</v>
      </c>
      <c r="G669" t="s">
        <v>16</v>
      </c>
      <c r="H669" t="s">
        <v>15</v>
      </c>
      <c r="I669" t="s">
        <v>117</v>
      </c>
      <c r="J669">
        <v>60000000</v>
      </c>
      <c r="K669" t="s">
        <v>116</v>
      </c>
      <c r="L669" t="s">
        <v>115</v>
      </c>
      <c r="M669" t="s">
        <v>114</v>
      </c>
      <c r="N669">
        <v>2</v>
      </c>
      <c r="O669" t="s">
        <v>113</v>
      </c>
      <c r="P669" t="s">
        <v>112</v>
      </c>
      <c r="Q669" t="s">
        <v>111</v>
      </c>
      <c r="R669" s="7">
        <v>31413</v>
      </c>
      <c r="S669" s="8">
        <f t="shared" si="88"/>
        <v>1986</v>
      </c>
      <c r="T669" s="8">
        <v>1986</v>
      </c>
      <c r="U669" s="8">
        <f t="shared" si="89"/>
        <v>36</v>
      </c>
      <c r="V669" s="7">
        <v>31594</v>
      </c>
      <c r="W669" t="s">
        <v>110</v>
      </c>
      <c r="X669" s="2" t="s">
        <v>0</v>
      </c>
      <c r="Y669" s="6" t="e">
        <f t="shared" si="86"/>
        <v>#VALUE!</v>
      </c>
      <c r="AA669">
        <v>1688170</v>
      </c>
      <c r="AB669">
        <v>21100874205</v>
      </c>
      <c r="AD669" t="s">
        <v>5</v>
      </c>
      <c r="AE669">
        <v>10</v>
      </c>
      <c r="AF669">
        <v>1</v>
      </c>
      <c r="AH669" t="s">
        <v>109</v>
      </c>
      <c r="AI669" t="s">
        <v>108</v>
      </c>
      <c r="AJ669" t="s">
        <v>107</v>
      </c>
      <c r="AK669" t="s">
        <v>106</v>
      </c>
      <c r="AL669">
        <v>19</v>
      </c>
      <c r="AM669" s="5">
        <f t="shared" si="90"/>
        <v>0.52777777777777779</v>
      </c>
      <c r="AN669" s="4">
        <f t="shared" si="87"/>
        <v>7.993605115907274E-4</v>
      </c>
      <c r="AO669" s="3"/>
      <c r="AP669">
        <v>0</v>
      </c>
      <c r="AR669" t="s">
        <v>1</v>
      </c>
      <c r="AT669" s="2" t="s">
        <v>0</v>
      </c>
      <c r="AU669" s="1" t="e">
        <f t="shared" si="91"/>
        <v>#VALUE!</v>
      </c>
      <c r="AV669" s="1" t="e">
        <f t="shared" si="92"/>
        <v>#VALUE!</v>
      </c>
      <c r="AW669" s="1" t="e">
        <f t="shared" si="93"/>
        <v>#VALUE!</v>
      </c>
    </row>
    <row r="670" spans="1:49" x14ac:dyDescent="0.2">
      <c r="A670">
        <v>668</v>
      </c>
      <c r="B670" t="s">
        <v>105</v>
      </c>
      <c r="C670" t="s">
        <v>104</v>
      </c>
      <c r="F670" t="s">
        <v>103</v>
      </c>
      <c r="G670" t="s">
        <v>16</v>
      </c>
      <c r="H670" t="s">
        <v>15</v>
      </c>
      <c r="I670" t="s">
        <v>102</v>
      </c>
      <c r="J670" t="s">
        <v>96</v>
      </c>
      <c r="K670" t="s">
        <v>101</v>
      </c>
      <c r="L670" t="s">
        <v>100</v>
      </c>
      <c r="M670" t="s">
        <v>99</v>
      </c>
      <c r="N670">
        <v>2</v>
      </c>
      <c r="O670" t="s">
        <v>98</v>
      </c>
      <c r="P670" t="s">
        <v>97</v>
      </c>
      <c r="Q670" t="s">
        <v>96</v>
      </c>
      <c r="R670" s="7">
        <v>31413</v>
      </c>
      <c r="S670" s="8">
        <f t="shared" si="88"/>
        <v>1986</v>
      </c>
      <c r="T670" s="8">
        <v>1986</v>
      </c>
      <c r="U670" s="8">
        <f t="shared" si="89"/>
        <v>36</v>
      </c>
      <c r="V670" s="7">
        <v>31413</v>
      </c>
      <c r="W670" t="s">
        <v>95</v>
      </c>
      <c r="X670" s="2">
        <v>1.1579999999999999</v>
      </c>
      <c r="Y670" s="6">
        <f t="shared" si="86"/>
        <v>3.0912148634579962E-2</v>
      </c>
      <c r="AA670">
        <v>1668595</v>
      </c>
      <c r="AB670">
        <v>14223</v>
      </c>
      <c r="AC670">
        <v>15735079</v>
      </c>
      <c r="AD670" t="s">
        <v>5</v>
      </c>
      <c r="AE670">
        <v>9</v>
      </c>
      <c r="AF670" s="9">
        <v>44228</v>
      </c>
      <c r="AH670" t="s">
        <v>94</v>
      </c>
      <c r="AI670" t="s">
        <v>93</v>
      </c>
      <c r="AK670" t="s">
        <v>92</v>
      </c>
      <c r="AL670">
        <v>47</v>
      </c>
      <c r="AM670" s="5">
        <f t="shared" si="90"/>
        <v>1.3055555555555556</v>
      </c>
      <c r="AN670" s="4">
        <f t="shared" si="87"/>
        <v>1.9773654760402203E-3</v>
      </c>
      <c r="AO670" s="3"/>
      <c r="AP670">
        <v>0</v>
      </c>
      <c r="AR670" t="s">
        <v>1</v>
      </c>
      <c r="AT670" s="2">
        <v>3.573</v>
      </c>
      <c r="AU670" s="1">
        <f t="shared" si="91"/>
        <v>2.2231713687018035</v>
      </c>
      <c r="AV670" s="1">
        <f t="shared" si="92"/>
        <v>1.6444757055310091</v>
      </c>
      <c r="AW670" s="1">
        <f t="shared" si="93"/>
        <v>1.0657800423602144</v>
      </c>
    </row>
    <row r="671" spans="1:49" x14ac:dyDescent="0.2">
      <c r="A671">
        <v>669</v>
      </c>
      <c r="B671" t="s">
        <v>91</v>
      </c>
      <c r="C671" t="s">
        <v>90</v>
      </c>
      <c r="F671" t="s">
        <v>89</v>
      </c>
      <c r="G671" t="s">
        <v>16</v>
      </c>
      <c r="H671" t="s">
        <v>15</v>
      </c>
      <c r="I671" t="s">
        <v>88</v>
      </c>
      <c r="J671" t="s">
        <v>87</v>
      </c>
      <c r="K671" t="s">
        <v>86</v>
      </c>
      <c r="L671" t="s">
        <v>85</v>
      </c>
      <c r="M671" t="s">
        <v>84</v>
      </c>
      <c r="N671">
        <v>7</v>
      </c>
      <c r="O671" t="s">
        <v>83</v>
      </c>
      <c r="P671" t="s">
        <v>82</v>
      </c>
      <c r="Q671" t="s">
        <v>81</v>
      </c>
      <c r="R671" s="7">
        <v>31413</v>
      </c>
      <c r="S671" s="8">
        <f t="shared" si="88"/>
        <v>1986</v>
      </c>
      <c r="T671" s="8">
        <v>1986</v>
      </c>
      <c r="U671" s="8">
        <f t="shared" si="89"/>
        <v>36</v>
      </c>
      <c r="V671" s="7">
        <v>1986</v>
      </c>
      <c r="W671" t="s">
        <v>80</v>
      </c>
      <c r="X671" s="2">
        <v>12.555999999999999</v>
      </c>
      <c r="Y671" s="6">
        <f t="shared" si="86"/>
        <v>0.33517524892554923</v>
      </c>
      <c r="AA671">
        <v>368075</v>
      </c>
      <c r="AB671">
        <v>23571</v>
      </c>
      <c r="AD671" t="s">
        <v>5</v>
      </c>
      <c r="AE671">
        <v>232</v>
      </c>
      <c r="AF671">
        <v>4748</v>
      </c>
      <c r="AH671" t="s">
        <v>79</v>
      </c>
      <c r="AI671" t="s">
        <v>78</v>
      </c>
      <c r="AK671" t="s">
        <v>77</v>
      </c>
      <c r="AL671">
        <v>42</v>
      </c>
      <c r="AM671" s="5">
        <f t="shared" si="90"/>
        <v>1.1666666666666667</v>
      </c>
      <c r="AN671" s="4">
        <f t="shared" si="87"/>
        <v>1.7670074466742396E-3</v>
      </c>
      <c r="AO671" s="3"/>
      <c r="AP671">
        <v>0</v>
      </c>
      <c r="AR671" t="s">
        <v>1</v>
      </c>
      <c r="AT671" s="2">
        <v>47.728000000000002</v>
      </c>
      <c r="AU671" s="1">
        <f t="shared" si="91"/>
        <v>23.515277648188672</v>
      </c>
      <c r="AV671" s="1">
        <f t="shared" si="92"/>
        <v>16.847112818611173</v>
      </c>
      <c r="AW671" s="1">
        <f t="shared" si="93"/>
        <v>10.178947989033674</v>
      </c>
    </row>
    <row r="672" spans="1:49" x14ac:dyDescent="0.2">
      <c r="A672">
        <v>670</v>
      </c>
      <c r="B672" t="s">
        <v>76</v>
      </c>
      <c r="C672" t="s">
        <v>75</v>
      </c>
      <c r="F672" t="s">
        <v>74</v>
      </c>
      <c r="G672" t="s">
        <v>16</v>
      </c>
      <c r="H672" t="s">
        <v>15</v>
      </c>
      <c r="I672" t="s">
        <v>73</v>
      </c>
      <c r="J672">
        <v>115596750</v>
      </c>
      <c r="K672" t="s">
        <v>72</v>
      </c>
      <c r="M672" t="s">
        <v>71</v>
      </c>
      <c r="N672">
        <v>1</v>
      </c>
      <c r="O672" t="s">
        <v>70</v>
      </c>
      <c r="P672">
        <v>56796750500</v>
      </c>
      <c r="Q672">
        <v>115596750</v>
      </c>
      <c r="R672" s="7">
        <v>31413</v>
      </c>
      <c r="S672" s="8">
        <f t="shared" si="88"/>
        <v>1986</v>
      </c>
      <c r="T672" s="8">
        <v>1986</v>
      </c>
      <c r="U672" s="8">
        <f t="shared" si="89"/>
        <v>36</v>
      </c>
      <c r="V672" s="7">
        <v>31656</v>
      </c>
      <c r="W672" t="s">
        <v>6</v>
      </c>
      <c r="X672" s="2">
        <v>1.3720000000000001</v>
      </c>
      <c r="Y672" s="6">
        <f t="shared" si="86"/>
        <v>3.662475641333654E-2</v>
      </c>
      <c r="AA672">
        <v>189480</v>
      </c>
      <c r="AB672">
        <v>17366</v>
      </c>
      <c r="AC672">
        <v>15579670</v>
      </c>
      <c r="AD672" t="s">
        <v>5</v>
      </c>
      <c r="AE672">
        <v>34</v>
      </c>
      <c r="AF672">
        <v>9</v>
      </c>
      <c r="AH672" t="s">
        <v>69</v>
      </c>
      <c r="AI672" t="s">
        <v>68</v>
      </c>
      <c r="AK672" t="s">
        <v>67</v>
      </c>
      <c r="AL672">
        <v>36</v>
      </c>
      <c r="AM672" s="5">
        <f t="shared" si="90"/>
        <v>1</v>
      </c>
      <c r="AN672" s="4">
        <f t="shared" si="87"/>
        <v>1.5145778114350624E-3</v>
      </c>
      <c r="AO672" s="3"/>
      <c r="AP672">
        <v>0</v>
      </c>
      <c r="AR672" t="s">
        <v>1</v>
      </c>
      <c r="AT672" s="2" t="s">
        <v>0</v>
      </c>
      <c r="AU672" s="1">
        <f t="shared" si="91"/>
        <v>2.6091702832766095</v>
      </c>
      <c r="AV672" s="1">
        <f t="shared" si="92"/>
        <v>1.90696671123858</v>
      </c>
      <c r="AW672" s="1">
        <f t="shared" si="93"/>
        <v>1.2047631392005507</v>
      </c>
    </row>
    <row r="673" spans="1:49" x14ac:dyDescent="0.2">
      <c r="A673">
        <v>671</v>
      </c>
      <c r="B673" t="s">
        <v>66</v>
      </c>
      <c r="C673" t="s">
        <v>65</v>
      </c>
      <c r="D673" t="s">
        <v>64</v>
      </c>
      <c r="F673" t="s">
        <v>63</v>
      </c>
      <c r="G673" t="s">
        <v>16</v>
      </c>
      <c r="H673" t="s">
        <v>15</v>
      </c>
      <c r="I673" t="s">
        <v>62</v>
      </c>
      <c r="J673">
        <v>60003274</v>
      </c>
      <c r="K673" t="s">
        <v>61</v>
      </c>
      <c r="L673" t="s">
        <v>60</v>
      </c>
      <c r="M673" t="s">
        <v>59</v>
      </c>
      <c r="N673">
        <v>2</v>
      </c>
      <c r="O673" t="s">
        <v>58</v>
      </c>
      <c r="P673" t="s">
        <v>57</v>
      </c>
      <c r="Q673" t="s">
        <v>56</v>
      </c>
      <c r="R673" s="7">
        <v>31413</v>
      </c>
      <c r="S673" s="8">
        <f t="shared" si="88"/>
        <v>1986</v>
      </c>
      <c r="T673" s="8">
        <v>1986</v>
      </c>
      <c r="U673" s="8">
        <f t="shared" si="89"/>
        <v>36</v>
      </c>
      <c r="V673" s="7">
        <v>1986</v>
      </c>
      <c r="W673" t="s">
        <v>24</v>
      </c>
      <c r="X673" s="2">
        <v>0.998</v>
      </c>
      <c r="Y673" s="6">
        <f t="shared" si="86"/>
        <v>2.664104001494888E-2</v>
      </c>
      <c r="AA673">
        <v>207322</v>
      </c>
      <c r="AB673">
        <v>90127</v>
      </c>
      <c r="AD673" t="s">
        <v>5</v>
      </c>
      <c r="AE673">
        <v>15</v>
      </c>
      <c r="AF673" s="9">
        <v>44352</v>
      </c>
      <c r="AH673" t="s">
        <v>55</v>
      </c>
      <c r="AI673" t="s">
        <v>54</v>
      </c>
      <c r="AJ673" t="s">
        <v>53</v>
      </c>
      <c r="AK673" t="s">
        <v>52</v>
      </c>
      <c r="AL673">
        <v>14</v>
      </c>
      <c r="AM673" s="5">
        <f t="shared" si="90"/>
        <v>0.3888888888888889</v>
      </c>
      <c r="AN673" s="4">
        <f t="shared" si="87"/>
        <v>5.890024822247465E-4</v>
      </c>
      <c r="AO673" s="3"/>
      <c r="AP673">
        <v>0</v>
      </c>
      <c r="AR673" t="s">
        <v>1</v>
      </c>
      <c r="AT673" s="2" t="s">
        <v>0</v>
      </c>
      <c r="AU673" s="1">
        <f t="shared" si="91"/>
        <v>1.8825428755131639</v>
      </c>
      <c r="AV673" s="1">
        <f t="shared" si="92"/>
        <v>1.3615021248586814</v>
      </c>
      <c r="AW673" s="1">
        <f t="shared" si="93"/>
        <v>0.84046137420419864</v>
      </c>
    </row>
    <row r="674" spans="1:49" x14ac:dyDescent="0.2">
      <c r="A674">
        <v>672</v>
      </c>
      <c r="B674" t="s">
        <v>51</v>
      </c>
      <c r="C674" t="s">
        <v>50</v>
      </c>
      <c r="F674" t="s">
        <v>49</v>
      </c>
      <c r="G674" t="s">
        <v>16</v>
      </c>
      <c r="H674" t="s">
        <v>15</v>
      </c>
      <c r="I674" t="s">
        <v>48</v>
      </c>
      <c r="J674" t="s">
        <v>47</v>
      </c>
      <c r="K674" t="s">
        <v>46</v>
      </c>
      <c r="L674" t="s">
        <v>45</v>
      </c>
      <c r="M674" t="s">
        <v>44</v>
      </c>
      <c r="N674">
        <v>3</v>
      </c>
      <c r="O674" t="s">
        <v>43</v>
      </c>
      <c r="P674" t="s">
        <v>42</v>
      </c>
      <c r="Q674" t="s">
        <v>41</v>
      </c>
      <c r="R674" s="7">
        <v>31413</v>
      </c>
      <c r="S674" s="8">
        <f t="shared" si="88"/>
        <v>1986</v>
      </c>
      <c r="T674" s="8">
        <v>1986</v>
      </c>
      <c r="U674" s="8">
        <f t="shared" si="89"/>
        <v>36</v>
      </c>
      <c r="V674" s="7">
        <v>1986</v>
      </c>
      <c r="W674" t="s">
        <v>40</v>
      </c>
      <c r="X674" s="2">
        <v>1.994</v>
      </c>
      <c r="Y674" s="6">
        <f t="shared" si="86"/>
        <v>5.322869117215237E-2</v>
      </c>
      <c r="AA674">
        <v>249297</v>
      </c>
      <c r="AB674">
        <v>21100779404</v>
      </c>
      <c r="AC674">
        <v>15205835</v>
      </c>
      <c r="AD674" t="s">
        <v>5</v>
      </c>
      <c r="AE674">
        <v>19</v>
      </c>
      <c r="AF674">
        <v>11</v>
      </c>
      <c r="AH674" t="s">
        <v>39</v>
      </c>
      <c r="AI674" t="s">
        <v>38</v>
      </c>
      <c r="AK674" t="s">
        <v>37</v>
      </c>
      <c r="AL674">
        <v>28</v>
      </c>
      <c r="AM674" s="5">
        <f t="shared" si="90"/>
        <v>0.77777777777777779</v>
      </c>
      <c r="AN674" s="4">
        <f t="shared" si="87"/>
        <v>1.178004964449493E-3</v>
      </c>
      <c r="AO674" s="3"/>
      <c r="AP674">
        <v>0</v>
      </c>
      <c r="AR674" t="s">
        <v>1</v>
      </c>
      <c r="AT674" s="2">
        <v>5.9850000000000003</v>
      </c>
      <c r="AU674" s="1">
        <f t="shared" si="91"/>
        <v>3.7613485309841503</v>
      </c>
      <c r="AV674" s="1">
        <f t="shared" si="92"/>
        <v>2.7203348068300932</v>
      </c>
      <c r="AW674" s="1">
        <f t="shared" si="93"/>
        <v>1.6793210826760356</v>
      </c>
    </row>
    <row r="675" spans="1:49" x14ac:dyDescent="0.2">
      <c r="A675">
        <v>673</v>
      </c>
      <c r="B675" t="s">
        <v>36</v>
      </c>
      <c r="C675" t="s">
        <v>35</v>
      </c>
      <c r="D675" t="s">
        <v>34</v>
      </c>
      <c r="F675" t="s">
        <v>33</v>
      </c>
      <c r="G675" t="s">
        <v>16</v>
      </c>
      <c r="H675" t="s">
        <v>15</v>
      </c>
      <c r="I675" t="s">
        <v>32</v>
      </c>
      <c r="J675" t="s">
        <v>31</v>
      </c>
      <c r="K675" t="s">
        <v>30</v>
      </c>
      <c r="L675" t="s">
        <v>29</v>
      </c>
      <c r="M675" t="s">
        <v>28</v>
      </c>
      <c r="N675">
        <v>2</v>
      </c>
      <c r="O675" t="s">
        <v>27</v>
      </c>
      <c r="P675" t="s">
        <v>26</v>
      </c>
      <c r="Q675" t="s">
        <v>25</v>
      </c>
      <c r="R675" s="7">
        <v>31413</v>
      </c>
      <c r="S675" s="8">
        <f t="shared" si="88"/>
        <v>1986</v>
      </c>
      <c r="T675" s="8">
        <v>1986</v>
      </c>
      <c r="U675" s="8">
        <f t="shared" si="89"/>
        <v>36</v>
      </c>
      <c r="V675" s="7">
        <v>1986</v>
      </c>
      <c r="W675" t="s">
        <v>24</v>
      </c>
      <c r="X675" s="2">
        <v>0.998</v>
      </c>
      <c r="Y675" s="6">
        <f t="shared" si="86"/>
        <v>2.664104001494888E-2</v>
      </c>
      <c r="AA675">
        <v>207322</v>
      </c>
      <c r="AB675">
        <v>90127</v>
      </c>
      <c r="AD675" t="s">
        <v>5</v>
      </c>
      <c r="AE675">
        <v>15</v>
      </c>
      <c r="AF675">
        <v>3</v>
      </c>
      <c r="AH675" t="s">
        <v>23</v>
      </c>
      <c r="AI675" t="s">
        <v>22</v>
      </c>
      <c r="AJ675" t="s">
        <v>21</v>
      </c>
      <c r="AK675" t="s">
        <v>20</v>
      </c>
      <c r="AL675">
        <v>39</v>
      </c>
      <c r="AM675" s="5">
        <f t="shared" si="90"/>
        <v>1.0833333333333333</v>
      </c>
      <c r="AN675" s="4">
        <f t="shared" si="87"/>
        <v>1.6407926290546509E-3</v>
      </c>
      <c r="AO675" s="3"/>
      <c r="AP675">
        <v>0</v>
      </c>
      <c r="AR675" t="s">
        <v>1</v>
      </c>
      <c r="AT675" s="2" t="s">
        <v>0</v>
      </c>
      <c r="AU675" s="1">
        <f t="shared" si="91"/>
        <v>1.9140965799180609</v>
      </c>
      <c r="AV675" s="1">
        <f t="shared" si="92"/>
        <v>1.4140916322001766</v>
      </c>
      <c r="AW675" s="1">
        <f t="shared" si="93"/>
        <v>0.91408668448229191</v>
      </c>
    </row>
    <row r="676" spans="1:49" x14ac:dyDescent="0.2">
      <c r="A676">
        <v>674</v>
      </c>
      <c r="B676" t="s">
        <v>19</v>
      </c>
      <c r="C676" t="s">
        <v>18</v>
      </c>
      <c r="F676" t="s">
        <v>17</v>
      </c>
      <c r="G676" t="s">
        <v>16</v>
      </c>
      <c r="H676" t="s">
        <v>15</v>
      </c>
      <c r="I676" t="s">
        <v>14</v>
      </c>
      <c r="J676" t="s">
        <v>13</v>
      </c>
      <c r="K676" t="s">
        <v>12</v>
      </c>
      <c r="L676" t="s">
        <v>11</v>
      </c>
      <c r="M676" t="s">
        <v>10</v>
      </c>
      <c r="N676">
        <v>4</v>
      </c>
      <c r="O676" t="s">
        <v>9</v>
      </c>
      <c r="P676" t="s">
        <v>8</v>
      </c>
      <c r="Q676" t="s">
        <v>7</v>
      </c>
      <c r="R676" s="7">
        <v>31413</v>
      </c>
      <c r="S676" s="8">
        <f t="shared" si="88"/>
        <v>1986</v>
      </c>
      <c r="T676" s="8">
        <v>1986</v>
      </c>
      <c r="U676" s="8">
        <f t="shared" si="89"/>
        <v>36</v>
      </c>
      <c r="V676" s="7">
        <v>31747</v>
      </c>
      <c r="W676" t="s">
        <v>6</v>
      </c>
      <c r="X676" s="2">
        <v>1.3720000000000001</v>
      </c>
      <c r="Y676" s="6">
        <f t="shared" si="86"/>
        <v>3.662475641333654E-2</v>
      </c>
      <c r="AA676">
        <v>189480</v>
      </c>
      <c r="AB676">
        <v>17366</v>
      </c>
      <c r="AC676">
        <v>15579670</v>
      </c>
      <c r="AD676" t="s">
        <v>5</v>
      </c>
      <c r="AE676">
        <v>34</v>
      </c>
      <c r="AF676">
        <v>12</v>
      </c>
      <c r="AH676" t="s">
        <v>4</v>
      </c>
      <c r="AI676" t="s">
        <v>3</v>
      </c>
      <c r="AK676" t="s">
        <v>2</v>
      </c>
      <c r="AL676">
        <v>65</v>
      </c>
      <c r="AM676" s="5">
        <f t="shared" si="90"/>
        <v>1.8055555555555556</v>
      </c>
      <c r="AN676" s="4">
        <f t="shared" si="87"/>
        <v>2.7346543817577517E-3</v>
      </c>
      <c r="AO676" s="3"/>
      <c r="AP676">
        <v>0</v>
      </c>
      <c r="AR676" t="s">
        <v>1</v>
      </c>
      <c r="AT676" s="2" t="s">
        <v>0</v>
      </c>
      <c r="AU676" s="1">
        <f t="shared" si="91"/>
        <v>2.6457725803862902</v>
      </c>
      <c r="AV676" s="1">
        <f t="shared" si="92"/>
        <v>1.9679705397547147</v>
      </c>
      <c r="AW676" s="1">
        <f t="shared" si="93"/>
        <v>1.2901684991231388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1986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2021-11-11T11:38:04Z</dcterms:created>
  <dcterms:modified xsi:type="dcterms:W3CDTF">2022-01-19T19:32:38Z</dcterms:modified>
</cp:coreProperties>
</file>